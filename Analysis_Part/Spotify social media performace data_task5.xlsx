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slicers/slicer1.xml" ContentType="application/vnd.ms-excel.slicer+xml"/>
  <Override PartName="/xl/tables/table5.xml" ContentType="application/vnd.openxmlformats-officedocument.spreadsheetml.table+xml"/>
  <Override PartName="/xl/drawings/drawing3.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slicers/slicer2.xml" ContentType="application/vnd.ms-excel.slicer+xml"/>
  <Override PartName="/xl/drawings/drawing4.xml" ContentType="application/vnd.openxmlformats-officedocument.drawing+xml"/>
  <Override PartName="/xl/tables/table8.xml" ContentType="application/vnd.openxmlformats-officedocument.spreadsheetml.table+xml"/>
  <Override PartName="/xl/slicers/slicer3.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9.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hidePivotFieldList="1"/>
  <mc:AlternateContent xmlns:mc="http://schemas.openxmlformats.org/markup-compatibility/2006">
    <mc:Choice Requires="x15">
      <x15ac:absPath xmlns:x15ac="http://schemas.microsoft.com/office/spreadsheetml/2010/11/ac" url="C:\Users\HP\Desktop\Project_Spotify\"/>
    </mc:Choice>
  </mc:AlternateContent>
  <xr:revisionPtr revIDLastSave="0" documentId="13_ncr:1_{21895455-76A9-40F2-A7DA-4736C4049118}" xr6:coauthVersionLast="47" xr6:coauthVersionMax="47" xr10:uidLastSave="{00000000-0000-0000-0000-000000000000}"/>
  <bookViews>
    <workbookView xWindow="-120" yWindow="-120" windowWidth="20730" windowHeight="11160" firstSheet="1" activeTab="1" xr2:uid="{00000000-000D-0000-FFFF-FFFF00000000}"/>
  </bookViews>
  <sheets>
    <sheet name="Posts" sheetId="1" state="hidden" r:id="rId1"/>
    <sheet name="5.1AvgTotalImpClickLikes" sheetId="4" r:id="rId2"/>
    <sheet name="5.2EngagementMetric" sheetId="5" r:id="rId3"/>
    <sheet name="Engagement Summary" sheetId="2" state="hidden" r:id="rId4"/>
    <sheet name="5.3CaimpaignHighestROI" sheetId="8" r:id="rId5"/>
    <sheet name="5.4FollowerGrowth" sheetId="9" r:id="rId6"/>
    <sheet name="Campaign Metadata" sheetId="3" state="hidden" r:id="rId7"/>
  </sheets>
  <definedNames>
    <definedName name="Engagement_Metric" localSheetId="4">Table15[[#Headers],[#Data],[Engagement Metric]]</definedName>
    <definedName name="Engagement_Metric" localSheetId="5">Table15[[#Headers],[#Data],[Engagement Metric]]</definedName>
    <definedName name="Engagement_Metric">Table15[[#Headers],[#Data],[Engagement Metric]]</definedName>
    <definedName name="Slicer_Campaign_Name">#N/A</definedName>
    <definedName name="Slicer_Platform">#N/A</definedName>
    <definedName name="Slicer_Platform1">#N/A</definedName>
  </definedNames>
  <calcPr calcId="191029"/>
  <pivotCaches>
    <pivotCache cacheId="9" r:id="rId8"/>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9"/>
        <x14:slicerCache r:id="rId10"/>
        <x14:slicerCache r:id="rId11"/>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9" l="1"/>
  <c r="M5" i="9"/>
  <c r="M3" i="9"/>
  <c r="M4" i="9"/>
  <c r="P6" i="8"/>
  <c r="P5" i="8"/>
  <c r="P4" i="8"/>
  <c r="P7" i="8"/>
  <c r="H201" i="8"/>
  <c r="H200" i="8"/>
  <c r="H199" i="8"/>
  <c r="H198" i="8"/>
  <c r="H197" i="8"/>
  <c r="H196" i="8"/>
  <c r="H195" i="8"/>
  <c r="H194" i="8"/>
  <c r="H193" i="8"/>
  <c r="H192" i="8"/>
  <c r="H191" i="8"/>
  <c r="H190" i="8"/>
  <c r="H189" i="8"/>
  <c r="H188" i="8"/>
  <c r="H187" i="8"/>
  <c r="H186" i="8"/>
  <c r="H185" i="8"/>
  <c r="H184" i="8"/>
  <c r="H183" i="8"/>
  <c r="H182" i="8"/>
  <c r="H181" i="8"/>
  <c r="H180" i="8"/>
  <c r="H179" i="8"/>
  <c r="H178" i="8"/>
  <c r="H177" i="8"/>
  <c r="H176" i="8"/>
  <c r="H175" i="8"/>
  <c r="H174" i="8"/>
  <c r="H173" i="8"/>
  <c r="H172" i="8"/>
  <c r="H171" i="8"/>
  <c r="H170" i="8"/>
  <c r="H169" i="8"/>
  <c r="H168" i="8"/>
  <c r="H167" i="8"/>
  <c r="H166" i="8"/>
  <c r="H165" i="8"/>
  <c r="H164" i="8"/>
  <c r="H163" i="8"/>
  <c r="H162" i="8"/>
  <c r="H161" i="8"/>
  <c r="H160" i="8"/>
  <c r="H159" i="8"/>
  <c r="H158" i="8"/>
  <c r="H157" i="8"/>
  <c r="H156" i="8"/>
  <c r="H155" i="8"/>
  <c r="H154" i="8"/>
  <c r="H153" i="8"/>
  <c r="H152" i="8"/>
  <c r="H151" i="8"/>
  <c r="H150" i="8"/>
  <c r="H149" i="8"/>
  <c r="H148" i="8"/>
  <c r="H147" i="8"/>
  <c r="H146" i="8"/>
  <c r="H145" i="8"/>
  <c r="H144" i="8"/>
  <c r="H143" i="8"/>
  <c r="H142" i="8"/>
  <c r="H141" i="8"/>
  <c r="H140" i="8"/>
  <c r="H139" i="8"/>
  <c r="H138" i="8"/>
  <c r="H137" i="8"/>
  <c r="H136" i="8"/>
  <c r="H135" i="8"/>
  <c r="H134" i="8"/>
  <c r="H133" i="8"/>
  <c r="H132" i="8"/>
  <c r="H131" i="8"/>
  <c r="H130" i="8"/>
  <c r="H129" i="8"/>
  <c r="H128" i="8"/>
  <c r="H127" i="8"/>
  <c r="H126" i="8"/>
  <c r="H125" i="8"/>
  <c r="H124" i="8"/>
  <c r="H123" i="8"/>
  <c r="H122" i="8"/>
  <c r="H121" i="8"/>
  <c r="H120" i="8"/>
  <c r="H119" i="8"/>
  <c r="H118" i="8"/>
  <c r="H117" i="8"/>
  <c r="H116" i="8"/>
  <c r="H115" i="8"/>
  <c r="H114" i="8"/>
  <c r="H113" i="8"/>
  <c r="H112" i="8"/>
  <c r="H111" i="8"/>
  <c r="H110" i="8"/>
  <c r="H109" i="8"/>
  <c r="H108" i="8"/>
  <c r="H107" i="8"/>
  <c r="H106" i="8"/>
  <c r="H105" i="8"/>
  <c r="H104" i="8"/>
  <c r="H103" i="8"/>
  <c r="H102" i="8"/>
  <c r="H101" i="8"/>
  <c r="H100" i="8"/>
  <c r="H99" i="8"/>
  <c r="H98" i="8"/>
  <c r="O4" i="8" s="1"/>
  <c r="Q4" i="8" s="1"/>
  <c r="H97" i="8"/>
  <c r="H96" i="8"/>
  <c r="H95" i="8"/>
  <c r="H94" i="8"/>
  <c r="H93" i="8"/>
  <c r="H92" i="8"/>
  <c r="H91" i="8"/>
  <c r="H90" i="8"/>
  <c r="H89" i="8"/>
  <c r="H88" i="8"/>
  <c r="H87" i="8"/>
  <c r="H86" i="8"/>
  <c r="H85" i="8"/>
  <c r="H84" i="8"/>
  <c r="H83" i="8"/>
  <c r="H82" i="8"/>
  <c r="H81" i="8"/>
  <c r="H80" i="8"/>
  <c r="H79" i="8"/>
  <c r="H78" i="8"/>
  <c r="H77" i="8"/>
  <c r="H76" i="8"/>
  <c r="H75" i="8"/>
  <c r="H74" i="8"/>
  <c r="H73" i="8"/>
  <c r="H72" i="8"/>
  <c r="H71" i="8"/>
  <c r="H70" i="8"/>
  <c r="H69" i="8"/>
  <c r="H68" i="8"/>
  <c r="H67" i="8"/>
  <c r="H66" i="8"/>
  <c r="H65" i="8"/>
  <c r="H64" i="8"/>
  <c r="H63" i="8"/>
  <c r="H62" i="8"/>
  <c r="H61" i="8"/>
  <c r="H60" i="8"/>
  <c r="H59" i="8"/>
  <c r="H58" i="8"/>
  <c r="H57" i="8"/>
  <c r="H56" i="8"/>
  <c r="H55" i="8"/>
  <c r="H54" i="8"/>
  <c r="H53" i="8"/>
  <c r="H52" i="8"/>
  <c r="H51" i="8"/>
  <c r="H50" i="8"/>
  <c r="H49" i="8"/>
  <c r="H48" i="8"/>
  <c r="H47" i="8"/>
  <c r="H46" i="8"/>
  <c r="H45" i="8"/>
  <c r="H44" i="8"/>
  <c r="H43" i="8"/>
  <c r="H42" i="8"/>
  <c r="H41" i="8"/>
  <c r="H40" i="8"/>
  <c r="H39" i="8"/>
  <c r="H38" i="8"/>
  <c r="H37" i="8"/>
  <c r="H36" i="8"/>
  <c r="H35" i="8"/>
  <c r="H34" i="8"/>
  <c r="H33" i="8"/>
  <c r="H32" i="8"/>
  <c r="H31" i="8"/>
  <c r="H30" i="8"/>
  <c r="H29" i="8"/>
  <c r="H28" i="8"/>
  <c r="H27" i="8"/>
  <c r="H26" i="8"/>
  <c r="H25" i="8"/>
  <c r="H24" i="8"/>
  <c r="H23" i="8"/>
  <c r="H22" i="8"/>
  <c r="H21" i="8"/>
  <c r="H20" i="8"/>
  <c r="H19" i="8"/>
  <c r="H18" i="8"/>
  <c r="H17" i="8"/>
  <c r="H16" i="8"/>
  <c r="H15" i="8"/>
  <c r="H14" i="8"/>
  <c r="H13" i="8"/>
  <c r="H12" i="8"/>
  <c r="H11" i="8"/>
  <c r="H10" i="8"/>
  <c r="H9" i="8"/>
  <c r="H8" i="8"/>
  <c r="H7" i="8"/>
  <c r="H6" i="8"/>
  <c r="H5" i="8"/>
  <c r="H4" i="8"/>
  <c r="H3" i="8"/>
  <c r="H2" i="8"/>
  <c r="V5" i="5"/>
  <c r="V4" i="5"/>
  <c r="V7" i="5"/>
  <c r="V6" i="5"/>
  <c r="R6" i="5"/>
  <c r="T6" i="5" s="1"/>
  <c r="Q6" i="5"/>
  <c r="R7" i="5"/>
  <c r="T7" i="5" s="1"/>
  <c r="W7" i="5" s="1"/>
  <c r="X7" i="5" s="1"/>
  <c r="R4" i="5"/>
  <c r="T4" i="5" s="1"/>
  <c r="R5" i="5"/>
  <c r="Q7" i="5"/>
  <c r="Q4" i="5"/>
  <c r="Q5" i="5"/>
  <c r="I2" i="3"/>
  <c r="I3" i="3"/>
  <c r="I4" i="3"/>
  <c r="I5" i="3"/>
  <c r="O38" i="5"/>
  <c r="O90" i="5"/>
  <c r="O123" i="5"/>
  <c r="O125" i="5"/>
  <c r="O6" i="5"/>
  <c r="O7" i="5"/>
  <c r="O107" i="5"/>
  <c r="O239" i="5"/>
  <c r="O13" i="5"/>
  <c r="O119" i="5"/>
  <c r="O12" i="5"/>
  <c r="O234" i="5"/>
  <c r="O9" i="5"/>
  <c r="O156" i="5"/>
  <c r="O244" i="5"/>
  <c r="O106" i="5"/>
  <c r="O222" i="5"/>
  <c r="O19" i="5"/>
  <c r="O20" i="5"/>
  <c r="O21" i="5"/>
  <c r="O22" i="5"/>
  <c r="O14" i="5"/>
  <c r="O24" i="5"/>
  <c r="O25" i="5"/>
  <c r="O26" i="5"/>
  <c r="O33" i="5"/>
  <c r="O129" i="5"/>
  <c r="O29" i="5"/>
  <c r="O65" i="5"/>
  <c r="O44" i="5"/>
  <c r="O104" i="5"/>
  <c r="O243" i="5"/>
  <c r="O154" i="5"/>
  <c r="O97" i="5"/>
  <c r="O36" i="5"/>
  <c r="O37" i="5"/>
  <c r="O30" i="5"/>
  <c r="O39" i="5"/>
  <c r="O40" i="5"/>
  <c r="O17" i="5"/>
  <c r="O251" i="5"/>
  <c r="O217" i="5"/>
  <c r="O76" i="5"/>
  <c r="O45" i="5"/>
  <c r="O46" i="5"/>
  <c r="O47" i="5"/>
  <c r="O48" i="5"/>
  <c r="O278" i="5"/>
  <c r="O193" i="5"/>
  <c r="O50" i="5"/>
  <c r="O52" i="5"/>
  <c r="O191" i="5"/>
  <c r="O200" i="5"/>
  <c r="O55" i="5"/>
  <c r="O242" i="5"/>
  <c r="O57" i="5"/>
  <c r="O58" i="5"/>
  <c r="O59" i="5"/>
  <c r="O60" i="5"/>
  <c r="O61" i="5"/>
  <c r="O62" i="5"/>
  <c r="O140" i="5"/>
  <c r="O64" i="5"/>
  <c r="O81" i="5"/>
  <c r="O66" i="5"/>
  <c r="O51" i="5"/>
  <c r="O68" i="5"/>
  <c r="O69" i="5"/>
  <c r="O110" i="5"/>
  <c r="O100" i="5"/>
  <c r="O72" i="5"/>
  <c r="O73" i="5"/>
  <c r="O74" i="5"/>
  <c r="O227" i="5"/>
  <c r="O289" i="5"/>
  <c r="O77" i="5"/>
  <c r="O27" i="5"/>
  <c r="O84" i="5"/>
  <c r="O80" i="5"/>
  <c r="O10" i="5"/>
  <c r="O82" i="5"/>
  <c r="O83" i="5"/>
  <c r="O103" i="5"/>
  <c r="O202" i="5"/>
  <c r="O199" i="5"/>
  <c r="O34" i="5"/>
  <c r="O248" i="5"/>
  <c r="O71" i="5"/>
  <c r="O120" i="5"/>
  <c r="O203" i="5"/>
  <c r="O92" i="5"/>
  <c r="O93" i="5"/>
  <c r="O94" i="5"/>
  <c r="O137" i="5"/>
  <c r="O96" i="5"/>
  <c r="O271" i="5"/>
  <c r="O98" i="5"/>
  <c r="O272" i="5"/>
  <c r="O148" i="5"/>
  <c r="O101" i="5"/>
  <c r="O151" i="5"/>
  <c r="O145" i="5"/>
  <c r="O280" i="5"/>
  <c r="O246" i="5"/>
  <c r="O176" i="5"/>
  <c r="O85" i="5"/>
  <c r="O91" i="5"/>
  <c r="O109" i="5"/>
  <c r="O133" i="5"/>
  <c r="O111" i="5"/>
  <c r="O112" i="5"/>
  <c r="O75" i="5"/>
  <c r="O187" i="5"/>
  <c r="O207" i="5"/>
  <c r="O116" i="5"/>
  <c r="O117" i="5"/>
  <c r="O118" i="5"/>
  <c r="O232" i="5"/>
  <c r="O23" i="5"/>
  <c r="O95" i="5"/>
  <c r="O122" i="5"/>
  <c r="O274" i="5"/>
  <c r="O124" i="5"/>
  <c r="O240" i="5"/>
  <c r="O139" i="5"/>
  <c r="O301" i="5"/>
  <c r="O128" i="5"/>
  <c r="O277" i="5"/>
  <c r="O2" i="5"/>
  <c r="O131" i="5"/>
  <c r="O132" i="5"/>
  <c r="O163" i="5"/>
  <c r="O134" i="5"/>
  <c r="O31" i="5"/>
  <c r="O159" i="5"/>
  <c r="O135" i="5"/>
  <c r="O256" i="5"/>
  <c r="O130" i="5"/>
  <c r="O67" i="5"/>
  <c r="O195" i="5"/>
  <c r="O142" i="5"/>
  <c r="O143" i="5"/>
  <c r="O144" i="5"/>
  <c r="O78" i="5"/>
  <c r="O28" i="5"/>
  <c r="O147" i="5"/>
  <c r="O292" i="5"/>
  <c r="O3" i="5"/>
  <c r="O150" i="5"/>
  <c r="O225" i="5"/>
  <c r="O152" i="5"/>
  <c r="O153" i="5"/>
  <c r="O16" i="5"/>
  <c r="O155" i="5"/>
  <c r="O247" i="5"/>
  <c r="O157" i="5"/>
  <c r="O158" i="5"/>
  <c r="O56" i="5"/>
  <c r="O160" i="5"/>
  <c r="O161" i="5"/>
  <c r="O162" i="5"/>
  <c r="O136" i="5"/>
  <c r="O164" i="5"/>
  <c r="O165" i="5"/>
  <c r="O166" i="5"/>
  <c r="O167" i="5"/>
  <c r="O108" i="5"/>
  <c r="O258" i="5"/>
  <c r="O170" i="5"/>
  <c r="O171" i="5"/>
  <c r="O172" i="5"/>
  <c r="O173" i="5"/>
  <c r="O174" i="5"/>
  <c r="O175" i="5"/>
  <c r="O54" i="5"/>
  <c r="O213" i="5"/>
  <c r="O178" i="5"/>
  <c r="O179" i="5"/>
  <c r="O180" i="5"/>
  <c r="O42" i="5"/>
  <c r="O182" i="5"/>
  <c r="O263" i="5"/>
  <c r="O184" i="5"/>
  <c r="O208" i="5"/>
  <c r="O186" i="5"/>
  <c r="O219" i="5"/>
  <c r="O188" i="5"/>
  <c r="O189" i="5"/>
  <c r="O190" i="5"/>
  <c r="O88" i="5"/>
  <c r="O192" i="5"/>
  <c r="O177" i="5"/>
  <c r="O194" i="5"/>
  <c r="O235" i="5"/>
  <c r="O196" i="5"/>
  <c r="O89" i="5"/>
  <c r="O198" i="5"/>
  <c r="O79" i="5"/>
  <c r="O210" i="5"/>
  <c r="O266" i="5"/>
  <c r="O185" i="5"/>
  <c r="O299" i="5"/>
  <c r="O204" i="5"/>
  <c r="O105" i="5"/>
  <c r="O206" i="5"/>
  <c r="O197" i="5"/>
  <c r="O257" i="5"/>
  <c r="O209" i="5"/>
  <c r="O205" i="5"/>
  <c r="O41" i="5"/>
  <c r="O255" i="5"/>
  <c r="O8" i="5"/>
  <c r="O214" i="5"/>
  <c r="O215" i="5"/>
  <c r="O121" i="5"/>
  <c r="O168" i="5"/>
  <c r="O18" i="5"/>
  <c r="O149" i="5"/>
  <c r="O220" i="5"/>
  <c r="O221" i="5"/>
  <c r="O35" i="5"/>
  <c r="O5" i="5"/>
  <c r="O224" i="5"/>
  <c r="O114" i="5"/>
  <c r="O226" i="5"/>
  <c r="O293" i="5"/>
  <c r="O228" i="5"/>
  <c r="O229" i="5"/>
  <c r="O230" i="5"/>
  <c r="O231" i="5"/>
  <c r="O261" i="5"/>
  <c r="O233" i="5"/>
  <c r="O146" i="5"/>
  <c r="O283" i="5"/>
  <c r="O236" i="5"/>
  <c r="O237" i="5"/>
  <c r="O238" i="5"/>
  <c r="O15" i="5"/>
  <c r="O113" i="5"/>
  <c r="O241" i="5"/>
  <c r="O183" i="5"/>
  <c r="O53" i="5"/>
  <c r="O115" i="5"/>
  <c r="O245" i="5"/>
  <c r="O99" i="5"/>
  <c r="O211" i="5"/>
  <c r="O181" i="5"/>
  <c r="O249" i="5"/>
  <c r="O250" i="5"/>
  <c r="O32" i="5"/>
  <c r="O252" i="5"/>
  <c r="O253" i="5"/>
  <c r="O254" i="5"/>
  <c r="O49" i="5"/>
  <c r="O260" i="5"/>
  <c r="O212" i="5"/>
  <c r="O223" i="5"/>
  <c r="O259" i="5"/>
  <c r="O86" i="5"/>
  <c r="O102" i="5"/>
  <c r="O262" i="5"/>
  <c r="O127" i="5"/>
  <c r="O264" i="5"/>
  <c r="O265" i="5"/>
  <c r="O11" i="5"/>
  <c r="O267" i="5"/>
  <c r="O268" i="5"/>
  <c r="O269" i="5"/>
  <c r="O270" i="5"/>
  <c r="O138" i="5"/>
  <c r="O43" i="5"/>
  <c r="O273" i="5"/>
  <c r="O281" i="5"/>
  <c r="O275" i="5"/>
  <c r="O276" i="5"/>
  <c r="O70" i="5"/>
  <c r="O286" i="5"/>
  <c r="O126" i="5"/>
  <c r="O87" i="5"/>
  <c r="O169" i="5"/>
  <c r="O300" i="5"/>
  <c r="O279" i="5"/>
  <c r="O284" i="5"/>
  <c r="O285" i="5"/>
  <c r="O216" i="5"/>
  <c r="O287" i="5"/>
  <c r="O288" i="5"/>
  <c r="O201" i="5"/>
  <c r="O290" i="5"/>
  <c r="O291" i="5"/>
  <c r="O218" i="5"/>
  <c r="O141" i="5"/>
  <c r="O294" i="5"/>
  <c r="O295" i="5"/>
  <c r="O296" i="5"/>
  <c r="O63" i="5"/>
  <c r="O298" i="5"/>
  <c r="O4" i="5"/>
  <c r="O297" i="5"/>
  <c r="O282" i="5"/>
  <c r="O7" i="8" l="1"/>
  <c r="O6" i="8"/>
  <c r="Q6" i="8" s="1"/>
  <c r="O5" i="8"/>
  <c r="Q5" i="8" s="1"/>
  <c r="Q7" i="8"/>
  <c r="W6" i="5"/>
  <c r="X6" i="5" s="1"/>
  <c r="W4" i="5"/>
  <c r="X4" i="5" s="1"/>
  <c r="O302" i="5" a="1"/>
  <c r="O302" i="5" s="1"/>
  <c r="T5" i="5"/>
  <c r="W5" i="5" s="1"/>
  <c r="X5" i="5"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<sst xmlns="http://schemas.openxmlformats.org/spreadsheetml/2006/main" count="6708" uniqueCount="394">
  <si>
    <t>Post ID</t>
  </si>
  <si>
    <t>Platform</t>
  </si>
  <si>
    <t>Date</t>
  </si>
  <si>
    <t>Content Type</t>
  </si>
  <si>
    <t>Post Text</t>
  </si>
  <si>
    <t>Likes</t>
  </si>
  <si>
    <t>Shares</t>
  </si>
  <si>
    <t>Comments</t>
  </si>
  <si>
    <t>Impressions</t>
  </si>
  <si>
    <t>Reach</t>
  </si>
  <si>
    <t>Clicks</t>
  </si>
  <si>
    <t>Campaign_Name</t>
  </si>
  <si>
    <t>SP001</t>
  </si>
  <si>
    <t>Instagram</t>
  </si>
  <si>
    <t>Text</t>
  </si>
  <si>
    <t>Discover fresh beats on Spotify!</t>
  </si>
  <si>
    <t>ChillVibes</t>
  </si>
  <si>
    <t>SP002</t>
  </si>
  <si>
    <t>Explore the latest podcasts now.</t>
  </si>
  <si>
    <t>#DiscoverWeekly</t>
  </si>
  <si>
    <t>IndieWave</t>
  </si>
  <si>
    <t>SP003</t>
  </si>
  <si>
    <t>Twitter</t>
  </si>
  <si>
    <t>Story</t>
  </si>
  <si>
    <t>New music just dropped. Hit play!</t>
  </si>
  <si>
    <t>SP004</t>
  </si>
  <si>
    <t>SP005</t>
  </si>
  <si>
    <t>YouTube</t>
  </si>
  <si>
    <t>SP006</t>
  </si>
  <si>
    <t>SP007</t>
  </si>
  <si>
    <t>Get into the groove with our new drop!</t>
  </si>
  <si>
    <t>SP008</t>
  </si>
  <si>
    <t>SP009</t>
  </si>
  <si>
    <t>Top trending tracks updated daily!</t>
  </si>
  <si>
    <t>#NowPlaying</t>
  </si>
  <si>
    <t>SP010</t>
  </si>
  <si>
    <t>SP011</t>
  </si>
  <si>
    <t>#SoundtrackOfLife</t>
  </si>
  <si>
    <t>SP012</t>
  </si>
  <si>
    <t>SP013</t>
  </si>
  <si>
    <t>SP014</t>
  </si>
  <si>
    <t>SP015</t>
  </si>
  <si>
    <t>Your weekend playlist is waiting.</t>
  </si>
  <si>
    <t>SP016</t>
  </si>
  <si>
    <t>SP017</t>
  </si>
  <si>
    <t>SP018</t>
  </si>
  <si>
    <t>Wrapped2024</t>
  </si>
  <si>
    <t>SP019</t>
  </si>
  <si>
    <t>Reel</t>
  </si>
  <si>
    <t>SummerBeats</t>
  </si>
  <si>
    <t>SP020</t>
  </si>
  <si>
    <t>SP021</t>
  </si>
  <si>
    <t>SP022</t>
  </si>
  <si>
    <t>SP023</t>
  </si>
  <si>
    <t>SP024</t>
  </si>
  <si>
    <t>SP025</t>
  </si>
  <si>
    <t>SP026</t>
  </si>
  <si>
    <t>SP027</t>
  </si>
  <si>
    <t>SP028</t>
  </si>
  <si>
    <t>SP029</t>
  </si>
  <si>
    <t>SP030</t>
  </si>
  <si>
    <t>SP031</t>
  </si>
  <si>
    <t>SP032</t>
  </si>
  <si>
    <t>SP033</t>
  </si>
  <si>
    <t>SP034</t>
  </si>
  <si>
    <t>SP035</t>
  </si>
  <si>
    <t>SP036</t>
  </si>
  <si>
    <t>SP037</t>
  </si>
  <si>
    <t>SP038</t>
  </si>
  <si>
    <t>SP039</t>
  </si>
  <si>
    <t>SP040</t>
  </si>
  <si>
    <t>SP041</t>
  </si>
  <si>
    <t>SP042</t>
  </si>
  <si>
    <t>SP043</t>
  </si>
  <si>
    <t>SP044</t>
  </si>
  <si>
    <t>SP045</t>
  </si>
  <si>
    <t>SP046</t>
  </si>
  <si>
    <t>SP047</t>
  </si>
  <si>
    <t>SP048</t>
  </si>
  <si>
    <t>SP049</t>
  </si>
  <si>
    <t>SP050</t>
  </si>
  <si>
    <t>SP051</t>
  </si>
  <si>
    <t>SP052</t>
  </si>
  <si>
    <t>SP053</t>
  </si>
  <si>
    <t>SP054</t>
  </si>
  <si>
    <t>SP055</t>
  </si>
  <si>
    <t>SP056</t>
  </si>
  <si>
    <t>SP057</t>
  </si>
  <si>
    <t>SP058</t>
  </si>
  <si>
    <t>SP059</t>
  </si>
  <si>
    <t>SP060</t>
  </si>
  <si>
    <t>SP061</t>
  </si>
  <si>
    <t>SP062</t>
  </si>
  <si>
    <t>SP063</t>
  </si>
  <si>
    <t>SP064</t>
  </si>
  <si>
    <t>SP065</t>
  </si>
  <si>
    <t>SP066</t>
  </si>
  <si>
    <t>SP067</t>
  </si>
  <si>
    <t>SP068</t>
  </si>
  <si>
    <t>SP069</t>
  </si>
  <si>
    <t>SP070</t>
  </si>
  <si>
    <t>SP071</t>
  </si>
  <si>
    <t>SP072</t>
  </si>
  <si>
    <t>SP073</t>
  </si>
  <si>
    <t>SP074</t>
  </si>
  <si>
    <t>SP075</t>
  </si>
  <si>
    <t>SP076</t>
  </si>
  <si>
    <t>SP077</t>
  </si>
  <si>
    <t>SP078</t>
  </si>
  <si>
    <t>SP079</t>
  </si>
  <si>
    <t>SP080</t>
  </si>
  <si>
    <t>SP081</t>
  </si>
  <si>
    <t>SP082</t>
  </si>
  <si>
    <t>SP083</t>
  </si>
  <si>
    <t>SP084</t>
  </si>
  <si>
    <t>SP085</t>
  </si>
  <si>
    <t>SP086</t>
  </si>
  <si>
    <t>SP087</t>
  </si>
  <si>
    <t>SP088</t>
  </si>
  <si>
    <t>SP089</t>
  </si>
  <si>
    <t>SP090</t>
  </si>
  <si>
    <t>SP091</t>
  </si>
  <si>
    <t>SP092</t>
  </si>
  <si>
    <t>SP093</t>
  </si>
  <si>
    <t>SP094</t>
  </si>
  <si>
    <t>SP095</t>
  </si>
  <si>
    <t>SP096</t>
  </si>
  <si>
    <t>SP097</t>
  </si>
  <si>
    <t>SP098</t>
  </si>
  <si>
    <t>SP099</t>
  </si>
  <si>
    <t>SP100</t>
  </si>
  <si>
    <t>SP101</t>
  </si>
  <si>
    <t>SP102</t>
  </si>
  <si>
    <t>SP103</t>
  </si>
  <si>
    <t>SP104</t>
  </si>
  <si>
    <t>SP105</t>
  </si>
  <si>
    <t>SP106</t>
  </si>
  <si>
    <t>SP107</t>
  </si>
  <si>
    <t>SP108</t>
  </si>
  <si>
    <t>SP109</t>
  </si>
  <si>
    <t>SP110</t>
  </si>
  <si>
    <t>SP111</t>
  </si>
  <si>
    <t>SP112</t>
  </si>
  <si>
    <t>SP113</t>
  </si>
  <si>
    <t>SP114</t>
  </si>
  <si>
    <t>SP115</t>
  </si>
  <si>
    <t>SP116</t>
  </si>
  <si>
    <t>SP117</t>
  </si>
  <si>
    <t>SP118</t>
  </si>
  <si>
    <t>SP119</t>
  </si>
  <si>
    <t>SP120</t>
  </si>
  <si>
    <t>SP121</t>
  </si>
  <si>
    <t>SP122</t>
  </si>
  <si>
    <t>SP123</t>
  </si>
  <si>
    <t>SP124</t>
  </si>
  <si>
    <t>SP125</t>
  </si>
  <si>
    <t>SP126</t>
  </si>
  <si>
    <t>SP127</t>
  </si>
  <si>
    <t>SP128</t>
  </si>
  <si>
    <t>SP129</t>
  </si>
  <si>
    <t>SP130</t>
  </si>
  <si>
    <t>SP131</t>
  </si>
  <si>
    <t>SP132</t>
  </si>
  <si>
    <t>SP133</t>
  </si>
  <si>
    <t>SP134</t>
  </si>
  <si>
    <t>SP135</t>
  </si>
  <si>
    <t>SP136</t>
  </si>
  <si>
    <t>SP137</t>
  </si>
  <si>
    <t>SP138</t>
  </si>
  <si>
    <t>SP139</t>
  </si>
  <si>
    <t>SP140</t>
  </si>
  <si>
    <t>SP141</t>
  </si>
  <si>
    <t>SP142</t>
  </si>
  <si>
    <t>SP143</t>
  </si>
  <si>
    <t>SP144</t>
  </si>
  <si>
    <t>SP145</t>
  </si>
  <si>
    <t>SP146</t>
  </si>
  <si>
    <t>SP147</t>
  </si>
  <si>
    <t>SP148</t>
  </si>
  <si>
    <t>SP149</t>
  </si>
  <si>
    <t>SP150</t>
  </si>
  <si>
    <t>SP151</t>
  </si>
  <si>
    <t>SP152</t>
  </si>
  <si>
    <t>SP153</t>
  </si>
  <si>
    <t>SP154</t>
  </si>
  <si>
    <t>SP155</t>
  </si>
  <si>
    <t>SP156</t>
  </si>
  <si>
    <t>SP157</t>
  </si>
  <si>
    <t>SP158</t>
  </si>
  <si>
    <t>SP159</t>
  </si>
  <si>
    <t>SP160</t>
  </si>
  <si>
    <t>SP161</t>
  </si>
  <si>
    <t>SP162</t>
  </si>
  <si>
    <t>SP163</t>
  </si>
  <si>
    <t>SP164</t>
  </si>
  <si>
    <t>SP165</t>
  </si>
  <si>
    <t>SP166</t>
  </si>
  <si>
    <t>SP167</t>
  </si>
  <si>
    <t>SP168</t>
  </si>
  <si>
    <t>SP169</t>
  </si>
  <si>
    <t>SP170</t>
  </si>
  <si>
    <t>SP171</t>
  </si>
  <si>
    <t>SP172</t>
  </si>
  <si>
    <t>SP173</t>
  </si>
  <si>
    <t>SP174</t>
  </si>
  <si>
    <t>SP175</t>
  </si>
  <si>
    <t>SP176</t>
  </si>
  <si>
    <t>SP177</t>
  </si>
  <si>
    <t>SP178</t>
  </si>
  <si>
    <t>SP179</t>
  </si>
  <si>
    <t>SP180</t>
  </si>
  <si>
    <t>SP181</t>
  </si>
  <si>
    <t>SP182</t>
  </si>
  <si>
    <t>SP183</t>
  </si>
  <si>
    <t>SP184</t>
  </si>
  <si>
    <t>SP185</t>
  </si>
  <si>
    <t>SP186</t>
  </si>
  <si>
    <t>SP187</t>
  </si>
  <si>
    <t>SP188</t>
  </si>
  <si>
    <t>SP189</t>
  </si>
  <si>
    <t>SP190</t>
  </si>
  <si>
    <t>SP191</t>
  </si>
  <si>
    <t>SP192</t>
  </si>
  <si>
    <t>SP193</t>
  </si>
  <si>
    <t>SP194</t>
  </si>
  <si>
    <t>SP195</t>
  </si>
  <si>
    <t>SP196</t>
  </si>
  <si>
    <t>SP197</t>
  </si>
  <si>
    <t>SP198</t>
  </si>
  <si>
    <t>SP199</t>
  </si>
  <si>
    <t>SP200</t>
  </si>
  <si>
    <t>SP201</t>
  </si>
  <si>
    <t>SP202</t>
  </si>
  <si>
    <t>SP203</t>
  </si>
  <si>
    <t>SP204</t>
  </si>
  <si>
    <t>SP205</t>
  </si>
  <si>
    <t>SP206</t>
  </si>
  <si>
    <t>SP207</t>
  </si>
  <si>
    <t>SP208</t>
  </si>
  <si>
    <t>SP209</t>
  </si>
  <si>
    <t>SP210</t>
  </si>
  <si>
    <t>SP211</t>
  </si>
  <si>
    <t>SP212</t>
  </si>
  <si>
    <t>SP213</t>
  </si>
  <si>
    <t>SP214</t>
  </si>
  <si>
    <t>SP215</t>
  </si>
  <si>
    <t>SP216</t>
  </si>
  <si>
    <t>SP217</t>
  </si>
  <si>
    <t>SP218</t>
  </si>
  <si>
    <t>SP219</t>
  </si>
  <si>
    <t>SP220</t>
  </si>
  <si>
    <t>SP221</t>
  </si>
  <si>
    <t>SP222</t>
  </si>
  <si>
    <t>SP223</t>
  </si>
  <si>
    <t>SP224</t>
  </si>
  <si>
    <t>SP225</t>
  </si>
  <si>
    <t>SP226</t>
  </si>
  <si>
    <t>SP227</t>
  </si>
  <si>
    <t>SP228</t>
  </si>
  <si>
    <t>SP229</t>
  </si>
  <si>
    <t>SP230</t>
  </si>
  <si>
    <t>SP231</t>
  </si>
  <si>
    <t>SP232</t>
  </si>
  <si>
    <t>SP233</t>
  </si>
  <si>
    <t>SP234</t>
  </si>
  <si>
    <t>SP235</t>
  </si>
  <si>
    <t>SP236</t>
  </si>
  <si>
    <t>SP237</t>
  </si>
  <si>
    <t>SP238</t>
  </si>
  <si>
    <t>SP239</t>
  </si>
  <si>
    <t>SP240</t>
  </si>
  <si>
    <t>SP241</t>
  </si>
  <si>
    <t>SP242</t>
  </si>
  <si>
    <t>SP243</t>
  </si>
  <si>
    <t>SP244</t>
  </si>
  <si>
    <t>SP245</t>
  </si>
  <si>
    <t>SP246</t>
  </si>
  <si>
    <t>SP247</t>
  </si>
  <si>
    <t>SP248</t>
  </si>
  <si>
    <t>SP249</t>
  </si>
  <si>
    <t>SP250</t>
  </si>
  <si>
    <t>SP251</t>
  </si>
  <si>
    <t>SP252</t>
  </si>
  <si>
    <t>SP253</t>
  </si>
  <si>
    <t>SP254</t>
  </si>
  <si>
    <t>SP255</t>
  </si>
  <si>
    <t>SP256</t>
  </si>
  <si>
    <t>SP257</t>
  </si>
  <si>
    <t>SP258</t>
  </si>
  <si>
    <t>SP259</t>
  </si>
  <si>
    <t>SP260</t>
  </si>
  <si>
    <t>SP261</t>
  </si>
  <si>
    <t>SP262</t>
  </si>
  <si>
    <t>SP263</t>
  </si>
  <si>
    <t>SP264</t>
  </si>
  <si>
    <t>SP265</t>
  </si>
  <si>
    <t>SP266</t>
  </si>
  <si>
    <t>SP267</t>
  </si>
  <si>
    <t>SP268</t>
  </si>
  <si>
    <t>SP269</t>
  </si>
  <si>
    <t>SP270</t>
  </si>
  <si>
    <t>SP271</t>
  </si>
  <si>
    <t>SP272</t>
  </si>
  <si>
    <t>SP273</t>
  </si>
  <si>
    <t>SP274</t>
  </si>
  <si>
    <t>SP275</t>
  </si>
  <si>
    <t>SP276</t>
  </si>
  <si>
    <t>SP277</t>
  </si>
  <si>
    <t>SP278</t>
  </si>
  <si>
    <t>SP279</t>
  </si>
  <si>
    <t>SP280</t>
  </si>
  <si>
    <t>SP281</t>
  </si>
  <si>
    <t>SP282</t>
  </si>
  <si>
    <t>SP283</t>
  </si>
  <si>
    <t>SP284</t>
  </si>
  <si>
    <t>SP285</t>
  </si>
  <si>
    <t>SP286</t>
  </si>
  <si>
    <t>SP287</t>
  </si>
  <si>
    <t>SP288</t>
  </si>
  <si>
    <t>SP289</t>
  </si>
  <si>
    <t>SP290</t>
  </si>
  <si>
    <t>SP291</t>
  </si>
  <si>
    <t>SP292</t>
  </si>
  <si>
    <t>SP293</t>
  </si>
  <si>
    <t>SP294</t>
  </si>
  <si>
    <t>SP295</t>
  </si>
  <si>
    <t>SP296</t>
  </si>
  <si>
    <t>SP297</t>
  </si>
  <si>
    <t>SP298</t>
  </si>
  <si>
    <t>SP299</t>
  </si>
  <si>
    <t>SP300</t>
  </si>
  <si>
    <t>Week_Start_Date</t>
  </si>
  <si>
    <t>New_Followers</t>
  </si>
  <si>
    <t>Unfollows</t>
  </si>
  <si>
    <t>Total_Followers</t>
  </si>
  <si>
    <t>Engagement_Rate</t>
  </si>
  <si>
    <t>Ad_Spend</t>
  </si>
  <si>
    <t>Start_Date</t>
  </si>
  <si>
    <t>End_Date</t>
  </si>
  <si>
    <t>Objective</t>
  </si>
  <si>
    <t>Total_Budget</t>
  </si>
  <si>
    <t>Target_Platforms</t>
  </si>
  <si>
    <t>2024-06-15</t>
  </si>
  <si>
    <t>2024-07-15</t>
  </si>
  <si>
    <t>Brand Awareness</t>
  </si>
  <si>
    <t>Instagram,YouTube</t>
  </si>
  <si>
    <t>2024-12-01</t>
  </si>
  <si>
    <t>2024-12-31</t>
  </si>
  <si>
    <t>Engagement</t>
  </si>
  <si>
    <t>Twitter,YouTube</t>
  </si>
  <si>
    <t>2025-01-10</t>
  </si>
  <si>
    <t>2025-02-10</t>
  </si>
  <si>
    <t>Product Launch</t>
  </si>
  <si>
    <t>Instagram,Twitter</t>
  </si>
  <si>
    <t>2025-03-01</t>
  </si>
  <si>
    <t>2025-03-31</t>
  </si>
  <si>
    <t>Traffic</t>
  </si>
  <si>
    <t>Facebook,Instagram</t>
  </si>
  <si>
    <t>Hastag_1</t>
  </si>
  <si>
    <t>Hastag_2</t>
  </si>
  <si>
    <t>Wrapped is here! Relive your top tracks</t>
  </si>
  <si>
    <t>Music that moves you only on Spotify.</t>
  </si>
  <si>
    <t>Whats your vibe today?</t>
  </si>
  <si>
    <t>From pop to podcasts, its all here.</t>
  </si>
  <si>
    <t>#MusicForEveryone</t>
  </si>
  <si>
    <t>#SpotifyWrapped</t>
  </si>
  <si>
    <t>#ChillVibes</t>
  </si>
  <si>
    <t>#IndieWave</t>
  </si>
  <si>
    <t>Row Labels</t>
  </si>
  <si>
    <t>Sum of Impressions</t>
  </si>
  <si>
    <t>Average of Impressions</t>
  </si>
  <si>
    <t>Sum of Likes</t>
  </si>
  <si>
    <t>Average of Likes</t>
  </si>
  <si>
    <t>Sum of Clicks</t>
  </si>
  <si>
    <t>Average of Clicks</t>
  </si>
  <si>
    <t>Engagement Metric</t>
  </si>
  <si>
    <t>Number of days</t>
  </si>
  <si>
    <t>Total Engagement</t>
  </si>
  <si>
    <t>Avg_Before30Days</t>
  </si>
  <si>
    <t>Column1</t>
  </si>
  <si>
    <t>Total Engagement Before</t>
  </si>
  <si>
    <t>Caimpaign Days</t>
  </si>
  <si>
    <t>Rate_Engagement</t>
  </si>
  <si>
    <t>Rate_Uplift</t>
  </si>
  <si>
    <t>ROI</t>
  </si>
  <si>
    <t>Engagement Rate</t>
  </si>
  <si>
    <t>Start Date</t>
  </si>
  <si>
    <t>End Date</t>
  </si>
  <si>
    <t>Caimpaign</t>
  </si>
  <si>
    <t>Total ad spend</t>
  </si>
  <si>
    <t>Used Subtotal</t>
  </si>
  <si>
    <t>TotalNew_Follower</t>
  </si>
  <si>
    <t>Total_Clicks(App Download)</t>
  </si>
  <si>
    <t>Avg Daily during Engagement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</si>
</sst>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14009]dd/mm/yyyy;@"/>
  </numFmts>
  <fonts count="13">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rgb="FF000000"/>
      <name val="&quot;Aptos Narrow&quot;"/>
    </font>
    <font>
      <b/>
      <sz val="11"/>
      <color theme="1"/>
      <name val="Calibri"/>
      <family val="2"/>
    </font>
    <font>
      <sz val="11"/>
      <color theme="1"/>
      <name val="Calibri"/>
      <family val="2"/>
      <scheme val="minor"/>
    </font>
    <font>
      <b/>
      <sz val="11"/>
      <color theme="1"/>
      <name val="Calibri"/>
      <family val="2"/>
      <scheme val="minor"/>
    </font>
    <font>
      <sz val="12"/>
      <color theme="1"/>
      <name val="Inherit"/>
    </font>
    <font>
      <b/>
      <sz val="12"/>
      <color theme="1"/>
      <name val="Calibri"/>
      <family val="2"/>
      <scheme val="minor"/>
    </font>
    <font>
      <b/>
      <sz val="11"/>
      <color rgb="FF000000"/>
      <name val="&quot;Aptos Narrow&quot;"/>
    </font>
    <font>
      <sz val="8"/>
      <name val="Calibri"/>
      <family val="2"/>
      <scheme val="minor"/>
    </font>
    <font>
      <sz val="12"/>
      <color theme="1"/>
      <name val="Calibri"/>
      <family val="2"/>
      <scheme val="minor"/>
    </font>
  </fonts>
  <fills count="4">
    <fill>
      <patternFill patternType="none"/>
    </fill>
    <fill>
      <patternFill patternType="gray125"/>
    </fill>
    <fill>
      <patternFill patternType="solid">
        <fgColor theme="9" tint="0.79998168889431442"/>
        <bgColor theme="9" tint="0.79998168889431442"/>
      </patternFill>
    </fill>
    <fill>
      <patternFill patternType="solid">
        <fgColor theme="2" tint="-0.249977111117893"/>
        <bgColor theme="9" tint="0.79998168889431442"/>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style="thin">
        <color theme="9" tint="0.39997558519241921"/>
      </top>
      <bottom style="thin">
        <color theme="9" tint="0.39997558519241921"/>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theme="9" tint="0.39997558519241921"/>
      </bottom>
      <diagonal/>
    </border>
    <border>
      <left/>
      <right/>
      <top style="thin">
        <color theme="9" tint="0.39997558519241921"/>
      </top>
      <bottom/>
      <diagonal/>
    </border>
  </borders>
  <cellStyleXfs count="3">
    <xf numFmtId="0" fontId="0" fillId="0" borderId="0"/>
    <xf numFmtId="43" fontId="6" fillId="0" borderId="0" applyFont="0" applyFill="0" applyBorder="0" applyAlignment="0" applyProtection="0"/>
    <xf numFmtId="9" fontId="6" fillId="0" borderId="0" applyFont="0" applyFill="0" applyBorder="0" applyAlignment="0" applyProtection="0"/>
  </cellStyleXfs>
  <cellXfs count="49">
    <xf numFmtId="0" fontId="0" fillId="0" borderId="0" xfId="0"/>
    <xf numFmtId="0" fontId="4" fillId="0" borderId="0" xfId="0" applyFont="1" applyAlignment="1">
      <alignment horizontal="center" vertical="center"/>
    </xf>
    <xf numFmtId="0" fontId="0" fillId="0" borderId="0" xfId="0" applyAlignment="1">
      <alignment horizontal="center" vertical="center"/>
    </xf>
    <xf numFmtId="0" fontId="5" fillId="0" borderId="1" xfId="0" applyFont="1" applyBorder="1" applyAlignment="1">
      <alignment horizontal="center" vertical="center"/>
    </xf>
    <xf numFmtId="0" fontId="6" fillId="0" borderId="0" xfId="0" applyFont="1" applyAlignment="1">
      <alignment horizontal="center" vertical="center"/>
    </xf>
    <xf numFmtId="14" fontId="4" fillId="0" borderId="0" xfId="0" applyNumberFormat="1" applyFont="1" applyAlignment="1">
      <alignment horizontal="center" vertical="center"/>
    </xf>
    <xf numFmtId="14" fontId="0" fillId="0" borderId="0" xfId="0" applyNumberFormat="1" applyAlignment="1">
      <alignment horizontal="center" vertical="center"/>
    </xf>
    <xf numFmtId="2" fontId="4" fillId="0" borderId="0" xfId="0" applyNumberFormat="1" applyFont="1" applyAlignment="1">
      <alignment horizontal="center" vertical="center"/>
    </xf>
    <xf numFmtId="2" fontId="0" fillId="0" borderId="0" xfId="0" applyNumberFormat="1" applyAlignment="1">
      <alignment horizontal="center" vertical="center"/>
    </xf>
    <xf numFmtId="1" fontId="4" fillId="0" borderId="0" xfId="0" applyNumberFormat="1" applyFont="1" applyAlignment="1">
      <alignment horizontal="center" vertical="center"/>
    </xf>
    <xf numFmtId="1" fontId="0" fillId="0" borderId="0" xfId="0" applyNumberFormat="1" applyAlignment="1">
      <alignment horizontal="center" vertical="center"/>
    </xf>
    <xf numFmtId="1" fontId="5" fillId="0" borderId="1" xfId="0" applyNumberFormat="1" applyFont="1" applyBorder="1" applyAlignment="1">
      <alignment horizontal="center" vertical="center"/>
    </xf>
    <xf numFmtId="1" fontId="6" fillId="0" borderId="0" xfId="0" applyNumberFormat="1" applyFont="1" applyAlignment="1">
      <alignment horizontal="center" vertical="center"/>
    </xf>
    <xf numFmtId="0" fontId="3" fillId="0" borderId="0" xfId="0" applyFont="1" applyAlignment="1">
      <alignment horizontal="center" vertical="center"/>
    </xf>
    <xf numFmtId="0" fontId="7" fillId="0" borderId="0" xfId="0" applyFont="1" applyAlignment="1">
      <alignment horizontal="center" vertical="center"/>
    </xf>
    <xf numFmtId="0" fontId="9" fillId="0" borderId="0" xfId="0" applyFont="1" applyAlignment="1">
      <alignment horizontal="center" vertical="center"/>
    </xf>
    <xf numFmtId="0" fontId="4" fillId="0" borderId="0" xfId="0" applyFont="1" applyAlignment="1">
      <alignment horizontal="left" vertical="center"/>
    </xf>
    <xf numFmtId="0" fontId="8" fillId="0" borderId="0" xfId="0" applyFont="1" applyAlignment="1">
      <alignment horizontal="left" vertical="center" wrapText="1"/>
    </xf>
    <xf numFmtId="0" fontId="0" fillId="0" borderId="0" xfId="0" applyAlignment="1">
      <alignment horizontal="left" vertical="center"/>
    </xf>
    <xf numFmtId="0" fontId="10" fillId="0" borderId="0" xfId="0" applyFont="1" applyAlignment="1">
      <alignment horizontal="center" vertical="center"/>
    </xf>
    <xf numFmtId="14" fontId="10" fillId="0" borderId="0" xfId="0" applyNumberFormat="1" applyFont="1" applyAlignment="1">
      <alignment horizontal="center" vertical="center"/>
    </xf>
    <xf numFmtId="1" fontId="10" fillId="0" borderId="0" xfId="0" applyNumberFormat="1" applyFont="1" applyAlignment="1">
      <alignment horizontal="center" vertical="center"/>
    </xf>
    <xf numFmtId="0" fontId="7" fillId="0" borderId="0" xfId="0" applyFont="1" applyAlignment="1">
      <alignment horizontal="left" vertical="center"/>
    </xf>
    <xf numFmtId="0" fontId="7" fillId="0" borderId="0" xfId="0" applyFont="1" applyAlignment="1">
      <alignment vertical="center"/>
    </xf>
    <xf numFmtId="0" fontId="9" fillId="0" borderId="0" xfId="0" applyFont="1" applyAlignment="1">
      <alignment vertical="center"/>
    </xf>
    <xf numFmtId="1" fontId="0" fillId="0" borderId="3" xfId="0" applyNumberFormat="1" applyBorder="1"/>
    <xf numFmtId="1" fontId="0" fillId="0" borderId="4" xfId="0" applyNumberFormat="1" applyBorder="1"/>
    <xf numFmtId="0" fontId="0" fillId="0" borderId="5" xfId="0" applyBorder="1"/>
    <xf numFmtId="0" fontId="0" fillId="0" borderId="6" xfId="0" applyBorder="1" applyAlignment="1">
      <alignment horizontal="left"/>
    </xf>
    <xf numFmtId="0" fontId="0" fillId="0" borderId="7" xfId="0" applyBorder="1" applyAlignment="1">
      <alignment horizontal="left"/>
    </xf>
    <xf numFmtId="1" fontId="4" fillId="0" borderId="0" xfId="0" applyNumberFormat="1" applyFont="1" applyAlignment="1">
      <alignment horizontal="left" vertical="center"/>
    </xf>
    <xf numFmtId="0" fontId="2" fillId="0" borderId="0" xfId="0" applyFont="1" applyAlignment="1">
      <alignment horizontal="center" vertical="center"/>
    </xf>
    <xf numFmtId="0" fontId="12" fillId="0" borderId="0" xfId="0" applyFont="1" applyAlignment="1">
      <alignment horizontal="center" vertical="center"/>
    </xf>
    <xf numFmtId="2" fontId="2" fillId="0" borderId="0" xfId="0" applyNumberFormat="1" applyFont="1" applyAlignment="1">
      <alignment horizontal="center" vertical="center"/>
    </xf>
    <xf numFmtId="2" fontId="0" fillId="0" borderId="0" xfId="0" applyNumberFormat="1"/>
    <xf numFmtId="9" fontId="0" fillId="0" borderId="0" xfId="2" applyFont="1" applyAlignment="1">
      <alignment horizontal="center" vertical="center"/>
    </xf>
    <xf numFmtId="0" fontId="2" fillId="2" borderId="2" xfId="0" applyFont="1" applyFill="1" applyBorder="1" applyAlignment="1">
      <alignment horizontal="center" vertical="center"/>
    </xf>
    <xf numFmtId="0" fontId="2" fillId="0" borderId="2" xfId="0" applyFont="1" applyBorder="1" applyAlignment="1">
      <alignment horizontal="center" vertical="center"/>
    </xf>
    <xf numFmtId="0" fontId="2" fillId="0" borderId="9" xfId="0" applyFont="1" applyBorder="1" applyAlignment="1">
      <alignment horizontal="center" vertical="center"/>
    </xf>
    <xf numFmtId="164" fontId="2" fillId="2" borderId="2" xfId="0" applyNumberFormat="1" applyFont="1" applyFill="1" applyBorder="1" applyAlignment="1">
      <alignment horizontal="center" vertical="center"/>
    </xf>
    <xf numFmtId="164" fontId="2" fillId="0" borderId="2" xfId="0" applyNumberFormat="1" applyFont="1" applyBorder="1" applyAlignment="1">
      <alignment horizontal="center" vertical="center"/>
    </xf>
    <xf numFmtId="164" fontId="2" fillId="0" borderId="9" xfId="0" applyNumberFormat="1" applyFont="1" applyBorder="1" applyAlignment="1">
      <alignment horizontal="center" vertical="center"/>
    </xf>
    <xf numFmtId="164" fontId="4" fillId="0" borderId="0" xfId="0" applyNumberFormat="1" applyFont="1" applyAlignment="1">
      <alignment horizontal="center" vertical="center"/>
    </xf>
    <xf numFmtId="164" fontId="0" fillId="0" borderId="0" xfId="0" applyNumberFormat="1" applyAlignment="1">
      <alignment horizontal="center" vertical="center"/>
    </xf>
    <xf numFmtId="164" fontId="6" fillId="0" borderId="0" xfId="1" applyNumberFormat="1" applyFont="1" applyAlignment="1">
      <alignment horizontal="center" vertical="center"/>
    </xf>
    <xf numFmtId="1" fontId="4" fillId="0" borderId="1" xfId="0" applyNumberFormat="1" applyFont="1" applyBorder="1" applyAlignment="1">
      <alignment horizontal="center" vertical="center"/>
    </xf>
    <xf numFmtId="1" fontId="4" fillId="0" borderId="0" xfId="1" applyNumberFormat="1" applyFont="1" applyAlignment="1">
      <alignment horizontal="center" vertical="center"/>
    </xf>
    <xf numFmtId="1" fontId="2" fillId="0" borderId="0" xfId="0" applyNumberFormat="1" applyFont="1" applyAlignment="1">
      <alignment horizontal="center" vertical="center"/>
    </xf>
    <xf numFmtId="0" fontId="1" fillId="3" borderId="8" xfId="0" applyFont="1" applyFill="1" applyBorder="1" applyAlignment="1">
      <alignment horizontal="center" vertical="center"/>
    </xf>
  </cellXfs>
  <cellStyles count="3">
    <cellStyle name="Comma" xfId="1" builtinId="3"/>
    <cellStyle name="Normal" xfId="0" builtinId="0"/>
    <cellStyle name="Percent" xfId="2" builtinId="5"/>
  </cellStyles>
  <dxfs count="127">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1"/>
        <color rgb="FF000000"/>
        <name val="&quot;Aptos Narrow&quot;"/>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19" formatCode="dd/mm/yyyy"/>
      <alignment horizontal="center" vertical="center" textRotation="0" wrapText="0" indent="0" justifyLastLine="0" shrinkToFit="0" readingOrder="0"/>
    </dxf>
    <dxf>
      <font>
        <b val="0"/>
        <i val="0"/>
        <strike val="0"/>
        <condense val="0"/>
        <extend val="0"/>
        <outline val="0"/>
        <shadow val="0"/>
        <u val="none"/>
        <vertAlign val="baseline"/>
        <sz val="11"/>
        <color rgb="FF000000"/>
        <name val="&quot;Aptos Narrow&quot;"/>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1" formatCode="0"/>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165" formatCode="[$-14009]yyyy/mm/dd;@"/>
    </dxf>
    <dxf>
      <numFmt numFmtId="165" formatCode="[$-14009]yyyy/mm/dd;@"/>
    </dxf>
    <dxf>
      <border outline="0">
        <top style="thin">
          <color theme="9" tint="0.39997558519241921"/>
        </top>
      </border>
    </dxf>
    <dxf>
      <border outline="0">
        <left style="thin">
          <color theme="9" tint="0.39997558519241921"/>
        </left>
        <top style="thin">
          <color theme="9" tint="0.39997558519241921"/>
        </top>
        <bottom style="thin">
          <color theme="9" tint="0.39997558519241921"/>
        </bottom>
      </border>
    </dxf>
    <dxf>
      <border outline="0">
        <bottom style="thin">
          <color theme="9" tint="0.39997558519241921"/>
        </bottom>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2" tint="-0.249977111117893"/>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164" formatCode="[$-14009]dd/mm/yyyy;@"/>
      <alignment horizontal="center" vertical="center" textRotation="0" wrapText="0" indent="0" justifyLastLine="0" shrinkToFit="0" readingOrder="0"/>
    </dxf>
    <dxf>
      <font>
        <b val="0"/>
        <i val="0"/>
        <strike val="0"/>
        <condense val="0"/>
        <extend val="0"/>
        <outline val="0"/>
        <shadow val="0"/>
        <u val="none"/>
        <vertAlign val="baseline"/>
        <sz val="11"/>
        <color rgb="FF000000"/>
        <name val="&quot;Aptos Narrow&quot;"/>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1"/>
        <color rgb="FF000000"/>
        <name val="&quot;Aptos Narrow&quot;"/>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19" formatCode="dd/mm/yyyy"/>
      <alignment horizontal="center" vertical="center" textRotation="0" wrapText="0" indent="0" justifyLastLine="0" shrinkToFit="0" readingOrder="0"/>
    </dxf>
    <dxf>
      <font>
        <b val="0"/>
        <i val="0"/>
        <strike val="0"/>
        <condense val="0"/>
        <extend val="0"/>
        <outline val="0"/>
        <shadow val="0"/>
        <u val="none"/>
        <vertAlign val="baseline"/>
        <sz val="11"/>
        <color rgb="FF000000"/>
        <name val="&quot;Aptos Narrow&quot;"/>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1" formatCode="0"/>
      <alignment horizontal="center" vertical="center" textRotation="0" wrapText="0" indent="0" justifyLastLine="0" shrinkToFit="0" readingOrder="0"/>
    </dxf>
    <dxf>
      <numFmt numFmtId="13" formatCode="0%"/>
      <alignment horizontal="center" vertical="center" textRotation="0" wrapText="0" indent="0" justifyLastLine="0" shrinkToFit="0" readingOrder="0"/>
    </dxf>
    <dxf>
      <numFmt numFmtId="2" formatCode="0.00"/>
    </dxf>
    <dxf>
      <numFmt numFmtId="2" formatCode="0.00"/>
    </dxf>
    <dxf>
      <font>
        <b val="0"/>
        <i val="0"/>
        <strike val="0"/>
        <condense val="0"/>
        <extend val="0"/>
        <outline val="0"/>
        <shadow val="0"/>
        <u val="none"/>
        <vertAlign val="baseline"/>
        <sz val="11"/>
        <color theme="1"/>
        <name val="Calibri"/>
        <family val="2"/>
        <scheme val="minor"/>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1" formatCode="0"/>
      <alignment horizontal="left" vertical="center"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1" formatCode="0"/>
      <alignment horizontal="left" vertical="center" textRotation="0" wrapText="0" indent="0" justifyLastLine="0" shrinkToFit="0" readingOrder="0"/>
    </dxf>
    <dxf>
      <font>
        <b val="0"/>
        <i val="0"/>
        <strike val="0"/>
        <condense val="0"/>
        <extend val="0"/>
        <outline val="0"/>
        <shadow val="0"/>
        <u val="none"/>
        <vertAlign val="baseline"/>
        <sz val="11"/>
        <color rgb="FF000000"/>
        <name val="&quot;Aptos Narrow&quot;"/>
        <scheme val="none"/>
      </font>
      <alignment horizontal="left" vertical="center" textRotation="0" wrapText="0" indent="0" justifyLastLine="0" shrinkToFit="0" readingOrder="0"/>
    </dxf>
    <dxf>
      <font>
        <b val="0"/>
        <i val="0"/>
        <strike val="0"/>
        <condense val="0"/>
        <extend val="0"/>
        <outline val="0"/>
        <shadow val="0"/>
        <u val="none"/>
        <vertAlign val="baseline"/>
        <sz val="11"/>
        <color rgb="FF000000"/>
        <name val="&quot;Aptos Narrow&quot;"/>
        <scheme val="none"/>
      </font>
      <alignment horizontal="left" vertical="center" textRotation="0" wrapText="0" indent="0" justifyLastLine="0" shrinkToFit="0" readingOrder="0"/>
    </dxf>
    <dxf>
      <font>
        <b val="0"/>
        <i val="0"/>
        <strike val="0"/>
        <condense val="0"/>
        <extend val="0"/>
        <outline val="0"/>
        <shadow val="0"/>
        <u val="none"/>
        <vertAlign val="baseline"/>
        <sz val="11"/>
        <color rgb="FF000000"/>
        <name val="&quot;Aptos Narrow&quot;"/>
        <scheme val="none"/>
      </font>
      <alignment horizontal="left" vertical="center" textRotation="0" wrapText="0" indent="0" justifyLastLine="0" shrinkToFit="0" readingOrder="0"/>
    </dxf>
    <dxf>
      <font>
        <b val="0"/>
        <i val="0"/>
        <strike val="0"/>
        <condense val="0"/>
        <extend val="0"/>
        <outline val="0"/>
        <shadow val="0"/>
        <u val="none"/>
        <vertAlign val="baseline"/>
        <sz val="11"/>
        <color rgb="FF000000"/>
        <name val="&quot;Aptos Narrow&quot;"/>
        <scheme val="none"/>
      </font>
      <alignment horizontal="left" vertical="center" textRotation="0" wrapText="0" indent="0" justifyLastLine="0" shrinkToFit="0" readingOrder="0"/>
    </dxf>
    <dxf>
      <font>
        <b val="0"/>
        <i val="0"/>
        <strike val="0"/>
        <condense val="0"/>
        <extend val="0"/>
        <outline val="0"/>
        <shadow val="0"/>
        <u val="none"/>
        <vertAlign val="baseline"/>
        <sz val="11"/>
        <color rgb="FF000000"/>
        <name val="&quot;Aptos Narrow&quot;"/>
        <scheme val="none"/>
      </font>
      <alignment horizontal="left" vertical="center" textRotation="0" wrapText="0" indent="0" justifyLastLine="0" shrinkToFit="0" readingOrder="0"/>
    </dxf>
    <dxf>
      <font>
        <b val="0"/>
        <i val="0"/>
        <strike val="0"/>
        <condense val="0"/>
        <extend val="0"/>
        <outline val="0"/>
        <shadow val="0"/>
        <u val="none"/>
        <vertAlign val="baseline"/>
        <sz val="11"/>
        <color rgb="FF000000"/>
        <name val="&quot;Aptos Narrow&quot;"/>
        <scheme val="none"/>
      </font>
      <alignment horizontal="left" vertical="center"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2"/>
        <color theme="1"/>
        <name val="Inherit"/>
        <scheme val="none"/>
      </font>
      <alignment horizontal="left" vertical="center" textRotation="0" wrapText="1" indent="0" justifyLastLine="0" shrinkToFit="0" readingOrder="0"/>
    </dxf>
    <dxf>
      <font>
        <b val="0"/>
        <i val="0"/>
        <strike val="0"/>
        <condense val="0"/>
        <extend val="0"/>
        <outline val="0"/>
        <shadow val="0"/>
        <u val="none"/>
        <vertAlign val="baseline"/>
        <sz val="12"/>
        <color theme="1"/>
        <name val="Inherit"/>
        <scheme val="none"/>
      </font>
      <alignment horizontal="left" vertical="center" textRotation="0" wrapText="1" indent="0" justifyLastLine="0" shrinkToFit="0" readingOrder="0"/>
    </dxf>
    <dxf>
      <font>
        <b val="0"/>
        <i val="0"/>
        <strike val="0"/>
        <condense val="0"/>
        <extend val="0"/>
        <outline val="0"/>
        <shadow val="0"/>
        <u val="none"/>
        <vertAlign val="baseline"/>
        <sz val="11"/>
        <color rgb="FF000000"/>
        <name val="&quot;Aptos Narrow&quot;"/>
        <scheme val="none"/>
      </font>
      <alignment horizontal="left" vertical="center" textRotation="0" wrapText="0" indent="0" justifyLastLine="0" shrinkToFit="0" readingOrder="0"/>
    </dxf>
    <dxf>
      <font>
        <b val="0"/>
        <i val="0"/>
        <strike val="0"/>
        <condense val="0"/>
        <extend val="0"/>
        <outline val="0"/>
        <shadow val="0"/>
        <u val="none"/>
        <vertAlign val="baseline"/>
        <sz val="11"/>
        <color rgb="FF000000"/>
        <name val="&quot;Aptos Narrow&quot;"/>
        <scheme val="none"/>
      </font>
      <alignment horizontal="left" vertical="center"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19" formatCode="dd/mm/yyyy"/>
      <alignment horizontal="center" vertical="center"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19" formatCode="dd/mm/yyyy"/>
      <alignment horizontal="center" vertical="center" textRotation="0" wrapText="0" indent="0" justifyLastLine="0" shrinkToFit="0" readingOrder="0"/>
    </dxf>
    <dxf>
      <font>
        <b val="0"/>
        <i val="0"/>
        <strike val="0"/>
        <condense val="0"/>
        <extend val="0"/>
        <outline val="0"/>
        <shadow val="0"/>
        <u val="none"/>
        <vertAlign val="baseline"/>
        <sz val="11"/>
        <color rgb="FF000000"/>
        <name val="&quot;Aptos Narrow&quot;"/>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quot;Aptos Narrow&quot;"/>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quot;Aptos Narrow&quot;"/>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quot;Aptos Narrow&quot;"/>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quot;Aptos Narrow&quot;"/>
        <scheme val="none"/>
      </font>
      <alignment horizontal="left" vertical="center" textRotation="0" wrapText="0" indent="0" justifyLastLine="0" shrinkToFit="0" readingOrder="0"/>
    </dxf>
    <dxf>
      <font>
        <b/>
        <i val="0"/>
        <strike val="0"/>
        <condense val="0"/>
        <extend val="0"/>
        <outline val="0"/>
        <shadow val="0"/>
        <u val="none"/>
        <vertAlign val="baseline"/>
        <sz val="11"/>
        <color rgb="FF000000"/>
        <name val="&quot;Aptos Narrow&quot;"/>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quot;Aptos Narrow&quot;"/>
        <scheme val="none"/>
      </font>
      <alignment horizontal="left" vertical="center" textRotation="0" wrapText="0" indent="0" justifyLastLine="0" shrinkToFit="0" readingOrder="0"/>
    </dxf>
    <dxf>
      <font>
        <b val="0"/>
        <i val="0"/>
        <strike val="0"/>
        <condense val="0"/>
        <extend val="0"/>
        <outline val="0"/>
        <shadow val="0"/>
        <u val="none"/>
        <vertAlign val="baseline"/>
        <sz val="11"/>
        <color rgb="FF000000"/>
        <name val="&quot;Aptos Narrow&quot;"/>
        <scheme val="none"/>
      </font>
      <alignment horizontal="left" vertical="center" textRotation="0" wrapText="0" indent="0" justifyLastLine="0" shrinkToFit="0" readingOrder="0"/>
    </dxf>
    <dxf>
      <font>
        <b val="0"/>
        <i val="0"/>
        <strike val="0"/>
        <condense val="0"/>
        <extend val="0"/>
        <outline val="0"/>
        <shadow val="0"/>
        <u val="none"/>
        <vertAlign val="baseline"/>
        <sz val="11"/>
        <color rgb="FF000000"/>
        <name val="&quot;Aptos Narrow&quot;"/>
        <scheme val="none"/>
      </font>
      <alignment horizontal="left" vertical="center"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2"/>
        <color theme="1"/>
        <name val="Inherit"/>
        <scheme val="none"/>
      </font>
      <alignment horizontal="left" vertical="center" textRotation="0" wrapText="1" indent="0" justifyLastLine="0" shrinkToFit="0" readingOrder="0"/>
    </dxf>
    <dxf>
      <font>
        <b val="0"/>
        <i val="0"/>
        <strike val="0"/>
        <condense val="0"/>
        <extend val="0"/>
        <outline val="0"/>
        <shadow val="0"/>
        <u val="none"/>
        <vertAlign val="baseline"/>
        <sz val="11"/>
        <color rgb="FF000000"/>
        <name val="&quot;Aptos Narrow&quot;"/>
        <scheme val="none"/>
      </font>
      <alignment horizontal="left" vertical="center"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19" formatCode="dd/mm/yyyy"/>
      <alignment horizontal="center" vertical="center" textRotation="0" wrapText="0" indent="0" justifyLastLine="0" shrinkToFit="0" readingOrder="0"/>
    </dxf>
    <dxf>
      <font>
        <b val="0"/>
        <i val="0"/>
        <strike val="0"/>
        <condense val="0"/>
        <extend val="0"/>
        <outline val="0"/>
        <shadow val="0"/>
        <u val="none"/>
        <vertAlign val="baseline"/>
        <sz val="11"/>
        <color rgb="FF000000"/>
        <name val="&quot;Aptos Narrow&quot;"/>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quot;Aptos Narrow&quot;"/>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quot;Aptos Narrow&quot;"/>
        <scheme val="none"/>
      </font>
      <alignment horizontal="left" vertical="center" textRotation="0" wrapText="0" indent="0" justifyLastLine="0" shrinkToFit="0" readingOrder="0"/>
    </dxf>
    <dxf>
      <font>
        <b/>
        <i val="0"/>
        <strike val="0"/>
        <condense val="0"/>
        <extend val="0"/>
        <outline val="0"/>
        <shadow val="0"/>
        <u val="none"/>
        <vertAlign val="baseline"/>
        <sz val="11"/>
        <color rgb="FF000000"/>
        <name val="&quot;Aptos Narrow&quot;"/>
        <scheme val="none"/>
      </font>
      <alignment horizontal="center" vertical="center" textRotation="0" wrapText="0" indent="0" justifyLastLine="0" shrinkToFit="0" readingOrder="0"/>
    </dxf>
    <dxf>
      <border>
        <left style="thin">
          <color indexed="64"/>
        </left>
        <right style="thin">
          <color indexed="64"/>
        </right>
        <top style="thin">
          <color indexed="64"/>
        </top>
        <bottom style="thin">
          <color indexed="64"/>
        </bottom>
      </border>
    </dxf>
    <dxf>
      <alignment horizontal="general" vertical="bottom" textRotation="0" wrapText="0" indent="0" justifyLastLine="0" shrinkToFit="0"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quot;Aptos Narrow&quot;"/>
        <scheme val="none"/>
      </font>
      <alignment horizontal="left" vertical="center" textRotation="0" wrapText="0" indent="0" justifyLastLine="0" shrinkToFit="0" readingOrder="0"/>
    </dxf>
    <dxf>
      <font>
        <b val="0"/>
        <i val="0"/>
        <strike val="0"/>
        <condense val="0"/>
        <extend val="0"/>
        <outline val="0"/>
        <shadow val="0"/>
        <u val="none"/>
        <vertAlign val="baseline"/>
        <sz val="11"/>
        <color rgb="FF000000"/>
        <name val="&quot;Aptos Narrow&quot;"/>
        <scheme val="none"/>
      </font>
      <alignment horizontal="left" vertical="center" textRotation="0" wrapText="0" indent="0" justifyLastLine="0" shrinkToFit="0" readingOrder="0"/>
    </dxf>
    <dxf>
      <font>
        <b val="0"/>
        <i val="0"/>
        <strike val="0"/>
        <condense val="0"/>
        <extend val="0"/>
        <outline val="0"/>
        <shadow val="0"/>
        <u val="none"/>
        <vertAlign val="baseline"/>
        <sz val="11"/>
        <color rgb="FF000000"/>
        <name val="&quot;Aptos Narrow&quot;"/>
        <scheme val="none"/>
      </font>
      <alignment horizontal="left" vertical="center"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2"/>
        <color theme="1"/>
        <name val="Inherit"/>
        <scheme val="none"/>
      </font>
      <alignment horizontal="left" vertical="center" textRotation="0" wrapText="1" indent="0" justifyLastLine="0" shrinkToFit="0" readingOrder="0"/>
    </dxf>
    <dxf>
      <font>
        <b val="0"/>
        <i val="0"/>
        <strike val="0"/>
        <condense val="0"/>
        <extend val="0"/>
        <outline val="0"/>
        <shadow val="0"/>
        <u val="none"/>
        <vertAlign val="baseline"/>
        <sz val="11"/>
        <color rgb="FF000000"/>
        <name val="&quot;Aptos Narrow&quot;"/>
        <scheme val="none"/>
      </font>
      <alignment horizontal="left" vertical="center"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19" formatCode="dd/mm/yyyy"/>
      <alignment horizontal="center" vertical="center" textRotation="0" wrapText="0" indent="0" justifyLastLine="0" shrinkToFit="0" readingOrder="0"/>
    </dxf>
    <dxf>
      <font>
        <b val="0"/>
        <i val="0"/>
        <strike val="0"/>
        <condense val="0"/>
        <extend val="0"/>
        <outline val="0"/>
        <shadow val="0"/>
        <u val="none"/>
        <vertAlign val="baseline"/>
        <sz val="11"/>
        <color rgb="FF000000"/>
        <name val="&quot;Aptos Narrow&quot;"/>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quot;Aptos Narrow&quot;"/>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quot;Aptos Narrow&quot;"/>
        <scheme val="none"/>
      </font>
      <alignment horizontal="left" vertical="center" textRotation="0" wrapText="0" indent="0" justifyLastLine="0" shrinkToFit="0" readingOrder="0"/>
    </dxf>
    <dxf>
      <font>
        <b/>
        <i val="0"/>
        <strike val="0"/>
        <condense val="0"/>
        <extend val="0"/>
        <outline val="0"/>
        <shadow val="0"/>
        <u val="none"/>
        <vertAlign val="baseline"/>
        <sz val="11"/>
        <color rgb="FF000000"/>
        <name val="&quot;Aptos Narrow&quot;"/>
        <scheme val="none"/>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FollowerGrowthRate/AppDownload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'5.4FollowerGrowth'!$L$1</c:f>
              <c:strCache>
                <c:ptCount val="1"/>
                <c:pt idx="0">
                  <c:v>TotalNew_Follower</c:v>
                </c:pt>
              </c:strCache>
            </c:strRef>
          </c:tx>
          <c:spPr>
            <a:solidFill>
              <a:schemeClr val="accent1"/>
            </a:solidFill>
            <a:ln>
              <a:noFill/>
            </a:ln>
            <a:effectLst/>
          </c:spPr>
          <c:invertIfNegative val="0"/>
          <c:cat>
            <c:strRef>
              <c:f>'5.4FollowerGrowth'!$H$2:$H$5</c:f>
              <c:strCache>
                <c:ptCount val="4"/>
                <c:pt idx="0">
                  <c:v>SummerBeats</c:v>
                </c:pt>
                <c:pt idx="1">
                  <c:v>Wrapped2024</c:v>
                </c:pt>
                <c:pt idx="2">
                  <c:v>ChillVibes</c:v>
                </c:pt>
                <c:pt idx="3">
                  <c:v>IndieWave</c:v>
                </c:pt>
              </c:strCache>
            </c:strRef>
          </c:cat>
          <c:val>
            <c:numRef>
              <c:f>'5.4FollowerGrowth'!$L$2:$L$5</c:f>
              <c:numCache>
                <c:formatCode>0</c:formatCode>
                <c:ptCount val="4"/>
                <c:pt idx="0">
                  <c:v>9657</c:v>
                </c:pt>
                <c:pt idx="1">
                  <c:v>9446</c:v>
                </c:pt>
                <c:pt idx="2">
                  <c:v>8915</c:v>
                </c:pt>
                <c:pt idx="3">
                  <c:v>4177</c:v>
                </c:pt>
              </c:numCache>
            </c:numRef>
          </c:val>
          <c:extLst>
            <c:ext xmlns:c16="http://schemas.microsoft.com/office/drawing/2014/chart" uri="{C3380CC4-5D6E-409C-BE32-E72D297353CC}">
              <c16:uniqueId val="{00000000-6913-43F9-829D-466E9ACFEB53}"/>
            </c:ext>
          </c:extLst>
        </c:ser>
        <c:ser>
          <c:idx val="1"/>
          <c:order val="1"/>
          <c:tx>
            <c:strRef>
              <c:f>'5.4FollowerGrowth'!$M$1</c:f>
              <c:strCache>
                <c:ptCount val="1"/>
                <c:pt idx="0">
                  <c:v>Total_Clicks(App Download)</c:v>
                </c:pt>
              </c:strCache>
            </c:strRef>
          </c:tx>
          <c:spPr>
            <a:solidFill>
              <a:schemeClr val="accent2"/>
            </a:solidFill>
            <a:ln>
              <a:noFill/>
            </a:ln>
            <a:effectLst/>
          </c:spPr>
          <c:invertIfNegative val="0"/>
          <c:cat>
            <c:strRef>
              <c:f>'5.4FollowerGrowth'!$H$2:$H$5</c:f>
              <c:strCache>
                <c:ptCount val="4"/>
                <c:pt idx="0">
                  <c:v>SummerBeats</c:v>
                </c:pt>
                <c:pt idx="1">
                  <c:v>Wrapped2024</c:v>
                </c:pt>
                <c:pt idx="2">
                  <c:v>ChillVibes</c:v>
                </c:pt>
                <c:pt idx="3">
                  <c:v>IndieWave</c:v>
                </c:pt>
              </c:strCache>
            </c:strRef>
          </c:cat>
          <c:val>
            <c:numRef>
              <c:f>'5.4FollowerGrowth'!$M$2:$M$5</c:f>
              <c:numCache>
                <c:formatCode>0</c:formatCode>
                <c:ptCount val="4"/>
                <c:pt idx="0">
                  <c:v>5557</c:v>
                </c:pt>
                <c:pt idx="1">
                  <c:v>4614</c:v>
                </c:pt>
                <c:pt idx="2">
                  <c:v>28708</c:v>
                </c:pt>
                <c:pt idx="3">
                  <c:v>18717</c:v>
                </c:pt>
              </c:numCache>
            </c:numRef>
          </c:val>
          <c:extLst>
            <c:ext xmlns:c16="http://schemas.microsoft.com/office/drawing/2014/chart" uri="{C3380CC4-5D6E-409C-BE32-E72D297353CC}">
              <c16:uniqueId val="{00000001-6913-43F9-829D-466E9ACFEB53}"/>
            </c:ext>
          </c:extLst>
        </c:ser>
        <c:dLbls>
          <c:showLegendKey val="0"/>
          <c:showVal val="0"/>
          <c:showCatName val="0"/>
          <c:showSerName val="0"/>
          <c:showPercent val="0"/>
          <c:showBubbleSize val="0"/>
        </c:dLbls>
        <c:gapWidth val="219"/>
        <c:overlap val="-27"/>
        <c:axId val="560461352"/>
        <c:axId val="560462792"/>
      </c:barChart>
      <c:catAx>
        <c:axId val="560461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462792"/>
        <c:crosses val="autoZero"/>
        <c:auto val="1"/>
        <c:lblAlgn val="ctr"/>
        <c:lblOffset val="100"/>
        <c:noMultiLvlLbl val="0"/>
      </c:catAx>
      <c:valAx>
        <c:axId val="5604627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461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15</xdr:col>
      <xdr:colOff>0</xdr:colOff>
      <xdr:row>9</xdr:row>
      <xdr:rowOff>0</xdr:rowOff>
    </xdr:from>
    <xdr:ext cx="3862148" cy="859466"/>
    <xdr:sp macro="" textlink="">
      <xdr:nvSpPr>
        <xdr:cNvPr id="6" name="TextBox 5">
          <a:extLst>
            <a:ext uri="{FF2B5EF4-FFF2-40B4-BE49-F238E27FC236}">
              <a16:creationId xmlns:a16="http://schemas.microsoft.com/office/drawing/2014/main" id="{A69EF9DB-8DF2-468D-8523-E0A425B60CFB}"/>
            </a:ext>
          </a:extLst>
        </xdr:cNvPr>
        <xdr:cNvSpPr txBox="1"/>
      </xdr:nvSpPr>
      <xdr:spPr>
        <a:xfrm>
          <a:off x="5400675" y="1743075"/>
          <a:ext cx="3862148" cy="859466"/>
        </a:xfrm>
        <a:prstGeom prst="rect">
          <a:avLst/>
        </a:prstGeom>
        <a:solidFill>
          <a:srgbClr val="C0504D">
            <a:lumMod val="20000"/>
            <a:lumOff val="80000"/>
          </a:srgbClr>
        </a:solidFill>
        <a:ln w="6350">
          <a:solidFill>
            <a:srgbClr val="000000">
              <a:lumMod val="65000"/>
              <a:lumOff val="35000"/>
            </a:srgbClr>
          </a:solidFill>
        </a:ln>
        <a:effectLst/>
      </xdr:spPr>
      <xdr:txBody>
        <a:bodyPr vertOverflow="clip" horzOverflow="clip" wrap="non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IN" sz="1400" b="0" i="0" u="none" strike="noStrike" kern="0" cap="none" spc="0" normalizeH="0" baseline="0" noProof="0">
              <a:ln>
                <a:noFill/>
              </a:ln>
              <a:solidFill>
                <a:sysClr val="windowText" lastClr="000000"/>
              </a:solidFill>
              <a:effectLst/>
              <a:uLnTx/>
              <a:uFillTx/>
              <a:latin typeface="Calibri"/>
              <a:cs typeface="Calibri"/>
            </a:rPr>
            <a:t>Criteria:</a:t>
          </a:r>
          <a:endParaRPr kumimoji="0" lang="en-IN" sz="1100" b="0" i="0" u="none" strike="noStrike" kern="0" cap="none" spc="0" normalizeH="0" baseline="0" noProof="0">
            <a:ln>
              <a:noFill/>
            </a:ln>
            <a:solidFill>
              <a:sysClr val="windowText" lastClr="000000"/>
            </a:solidFill>
            <a:effectLst/>
            <a:uLnTx/>
            <a:uFillTx/>
            <a:latin typeface="Calibri"/>
            <a:ea typeface="+mn-ea"/>
            <a:cs typeface="Calibri"/>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IN" sz="1200" b="0" i="0" u="none" strike="noStrike" kern="0" cap="none" spc="0" normalizeH="0" baseline="0" noProof="0">
              <a:ln>
                <a:noFill/>
              </a:ln>
              <a:solidFill>
                <a:sysClr val="windowText" lastClr="000000"/>
              </a:solidFill>
              <a:effectLst/>
              <a:uLnTx/>
              <a:uFillTx/>
              <a:latin typeface="Calibri"/>
              <a:ea typeface="+mn-ea"/>
              <a:cs typeface="Calibri"/>
            </a:rPr>
            <a:t>● Compute:</a:t>
          </a:r>
        </a:p>
        <a:p>
          <a:pPr marL="0" marR="0" lvl="0" indent="0" defTabSz="914400" eaLnBrk="1" fontAlgn="auto" latinLnBrk="0" hangingPunct="1">
            <a:lnSpc>
              <a:spcPct val="100000"/>
            </a:lnSpc>
            <a:spcBef>
              <a:spcPts val="0"/>
            </a:spcBef>
            <a:spcAft>
              <a:spcPts val="0"/>
            </a:spcAft>
            <a:buClrTx/>
            <a:buSzTx/>
            <a:buFontTx/>
            <a:buNone/>
            <a:tabLst/>
            <a:defRPr/>
          </a:pPr>
          <a:r>
            <a:rPr kumimoji="0" lang="en-IN" sz="1200" b="0" i="0" u="none" strike="noStrike" kern="0" cap="none" spc="0" normalizeH="0" baseline="0" noProof="0">
              <a:ln>
                <a:noFill/>
              </a:ln>
              <a:solidFill>
                <a:sysClr val="windowText" lastClr="000000"/>
              </a:solidFill>
              <a:effectLst/>
              <a:uLnTx/>
              <a:uFillTx/>
              <a:latin typeface="Calibri"/>
              <a:ea typeface="+mn-ea"/>
              <a:cs typeface="Calibri"/>
            </a:rPr>
            <a:t>    Total and Average Impression, likes, clicks per campaign.</a:t>
          </a:r>
        </a:p>
        <a:p>
          <a:pPr marL="0" marR="0" lvl="0" indent="0"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Text" lastClr="000000"/>
            </a:solidFill>
            <a:effectLst/>
            <a:uLnTx/>
            <a:uFillTx/>
            <a:latin typeface="Calibri"/>
            <a:cs typeface="Calibri"/>
          </a:endParaRPr>
        </a:p>
      </xdr:txBody>
    </xdr:sp>
    <xdr:clientData/>
  </xdr:oneCellAnchor>
  <xdr:oneCellAnchor>
    <xdr:from>
      <xdr:col>15</xdr:col>
      <xdr:colOff>1121</xdr:colOff>
      <xdr:row>14</xdr:row>
      <xdr:rowOff>187700</xdr:rowOff>
    </xdr:from>
    <xdr:ext cx="8145243" cy="850526"/>
    <xdr:sp macro="" textlink="">
      <xdr:nvSpPr>
        <xdr:cNvPr id="7" name="TextBox 6">
          <a:extLst>
            <a:ext uri="{FF2B5EF4-FFF2-40B4-BE49-F238E27FC236}">
              <a16:creationId xmlns:a16="http://schemas.microsoft.com/office/drawing/2014/main" id="{484A13A0-6EB8-4E31-8BA3-309D96C903E9}"/>
            </a:ext>
          </a:extLst>
        </xdr:cNvPr>
        <xdr:cNvSpPr txBox="1"/>
      </xdr:nvSpPr>
      <xdr:spPr>
        <a:xfrm>
          <a:off x="5401796" y="2883275"/>
          <a:ext cx="8145243" cy="850526"/>
        </a:xfrm>
        <a:prstGeom prst="rect">
          <a:avLst/>
        </a:prstGeom>
        <a:solidFill>
          <a:srgbClr val="C0504D">
            <a:lumMod val="20000"/>
            <a:lumOff val="80000"/>
          </a:srgbClr>
        </a:solidFill>
        <a:ln w="6350">
          <a:solidFill>
            <a:srgbClr val="000000">
              <a:lumMod val="65000"/>
              <a:lumOff val="35000"/>
            </a:srgbClr>
          </a:solidFill>
        </a:ln>
        <a:effectLst/>
      </xdr:spPr>
      <xdr:txBody>
        <a:bodyPr vertOverflow="clip" horzOverflow="clip" wrap="non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IN" sz="1400" b="0" i="0" u="none" strike="noStrike" kern="0" cap="none" spc="0" normalizeH="0" baseline="0" noProof="0">
              <a:ln>
                <a:noFill/>
              </a:ln>
              <a:solidFill>
                <a:sysClr val="windowText" lastClr="000000"/>
              </a:solidFill>
              <a:effectLst/>
              <a:uLnTx/>
              <a:uFillTx/>
              <a:latin typeface="Calibri"/>
              <a:cs typeface="Calibri"/>
            </a:rPr>
            <a:t>Steps Taken:</a:t>
          </a:r>
          <a:endParaRPr kumimoji="0" lang="en-IN" sz="1400" b="0" i="0" u="none" strike="noStrike" kern="0" cap="none" spc="0" normalizeH="0" baseline="0" noProof="0">
            <a:ln>
              <a:noFill/>
            </a:ln>
            <a:solidFill>
              <a:sysClr val="windowText" lastClr="000000"/>
            </a:solidFill>
            <a:effectLst/>
            <a:uLnTx/>
            <a:uFillTx/>
            <a:latin typeface="Calibri"/>
            <a:ea typeface="+mn-ea"/>
            <a:cs typeface="Calibri"/>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IN" sz="1200" b="0" i="0" u="none" strike="noStrike" kern="0" cap="none" spc="0" normalizeH="0" baseline="0" noProof="0">
              <a:ln>
                <a:noFill/>
              </a:ln>
              <a:solidFill>
                <a:sysClr val="windowText" lastClr="000000"/>
              </a:solidFill>
              <a:effectLst/>
              <a:uLnTx/>
              <a:uFillTx/>
              <a:latin typeface="Calibri"/>
              <a:ea typeface="+mn-ea"/>
              <a:cs typeface="Calibri"/>
            </a:rPr>
            <a:t>● A pivot table is inserted using Camaign names into row field.</a:t>
          </a:r>
        </a:p>
        <a:p>
          <a:pPr marL="0" marR="0" lvl="0" indent="0" defTabSz="914400" eaLnBrk="1" fontAlgn="auto" latinLnBrk="0" hangingPunct="1">
            <a:lnSpc>
              <a:spcPct val="100000"/>
            </a:lnSpc>
            <a:spcBef>
              <a:spcPts val="0"/>
            </a:spcBef>
            <a:spcAft>
              <a:spcPts val="0"/>
            </a:spcAft>
            <a:buClrTx/>
            <a:buSzTx/>
            <a:buFontTx/>
            <a:buNone/>
            <a:tabLst/>
            <a:defRPr/>
          </a:pPr>
          <a:r>
            <a:rPr kumimoji="0" lang="en-IN" sz="1200" b="0" i="0" u="none" strike="noStrike" kern="0" cap="none" spc="0" normalizeH="0" baseline="0" noProof="0">
              <a:ln>
                <a:noFill/>
              </a:ln>
              <a:solidFill>
                <a:sysClr val="windowText" lastClr="000000"/>
              </a:solidFill>
              <a:effectLst/>
              <a:uLnTx/>
              <a:uFillTx/>
              <a:latin typeface="+mn-lt"/>
              <a:ea typeface="+mn-ea"/>
              <a:cs typeface="+mn-cs"/>
            </a:rPr>
            <a:t>● Values of impression, likes, clicks are added into values field and Total and Average is calculated.</a:t>
          </a:r>
        </a:p>
        <a:p>
          <a:pPr marL="0" marR="0" lvl="0" indent="0" defTabSz="914400" eaLnBrk="1" fontAlgn="auto" latinLnBrk="0" hangingPunct="1">
            <a:lnSpc>
              <a:spcPct val="100000"/>
            </a:lnSpc>
            <a:spcBef>
              <a:spcPts val="0"/>
            </a:spcBef>
            <a:spcAft>
              <a:spcPts val="0"/>
            </a:spcAft>
            <a:buClrTx/>
            <a:buSzTx/>
            <a:buFontTx/>
            <a:buNone/>
            <a:tabLst/>
            <a:defRPr/>
          </a:pPr>
          <a:endParaRPr kumimoji="0" lang="en-IN" sz="1200" b="0" i="0" u="none" strike="noStrike" kern="0" cap="none" spc="0" normalizeH="0" baseline="0" noProof="0">
            <a:ln>
              <a:noFill/>
            </a:ln>
            <a:solidFill>
              <a:sysClr val="windowText" lastClr="000000"/>
            </a:solidFill>
            <a:effectLst/>
            <a:uLnTx/>
            <a:uFillTx/>
            <a:latin typeface="Calibri"/>
            <a:ea typeface="+mn-ea"/>
            <a:cs typeface="Calibri"/>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IN" sz="1400" b="0" i="0" u="none" strike="noStrike" kern="0" cap="none" spc="0" normalizeH="0" baseline="0" noProof="0">
              <a:ln>
                <a:noFill/>
              </a:ln>
              <a:solidFill>
                <a:sysClr val="windowText" lastClr="000000"/>
              </a:solidFill>
              <a:effectLst/>
              <a:uLnTx/>
              <a:uFillTx/>
              <a:latin typeface="Calibri"/>
              <a:ea typeface="+mn-ea"/>
              <a:cs typeface="Calibri"/>
            </a:rPr>
            <a:t>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Text" lastClr="000000"/>
            </a:solidFill>
            <a:effectLst/>
            <a:uLnTx/>
            <a:uFillTx/>
            <a:latin typeface="Calibri"/>
            <a:cs typeface="Calibri"/>
          </a:endParaRPr>
        </a:p>
      </xdr:txBody>
    </xdr:sp>
    <xdr:clientData/>
  </xdr:oneCellAnchor>
  <xdr:oneCellAnchor>
    <xdr:from>
      <xdr:col>15</xdr:col>
      <xdr:colOff>10646</xdr:colOff>
      <xdr:row>20</xdr:row>
      <xdr:rowOff>149600</xdr:rowOff>
    </xdr:from>
    <xdr:ext cx="8145243" cy="631450"/>
    <xdr:sp macro="" textlink="">
      <xdr:nvSpPr>
        <xdr:cNvPr id="8" name="TextBox 7">
          <a:extLst>
            <a:ext uri="{FF2B5EF4-FFF2-40B4-BE49-F238E27FC236}">
              <a16:creationId xmlns:a16="http://schemas.microsoft.com/office/drawing/2014/main" id="{F93C76A7-4265-41CE-8C7F-2FA3977E314E}"/>
            </a:ext>
          </a:extLst>
        </xdr:cNvPr>
        <xdr:cNvSpPr txBox="1"/>
      </xdr:nvSpPr>
      <xdr:spPr>
        <a:xfrm>
          <a:off x="5411321" y="3988175"/>
          <a:ext cx="8145243" cy="631450"/>
        </a:xfrm>
        <a:prstGeom prst="rect">
          <a:avLst/>
        </a:prstGeom>
        <a:solidFill>
          <a:srgbClr val="C0504D">
            <a:lumMod val="20000"/>
            <a:lumOff val="80000"/>
          </a:srgbClr>
        </a:solidFill>
        <a:ln w="6350">
          <a:solidFill>
            <a:srgbClr val="000000">
              <a:lumMod val="65000"/>
              <a:lumOff val="35000"/>
            </a:srgbClr>
          </a:solidFill>
        </a:ln>
        <a:effectLst/>
      </xdr:spPr>
      <xdr:txBody>
        <a:bodyPr vertOverflow="clip" horzOverflow="clip" wrap="non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IN" sz="1400" b="0" i="0" u="none" strike="noStrike" kern="0" cap="none" spc="0" normalizeH="0" baseline="0" noProof="0">
              <a:ln>
                <a:noFill/>
              </a:ln>
              <a:solidFill>
                <a:sysClr val="windowText" lastClr="000000"/>
              </a:solidFill>
              <a:effectLst/>
              <a:uLnTx/>
              <a:uFillTx/>
              <a:latin typeface="Calibri"/>
              <a:cs typeface="Calibri"/>
            </a:rPr>
            <a:t>Conclusion:</a:t>
          </a:r>
          <a:endParaRPr kumimoji="0" lang="en-IN" sz="1400" b="0" i="0" u="none" strike="noStrike" kern="0" cap="none" spc="0" normalizeH="0" baseline="0" noProof="0">
            <a:ln>
              <a:noFill/>
            </a:ln>
            <a:solidFill>
              <a:sysClr val="windowText" lastClr="000000"/>
            </a:solidFill>
            <a:effectLst/>
            <a:uLnTx/>
            <a:uFillTx/>
            <a:latin typeface="Calibri"/>
            <a:ea typeface="+mn-ea"/>
            <a:cs typeface="Calibri"/>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IN" sz="1200" b="0" i="0" u="none" strike="noStrike" kern="0" cap="none" spc="0" normalizeH="0" baseline="0" noProof="0">
              <a:ln>
                <a:noFill/>
              </a:ln>
              <a:solidFill>
                <a:sysClr val="windowText" lastClr="000000"/>
              </a:solidFill>
              <a:effectLst/>
              <a:uLnTx/>
              <a:uFillTx/>
              <a:latin typeface="Calibri"/>
              <a:ea typeface="+mn-ea"/>
              <a:cs typeface="Calibri"/>
            </a:rPr>
            <a:t>● For each value of Engagement criteria we can evalaute performance of different campaign.</a:t>
          </a:r>
        </a:p>
        <a:p>
          <a:pPr marL="0" marR="0" lvl="0" indent="0" defTabSz="914400" eaLnBrk="1" fontAlgn="auto" latinLnBrk="0" hangingPunct="1">
            <a:lnSpc>
              <a:spcPct val="100000"/>
            </a:lnSpc>
            <a:spcBef>
              <a:spcPts val="0"/>
            </a:spcBef>
            <a:spcAft>
              <a:spcPts val="0"/>
            </a:spcAft>
            <a:buClrTx/>
            <a:buSzTx/>
            <a:buFontTx/>
            <a:buNone/>
            <a:tabLst/>
            <a:defRPr/>
          </a:pPr>
          <a:r>
            <a:rPr kumimoji="0" lang="en-IN" sz="1400" b="0" i="0" u="none" strike="noStrike" kern="0" cap="none" spc="0" normalizeH="0" baseline="0" noProof="0">
              <a:ln>
                <a:noFill/>
              </a:ln>
              <a:solidFill>
                <a:sysClr val="windowText" lastClr="000000"/>
              </a:solidFill>
              <a:effectLst/>
              <a:uLnTx/>
              <a:uFillTx/>
              <a:latin typeface="Calibri"/>
              <a:ea typeface="+mn-ea"/>
              <a:cs typeface="Calibri"/>
            </a:rPr>
            <a:t>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Text" lastClr="000000"/>
            </a:solidFill>
            <a:effectLst/>
            <a:uLnTx/>
            <a:uFillTx/>
            <a:latin typeface="Calibri"/>
            <a:cs typeface="Calibri"/>
          </a:endParaRPr>
        </a:p>
      </xdr:txBody>
    </xdr:sp>
    <xdr:clientData/>
  </xdr:oneCellAnchor>
</xdr:wsDr>
</file>

<file path=xl/drawings/drawing2.xml><?xml version="1.0" encoding="utf-8"?>
<xdr:wsDr xmlns:xdr="http://schemas.openxmlformats.org/drawingml/2006/spreadsheetDrawing" xmlns:a="http://schemas.openxmlformats.org/drawingml/2006/main">
  <xdr:twoCellAnchor editAs="absolute">
    <xdr:from>
      <xdr:col>14</xdr:col>
      <xdr:colOff>914960</xdr:colOff>
      <xdr:row>1</xdr:row>
      <xdr:rowOff>136711</xdr:rowOff>
    </xdr:from>
    <xdr:to>
      <xdr:col>15</xdr:col>
      <xdr:colOff>726701</xdr:colOff>
      <xdr:row>14</xdr:row>
      <xdr:rowOff>38660</xdr:rowOff>
    </xdr:to>
    <mc:AlternateContent xmlns:mc="http://schemas.openxmlformats.org/markup-compatibility/2006">
      <mc:Choice xmlns:sle15="http://schemas.microsoft.com/office/drawing/2012/slicer" Requires="sle15">
        <xdr:graphicFrame macro="">
          <xdr:nvGraphicFramePr>
            <xdr:cNvPr id="4" name="Campaign_Name">
              <a:extLst>
                <a:ext uri="{FF2B5EF4-FFF2-40B4-BE49-F238E27FC236}">
                  <a16:creationId xmlns:a16="http://schemas.microsoft.com/office/drawing/2014/main" id="{E9C28658-9D43-2AB1-B534-52D3CB7F922A}"/>
                </a:ext>
              </a:extLst>
            </xdr:cNvPr>
            <xdr:cNvGraphicFramePr/>
          </xdr:nvGraphicFramePr>
          <xdr:xfrm>
            <a:off x="0" y="0"/>
            <a:ext cx="0" cy="0"/>
          </xdr:xfrm>
          <a:graphic>
            <a:graphicData uri="http://schemas.microsoft.com/office/drawing/2010/slicer">
              <sle:slicer xmlns:sle="http://schemas.microsoft.com/office/drawing/2010/slicer" name="Campaign_Name"/>
            </a:graphicData>
          </a:graphic>
        </xdr:graphicFrame>
      </mc:Choice>
      <mc:Fallback>
        <xdr:sp macro="" textlink="">
          <xdr:nvSpPr>
            <xdr:cNvPr id="0" name=""/>
            <xdr:cNvSpPr>
              <a:spLocks noTextEdit="1"/>
            </xdr:cNvSpPr>
          </xdr:nvSpPr>
          <xdr:spPr>
            <a:xfrm>
              <a:off x="4275924" y="340818"/>
              <a:ext cx="1825598" cy="2555342"/>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oneCellAnchor>
    <xdr:from>
      <xdr:col>16</xdr:col>
      <xdr:colOff>0</xdr:colOff>
      <xdr:row>27</xdr:row>
      <xdr:rowOff>6560</xdr:rowOff>
    </xdr:from>
    <xdr:ext cx="8401771" cy="853249"/>
    <xdr:sp macro="" textlink="">
      <xdr:nvSpPr>
        <xdr:cNvPr id="6" name="TextBox 5">
          <a:extLst>
            <a:ext uri="{FF2B5EF4-FFF2-40B4-BE49-F238E27FC236}">
              <a16:creationId xmlns:a16="http://schemas.microsoft.com/office/drawing/2014/main" id="{B8FC22C3-980B-46CB-932B-9F931C118878}"/>
            </a:ext>
          </a:extLst>
        </xdr:cNvPr>
        <xdr:cNvSpPr txBox="1"/>
      </xdr:nvSpPr>
      <xdr:spPr>
        <a:xfrm>
          <a:off x="6958853" y="5631913"/>
          <a:ext cx="8401771" cy="853249"/>
        </a:xfrm>
        <a:prstGeom prst="rect">
          <a:avLst/>
        </a:prstGeom>
        <a:solidFill>
          <a:srgbClr val="C0504D">
            <a:lumMod val="20000"/>
            <a:lumOff val="80000"/>
          </a:srgbClr>
        </a:solidFill>
        <a:ln w="6350">
          <a:solidFill>
            <a:srgbClr val="000000">
              <a:lumMod val="65000"/>
              <a:lumOff val="35000"/>
            </a:srgbClr>
          </a:solidFill>
        </a:ln>
        <a:effectLst/>
      </xdr:spPr>
      <xdr:txBody>
        <a:bodyPr vertOverflow="clip" horzOverflow="clip" wrap="non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IN" sz="1400" b="0" i="0" u="none" strike="noStrike" kern="0" cap="none" spc="0" normalizeH="0" baseline="0" noProof="0">
              <a:ln>
                <a:noFill/>
              </a:ln>
              <a:solidFill>
                <a:sysClr val="windowText" lastClr="000000"/>
              </a:solidFill>
              <a:effectLst/>
              <a:uLnTx/>
              <a:uFillTx/>
              <a:latin typeface="Calibri"/>
              <a:cs typeface="Calibri"/>
            </a:rPr>
            <a:t>Conclusion:</a:t>
          </a:r>
          <a:endParaRPr kumimoji="0" lang="en-IN" sz="1400" b="0" i="0" u="none" strike="noStrike" kern="0" cap="none" spc="0" normalizeH="0" baseline="0" noProof="0">
            <a:ln>
              <a:noFill/>
            </a:ln>
            <a:solidFill>
              <a:sysClr val="windowText" lastClr="000000"/>
            </a:solidFill>
            <a:effectLst/>
            <a:uLnTx/>
            <a:uFillTx/>
            <a:latin typeface="Calibri"/>
            <a:ea typeface="+mn-ea"/>
            <a:cs typeface="Calibri"/>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IN" sz="1200" b="0" i="0" u="none" strike="noStrike" kern="0" cap="none" spc="0" normalizeH="0" baseline="0" noProof="0">
              <a:ln>
                <a:noFill/>
              </a:ln>
              <a:solidFill>
                <a:sysClr val="windowText" lastClr="000000"/>
              </a:solidFill>
              <a:effectLst/>
              <a:uLnTx/>
              <a:uFillTx/>
              <a:latin typeface="Calibri"/>
              <a:ea typeface="+mn-ea"/>
              <a:cs typeface="Calibri"/>
            </a:rPr>
            <a:t>●  From the calculation, we can conclude that IndieWave has generated the most engagement metric across the All the Meida </a:t>
          </a:r>
        </a:p>
        <a:p>
          <a:pPr marL="0" marR="0" lvl="0" indent="0" defTabSz="914400" eaLnBrk="1" fontAlgn="auto" latinLnBrk="0" hangingPunct="1">
            <a:lnSpc>
              <a:spcPct val="100000"/>
            </a:lnSpc>
            <a:spcBef>
              <a:spcPts val="0"/>
            </a:spcBef>
            <a:spcAft>
              <a:spcPts val="0"/>
            </a:spcAft>
            <a:buClrTx/>
            <a:buSzTx/>
            <a:buFontTx/>
            <a:buNone/>
            <a:tabLst/>
            <a:defRPr/>
          </a:pPr>
          <a:r>
            <a:rPr kumimoji="0" lang="en-IN" sz="1200" b="0" i="0" u="none" strike="noStrike" kern="0" cap="none" spc="0" normalizeH="0" baseline="0" noProof="0">
              <a:ln>
                <a:noFill/>
              </a:ln>
              <a:solidFill>
                <a:sysClr val="windowText" lastClr="000000"/>
              </a:solidFill>
              <a:effectLst/>
              <a:uLnTx/>
              <a:uFillTx/>
              <a:latin typeface="Calibri"/>
              <a:ea typeface="+mn-ea"/>
              <a:cs typeface="Calibri"/>
            </a:rPr>
            <a:t>    platforms.</a:t>
          </a:r>
          <a:endParaRPr kumimoji="0" lang="en-IN" sz="1200" b="1" i="0" u="none" strike="noStrike" kern="0" cap="none" spc="0" normalizeH="0" baseline="0" noProof="0">
            <a:ln>
              <a:noFill/>
            </a:ln>
            <a:solidFill>
              <a:sysClr val="windowText" lastClr="000000"/>
            </a:solidFill>
            <a:effectLst/>
            <a:uLnTx/>
            <a:uFillTx/>
            <a:latin typeface="Calibri"/>
            <a:ea typeface="+mn-ea"/>
            <a:cs typeface="Calibri"/>
          </a:endParaRPr>
        </a:p>
      </xdr:txBody>
    </xdr:sp>
    <xdr:clientData/>
  </xdr:oneCellAnchor>
  <xdr:oneCellAnchor>
    <xdr:from>
      <xdr:col>16</xdr:col>
      <xdr:colOff>23133</xdr:colOff>
      <xdr:row>12</xdr:row>
      <xdr:rowOff>164726</xdr:rowOff>
    </xdr:from>
    <xdr:ext cx="8145243" cy="1471332"/>
    <xdr:sp macro="" textlink="">
      <xdr:nvSpPr>
        <xdr:cNvPr id="7" name="TextBox 6">
          <a:extLst>
            <a:ext uri="{FF2B5EF4-FFF2-40B4-BE49-F238E27FC236}">
              <a16:creationId xmlns:a16="http://schemas.microsoft.com/office/drawing/2014/main" id="{1D24A14C-F0C7-4542-AFB9-0414136E929A}"/>
            </a:ext>
          </a:extLst>
        </xdr:cNvPr>
        <xdr:cNvSpPr txBox="1"/>
      </xdr:nvSpPr>
      <xdr:spPr>
        <a:xfrm>
          <a:off x="6981986" y="2585197"/>
          <a:ext cx="8145243" cy="1471332"/>
        </a:xfrm>
        <a:prstGeom prst="rect">
          <a:avLst/>
        </a:prstGeom>
        <a:solidFill>
          <a:srgbClr val="C0504D">
            <a:lumMod val="20000"/>
            <a:lumOff val="80000"/>
          </a:srgbClr>
        </a:solidFill>
        <a:ln w="6350">
          <a:solidFill>
            <a:srgbClr val="000000">
              <a:lumMod val="65000"/>
              <a:lumOff val="35000"/>
            </a:srgbClr>
          </a:solidFill>
        </a:ln>
        <a:effectLst/>
      </xdr:spPr>
      <xdr:txBody>
        <a:bodyPr vertOverflow="clip" horzOverflow="clip" wrap="non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IN" sz="1400" b="0" i="0" u="none" strike="noStrike" kern="0" cap="none" spc="0" normalizeH="0" baseline="0" noProof="0">
              <a:ln>
                <a:noFill/>
              </a:ln>
              <a:solidFill>
                <a:sysClr val="windowText" lastClr="000000"/>
              </a:solidFill>
              <a:effectLst/>
              <a:uLnTx/>
              <a:uFillTx/>
              <a:latin typeface="Calibri"/>
              <a:cs typeface="Calibri"/>
            </a:rPr>
            <a:t>Steps Taken:</a:t>
          </a:r>
        </a:p>
        <a:p>
          <a:pPr marL="0" marR="0" lvl="0" indent="0" defTabSz="914400" eaLnBrk="1" fontAlgn="auto" latinLnBrk="0" hangingPunct="1">
            <a:lnSpc>
              <a:spcPct val="100000"/>
            </a:lnSpc>
            <a:spcBef>
              <a:spcPts val="0"/>
            </a:spcBef>
            <a:spcAft>
              <a:spcPts val="0"/>
            </a:spcAft>
            <a:buClrTx/>
            <a:buSzTx/>
            <a:buFontTx/>
            <a:buNone/>
            <a:tabLst/>
            <a:defRPr/>
          </a:pPr>
          <a:r>
            <a:rPr kumimoji="0" lang="en-IN" sz="1200" b="0" i="0" u="none" strike="noStrike" kern="0" cap="none" spc="0" normalizeH="0" baseline="0" noProof="0">
              <a:ln>
                <a:noFill/>
              </a:ln>
              <a:solidFill>
                <a:sysClr val="windowText" lastClr="000000"/>
              </a:solidFill>
              <a:effectLst/>
              <a:uLnTx/>
              <a:uFillTx/>
              <a:latin typeface="Calibri"/>
              <a:ea typeface="+mn-ea"/>
              <a:cs typeface="Calibri"/>
            </a:rPr>
            <a:t>● Created a table which calculated the average and Total of Engagement during and before the campaigns.</a:t>
          </a:r>
        </a:p>
        <a:p>
          <a:pPr marL="0" marR="0" lvl="0" indent="0" defTabSz="914400" eaLnBrk="1" fontAlgn="auto" latinLnBrk="0" hangingPunct="1">
            <a:lnSpc>
              <a:spcPct val="100000"/>
            </a:lnSpc>
            <a:spcBef>
              <a:spcPts val="0"/>
            </a:spcBef>
            <a:spcAft>
              <a:spcPts val="0"/>
            </a:spcAft>
            <a:buClrTx/>
            <a:buSzTx/>
            <a:buFontTx/>
            <a:buNone/>
            <a:tabLst/>
            <a:defRPr/>
          </a:pPr>
          <a:r>
            <a:rPr kumimoji="0" lang="en-IN" sz="1200" b="0" i="0" u="none" strike="noStrike" kern="0" cap="none" spc="0" normalizeH="0" baseline="0" noProof="0">
              <a:ln>
                <a:noFill/>
              </a:ln>
              <a:solidFill>
                <a:sysClr val="windowText" lastClr="000000"/>
              </a:solidFill>
              <a:effectLst/>
              <a:uLnTx/>
              <a:uFillTx/>
              <a:latin typeface="+mn-lt"/>
              <a:ea typeface="+mn-ea"/>
              <a:cs typeface="+mn-cs"/>
            </a:rPr>
            <a:t>● Also counted the the number of days for which campaign is active from the sheet of Campaign Metadeta.</a:t>
          </a:r>
        </a:p>
        <a:p>
          <a:pPr marL="0" marR="0" lvl="0" indent="0" defTabSz="914400" eaLnBrk="1" fontAlgn="auto" latinLnBrk="0" hangingPunct="1">
            <a:lnSpc>
              <a:spcPct val="100000"/>
            </a:lnSpc>
            <a:spcBef>
              <a:spcPts val="0"/>
            </a:spcBef>
            <a:spcAft>
              <a:spcPts val="0"/>
            </a:spcAft>
            <a:buClrTx/>
            <a:buSzTx/>
            <a:buFontTx/>
            <a:buNone/>
            <a:tabLst/>
            <a:defRPr/>
          </a:pPr>
          <a:r>
            <a:rPr kumimoji="0" lang="en-IN" sz="1200" b="0" i="0" u="none" strike="noStrike" kern="0" cap="none" spc="0" normalizeH="0" baseline="0" noProof="0">
              <a:ln>
                <a:noFill/>
              </a:ln>
              <a:solidFill>
                <a:sysClr val="windowText" lastClr="000000"/>
              </a:solidFill>
              <a:effectLst/>
              <a:uLnTx/>
              <a:uFillTx/>
              <a:latin typeface="+mn-lt"/>
              <a:ea typeface="+mn-ea"/>
              <a:cs typeface="+mn-cs"/>
            </a:rPr>
            <a:t>● Calculation for Upiftment in engagement is calculated and Rate in percentage form is calculated in the column.</a:t>
          </a:r>
        </a:p>
        <a:p>
          <a:pPr marL="0" marR="0" lvl="0" indent="0" defTabSz="914400" eaLnBrk="1" fontAlgn="auto" latinLnBrk="0" hangingPunct="1">
            <a:lnSpc>
              <a:spcPct val="100000"/>
            </a:lnSpc>
            <a:spcBef>
              <a:spcPts val="0"/>
            </a:spcBef>
            <a:spcAft>
              <a:spcPts val="0"/>
            </a:spcAft>
            <a:buClrTx/>
            <a:buSzTx/>
            <a:buFontTx/>
            <a:buNone/>
            <a:tabLst/>
            <a:defRPr/>
          </a:pPr>
          <a:r>
            <a:rPr kumimoji="0" lang="en-IN" sz="1200" b="0" i="0" u="none" strike="noStrike" kern="0" cap="none" spc="0" normalizeH="0" baseline="0" noProof="0">
              <a:ln>
                <a:noFill/>
              </a:ln>
              <a:solidFill>
                <a:sysClr val="windowText" lastClr="000000"/>
              </a:solidFill>
              <a:effectLst/>
              <a:uLnTx/>
              <a:uFillTx/>
              <a:latin typeface="+mn-lt"/>
              <a:ea typeface="+mn-ea"/>
              <a:cs typeface="+mn-cs"/>
            </a:rPr>
            <a:t>● Slicer is inserted for Campaign to filter campaign start_week calculation.</a:t>
          </a:r>
        </a:p>
        <a:p>
          <a:pPr marL="0" marR="0" lvl="0" indent="0" defTabSz="914400" eaLnBrk="1" fontAlgn="auto" latinLnBrk="0" hangingPunct="1">
            <a:lnSpc>
              <a:spcPct val="100000"/>
            </a:lnSpc>
            <a:spcBef>
              <a:spcPts val="0"/>
            </a:spcBef>
            <a:spcAft>
              <a:spcPts val="0"/>
            </a:spcAft>
            <a:buClrTx/>
            <a:buSzTx/>
            <a:buFontTx/>
            <a:buNone/>
            <a:tabLst/>
            <a:defRPr/>
          </a:pPr>
          <a:r>
            <a:rPr kumimoji="0" lang="en-IN" sz="1200" b="0" i="0" u="none" strike="noStrike" kern="0" cap="none" spc="0" normalizeH="0" baseline="0" noProof="0">
              <a:ln>
                <a:noFill/>
              </a:ln>
              <a:solidFill>
                <a:sysClr val="windowText" lastClr="000000"/>
              </a:solidFill>
              <a:effectLst/>
              <a:uLnTx/>
              <a:uFillTx/>
              <a:latin typeface="+mn-lt"/>
              <a:ea typeface="+mn-ea"/>
              <a:cs typeface="+mn-cs"/>
            </a:rPr>
            <a:t>● Engagement Metric is calculated taking considereation likes, shares and comments.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IN" sz="12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IN" sz="1200" b="0" i="0" u="none" strike="noStrike" kern="0" cap="none" spc="0" normalizeH="0" baseline="0" noProof="0">
              <a:ln>
                <a:noFill/>
              </a:ln>
              <a:solidFill>
                <a:sysClr val="windowText" lastClr="000000"/>
              </a:solidFill>
              <a:effectLst/>
              <a:uLnTx/>
              <a:uFillTx/>
              <a:latin typeface="Calibri"/>
              <a:ea typeface="+mn-ea"/>
              <a:cs typeface="Calibri"/>
            </a:rPr>
            <a:t> </a:t>
          </a:r>
          <a:endParaRPr kumimoji="0" lang="en-IN" sz="1200" b="0" i="0" u="none" strike="noStrike" kern="0" cap="none" spc="0" normalizeH="0" baseline="0" noProof="0">
            <a:ln>
              <a:noFill/>
            </a:ln>
            <a:solidFill>
              <a:sysClr val="windowText" lastClr="000000"/>
            </a:solidFill>
            <a:effectLst/>
            <a:uLnTx/>
            <a:uFillTx/>
            <a:latin typeface="Calibri"/>
            <a:cs typeface="Calibri"/>
          </a:endParaRPr>
        </a:p>
      </xdr:txBody>
    </xdr:sp>
    <xdr:clientData/>
  </xdr:oneCellAnchor>
  <xdr:oneCellAnchor>
    <xdr:from>
      <xdr:col>16</xdr:col>
      <xdr:colOff>12886</xdr:colOff>
      <xdr:row>9</xdr:row>
      <xdr:rowOff>0</xdr:rowOff>
    </xdr:from>
    <xdr:ext cx="5881408" cy="609600"/>
    <xdr:sp macro="" textlink="">
      <xdr:nvSpPr>
        <xdr:cNvPr id="8" name="TextBox 7">
          <a:extLst>
            <a:ext uri="{FF2B5EF4-FFF2-40B4-BE49-F238E27FC236}">
              <a16:creationId xmlns:a16="http://schemas.microsoft.com/office/drawing/2014/main" id="{F3D51781-3DF7-445A-8894-74CA0080FAC9}"/>
            </a:ext>
          </a:extLst>
        </xdr:cNvPr>
        <xdr:cNvSpPr txBox="1"/>
      </xdr:nvSpPr>
      <xdr:spPr>
        <a:xfrm>
          <a:off x="6971739" y="1815353"/>
          <a:ext cx="5881408" cy="609600"/>
        </a:xfrm>
        <a:prstGeom prst="rect">
          <a:avLst/>
        </a:prstGeom>
        <a:solidFill>
          <a:srgbClr val="C0504D">
            <a:lumMod val="20000"/>
            <a:lumOff val="80000"/>
          </a:srgbClr>
        </a:solidFill>
        <a:ln w="6350">
          <a:solidFill>
            <a:srgbClr val="000000">
              <a:lumMod val="65000"/>
              <a:lumOff val="35000"/>
            </a:srgbClr>
          </a:solidFill>
        </a:ln>
        <a:effectLst/>
      </xdr:spPr>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IN" sz="1400" b="0" i="0" u="none" strike="noStrike" kern="0" cap="none" spc="0" normalizeH="0" baseline="0" noProof="0">
              <a:ln>
                <a:noFill/>
              </a:ln>
              <a:solidFill>
                <a:sysClr val="windowText" lastClr="000000"/>
              </a:solidFill>
              <a:effectLst/>
              <a:uLnTx/>
              <a:uFillTx/>
              <a:latin typeface="Calibri"/>
              <a:cs typeface="Calibri"/>
            </a:rPr>
            <a:t>Criteria:</a:t>
          </a:r>
          <a:endParaRPr kumimoji="0" lang="en-IN" sz="1400" b="0" i="0" u="none" strike="noStrike" kern="0" cap="none" spc="0" normalizeH="0" baseline="0" noProof="0">
            <a:ln>
              <a:noFill/>
            </a:ln>
            <a:solidFill>
              <a:sysClr val="windowText" lastClr="000000"/>
            </a:solidFill>
            <a:effectLst/>
            <a:uLnTx/>
            <a:uFillTx/>
            <a:latin typeface="Calibri"/>
            <a:ea typeface="+mn-ea"/>
            <a:cs typeface="Calibri"/>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IN" sz="1200" b="0" i="0" u="none" strike="noStrike" kern="0" cap="none" spc="0" normalizeH="0" baseline="0" noProof="0">
              <a:ln>
                <a:noFill/>
              </a:ln>
              <a:solidFill>
                <a:sysClr val="windowText" lastClr="000000"/>
              </a:solidFill>
              <a:effectLst/>
              <a:uLnTx/>
              <a:uFillTx/>
              <a:latin typeface="Calibri"/>
              <a:ea typeface="+mn-ea"/>
              <a:cs typeface="Calibri"/>
            </a:rPr>
            <a:t>● Compute: Engagement uplift during vs before campaign.</a:t>
          </a:r>
          <a:endParaRPr kumimoji="0" lang="en-IN" sz="1200" b="0" i="0" u="none" strike="noStrike" kern="0" cap="none" spc="0" normalizeH="0" baseline="0" noProof="0">
            <a:ln>
              <a:noFill/>
            </a:ln>
            <a:solidFill>
              <a:srgbClr val="000000"/>
            </a:solidFill>
            <a:effectLst/>
            <a:uLnTx/>
            <a:uFillTx/>
            <a:latin typeface="Calibri"/>
            <a:cs typeface="Calibri"/>
          </a:endParaRPr>
        </a:p>
      </xdr:txBody>
    </xdr:sp>
    <xdr:clientData/>
  </xdr:oneCellAnchor>
  <xdr:oneCellAnchor>
    <xdr:from>
      <xdr:col>16</xdr:col>
      <xdr:colOff>33618</xdr:colOff>
      <xdr:row>20</xdr:row>
      <xdr:rowOff>190500</xdr:rowOff>
    </xdr:from>
    <xdr:ext cx="9861177" cy="1210235"/>
    <xdr:sp macro="" textlink="">
      <xdr:nvSpPr>
        <xdr:cNvPr id="9" name="TextBox 8">
          <a:extLst>
            <a:ext uri="{FF2B5EF4-FFF2-40B4-BE49-F238E27FC236}">
              <a16:creationId xmlns:a16="http://schemas.microsoft.com/office/drawing/2014/main" id="{8ECB93F6-3902-48CA-871B-2E6B3E84CCE1}"/>
            </a:ext>
          </a:extLst>
        </xdr:cNvPr>
        <xdr:cNvSpPr txBox="1"/>
      </xdr:nvSpPr>
      <xdr:spPr>
        <a:xfrm>
          <a:off x="6992471" y="4224618"/>
          <a:ext cx="9861177" cy="1210235"/>
        </a:xfrm>
        <a:prstGeom prst="rect">
          <a:avLst/>
        </a:prstGeom>
        <a:solidFill>
          <a:srgbClr val="8064A2">
            <a:lumMod val="40000"/>
            <a:lumOff val="60000"/>
          </a:srgbClr>
        </a:solidFill>
        <a:ln w="6350">
          <a:solidFill>
            <a:srgbClr val="000000">
              <a:lumMod val="65000"/>
              <a:lumOff val="35000"/>
            </a:srgbClr>
          </a:solidFill>
        </a:ln>
        <a:effectLst/>
      </xdr:spPr>
      <xdr:txBody>
        <a:bodyPr vertOverflow="clip" horzOverflow="clip" wrap="non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IN" sz="1400" b="1" i="0" u="none" strike="noStrike" kern="0" cap="none" spc="0" normalizeH="0" baseline="0" noProof="0">
              <a:ln>
                <a:noFill/>
              </a:ln>
              <a:solidFill>
                <a:srgbClr val="000000"/>
              </a:solidFill>
              <a:effectLst/>
              <a:uLnTx/>
              <a:uFillTx/>
              <a:latin typeface="Calibri"/>
              <a:cs typeface="Calibri"/>
            </a:rPr>
            <a:t>Purpose/Formula used:</a:t>
          </a:r>
        </a:p>
        <a:p>
          <a:pPr marL="0" marR="0" lvl="0" indent="0" defTabSz="914400" eaLnBrk="1" fontAlgn="auto" latinLnBrk="0" hangingPunct="1">
            <a:lnSpc>
              <a:spcPct val="100000"/>
            </a:lnSpc>
            <a:spcBef>
              <a:spcPts val="0"/>
            </a:spcBef>
            <a:spcAft>
              <a:spcPts val="0"/>
            </a:spcAft>
            <a:buClrTx/>
            <a:buSzTx/>
            <a:buFontTx/>
            <a:buNone/>
            <a:tabLst/>
            <a:defRPr/>
          </a:pPr>
          <a:r>
            <a:rPr kumimoji="0" lang="en-IN" sz="1200" b="0" i="0" u="none" strike="noStrike" kern="0" cap="none" spc="0" normalizeH="0" baseline="0" noProof="0">
              <a:ln>
                <a:noFill/>
              </a:ln>
              <a:solidFill>
                <a:srgbClr val="000000"/>
              </a:solidFill>
              <a:effectLst/>
              <a:uLnTx/>
              <a:uFillTx/>
              <a:latin typeface="+mn-lt"/>
              <a:cs typeface="+mn-cs"/>
            </a:rPr>
            <a:t>To count the number of days - [@[End_Date]]-[@[Start_Date]]+1</a:t>
          </a:r>
        </a:p>
        <a:p>
          <a:pPr marL="0" marR="0" lvl="0" indent="0" defTabSz="914400" eaLnBrk="1" fontAlgn="auto" latinLnBrk="0" hangingPunct="1">
            <a:lnSpc>
              <a:spcPct val="100000"/>
            </a:lnSpc>
            <a:spcBef>
              <a:spcPts val="0"/>
            </a:spcBef>
            <a:spcAft>
              <a:spcPts val="0"/>
            </a:spcAft>
            <a:buClrTx/>
            <a:buSzTx/>
            <a:buFontTx/>
            <a:buNone/>
            <a:tabLst/>
            <a:defRPr/>
          </a:pPr>
          <a:r>
            <a:rPr kumimoji="0" lang="en-IN" sz="1200" b="0" i="0" u="none" strike="noStrike" kern="0" cap="none" spc="0" normalizeH="0" baseline="0" noProof="0">
              <a:ln>
                <a:noFill/>
              </a:ln>
              <a:solidFill>
                <a:srgbClr val="000000"/>
              </a:solidFill>
              <a:effectLst/>
              <a:uLnTx/>
              <a:uFillTx/>
              <a:latin typeface="+mn-lt"/>
              <a:cs typeface="+mn-cs"/>
            </a:rPr>
            <a:t>To calculate Engagement Metric - [@Likes]+[@Shares]+[@Comments]</a:t>
          </a:r>
        </a:p>
        <a:p>
          <a:pPr marL="0" marR="0" lvl="0" indent="0" defTabSz="914400" eaLnBrk="1" fontAlgn="auto" latinLnBrk="0" hangingPunct="1">
            <a:lnSpc>
              <a:spcPct val="100000"/>
            </a:lnSpc>
            <a:spcBef>
              <a:spcPts val="0"/>
            </a:spcBef>
            <a:spcAft>
              <a:spcPts val="0"/>
            </a:spcAft>
            <a:buClrTx/>
            <a:buSzTx/>
            <a:buFontTx/>
            <a:buNone/>
            <a:tabLst/>
            <a:defRPr/>
          </a:pPr>
          <a:r>
            <a:rPr kumimoji="0" lang="en-IN" sz="1200" b="0" i="0" u="none" strike="noStrike" kern="0" cap="none" spc="0" normalizeH="0" baseline="0" noProof="0">
              <a:ln>
                <a:noFill/>
              </a:ln>
              <a:solidFill>
                <a:srgbClr val="000000"/>
              </a:solidFill>
              <a:effectLst/>
              <a:uLnTx/>
              <a:uFillTx/>
              <a:latin typeface="+mn-lt"/>
              <a:cs typeface="+mn-cs"/>
            </a:rPr>
            <a:t>To calculate uplift - [@[Avg Daily during Engagement]]-[@[Avg_Before30Days]]</a:t>
          </a:r>
        </a:p>
        <a:p>
          <a:pPr marL="0" marR="0" lvl="0" indent="0" defTabSz="914400" eaLnBrk="1" fontAlgn="auto" latinLnBrk="0" hangingPunct="1">
            <a:lnSpc>
              <a:spcPct val="100000"/>
            </a:lnSpc>
            <a:spcBef>
              <a:spcPts val="0"/>
            </a:spcBef>
            <a:spcAft>
              <a:spcPts val="0"/>
            </a:spcAft>
            <a:buClrTx/>
            <a:buSzTx/>
            <a:buFontTx/>
            <a:buNone/>
            <a:tabLst/>
            <a:defRPr/>
          </a:pPr>
          <a:r>
            <a:rPr kumimoji="0" lang="en-IN" sz="1200" b="0" i="0" u="none" strike="noStrike" kern="0" cap="none" spc="0" normalizeH="0" baseline="0" noProof="0">
              <a:ln>
                <a:noFill/>
              </a:ln>
              <a:solidFill>
                <a:srgbClr val="000000"/>
              </a:solidFill>
              <a:effectLst/>
              <a:uLnTx/>
              <a:uFillTx/>
              <a:latin typeface="+mn-lt"/>
              <a:cs typeface="+mn-cs"/>
            </a:rPr>
            <a:t>For Engagement Rate - [@[Rate_Uplift]]/[@[Avg_Before30Days]]</a:t>
          </a:r>
        </a:p>
      </xdr:txBody>
    </xdr:sp>
    <xdr:clientData/>
  </xdr:oneCellAnchor>
</xdr:wsDr>
</file>

<file path=xl/drawings/drawing3.xml><?xml version="1.0" encoding="utf-8"?>
<xdr:wsDr xmlns:xdr="http://schemas.openxmlformats.org/drawingml/2006/spreadsheetDrawing" xmlns:a="http://schemas.openxmlformats.org/drawingml/2006/main">
  <xdr:twoCellAnchor editAs="absolute">
    <xdr:from>
      <xdr:col>8</xdr:col>
      <xdr:colOff>48745</xdr:colOff>
      <xdr:row>1</xdr:row>
      <xdr:rowOff>85725</xdr:rowOff>
    </xdr:from>
    <xdr:to>
      <xdr:col>9</xdr:col>
      <xdr:colOff>286870</xdr:colOff>
      <xdr:row>14</xdr:row>
      <xdr:rowOff>123265</xdr:rowOff>
    </xdr:to>
    <mc:AlternateContent xmlns:mc="http://schemas.openxmlformats.org/markup-compatibility/2006" xmlns:sle15="http://schemas.microsoft.com/office/drawing/2012/slicer">
      <mc:Choice Requires="sle15">
        <xdr:graphicFrame macro="">
          <xdr:nvGraphicFramePr>
            <xdr:cNvPr id="2" name="Platform">
              <a:extLst>
                <a:ext uri="{FF2B5EF4-FFF2-40B4-BE49-F238E27FC236}">
                  <a16:creationId xmlns:a16="http://schemas.microsoft.com/office/drawing/2014/main" id="{9CA53698-C37E-557D-9CEA-1EAE84166F00}"/>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10727951" y="276225"/>
              <a:ext cx="1829360" cy="251404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oneCellAnchor>
    <xdr:from>
      <xdr:col>9</xdr:col>
      <xdr:colOff>1568823</xdr:colOff>
      <xdr:row>19</xdr:row>
      <xdr:rowOff>96208</xdr:rowOff>
    </xdr:from>
    <xdr:ext cx="8401771" cy="853249"/>
    <xdr:sp macro="" textlink="">
      <xdr:nvSpPr>
        <xdr:cNvPr id="7" name="TextBox 6">
          <a:extLst>
            <a:ext uri="{FF2B5EF4-FFF2-40B4-BE49-F238E27FC236}">
              <a16:creationId xmlns:a16="http://schemas.microsoft.com/office/drawing/2014/main" id="{3803119B-77C5-419C-86FE-C7B0D0B2AAA1}"/>
            </a:ext>
          </a:extLst>
        </xdr:cNvPr>
        <xdr:cNvSpPr txBox="1"/>
      </xdr:nvSpPr>
      <xdr:spPr>
        <a:xfrm>
          <a:off x="13839264" y="3715708"/>
          <a:ext cx="8401771" cy="853249"/>
        </a:xfrm>
        <a:prstGeom prst="rect">
          <a:avLst/>
        </a:prstGeom>
        <a:solidFill>
          <a:srgbClr val="C0504D">
            <a:lumMod val="20000"/>
            <a:lumOff val="80000"/>
          </a:srgbClr>
        </a:solidFill>
        <a:ln w="6350">
          <a:solidFill>
            <a:srgbClr val="000000">
              <a:lumMod val="65000"/>
              <a:lumOff val="35000"/>
            </a:srgbClr>
          </a:solidFill>
        </a:ln>
        <a:effectLst/>
      </xdr:spPr>
      <xdr:txBody>
        <a:bodyPr vertOverflow="clip" horzOverflow="clip" wrap="non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IN" sz="1400" b="0" i="0" u="none" strike="noStrike" kern="0" cap="none" spc="0" normalizeH="0" baseline="0" noProof="0">
              <a:ln>
                <a:noFill/>
              </a:ln>
              <a:solidFill>
                <a:sysClr val="windowText" lastClr="000000"/>
              </a:solidFill>
              <a:effectLst/>
              <a:uLnTx/>
              <a:uFillTx/>
              <a:latin typeface="Calibri"/>
              <a:cs typeface="Calibri"/>
            </a:rPr>
            <a:t>Conclusion:</a:t>
          </a:r>
          <a:endParaRPr kumimoji="0" lang="en-IN" sz="1400" b="0" i="0" u="none" strike="noStrike" kern="0" cap="none" spc="0" normalizeH="0" baseline="0" noProof="0">
            <a:ln>
              <a:noFill/>
            </a:ln>
            <a:solidFill>
              <a:sysClr val="windowText" lastClr="000000"/>
            </a:solidFill>
            <a:effectLst/>
            <a:uLnTx/>
            <a:uFillTx/>
            <a:latin typeface="Calibri"/>
            <a:ea typeface="+mn-ea"/>
            <a:cs typeface="Calibri"/>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IN" sz="1200" b="0" i="0" u="none" strike="noStrike" kern="0" cap="none" spc="0" normalizeH="0" baseline="0" noProof="0">
              <a:ln>
                <a:noFill/>
              </a:ln>
              <a:solidFill>
                <a:sysClr val="windowText" lastClr="000000"/>
              </a:solidFill>
              <a:effectLst/>
              <a:uLnTx/>
              <a:uFillTx/>
              <a:latin typeface="Calibri"/>
              <a:ea typeface="+mn-ea"/>
              <a:cs typeface="Calibri"/>
            </a:rPr>
            <a:t>●  By analyzing the results from the calculation of ROI it's clear that Campaign named ChillVibes has generated most engagement </a:t>
          </a:r>
        </a:p>
        <a:p>
          <a:pPr marL="0" marR="0" lvl="0" indent="0" defTabSz="914400" eaLnBrk="1" fontAlgn="auto" latinLnBrk="0" hangingPunct="1">
            <a:lnSpc>
              <a:spcPct val="100000"/>
            </a:lnSpc>
            <a:spcBef>
              <a:spcPts val="0"/>
            </a:spcBef>
            <a:spcAft>
              <a:spcPts val="0"/>
            </a:spcAft>
            <a:buClrTx/>
            <a:buSzTx/>
            <a:buFontTx/>
            <a:buNone/>
            <a:tabLst/>
            <a:defRPr/>
          </a:pPr>
          <a:r>
            <a:rPr kumimoji="0" lang="en-IN" sz="1200" b="0" i="0" u="none" strike="noStrike" kern="0" cap="none" spc="0" normalizeH="0" baseline="0" noProof="0">
              <a:ln>
                <a:noFill/>
              </a:ln>
              <a:solidFill>
                <a:sysClr val="windowText" lastClr="000000"/>
              </a:solidFill>
              <a:effectLst/>
              <a:uLnTx/>
              <a:uFillTx/>
              <a:latin typeface="Calibri"/>
              <a:ea typeface="+mn-ea"/>
              <a:cs typeface="Calibri"/>
            </a:rPr>
            <a:t>    with less ad-spend.</a:t>
          </a:r>
          <a:endParaRPr kumimoji="0" lang="en-IN" sz="1200" b="1" i="0" u="none" strike="noStrike" kern="0" cap="none" spc="0" normalizeH="0" baseline="0" noProof="0">
            <a:ln>
              <a:noFill/>
            </a:ln>
            <a:solidFill>
              <a:sysClr val="windowText" lastClr="000000"/>
            </a:solidFill>
            <a:effectLst/>
            <a:uLnTx/>
            <a:uFillTx/>
            <a:latin typeface="Calibri"/>
            <a:ea typeface="+mn-ea"/>
            <a:cs typeface="Calibri"/>
          </a:endParaRPr>
        </a:p>
      </xdr:txBody>
    </xdr:sp>
    <xdr:clientData/>
  </xdr:oneCellAnchor>
  <xdr:oneCellAnchor>
    <xdr:from>
      <xdr:col>10</xdr:col>
      <xdr:colOff>23133</xdr:colOff>
      <xdr:row>13</xdr:row>
      <xdr:rowOff>7844</xdr:rowOff>
    </xdr:from>
    <xdr:ext cx="8145243" cy="1045509"/>
    <xdr:sp macro="" textlink="">
      <xdr:nvSpPr>
        <xdr:cNvPr id="8" name="TextBox 7">
          <a:extLst>
            <a:ext uri="{FF2B5EF4-FFF2-40B4-BE49-F238E27FC236}">
              <a16:creationId xmlns:a16="http://schemas.microsoft.com/office/drawing/2014/main" id="{3B3DC9C7-25E0-4B46-B867-C375F27B7074}"/>
            </a:ext>
          </a:extLst>
        </xdr:cNvPr>
        <xdr:cNvSpPr txBox="1"/>
      </xdr:nvSpPr>
      <xdr:spPr>
        <a:xfrm>
          <a:off x="13884809" y="2484344"/>
          <a:ext cx="8145243" cy="1045509"/>
        </a:xfrm>
        <a:prstGeom prst="rect">
          <a:avLst/>
        </a:prstGeom>
        <a:solidFill>
          <a:srgbClr val="C0504D">
            <a:lumMod val="20000"/>
            <a:lumOff val="80000"/>
          </a:srgbClr>
        </a:solidFill>
        <a:ln w="6350">
          <a:solidFill>
            <a:srgbClr val="000000">
              <a:lumMod val="65000"/>
              <a:lumOff val="35000"/>
            </a:srgbClr>
          </a:solidFill>
        </a:ln>
        <a:effectLst/>
      </xdr:spPr>
      <xdr:txBody>
        <a:bodyPr vertOverflow="clip" horzOverflow="clip" wrap="non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IN" sz="1400" b="0" i="0" u="none" strike="noStrike" kern="0" cap="none" spc="0" normalizeH="0" baseline="0" noProof="0">
              <a:ln>
                <a:noFill/>
              </a:ln>
              <a:solidFill>
                <a:sysClr val="windowText" lastClr="000000"/>
              </a:solidFill>
              <a:effectLst/>
              <a:uLnTx/>
              <a:uFillTx/>
              <a:latin typeface="Calibri"/>
              <a:cs typeface="Calibri"/>
            </a:rPr>
            <a:t>Steps Taken:</a:t>
          </a:r>
        </a:p>
        <a:p>
          <a:pPr marL="0" marR="0" lvl="0" indent="0" defTabSz="914400" eaLnBrk="1" fontAlgn="auto" latinLnBrk="0" hangingPunct="1">
            <a:lnSpc>
              <a:spcPct val="100000"/>
            </a:lnSpc>
            <a:spcBef>
              <a:spcPts val="0"/>
            </a:spcBef>
            <a:spcAft>
              <a:spcPts val="0"/>
            </a:spcAft>
            <a:buClrTx/>
            <a:buSzTx/>
            <a:buFontTx/>
            <a:buNone/>
            <a:tabLst/>
            <a:defRPr/>
          </a:pPr>
          <a:r>
            <a:rPr kumimoji="0" lang="en-IN" sz="1200" b="0" i="0" u="none" strike="noStrike" kern="0" cap="none" spc="0" normalizeH="0" baseline="0" noProof="0">
              <a:ln>
                <a:noFill/>
              </a:ln>
              <a:solidFill>
                <a:sysClr val="windowText" lastClr="000000"/>
              </a:solidFill>
              <a:effectLst/>
              <a:uLnTx/>
              <a:uFillTx/>
              <a:latin typeface="Calibri"/>
              <a:ea typeface="+mn-ea"/>
              <a:cs typeface="Calibri"/>
            </a:rPr>
            <a:t>● Engagement Rate is calculated.</a:t>
          </a:r>
        </a:p>
        <a:p>
          <a:pPr marL="0" marR="0" lvl="0" indent="0" defTabSz="914400" eaLnBrk="1" fontAlgn="auto" latinLnBrk="0" hangingPunct="1">
            <a:lnSpc>
              <a:spcPct val="100000"/>
            </a:lnSpc>
            <a:spcBef>
              <a:spcPts val="0"/>
            </a:spcBef>
            <a:spcAft>
              <a:spcPts val="0"/>
            </a:spcAft>
            <a:buClrTx/>
            <a:buSzTx/>
            <a:buFontTx/>
            <a:buNone/>
            <a:tabLst/>
            <a:defRPr/>
          </a:pPr>
          <a:r>
            <a:rPr kumimoji="0" lang="en-IN" sz="1200" b="0" i="0" u="none" strike="noStrike" kern="0" cap="none" spc="0" normalizeH="0" baseline="0" noProof="0">
              <a:ln>
                <a:noFill/>
              </a:ln>
              <a:solidFill>
                <a:sysClr val="windowText" lastClr="000000"/>
              </a:solidFill>
              <a:effectLst/>
              <a:uLnTx/>
              <a:uFillTx/>
              <a:latin typeface="Calibri"/>
              <a:ea typeface="+mn-ea"/>
              <a:cs typeface="Calibri"/>
            </a:rPr>
            <a:t>● Total of Engagement Rate and Total of Ad-spend is calculated during varouos campaign.</a:t>
          </a:r>
        </a:p>
        <a:p>
          <a:pPr marL="0" marR="0" lvl="0" indent="0" defTabSz="914400" eaLnBrk="1" fontAlgn="auto" latinLnBrk="0" hangingPunct="1">
            <a:lnSpc>
              <a:spcPct val="100000"/>
            </a:lnSpc>
            <a:spcBef>
              <a:spcPts val="0"/>
            </a:spcBef>
            <a:spcAft>
              <a:spcPts val="0"/>
            </a:spcAft>
            <a:buClrTx/>
            <a:buSzTx/>
            <a:buFontTx/>
            <a:buNone/>
            <a:tabLst/>
            <a:defRPr/>
          </a:pPr>
          <a:r>
            <a:rPr kumimoji="0" lang="en-IN" sz="1200" b="0" i="0" u="none" strike="noStrike" kern="0" cap="none" spc="0" normalizeH="0" baseline="0" noProof="0">
              <a:ln>
                <a:noFill/>
              </a:ln>
              <a:solidFill>
                <a:sysClr val="windowText" lastClr="000000"/>
              </a:solidFill>
              <a:effectLst/>
              <a:uLnTx/>
              <a:uFillTx/>
              <a:latin typeface="Calibri"/>
              <a:ea typeface="+mn-ea"/>
              <a:cs typeface="Calibri"/>
            </a:rPr>
            <a:t>● From the Total engagement and total Ad-spend ROI is calculated.</a:t>
          </a:r>
        </a:p>
      </xdr:txBody>
    </xdr:sp>
    <xdr:clientData/>
  </xdr:oneCellAnchor>
  <xdr:oneCellAnchor>
    <xdr:from>
      <xdr:col>10</xdr:col>
      <xdr:colOff>12886</xdr:colOff>
      <xdr:row>9</xdr:row>
      <xdr:rowOff>0</xdr:rowOff>
    </xdr:from>
    <xdr:ext cx="5881408" cy="609600"/>
    <xdr:sp macro="" textlink="">
      <xdr:nvSpPr>
        <xdr:cNvPr id="9" name="TextBox 8">
          <a:extLst>
            <a:ext uri="{FF2B5EF4-FFF2-40B4-BE49-F238E27FC236}">
              <a16:creationId xmlns:a16="http://schemas.microsoft.com/office/drawing/2014/main" id="{1601CB80-B55A-4712-A9C5-1E893E6BEF3B}"/>
            </a:ext>
          </a:extLst>
        </xdr:cNvPr>
        <xdr:cNvSpPr txBox="1"/>
      </xdr:nvSpPr>
      <xdr:spPr>
        <a:xfrm>
          <a:off x="13874562" y="1714500"/>
          <a:ext cx="5881408" cy="609600"/>
        </a:xfrm>
        <a:prstGeom prst="rect">
          <a:avLst/>
        </a:prstGeom>
        <a:solidFill>
          <a:srgbClr val="C0504D">
            <a:lumMod val="20000"/>
            <a:lumOff val="80000"/>
          </a:srgbClr>
        </a:solidFill>
        <a:ln w="6350">
          <a:solidFill>
            <a:srgbClr val="000000">
              <a:lumMod val="65000"/>
              <a:lumOff val="35000"/>
            </a:srgbClr>
          </a:solidFill>
        </a:ln>
        <a:effectLst/>
      </xdr:spPr>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IN" sz="1400" b="0" i="0" u="none" strike="noStrike" kern="0" cap="none" spc="0" normalizeH="0" baseline="0" noProof="0">
              <a:ln>
                <a:noFill/>
              </a:ln>
              <a:solidFill>
                <a:sysClr val="windowText" lastClr="000000"/>
              </a:solidFill>
              <a:effectLst/>
              <a:uLnTx/>
              <a:uFillTx/>
              <a:latin typeface="Calibri"/>
              <a:cs typeface="Calibri"/>
            </a:rPr>
            <a:t>Criteria:</a:t>
          </a:r>
          <a:endParaRPr kumimoji="0" lang="en-IN" sz="1400" b="0" i="0" u="none" strike="noStrike" kern="0" cap="none" spc="0" normalizeH="0" baseline="0" noProof="0">
            <a:ln>
              <a:noFill/>
            </a:ln>
            <a:solidFill>
              <a:sysClr val="windowText" lastClr="000000"/>
            </a:solidFill>
            <a:effectLst/>
            <a:uLnTx/>
            <a:uFillTx/>
            <a:latin typeface="Calibri"/>
            <a:ea typeface="+mn-ea"/>
            <a:cs typeface="Calibri"/>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IN" sz="1200" b="0" i="0" u="none" strike="noStrike" kern="0" cap="none" spc="0" normalizeH="0" baseline="0" noProof="0">
              <a:ln>
                <a:noFill/>
              </a:ln>
              <a:solidFill>
                <a:sysClr val="windowText" lastClr="000000"/>
              </a:solidFill>
              <a:effectLst/>
              <a:uLnTx/>
              <a:uFillTx/>
              <a:latin typeface="Calibri"/>
              <a:ea typeface="+mn-ea"/>
              <a:cs typeface="Calibri"/>
            </a:rPr>
            <a:t>● Evaluate: Campaign with highest ROI (engagement/Ad-spend)</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200" b="0" i="0" u="none" strike="noStrike" kern="0" cap="none" spc="0" normalizeH="0" baseline="0" noProof="0">
            <a:ln>
              <a:noFill/>
            </a:ln>
            <a:solidFill>
              <a:srgbClr val="000000"/>
            </a:solidFill>
            <a:effectLst/>
            <a:uLnTx/>
            <a:uFillTx/>
            <a:latin typeface="Calibri"/>
            <a:cs typeface="Calibri"/>
          </a:endParaRPr>
        </a:p>
      </xdr:txBody>
    </xdr:sp>
    <xdr:clientData/>
  </xdr:oneCellAnchor>
  <xdr:oneCellAnchor>
    <xdr:from>
      <xdr:col>9</xdr:col>
      <xdr:colOff>1557617</xdr:colOff>
      <xdr:row>25</xdr:row>
      <xdr:rowOff>11206</xdr:rowOff>
    </xdr:from>
    <xdr:ext cx="9861177" cy="1210235"/>
    <xdr:sp macro="" textlink="">
      <xdr:nvSpPr>
        <xdr:cNvPr id="10" name="TextBox 9">
          <a:extLst>
            <a:ext uri="{FF2B5EF4-FFF2-40B4-BE49-F238E27FC236}">
              <a16:creationId xmlns:a16="http://schemas.microsoft.com/office/drawing/2014/main" id="{010B6639-4006-4E1E-AEBD-2CCD07C77188}"/>
            </a:ext>
          </a:extLst>
        </xdr:cNvPr>
        <xdr:cNvSpPr txBox="1"/>
      </xdr:nvSpPr>
      <xdr:spPr>
        <a:xfrm>
          <a:off x="13828058" y="4829735"/>
          <a:ext cx="9861177" cy="1210235"/>
        </a:xfrm>
        <a:prstGeom prst="rect">
          <a:avLst/>
        </a:prstGeom>
        <a:solidFill>
          <a:srgbClr val="8064A2">
            <a:lumMod val="40000"/>
            <a:lumOff val="60000"/>
          </a:srgbClr>
        </a:solidFill>
        <a:ln w="6350">
          <a:solidFill>
            <a:srgbClr val="000000">
              <a:lumMod val="65000"/>
              <a:lumOff val="35000"/>
            </a:srgbClr>
          </a:solidFill>
        </a:ln>
        <a:effectLst/>
      </xdr:spPr>
      <xdr:txBody>
        <a:bodyPr vertOverflow="clip" horzOverflow="clip" wrap="non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IN" sz="1400" b="1" i="0" u="none" strike="noStrike" kern="0" cap="none" spc="0" normalizeH="0" baseline="0" noProof="0">
              <a:ln>
                <a:noFill/>
              </a:ln>
              <a:solidFill>
                <a:srgbClr val="000000"/>
              </a:solidFill>
              <a:effectLst/>
              <a:uLnTx/>
              <a:uFillTx/>
              <a:latin typeface="Calibri"/>
              <a:cs typeface="Calibri"/>
            </a:rPr>
            <a:t>Purpose/Formula used:</a:t>
          </a:r>
        </a:p>
        <a:p>
          <a:pPr marL="0" marR="0" lvl="0" indent="0" defTabSz="914400" eaLnBrk="1" fontAlgn="auto" latinLnBrk="0" hangingPunct="1">
            <a:lnSpc>
              <a:spcPct val="100000"/>
            </a:lnSpc>
            <a:spcBef>
              <a:spcPts val="0"/>
            </a:spcBef>
            <a:spcAft>
              <a:spcPts val="0"/>
            </a:spcAft>
            <a:buClrTx/>
            <a:buSzTx/>
            <a:buFontTx/>
            <a:buNone/>
            <a:tabLst/>
            <a:defRPr/>
          </a:pPr>
          <a:r>
            <a:rPr kumimoji="0" lang="en-IN" sz="1200" b="0" i="0" u="none" strike="noStrike" kern="0" cap="none" spc="0" normalizeH="0" baseline="0" noProof="0">
              <a:ln>
                <a:noFill/>
              </a:ln>
              <a:solidFill>
                <a:srgbClr val="000000"/>
              </a:solidFill>
              <a:effectLst/>
              <a:uLnTx/>
              <a:uFillTx/>
              <a:latin typeface="Calibri"/>
              <a:cs typeface="Calibri"/>
            </a:rPr>
            <a:t>To count the number of days - [@[End_Date]]-[@[Start_Date]]+1</a:t>
          </a:r>
        </a:p>
        <a:p>
          <a:pPr marL="0" marR="0" lvl="0" indent="0" defTabSz="914400" eaLnBrk="1" fontAlgn="auto" latinLnBrk="0" hangingPunct="1">
            <a:lnSpc>
              <a:spcPct val="100000"/>
            </a:lnSpc>
            <a:spcBef>
              <a:spcPts val="0"/>
            </a:spcBef>
            <a:spcAft>
              <a:spcPts val="0"/>
            </a:spcAft>
            <a:buClrTx/>
            <a:buSzTx/>
            <a:buFontTx/>
            <a:buNone/>
            <a:tabLst/>
            <a:defRPr/>
          </a:pPr>
          <a:r>
            <a:rPr kumimoji="0" lang="en-IN" sz="1200" b="0" i="0" u="none" strike="noStrike" kern="0" cap="none" spc="0" normalizeH="0" baseline="0" noProof="0">
              <a:ln>
                <a:noFill/>
              </a:ln>
              <a:solidFill>
                <a:srgbClr val="000000"/>
              </a:solidFill>
              <a:effectLst/>
              <a:uLnTx/>
              <a:uFillTx/>
              <a:latin typeface="Calibri"/>
              <a:cs typeface="Calibri"/>
            </a:rPr>
            <a:t>To calculate Engagement Metric - [@Likes]+[@Shares]+[@Comments]</a:t>
          </a:r>
        </a:p>
        <a:p>
          <a:pPr marL="0" marR="0" lvl="0" indent="0" defTabSz="914400" eaLnBrk="1" fontAlgn="auto" latinLnBrk="0" hangingPunct="1">
            <a:lnSpc>
              <a:spcPct val="100000"/>
            </a:lnSpc>
            <a:spcBef>
              <a:spcPts val="0"/>
            </a:spcBef>
            <a:spcAft>
              <a:spcPts val="0"/>
            </a:spcAft>
            <a:buClrTx/>
            <a:buSzTx/>
            <a:buFontTx/>
            <a:buNone/>
            <a:tabLst/>
            <a:defRPr/>
          </a:pPr>
          <a:r>
            <a:rPr kumimoji="0" lang="en-IN" sz="1200" b="0" i="0" u="none" strike="noStrike" kern="0" cap="none" spc="0" normalizeH="0" baseline="0" noProof="0">
              <a:ln>
                <a:noFill/>
              </a:ln>
              <a:solidFill>
                <a:srgbClr val="000000"/>
              </a:solidFill>
              <a:effectLst/>
              <a:uLnTx/>
              <a:uFillTx/>
              <a:latin typeface="Calibri"/>
              <a:cs typeface="Calibri"/>
            </a:rPr>
            <a:t>To calculate uplift - [@[Avg Daily during Engagement]]-[@[Avg_Before30Days]]</a:t>
          </a:r>
        </a:p>
        <a:p>
          <a:pPr marL="0" marR="0" lvl="0" indent="0" defTabSz="914400" eaLnBrk="1" fontAlgn="auto" latinLnBrk="0" hangingPunct="1">
            <a:lnSpc>
              <a:spcPct val="100000"/>
            </a:lnSpc>
            <a:spcBef>
              <a:spcPts val="0"/>
            </a:spcBef>
            <a:spcAft>
              <a:spcPts val="0"/>
            </a:spcAft>
            <a:buClrTx/>
            <a:buSzTx/>
            <a:buFontTx/>
            <a:buNone/>
            <a:tabLst/>
            <a:defRPr/>
          </a:pPr>
          <a:r>
            <a:rPr kumimoji="0" lang="en-IN" sz="1200" b="0" i="0" u="none" strike="noStrike" kern="0" cap="none" spc="0" normalizeH="0" baseline="0" noProof="0">
              <a:ln>
                <a:noFill/>
              </a:ln>
              <a:solidFill>
                <a:srgbClr val="000000"/>
              </a:solidFill>
              <a:effectLst/>
              <a:uLnTx/>
              <a:uFillTx/>
              <a:latin typeface="Calibri"/>
              <a:cs typeface="Calibri"/>
            </a:rPr>
            <a:t>For Engagement Rate - [@[Rate_Uplift]]/[@[Avg_Before30Days]]</a:t>
          </a:r>
        </a:p>
      </xdr:txBody>
    </xdr:sp>
    <xdr:clientData/>
  </xdr:oneCellAnchor>
</xdr:wsDr>
</file>

<file path=xl/drawings/drawing4.xml><?xml version="1.0" encoding="utf-8"?>
<xdr:wsDr xmlns:xdr="http://schemas.openxmlformats.org/drawingml/2006/spreadsheetDrawing" xmlns:a="http://schemas.openxmlformats.org/drawingml/2006/main">
  <xdr:twoCellAnchor editAs="absolute">
    <xdr:from>
      <xdr:col>12</xdr:col>
      <xdr:colOff>253892</xdr:colOff>
      <xdr:row>6</xdr:row>
      <xdr:rowOff>52028</xdr:rowOff>
    </xdr:from>
    <xdr:to>
      <xdr:col>12</xdr:col>
      <xdr:colOff>2092139</xdr:colOff>
      <xdr:row>19</xdr:row>
      <xdr:rowOff>109178</xdr:rowOff>
    </xdr:to>
    <mc:AlternateContent xmlns:mc="http://schemas.openxmlformats.org/markup-compatibility/2006" xmlns:sle15="http://schemas.microsoft.com/office/drawing/2012/slicer">
      <mc:Choice Requires="sle15">
        <xdr:graphicFrame macro="">
          <xdr:nvGraphicFramePr>
            <xdr:cNvPr id="2" name="Platform 1">
              <a:extLst>
                <a:ext uri="{FF2B5EF4-FFF2-40B4-BE49-F238E27FC236}">
                  <a16:creationId xmlns:a16="http://schemas.microsoft.com/office/drawing/2014/main" id="{10FA2133-120E-FFAF-2D43-0E372CE79FD7}"/>
                </a:ext>
              </a:extLst>
            </xdr:cNvPr>
            <xdr:cNvGraphicFramePr/>
          </xdr:nvGraphicFramePr>
          <xdr:xfrm>
            <a:off x="0" y="0"/>
            <a:ext cx="0" cy="0"/>
          </xdr:xfrm>
          <a:graphic>
            <a:graphicData uri="http://schemas.microsoft.com/office/drawing/2010/slicer">
              <sle:slicer xmlns:sle="http://schemas.microsoft.com/office/drawing/2010/slicer" name="Platform 1"/>
            </a:graphicData>
          </a:graphic>
        </xdr:graphicFrame>
      </mc:Choice>
      <mc:Fallback xmlns="">
        <xdr:sp macro="" textlink="">
          <xdr:nvSpPr>
            <xdr:cNvPr id="0" name=""/>
            <xdr:cNvSpPr>
              <a:spLocks noTextEdit="1"/>
            </xdr:cNvSpPr>
          </xdr:nvSpPr>
          <xdr:spPr>
            <a:xfrm>
              <a:off x="11022745" y="1195028"/>
              <a:ext cx="1838247" cy="253365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7</xdr:col>
      <xdr:colOff>296954</xdr:colOff>
      <xdr:row>5</xdr:row>
      <xdr:rowOff>156889</xdr:rowOff>
    </xdr:from>
    <xdr:to>
      <xdr:col>11</xdr:col>
      <xdr:colOff>1680881</xdr:colOff>
      <xdr:row>22</xdr:row>
      <xdr:rowOff>134470</xdr:rowOff>
    </xdr:to>
    <xdr:graphicFrame macro="">
      <xdr:nvGraphicFramePr>
        <xdr:cNvPr id="3" name="Chart 2">
          <a:extLst>
            <a:ext uri="{FF2B5EF4-FFF2-40B4-BE49-F238E27FC236}">
              <a16:creationId xmlns:a16="http://schemas.microsoft.com/office/drawing/2014/main" id="{3667E91A-F99E-8346-AA8D-B970A88F46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14</xdr:col>
      <xdr:colOff>0</xdr:colOff>
      <xdr:row>13</xdr:row>
      <xdr:rowOff>129826</xdr:rowOff>
    </xdr:from>
    <xdr:ext cx="8401771" cy="853249"/>
    <xdr:sp macro="" textlink="">
      <xdr:nvSpPr>
        <xdr:cNvPr id="8" name="TextBox 7">
          <a:extLst>
            <a:ext uri="{FF2B5EF4-FFF2-40B4-BE49-F238E27FC236}">
              <a16:creationId xmlns:a16="http://schemas.microsoft.com/office/drawing/2014/main" id="{F3EC3B81-1B13-49D0-817F-040895975D2D}"/>
            </a:ext>
          </a:extLst>
        </xdr:cNvPr>
        <xdr:cNvSpPr txBox="1"/>
      </xdr:nvSpPr>
      <xdr:spPr>
        <a:xfrm>
          <a:off x="13659971" y="2606326"/>
          <a:ext cx="8401771" cy="853249"/>
        </a:xfrm>
        <a:prstGeom prst="rect">
          <a:avLst/>
        </a:prstGeom>
        <a:solidFill>
          <a:srgbClr val="C0504D">
            <a:lumMod val="20000"/>
            <a:lumOff val="80000"/>
          </a:srgbClr>
        </a:solidFill>
        <a:ln w="6350">
          <a:solidFill>
            <a:srgbClr val="000000">
              <a:lumMod val="65000"/>
              <a:lumOff val="35000"/>
            </a:srgbClr>
          </a:solidFill>
        </a:ln>
        <a:effectLst/>
      </xdr:spPr>
      <xdr:txBody>
        <a:bodyPr vertOverflow="clip" horzOverflow="clip" wrap="non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IN" sz="1400" b="0" i="0" u="none" strike="noStrike" kern="0" cap="none" spc="0" normalizeH="0" baseline="0" noProof="0">
              <a:ln>
                <a:noFill/>
              </a:ln>
              <a:solidFill>
                <a:sysClr val="windowText" lastClr="000000"/>
              </a:solidFill>
              <a:effectLst/>
              <a:uLnTx/>
              <a:uFillTx/>
              <a:latin typeface="Calibri"/>
              <a:cs typeface="Calibri"/>
            </a:rPr>
            <a:t>Conclusion:</a:t>
          </a:r>
          <a:endParaRPr kumimoji="0" lang="en-IN" sz="1400" b="0" i="0" u="none" strike="noStrike" kern="0" cap="none" spc="0" normalizeH="0" baseline="0" noProof="0">
            <a:ln>
              <a:noFill/>
            </a:ln>
            <a:solidFill>
              <a:sysClr val="windowText" lastClr="000000"/>
            </a:solidFill>
            <a:effectLst/>
            <a:uLnTx/>
            <a:uFillTx/>
            <a:latin typeface="Calibri"/>
            <a:ea typeface="+mn-ea"/>
            <a:cs typeface="Calibri"/>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IN" sz="1200" b="0" i="0" u="none" strike="noStrike" kern="0" cap="none" spc="0" normalizeH="0" baseline="0" noProof="0">
              <a:ln>
                <a:noFill/>
              </a:ln>
              <a:solidFill>
                <a:sysClr val="windowText" lastClr="000000"/>
              </a:solidFill>
              <a:effectLst/>
              <a:uLnTx/>
              <a:uFillTx/>
              <a:latin typeface="Calibri"/>
              <a:ea typeface="+mn-ea"/>
              <a:cs typeface="Calibri"/>
            </a:rPr>
            <a:t>●  We can conclude that in campaign name #SummerBeats most new followers joined while in campaign #ChillVibes most </a:t>
          </a:r>
        </a:p>
        <a:p>
          <a:pPr marL="0" marR="0" lvl="0" indent="0" defTabSz="914400" eaLnBrk="1" fontAlgn="auto" latinLnBrk="0" hangingPunct="1">
            <a:lnSpc>
              <a:spcPct val="100000"/>
            </a:lnSpc>
            <a:spcBef>
              <a:spcPts val="0"/>
            </a:spcBef>
            <a:spcAft>
              <a:spcPts val="0"/>
            </a:spcAft>
            <a:buClrTx/>
            <a:buSzTx/>
            <a:buFontTx/>
            <a:buNone/>
            <a:tabLst/>
            <a:defRPr/>
          </a:pPr>
          <a:r>
            <a:rPr kumimoji="0" lang="en-IN" sz="1200" b="0" i="0" u="none" strike="noStrike" kern="0" cap="none" spc="0" normalizeH="0" baseline="0" noProof="0">
              <a:ln>
                <a:noFill/>
              </a:ln>
              <a:solidFill>
                <a:sysClr val="windowText" lastClr="000000"/>
              </a:solidFill>
              <a:effectLst/>
              <a:uLnTx/>
              <a:uFillTx/>
              <a:latin typeface="Calibri"/>
              <a:ea typeface="+mn-ea"/>
              <a:cs typeface="Calibri"/>
            </a:rPr>
            <a:t>     apps are being downloaded.</a:t>
          </a:r>
          <a:endParaRPr kumimoji="0" lang="en-IN" sz="1200" b="1" i="0" u="none" strike="noStrike" kern="0" cap="none" spc="0" normalizeH="0" baseline="0" noProof="0">
            <a:ln>
              <a:noFill/>
            </a:ln>
            <a:solidFill>
              <a:sysClr val="windowText" lastClr="000000"/>
            </a:solidFill>
            <a:effectLst/>
            <a:uLnTx/>
            <a:uFillTx/>
            <a:latin typeface="Calibri"/>
            <a:ea typeface="+mn-ea"/>
            <a:cs typeface="Calibri"/>
          </a:endParaRPr>
        </a:p>
      </xdr:txBody>
    </xdr:sp>
    <xdr:clientData/>
  </xdr:oneCellAnchor>
  <xdr:oneCellAnchor>
    <xdr:from>
      <xdr:col>14</xdr:col>
      <xdr:colOff>23133</xdr:colOff>
      <xdr:row>6</xdr:row>
      <xdr:rowOff>7844</xdr:rowOff>
    </xdr:from>
    <xdr:ext cx="8145243" cy="1213597"/>
    <xdr:sp macro="" textlink="">
      <xdr:nvSpPr>
        <xdr:cNvPr id="9" name="TextBox 8">
          <a:extLst>
            <a:ext uri="{FF2B5EF4-FFF2-40B4-BE49-F238E27FC236}">
              <a16:creationId xmlns:a16="http://schemas.microsoft.com/office/drawing/2014/main" id="{9B8AEF22-FA67-4281-AE81-B3057807BB17}"/>
            </a:ext>
          </a:extLst>
        </xdr:cNvPr>
        <xdr:cNvSpPr txBox="1"/>
      </xdr:nvSpPr>
      <xdr:spPr>
        <a:xfrm>
          <a:off x="13683104" y="1150844"/>
          <a:ext cx="8145243" cy="1213597"/>
        </a:xfrm>
        <a:prstGeom prst="rect">
          <a:avLst/>
        </a:prstGeom>
        <a:solidFill>
          <a:srgbClr val="C0504D">
            <a:lumMod val="20000"/>
            <a:lumOff val="80000"/>
          </a:srgbClr>
        </a:solidFill>
        <a:ln w="6350">
          <a:solidFill>
            <a:srgbClr val="000000">
              <a:lumMod val="65000"/>
              <a:lumOff val="35000"/>
            </a:srgbClr>
          </a:solidFill>
        </a:ln>
        <a:effectLst/>
      </xdr:spPr>
      <xdr:txBody>
        <a:bodyPr vertOverflow="clip" horzOverflow="clip" wrap="non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IN" sz="1400" b="0" i="0" u="none" strike="noStrike" kern="0" cap="none" spc="0" normalizeH="0" baseline="0" noProof="0">
              <a:ln>
                <a:noFill/>
              </a:ln>
              <a:solidFill>
                <a:sysClr val="windowText" lastClr="000000"/>
              </a:solidFill>
              <a:effectLst/>
              <a:uLnTx/>
              <a:uFillTx/>
              <a:latin typeface="Calibri"/>
              <a:cs typeface="Calibri"/>
            </a:rPr>
            <a:t>Steps Taken:</a:t>
          </a:r>
        </a:p>
        <a:p>
          <a:pPr marL="0" marR="0" lvl="0" indent="0" defTabSz="914400" eaLnBrk="1" fontAlgn="auto" latinLnBrk="0" hangingPunct="1">
            <a:lnSpc>
              <a:spcPct val="100000"/>
            </a:lnSpc>
            <a:spcBef>
              <a:spcPts val="0"/>
            </a:spcBef>
            <a:spcAft>
              <a:spcPts val="0"/>
            </a:spcAft>
            <a:buClrTx/>
            <a:buSzTx/>
            <a:buFontTx/>
            <a:buNone/>
            <a:tabLst/>
            <a:defRPr/>
          </a:pPr>
          <a:r>
            <a:rPr kumimoji="0" lang="en-IN" sz="1200" b="0" i="0" u="none" strike="noStrike" kern="0" cap="none" spc="0" normalizeH="0" baseline="0" noProof="0">
              <a:ln>
                <a:noFill/>
              </a:ln>
              <a:solidFill>
                <a:sysClr val="windowText" lastClr="000000"/>
              </a:solidFill>
              <a:effectLst/>
              <a:uLnTx/>
              <a:uFillTx/>
              <a:latin typeface="Calibri"/>
              <a:ea typeface="+mn-ea"/>
              <a:cs typeface="Calibri"/>
            </a:rPr>
            <a:t>● Considering campaign start date and it's end date I've calculated Total of New follower joined and Total clicks doen by the </a:t>
          </a:r>
        </a:p>
        <a:p>
          <a:pPr marL="0" marR="0" lvl="0" indent="0" defTabSz="914400" eaLnBrk="1" fontAlgn="auto" latinLnBrk="0" hangingPunct="1">
            <a:lnSpc>
              <a:spcPct val="100000"/>
            </a:lnSpc>
            <a:spcBef>
              <a:spcPts val="0"/>
            </a:spcBef>
            <a:spcAft>
              <a:spcPts val="0"/>
            </a:spcAft>
            <a:buClrTx/>
            <a:buSzTx/>
            <a:buFontTx/>
            <a:buNone/>
            <a:tabLst/>
            <a:defRPr/>
          </a:pPr>
          <a:r>
            <a:rPr kumimoji="0" lang="en-IN" sz="1200" b="0" i="0" u="none" strike="noStrike" kern="0" cap="none" spc="0" normalizeH="0" baseline="0" noProof="0">
              <a:ln>
                <a:noFill/>
              </a:ln>
              <a:solidFill>
                <a:sysClr val="windowText" lastClr="000000"/>
              </a:solidFill>
              <a:effectLst/>
              <a:uLnTx/>
              <a:uFillTx/>
              <a:latin typeface="Calibri"/>
              <a:ea typeface="+mn-ea"/>
              <a:cs typeface="Calibri"/>
            </a:rPr>
            <a:t>    user to download Spotify app.</a:t>
          </a:r>
        </a:p>
        <a:p>
          <a:pPr marL="0" marR="0" lvl="0" indent="0" defTabSz="914400" eaLnBrk="1" fontAlgn="auto" latinLnBrk="0" hangingPunct="1">
            <a:lnSpc>
              <a:spcPct val="100000"/>
            </a:lnSpc>
            <a:spcBef>
              <a:spcPts val="0"/>
            </a:spcBef>
            <a:spcAft>
              <a:spcPts val="0"/>
            </a:spcAft>
            <a:buClrTx/>
            <a:buSzTx/>
            <a:buFontTx/>
            <a:buNone/>
            <a:tabLst/>
            <a:defRPr/>
          </a:pPr>
          <a:r>
            <a:rPr kumimoji="0" lang="en-IN" sz="1200" b="0" i="0" u="none" strike="noStrike" kern="0" cap="none" spc="0" normalizeH="0" baseline="0" noProof="0">
              <a:ln>
                <a:noFill/>
              </a:ln>
              <a:solidFill>
                <a:sysClr val="windowText" lastClr="000000"/>
              </a:solidFill>
              <a:effectLst/>
              <a:uLnTx/>
              <a:uFillTx/>
              <a:latin typeface="Calibri"/>
              <a:ea typeface="+mn-ea"/>
              <a:cs typeface="Calibri"/>
            </a:rPr>
            <a:t>● Created slicer to filter platforms as used in campaign.</a:t>
          </a:r>
        </a:p>
        <a:p>
          <a:pPr marL="0" marR="0" lvl="0" indent="0" defTabSz="914400" eaLnBrk="1" fontAlgn="auto" latinLnBrk="0" hangingPunct="1">
            <a:lnSpc>
              <a:spcPct val="100000"/>
            </a:lnSpc>
            <a:spcBef>
              <a:spcPts val="0"/>
            </a:spcBef>
            <a:spcAft>
              <a:spcPts val="0"/>
            </a:spcAft>
            <a:buClrTx/>
            <a:buSzTx/>
            <a:buFontTx/>
            <a:buNone/>
            <a:tabLst/>
            <a:defRPr/>
          </a:pPr>
          <a:r>
            <a:rPr kumimoji="0" lang="en-IN" sz="1200" b="0" i="0" u="none" strike="noStrike" kern="0" cap="none" spc="0" normalizeH="0" baseline="0" noProof="0">
              <a:ln>
                <a:noFill/>
              </a:ln>
              <a:solidFill>
                <a:sysClr val="windowText" lastClr="000000"/>
              </a:solidFill>
              <a:effectLst/>
              <a:uLnTx/>
              <a:uFillTx/>
              <a:latin typeface="Calibri"/>
              <a:ea typeface="+mn-ea"/>
              <a:cs typeface="Calibri"/>
            </a:rPr>
            <a:t>● Created a bar graph for comparision purpose.</a:t>
          </a:r>
        </a:p>
        <a:p>
          <a:pPr marL="0" marR="0" lvl="0" indent="0" defTabSz="914400" eaLnBrk="1" fontAlgn="auto" latinLnBrk="0" hangingPunct="1">
            <a:lnSpc>
              <a:spcPct val="100000"/>
            </a:lnSpc>
            <a:spcBef>
              <a:spcPts val="0"/>
            </a:spcBef>
            <a:spcAft>
              <a:spcPts val="0"/>
            </a:spcAft>
            <a:buClrTx/>
            <a:buSzTx/>
            <a:buFontTx/>
            <a:buNone/>
            <a:tabLst/>
            <a:defRPr/>
          </a:pPr>
          <a:r>
            <a:rPr kumimoji="0" lang="en-IN" sz="1200" b="0" i="0" u="none" strike="noStrike" kern="0" cap="none" spc="0" normalizeH="0" baseline="0" noProof="0">
              <a:ln>
                <a:noFill/>
              </a:ln>
              <a:solidFill>
                <a:sysClr val="windowText" lastClr="000000"/>
              </a:solidFill>
              <a:effectLst/>
              <a:uLnTx/>
              <a:uFillTx/>
              <a:latin typeface="Calibri"/>
              <a:ea typeface="+mn-ea"/>
              <a:cs typeface="Calibri"/>
            </a:rPr>
            <a:t> </a:t>
          </a:r>
          <a:endParaRPr kumimoji="0" lang="en-IN" sz="1200" b="0" i="0" u="none" strike="noStrike" kern="0" cap="none" spc="0" normalizeH="0" baseline="0" noProof="0">
            <a:ln>
              <a:noFill/>
            </a:ln>
            <a:solidFill>
              <a:sysClr val="windowText" lastClr="000000"/>
            </a:solidFill>
            <a:effectLst/>
            <a:uLnTx/>
            <a:uFillTx/>
            <a:latin typeface="Calibri"/>
            <a:cs typeface="Calibri"/>
          </a:endParaRPr>
        </a:p>
      </xdr:txBody>
    </xdr:sp>
    <xdr:clientData/>
  </xdr:oneCellAnchor>
  <xdr:oneCellAnchor>
    <xdr:from>
      <xdr:col>14</xdr:col>
      <xdr:colOff>12886</xdr:colOff>
      <xdr:row>1</xdr:row>
      <xdr:rowOff>190499</xdr:rowOff>
    </xdr:from>
    <xdr:ext cx="5881408" cy="683559"/>
    <xdr:sp macro="" textlink="">
      <xdr:nvSpPr>
        <xdr:cNvPr id="10" name="TextBox 9">
          <a:extLst>
            <a:ext uri="{FF2B5EF4-FFF2-40B4-BE49-F238E27FC236}">
              <a16:creationId xmlns:a16="http://schemas.microsoft.com/office/drawing/2014/main" id="{B64DA5C2-FBD7-4A0C-B5B2-7927D878D97A}"/>
            </a:ext>
          </a:extLst>
        </xdr:cNvPr>
        <xdr:cNvSpPr txBox="1"/>
      </xdr:nvSpPr>
      <xdr:spPr>
        <a:xfrm>
          <a:off x="13672857" y="380999"/>
          <a:ext cx="5881408" cy="683559"/>
        </a:xfrm>
        <a:prstGeom prst="rect">
          <a:avLst/>
        </a:prstGeom>
        <a:solidFill>
          <a:srgbClr val="C0504D">
            <a:lumMod val="20000"/>
            <a:lumOff val="80000"/>
          </a:srgbClr>
        </a:solidFill>
        <a:ln w="6350">
          <a:solidFill>
            <a:srgbClr val="000000">
              <a:lumMod val="65000"/>
              <a:lumOff val="35000"/>
            </a:srgbClr>
          </a:solidFill>
        </a:ln>
        <a:effectLst/>
      </xdr:spPr>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IN" sz="1400" b="0" i="0" u="none" strike="noStrike" kern="0" cap="none" spc="0" normalizeH="0" baseline="0" noProof="0">
              <a:ln>
                <a:noFill/>
              </a:ln>
              <a:solidFill>
                <a:sysClr val="windowText" lastClr="000000"/>
              </a:solidFill>
              <a:effectLst/>
              <a:uLnTx/>
              <a:uFillTx/>
              <a:latin typeface="Calibri"/>
              <a:cs typeface="Calibri"/>
            </a:rPr>
            <a:t>Criteria:</a:t>
          </a:r>
          <a:endParaRPr kumimoji="0" lang="en-IN" sz="1400" b="0" i="0" u="none" strike="noStrike" kern="0" cap="none" spc="0" normalizeH="0" baseline="0" noProof="0">
            <a:ln>
              <a:noFill/>
            </a:ln>
            <a:solidFill>
              <a:sysClr val="windowText" lastClr="000000"/>
            </a:solidFill>
            <a:effectLst/>
            <a:uLnTx/>
            <a:uFillTx/>
            <a:latin typeface="Calibri"/>
            <a:ea typeface="+mn-ea"/>
            <a:cs typeface="Calibri"/>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IN" sz="1200" b="0" i="0" u="none" strike="noStrike" kern="0" cap="none" spc="0" normalizeH="0" baseline="0" noProof="0">
              <a:ln>
                <a:noFill/>
              </a:ln>
              <a:solidFill>
                <a:sysClr val="windowText" lastClr="000000"/>
              </a:solidFill>
              <a:effectLst/>
              <a:uLnTx/>
              <a:uFillTx/>
              <a:latin typeface="Calibri"/>
              <a:ea typeface="+mn-ea"/>
              <a:cs typeface="Calibri"/>
            </a:rPr>
            <a:t>● Evaluate : Campaign with strongest follower or app download growth. (I've considered click rate for app download rate)</a:t>
          </a:r>
          <a:endParaRPr kumimoji="0" lang="en-IN" sz="1200" b="0" i="0" u="none" strike="noStrike" kern="0" cap="none" spc="0" normalizeH="0" baseline="0" noProof="0">
            <a:ln>
              <a:noFill/>
            </a:ln>
            <a:solidFill>
              <a:srgbClr val="000000"/>
            </a:solidFill>
            <a:effectLst/>
            <a:uLnTx/>
            <a:uFillTx/>
            <a:latin typeface="Calibri"/>
            <a:cs typeface="Calibri"/>
          </a:endParaRPr>
        </a:p>
      </xdr:txBody>
    </xdr:sp>
    <xdr:clientData/>
  </xdr:oneCellAnchor>
  <xdr:oneCellAnchor>
    <xdr:from>
      <xdr:col>14</xdr:col>
      <xdr:colOff>0</xdr:colOff>
      <xdr:row>19</xdr:row>
      <xdr:rowOff>134471</xdr:rowOff>
    </xdr:from>
    <xdr:ext cx="9861177" cy="918882"/>
    <xdr:sp macro="" textlink="">
      <xdr:nvSpPr>
        <xdr:cNvPr id="11" name="TextBox 10">
          <a:extLst>
            <a:ext uri="{FF2B5EF4-FFF2-40B4-BE49-F238E27FC236}">
              <a16:creationId xmlns:a16="http://schemas.microsoft.com/office/drawing/2014/main" id="{F97D4343-43E3-43D7-9CFC-3CF549F7D323}"/>
            </a:ext>
          </a:extLst>
        </xdr:cNvPr>
        <xdr:cNvSpPr txBox="1"/>
      </xdr:nvSpPr>
      <xdr:spPr>
        <a:xfrm>
          <a:off x="13659971" y="3753971"/>
          <a:ext cx="9861177" cy="918882"/>
        </a:xfrm>
        <a:prstGeom prst="rect">
          <a:avLst/>
        </a:prstGeom>
        <a:solidFill>
          <a:srgbClr val="8064A2">
            <a:lumMod val="40000"/>
            <a:lumOff val="60000"/>
          </a:srgbClr>
        </a:solidFill>
        <a:ln w="6350">
          <a:solidFill>
            <a:srgbClr val="000000">
              <a:lumMod val="65000"/>
              <a:lumOff val="35000"/>
            </a:srgbClr>
          </a:solidFill>
        </a:ln>
        <a:effectLst/>
      </xdr:spPr>
      <xdr:txBody>
        <a:bodyPr vertOverflow="clip" horzOverflow="clip" wrap="none" rtlCol="0" anchor="ctr">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IN" sz="1400" b="1" i="0" u="none" strike="noStrike" kern="0" cap="none" spc="0" normalizeH="0" baseline="0" noProof="0">
              <a:ln>
                <a:noFill/>
              </a:ln>
              <a:solidFill>
                <a:srgbClr val="000000"/>
              </a:solidFill>
              <a:effectLst/>
              <a:uLnTx/>
              <a:uFillTx/>
              <a:latin typeface="Calibri"/>
              <a:cs typeface="Calibri"/>
            </a:rPr>
            <a:t>Purpose/Formula used:</a:t>
          </a:r>
        </a:p>
        <a:p>
          <a:pPr marL="0" marR="0" lvl="0" indent="0" defTabSz="914400" eaLnBrk="1" fontAlgn="auto" latinLnBrk="0" hangingPunct="1">
            <a:lnSpc>
              <a:spcPct val="100000"/>
            </a:lnSpc>
            <a:spcBef>
              <a:spcPts val="0"/>
            </a:spcBef>
            <a:spcAft>
              <a:spcPts val="0"/>
            </a:spcAft>
            <a:buClrTx/>
            <a:buSzTx/>
            <a:buFontTx/>
            <a:buNone/>
            <a:tabLst/>
            <a:defRPr/>
          </a:pPr>
          <a:r>
            <a:rPr kumimoji="0" lang="en-IN" sz="1200" b="0" i="0" u="none" strike="noStrike" kern="0" cap="none" spc="0" normalizeH="0" baseline="0" noProof="0">
              <a:ln>
                <a:noFill/>
              </a:ln>
              <a:solidFill>
                <a:srgbClr val="000000"/>
              </a:solidFill>
              <a:effectLst/>
              <a:uLnTx/>
              <a:uFillTx/>
              <a:latin typeface="Calibri"/>
              <a:cs typeface="Calibri"/>
            </a:rPr>
            <a:t>Used the subtotal formula to calculate Total new followers and total clicks happened - SUBTOTAL(K:K) / SUBTOTAL(C:C)</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00.414960300928" createdVersion="8" refreshedVersion="8" minRefreshableVersion="3" recordCount="300" xr:uid="{E6A4AA8E-AE85-4C64-997E-3AAA7204224F}">
  <cacheSource type="worksheet">
    <worksheetSource name="Table1"/>
  </cacheSource>
  <cacheFields count="14">
    <cacheField name="Post ID" numFmtId="0">
      <sharedItems/>
    </cacheField>
    <cacheField name="Platform" numFmtId="0">
      <sharedItems/>
    </cacheField>
    <cacheField name="Date" numFmtId="14">
      <sharedItems containsSemiMixedTypes="0" containsNonDate="0" containsDate="1" containsString="0" minDate="2024-01-01T00:00:00" maxDate="2025-07-02T00:00:00"/>
    </cacheField>
    <cacheField name="Content Type" numFmtId="0">
      <sharedItems/>
    </cacheField>
    <cacheField name="Post Text" numFmtId="0">
      <sharedItems/>
    </cacheField>
    <cacheField name="Likes" numFmtId="1">
      <sharedItems containsSemiMixedTypes="0" containsString="0" containsNumber="1" containsInteger="1" minValue="1010" maxValue="4995"/>
    </cacheField>
    <cacheField name="Shares" numFmtId="1">
      <sharedItems containsSemiMixedTypes="0" containsString="0" containsNumber="1" containsInteger="1" minValue="100" maxValue="499"/>
    </cacheField>
    <cacheField name="Comments" numFmtId="1">
      <sharedItems containsSemiMixedTypes="0" containsString="0" containsNumber="1" containsInteger="1" minValue="51" maxValue="400"/>
    </cacheField>
    <cacheField name="Impressions" numFmtId="1">
      <sharedItems containsSemiMixedTypes="0" containsString="0" containsNumber="1" containsInteger="1" minValue="20368" maxValue="59888"/>
    </cacheField>
    <cacheField name="Reach" numFmtId="1">
      <sharedItems containsSemiMixedTypes="0" containsString="0" containsNumber="1" containsInteger="1" minValue="18091" maxValue="74761"/>
    </cacheField>
    <cacheField name="Clicks" numFmtId="1">
      <sharedItems containsSemiMixedTypes="0" containsString="0" containsNumber="1" containsInteger="1" minValue="80" maxValue="299"/>
    </cacheField>
    <cacheField name="Hastag_1" numFmtId="0">
      <sharedItems/>
    </cacheField>
    <cacheField name="Hastag_2" numFmtId="0">
      <sharedItems containsBlank="1"/>
    </cacheField>
    <cacheField name="Campaign_Name" numFmtId="0">
      <sharedItems count="4">
        <s v="ChillVibes"/>
        <s v="IndieWave"/>
        <s v="Wrapped2024"/>
        <s v="SummerBeat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SP001"/>
    <s v="Instagram"/>
    <d v="2025-05-04T00:00:00"/>
    <s v="Text"/>
    <s v="Discover fresh beats on Spotify!"/>
    <n v="2414"/>
    <n v="245"/>
    <n v="137"/>
    <n v="21181"/>
    <n v="45292"/>
    <n v="133"/>
    <s v="#SoundtrackOfLife"/>
    <s v="#NowPlaying"/>
    <x v="0"/>
  </r>
  <r>
    <s v="SP002"/>
    <s v="Instagram"/>
    <d v="2025-02-01T00:00:00"/>
    <s v="Text"/>
    <s v="Explore the latest podcasts now."/>
    <n v="1934"/>
    <n v="210"/>
    <n v="393"/>
    <n v="29129"/>
    <n v="73287"/>
    <n v="273"/>
    <s v="#DiscoverWeekly"/>
    <m/>
    <x v="1"/>
  </r>
  <r>
    <s v="SP003"/>
    <s v="Twitter"/>
    <d v="2024-12-03T00:00:00"/>
    <s v="Story"/>
    <s v="New music just dropped. Hit play!"/>
    <n v="3092"/>
    <n v="177"/>
    <n v="81"/>
    <n v="47533"/>
    <n v="29220"/>
    <n v="121"/>
    <s v="#MusicForEveryone"/>
    <s v="#NowPlaying"/>
    <x v="0"/>
  </r>
  <r>
    <s v="SP004"/>
    <s v="Instagram"/>
    <d v="2024-12-03T00:00:00"/>
    <s v="Text"/>
    <s v="Wrapped is here! Relive your top tracks"/>
    <n v="3173"/>
    <n v="229"/>
    <n v="197"/>
    <n v="29604"/>
    <n v="21809"/>
    <n v="272"/>
    <s v="#SoundtrackOfLife"/>
    <s v="#NowPlaying"/>
    <x v="0"/>
  </r>
  <r>
    <s v="SP005"/>
    <s v="YouTube"/>
    <d v="2024-04-06T00:00:00"/>
    <s v="Text"/>
    <s v="Music that moves you only on Spotify."/>
    <n v="2748"/>
    <n v="145"/>
    <n v="315"/>
    <n v="24401"/>
    <n v="61182"/>
    <n v="200"/>
    <s v="#DiscoverWeekly"/>
    <s v="#SpotifyWrapped"/>
    <x v="1"/>
  </r>
  <r>
    <s v="SP006"/>
    <s v="YouTube"/>
    <d v="2024-06-13T00:00:00"/>
    <s v="Text"/>
    <s v="Whats your vibe today?"/>
    <n v="3882"/>
    <n v="239"/>
    <n v="275"/>
    <n v="58748"/>
    <n v="44646"/>
    <n v="149"/>
    <s v="#DiscoverWeekly"/>
    <s v="#SpotifyWrapped"/>
    <x v="1"/>
  </r>
  <r>
    <s v="SP007"/>
    <s v="Twitter"/>
    <d v="2024-12-19T00:00:00"/>
    <s v="Story"/>
    <s v="Get into the groove with our new drop!"/>
    <n v="4674"/>
    <n v="409"/>
    <n v="327"/>
    <n v="20756"/>
    <n v="63599"/>
    <n v="212"/>
    <s v="#SoundtrackOfLife"/>
    <s v="#NowPlaying"/>
    <x v="0"/>
  </r>
  <r>
    <s v="SP008"/>
    <s v="Twitter"/>
    <d v="2024-05-09T00:00:00"/>
    <s v="Story"/>
    <s v="Wrapped is here! Relive your top tracks"/>
    <n v="1428"/>
    <n v="347"/>
    <n v="67"/>
    <n v="21148"/>
    <n v="19712"/>
    <n v="120"/>
    <s v="#DiscoverWeekly"/>
    <s v="#MusicForEveryone"/>
    <x v="0"/>
  </r>
  <r>
    <s v="SP009"/>
    <s v="Twitter"/>
    <d v="2025-06-15T00:00:00"/>
    <s v="Text"/>
    <s v="Top trending tracks updated daily!"/>
    <n v="4432"/>
    <n v="223"/>
    <n v="299"/>
    <n v="59016"/>
    <n v="21742"/>
    <n v="171"/>
    <s v="#NowPlaying"/>
    <m/>
    <x v="0"/>
  </r>
  <r>
    <s v="SP010"/>
    <s v="Twitter"/>
    <d v="2024-12-04T00:00:00"/>
    <s v="Text"/>
    <s v="Wrapped is here! Relive your top tracks"/>
    <n v="2357"/>
    <n v="274"/>
    <n v="172"/>
    <n v="21566"/>
    <n v="66829"/>
    <n v="284"/>
    <s v="#NowPlaying"/>
    <m/>
    <x v="0"/>
  </r>
  <r>
    <s v="SP011"/>
    <s v="Twitter"/>
    <d v="2024-03-06T00:00:00"/>
    <s v="Text"/>
    <s v="Discover fresh beats on Spotify!"/>
    <n v="1971"/>
    <n v="370"/>
    <n v="306"/>
    <n v="31316"/>
    <n v="27897"/>
    <n v="88"/>
    <s v="#SoundtrackOfLife"/>
    <m/>
    <x v="1"/>
  </r>
  <r>
    <s v="SP012"/>
    <s v="Instagram"/>
    <d v="2024-05-14T00:00:00"/>
    <s v="Text"/>
    <s v="Discover fresh beats on Spotify!"/>
    <n v="1485"/>
    <n v="353"/>
    <n v="244"/>
    <n v="38419"/>
    <n v="38556"/>
    <n v="86"/>
    <s v="#SoundtrackOfLife"/>
    <s v="#NowPlaying"/>
    <x v="0"/>
  </r>
  <r>
    <s v="SP013"/>
    <s v="Twitter"/>
    <d v="2025-06-18T00:00:00"/>
    <s v="Story"/>
    <s v="Discover fresh beats on Spotify!"/>
    <n v="3956"/>
    <n v="319"/>
    <n v="61"/>
    <n v="58162"/>
    <n v="28720"/>
    <n v="213"/>
    <s v="#MusicForEveryone"/>
    <s v="#NowPlaying"/>
    <x v="0"/>
  </r>
  <r>
    <s v="SP014"/>
    <s v="Twitter"/>
    <d v="2024-10-08T00:00:00"/>
    <s v="Text"/>
    <s v="From pop to podcasts, its all here."/>
    <n v="2460"/>
    <n v="409"/>
    <n v="253"/>
    <n v="36702"/>
    <n v="46122"/>
    <n v="264"/>
    <s v="#NowPlaying"/>
    <m/>
    <x v="0"/>
  </r>
  <r>
    <s v="SP015"/>
    <s v="Twitter"/>
    <d v="2024-05-06T00:00:00"/>
    <s v="Text"/>
    <s v="Your weekend playlist is waiting."/>
    <n v="3476"/>
    <n v="355"/>
    <n v="396"/>
    <n v="37492"/>
    <n v="27285"/>
    <n v="179"/>
    <s v="#NowPlaying"/>
    <m/>
    <x v="0"/>
  </r>
  <r>
    <s v="SP016"/>
    <s v="Twitter"/>
    <d v="2024-12-29T00:00:00"/>
    <s v="Story"/>
    <s v="New music just dropped. Hit play!"/>
    <n v="4049"/>
    <n v="377"/>
    <n v="94"/>
    <n v="48182"/>
    <n v="42875"/>
    <n v="172"/>
    <s v="#MusicForEveryone"/>
    <s v="#NowPlaying"/>
    <x v="0"/>
  </r>
  <r>
    <s v="SP017"/>
    <s v="Twitter"/>
    <d v="2024-06-10T00:00:00"/>
    <s v="Text"/>
    <s v="Whats your vibe today?"/>
    <n v="1514"/>
    <n v="164"/>
    <n v="275"/>
    <n v="41364"/>
    <n v="44389"/>
    <n v="83"/>
    <s v="#NowPlaying"/>
    <m/>
    <x v="0"/>
  </r>
  <r>
    <s v="SP018"/>
    <s v="Instagram"/>
    <d v="2024-02-03T00:00:00"/>
    <s v="Story"/>
    <s v="Music that moves you only on Spotify."/>
    <n v="4281"/>
    <n v="101"/>
    <n v="163"/>
    <n v="32278"/>
    <n v="53382"/>
    <n v="235"/>
    <s v="#NowPlaying"/>
    <m/>
    <x v="2"/>
  </r>
  <r>
    <s v="SP019"/>
    <s v="YouTube"/>
    <d v="2024-06-15T00:00:00"/>
    <s v="Reel"/>
    <s v="Get into the groove with our new drop!"/>
    <n v="1751"/>
    <n v="143"/>
    <n v="151"/>
    <n v="31826"/>
    <n v="47729"/>
    <n v="95"/>
    <s v="#DiscoverWeekly"/>
    <s v="#SoundtrackOfLife"/>
    <x v="3"/>
  </r>
  <r>
    <s v="SP020"/>
    <s v="Instagram"/>
    <d v="2024-07-05T00:00:00"/>
    <s v="Text"/>
    <s v="Your weekend playlist is waiting."/>
    <n v="3753"/>
    <n v="411"/>
    <n v="308"/>
    <n v="29138"/>
    <n v="27678"/>
    <n v="90"/>
    <s v="#DiscoverWeekly"/>
    <m/>
    <x v="1"/>
  </r>
  <r>
    <s v="SP021"/>
    <s v="Instagram"/>
    <d v="2024-11-07T00:00:00"/>
    <s v="Story"/>
    <s v="Wrapped is here! Relive your top tracks"/>
    <n v="1678"/>
    <n v="423"/>
    <n v="323"/>
    <n v="55668"/>
    <n v="37945"/>
    <n v="230"/>
    <s v="#NowPlaying"/>
    <m/>
    <x v="2"/>
  </r>
  <r>
    <s v="SP022"/>
    <s v="Instagram"/>
    <d v="2025-06-15T00:00:00"/>
    <s v="Text"/>
    <s v="Whats your vibe today?"/>
    <n v="4896"/>
    <n v="466"/>
    <n v="233"/>
    <n v="28621"/>
    <n v="34270"/>
    <n v="84"/>
    <s v="#SoundtrackOfLife"/>
    <s v="#NowPlaying"/>
    <x v="0"/>
  </r>
  <r>
    <s v="SP023"/>
    <s v="YouTube"/>
    <d v="2024-06-09T00:00:00"/>
    <s v="Reel"/>
    <s v="From pop to podcasts, its all here."/>
    <n v="2786"/>
    <n v="368"/>
    <n v="208"/>
    <n v="42000"/>
    <n v="39967"/>
    <n v="103"/>
    <s v="#DiscoverWeekly"/>
    <s v="#SoundtrackOfLife"/>
    <x v="3"/>
  </r>
  <r>
    <s v="SP024"/>
    <s v="Twitter"/>
    <d v="2024-10-18T00:00:00"/>
    <s v="Text"/>
    <s v="New music just dropped. Hit play!"/>
    <n v="2607"/>
    <n v="379"/>
    <n v="180"/>
    <n v="28712"/>
    <n v="61620"/>
    <n v="174"/>
    <s v="#SoundtrackOfLife"/>
    <m/>
    <x v="1"/>
  </r>
  <r>
    <s v="SP025"/>
    <s v="YouTube"/>
    <d v="2024-10-10T00:00:00"/>
    <s v="Reel"/>
    <s v="From pop to podcasts, its all here."/>
    <n v="4013"/>
    <n v="320"/>
    <n v="92"/>
    <n v="54605"/>
    <n v="60169"/>
    <n v="232"/>
    <s v="#DiscoverWeekly"/>
    <s v="#SoundtrackOfLife"/>
    <x v="3"/>
  </r>
  <r>
    <s v="SP026"/>
    <s v="Twitter"/>
    <d v="2025-05-14T00:00:00"/>
    <s v="Story"/>
    <s v="From pop to podcasts, its all here."/>
    <n v="2707"/>
    <n v="103"/>
    <n v="51"/>
    <n v="55302"/>
    <n v="18801"/>
    <n v="147"/>
    <s v="#DiscoverWeekly"/>
    <s v="#MusicForEveryone"/>
    <x v="0"/>
  </r>
  <r>
    <s v="SP027"/>
    <s v="Instagram"/>
    <d v="2024-11-29T00:00:00"/>
    <s v="Text"/>
    <s v="Whats your vibe today?"/>
    <n v="2824"/>
    <n v="425"/>
    <n v="274"/>
    <n v="31004"/>
    <n v="53488"/>
    <n v="268"/>
    <s v="#SoundtrackOfLife"/>
    <s v="#NowPlaying"/>
    <x v="0"/>
  </r>
  <r>
    <s v="SP028"/>
    <s v="YouTube"/>
    <d v="2024-03-05T00:00:00"/>
    <s v="Reel"/>
    <s v="Explore the latest podcasts now."/>
    <n v="3558"/>
    <n v="314"/>
    <n v="199"/>
    <n v="49612"/>
    <n v="53929"/>
    <n v="206"/>
    <s v="#DiscoverWeekly"/>
    <s v="#SoundtrackOfLife"/>
    <x v="3"/>
  </r>
  <r>
    <s v="SP029"/>
    <s v="Twitter"/>
    <d v="2025-03-18T00:00:00"/>
    <s v="Story"/>
    <s v="Explore the latest podcasts now."/>
    <n v="3418"/>
    <n v="188"/>
    <n v="387"/>
    <n v="57431"/>
    <n v="36933"/>
    <n v="202"/>
    <s v="#MusicForEveryone"/>
    <s v="#NowPlaying"/>
    <x v="0"/>
  </r>
  <r>
    <s v="SP030"/>
    <s v="Twitter"/>
    <d v="2025-04-26T00:00:00"/>
    <s v="Text"/>
    <s v="Discover fresh beats on Spotify!"/>
    <n v="2411"/>
    <n v="194"/>
    <n v="168"/>
    <n v="26665"/>
    <n v="71699"/>
    <n v="197"/>
    <s v="#NowPlaying"/>
    <m/>
    <x v="0"/>
  </r>
  <r>
    <s v="SP031"/>
    <s v="Instagram"/>
    <d v="2025-01-01T00:00:00"/>
    <s v="Text"/>
    <s v="New music just dropped. Hit play!"/>
    <n v="4036"/>
    <n v="112"/>
    <n v="382"/>
    <n v="56284"/>
    <n v="29440"/>
    <n v="279"/>
    <s v="#SoundtrackOfLife"/>
    <s v="#NowPlaying"/>
    <x v="0"/>
  </r>
  <r>
    <s v="SP032"/>
    <s v="Twitter"/>
    <d v="2024-05-07T00:00:00"/>
    <s v="Story"/>
    <s v="Explore the latest podcasts now."/>
    <n v="2776"/>
    <n v="307"/>
    <n v="178"/>
    <n v="43365"/>
    <n v="48408"/>
    <n v="138"/>
    <s v="#SoundtrackOfLife"/>
    <s v="#NowPlaying"/>
    <x v="0"/>
  </r>
  <r>
    <s v="SP033"/>
    <s v="Twitter"/>
    <d v="2024-10-09T00:00:00"/>
    <s v="Story"/>
    <s v="Discover fresh beats on Spotify!"/>
    <n v="4929"/>
    <n v="182"/>
    <n v="95"/>
    <n v="32181"/>
    <n v="31084"/>
    <n v="289"/>
    <s v="#DiscoverWeekly"/>
    <s v="#MusicForEveryone"/>
    <x v="0"/>
  </r>
  <r>
    <s v="SP034"/>
    <s v="Instagram"/>
    <d v="2025-01-09T00:00:00"/>
    <s v="Text"/>
    <s v="New music just dropped. Hit play!"/>
    <n v="1015"/>
    <n v="366"/>
    <n v="308"/>
    <n v="38127"/>
    <n v="63790"/>
    <n v="287"/>
    <s v="#SoundtrackOfLife"/>
    <s v="#NowPlaying"/>
    <x v="0"/>
  </r>
  <r>
    <s v="SP035"/>
    <s v="Twitter"/>
    <d v="2025-05-08T00:00:00"/>
    <s v="Story"/>
    <s v="Your weekend playlist is waiting."/>
    <n v="3316"/>
    <n v="332"/>
    <n v="268"/>
    <n v="40095"/>
    <n v="36913"/>
    <n v="265"/>
    <s v="#MusicForEveryone"/>
    <s v="#NowPlaying"/>
    <x v="0"/>
  </r>
  <r>
    <s v="SP036"/>
    <s v="Instagram"/>
    <d v="2024-05-04T00:00:00"/>
    <s v="Text"/>
    <s v="Wrapped is here! Relive your top tracks"/>
    <n v="2274"/>
    <n v="243"/>
    <n v="222"/>
    <n v="43066"/>
    <n v="59174"/>
    <n v="80"/>
    <s v="#DiscoverWeekly"/>
    <m/>
    <x v="1"/>
  </r>
  <r>
    <s v="SP037"/>
    <s v="Twitter"/>
    <d v="2025-05-27T00:00:00"/>
    <s v="Story"/>
    <s v="Explore the latest podcasts now."/>
    <n v="4095"/>
    <n v="385"/>
    <n v="400"/>
    <n v="45300"/>
    <n v="31795"/>
    <n v="80"/>
    <s v="#MusicForEveryone"/>
    <s v="#NowPlaying"/>
    <x v="0"/>
  </r>
  <r>
    <s v="SP038"/>
    <s v="Instagram"/>
    <d v="2024-09-10T00:00:00"/>
    <s v="Story"/>
    <s v="New music just dropped. Hit play!"/>
    <n v="1230"/>
    <n v="309"/>
    <n v="207"/>
    <n v="44629"/>
    <n v="40699"/>
    <n v="195"/>
    <s v="#NowPlaying"/>
    <m/>
    <x v="2"/>
  </r>
  <r>
    <s v="SP039"/>
    <s v="Instagram"/>
    <d v="2024-11-25T00:00:00"/>
    <s v="Text"/>
    <s v="From pop to podcasts, its all here."/>
    <n v="1341"/>
    <n v="472"/>
    <n v="238"/>
    <n v="51386"/>
    <n v="51706"/>
    <n v="133"/>
    <s v="#DiscoverWeekly"/>
    <m/>
    <x v="1"/>
  </r>
  <r>
    <s v="SP040"/>
    <s v="Twitter"/>
    <d v="2025-06-10T00:00:00"/>
    <s v="Text"/>
    <s v="Explore the latest podcasts now."/>
    <n v="3615"/>
    <n v="192"/>
    <n v="162"/>
    <n v="27492"/>
    <n v="35341"/>
    <n v="125"/>
    <s v="#NowPlaying"/>
    <m/>
    <x v="0"/>
  </r>
  <r>
    <s v="SP041"/>
    <s v="Instagram"/>
    <d v="2024-04-19T00:00:00"/>
    <s v="Text"/>
    <s v="New music just dropped. Hit play!"/>
    <n v="4001"/>
    <n v="353"/>
    <n v="129"/>
    <n v="41265"/>
    <n v="37279"/>
    <n v="275"/>
    <s v="#SoundtrackOfLife"/>
    <s v="#NowPlaying"/>
    <x v="0"/>
  </r>
  <r>
    <s v="SP042"/>
    <s v="Instagram"/>
    <d v="2025-01-26T00:00:00"/>
    <s v="Story"/>
    <s v="Whats your vibe today?"/>
    <n v="3451"/>
    <n v="363"/>
    <n v="393"/>
    <n v="44853"/>
    <n v="69032"/>
    <n v="211"/>
    <s v="#NowPlaying"/>
    <m/>
    <x v="2"/>
  </r>
  <r>
    <s v="SP043"/>
    <s v="Instagram"/>
    <d v="2025-02-14T00:00:00"/>
    <s v="Text"/>
    <s v="Top trending tracks updated daily!"/>
    <n v="4891"/>
    <n v="450"/>
    <n v="387"/>
    <n v="48746"/>
    <n v="37312"/>
    <n v="154"/>
    <s v="#SoundtrackOfLife"/>
    <s v="#NowPlaying"/>
    <x v="0"/>
  </r>
  <r>
    <s v="SP044"/>
    <s v="Instagram"/>
    <d v="2024-09-06T00:00:00"/>
    <s v="Text"/>
    <s v="New music just dropped. Hit play!"/>
    <n v="1452"/>
    <n v="281"/>
    <n v="326"/>
    <n v="51556"/>
    <n v="62599"/>
    <n v="290"/>
    <s v="#DiscoverWeekly"/>
    <m/>
    <x v="1"/>
  </r>
  <r>
    <s v="SP045"/>
    <s v="YouTube"/>
    <d v="2024-07-14T00:00:00"/>
    <s v="Text"/>
    <s v="Your weekend playlist is waiting."/>
    <n v="3806"/>
    <n v="114"/>
    <n v="278"/>
    <n v="36148"/>
    <n v="24209"/>
    <n v="201"/>
    <s v="#DiscoverWeekly"/>
    <s v="#SpotifyWrapped"/>
    <x v="1"/>
  </r>
  <r>
    <s v="SP046"/>
    <s v="Instagram"/>
    <d v="2024-02-12T00:00:00"/>
    <s v="Text"/>
    <s v="Explore the latest podcasts now."/>
    <n v="2923"/>
    <n v="330"/>
    <n v="250"/>
    <n v="23993"/>
    <n v="74590"/>
    <n v="92"/>
    <s v="#DiscoverWeekly"/>
    <m/>
    <x v="1"/>
  </r>
  <r>
    <s v="SP047"/>
    <s v="YouTube"/>
    <d v="2024-03-14T00:00:00"/>
    <s v="Reel"/>
    <s v="From pop to podcasts, its all here."/>
    <n v="3361"/>
    <n v="188"/>
    <n v="358"/>
    <n v="39838"/>
    <n v="24536"/>
    <n v="120"/>
    <s v="#DiscoverWeekly"/>
    <s v="#SoundtrackOfLife"/>
    <x v="3"/>
  </r>
  <r>
    <s v="SP048"/>
    <s v="Instagram"/>
    <d v="2025-02-05T00:00:00"/>
    <s v="Story"/>
    <s v="Music that moves you only on Spotify."/>
    <n v="3074"/>
    <n v="371"/>
    <n v="348"/>
    <n v="24104"/>
    <n v="57803"/>
    <n v="213"/>
    <s v="#NowPlaying"/>
    <m/>
    <x v="2"/>
  </r>
  <r>
    <s v="SP049"/>
    <s v="Twitter"/>
    <d v="2024-08-29T00:00:00"/>
    <s v="Story"/>
    <s v="Get into the groove with our new drop!"/>
    <n v="4276"/>
    <n v="227"/>
    <n v="223"/>
    <n v="43443"/>
    <n v="41005"/>
    <n v="191"/>
    <s v="#DiscoverWeekly"/>
    <s v="#MusicForEveryone"/>
    <x v="0"/>
  </r>
  <r>
    <s v="SP050"/>
    <s v="Twitter"/>
    <d v="2025-04-22T00:00:00"/>
    <s v="Text"/>
    <s v="Discover fresh beats on Spotify!"/>
    <n v="4401"/>
    <n v="421"/>
    <n v="216"/>
    <n v="24890"/>
    <n v="54361"/>
    <n v="148"/>
    <s v="#NowPlaying"/>
    <m/>
    <x v="0"/>
  </r>
  <r>
    <s v="SP051"/>
    <s v="YouTube"/>
    <d v="2024-05-13T00:00:00"/>
    <s v="Reel"/>
    <s v="Explore the latest podcasts now."/>
    <n v="4161"/>
    <n v="481"/>
    <n v="61"/>
    <n v="45884"/>
    <n v="48955"/>
    <n v="215"/>
    <s v="#DiscoverWeekly"/>
    <s v="#SoundtrackOfLife"/>
    <x v="3"/>
  </r>
  <r>
    <s v="SP052"/>
    <s v="Twitter"/>
    <d v="2024-09-04T00:00:00"/>
    <s v="Story"/>
    <s v="New music just dropped. Hit play!"/>
    <n v="2613"/>
    <n v="455"/>
    <n v="228"/>
    <n v="21645"/>
    <n v="61334"/>
    <n v="261"/>
    <s v="#DiscoverWeekly"/>
    <s v="#MusicForEveryone"/>
    <x v="0"/>
  </r>
  <r>
    <s v="SP053"/>
    <s v="Twitter"/>
    <d v="2024-08-12T00:00:00"/>
    <s v="Story"/>
    <s v="Whats your vibe today?"/>
    <n v="2842"/>
    <n v="213"/>
    <n v="331"/>
    <n v="57660"/>
    <n v="68606"/>
    <n v="87"/>
    <s v="#MusicForEveryone"/>
    <s v="#NowPlaying"/>
    <x v="0"/>
  </r>
  <r>
    <s v="SP054"/>
    <s v="Instagram"/>
    <d v="2025-03-06T00:00:00"/>
    <s v="Text"/>
    <s v="Get into the groove with our new drop!"/>
    <n v="4851"/>
    <n v="460"/>
    <n v="212"/>
    <n v="58075"/>
    <n v="59574"/>
    <n v="239"/>
    <s v="#DiscoverWeekly"/>
    <m/>
    <x v="1"/>
  </r>
  <r>
    <s v="SP055"/>
    <s v="Twitter"/>
    <d v="2024-05-08T00:00:00"/>
    <s v="Text"/>
    <s v="Explore the latest podcasts now."/>
    <n v="1828"/>
    <n v="450"/>
    <n v="214"/>
    <n v="52115"/>
    <n v="19166"/>
    <n v="190"/>
    <s v="#NowPlaying"/>
    <m/>
    <x v="0"/>
  </r>
  <r>
    <s v="SP056"/>
    <s v="Instagram"/>
    <d v="2025-02-19T00:00:00"/>
    <s v="Story"/>
    <s v="From pop to podcasts, its all here."/>
    <n v="2422"/>
    <n v="455"/>
    <n v="376"/>
    <n v="23428"/>
    <n v="46775"/>
    <n v="259"/>
    <s v="#NowPlaying"/>
    <m/>
    <x v="2"/>
  </r>
  <r>
    <s v="SP057"/>
    <s v="Instagram"/>
    <d v="2024-01-08T00:00:00"/>
    <s v="Text"/>
    <s v="Top trending tracks updated daily!"/>
    <n v="2683"/>
    <n v="405"/>
    <n v="223"/>
    <n v="31233"/>
    <n v="58106"/>
    <n v="291"/>
    <s v="#DiscoverWeekly"/>
    <m/>
    <x v="1"/>
  </r>
  <r>
    <s v="SP058"/>
    <s v="YouTube"/>
    <d v="2024-07-17T00:00:00"/>
    <s v="Text"/>
    <s v="Top trending tracks updated daily!"/>
    <n v="3135"/>
    <n v="110"/>
    <n v="215"/>
    <n v="39192"/>
    <n v="24744"/>
    <n v="177"/>
    <s v="#DiscoverWeekly"/>
    <s v="#SpotifyWrapped"/>
    <x v="1"/>
  </r>
  <r>
    <s v="SP059"/>
    <s v="YouTube"/>
    <d v="2024-08-10T00:00:00"/>
    <s v="Text"/>
    <s v="From pop to podcasts, its all here."/>
    <n v="1105"/>
    <n v="181"/>
    <n v="55"/>
    <n v="53581"/>
    <n v="74048"/>
    <n v="220"/>
    <s v="#DiscoverWeekly"/>
    <s v="#SpotifyWrapped"/>
    <x v="1"/>
  </r>
  <r>
    <s v="SP060"/>
    <s v="YouTube"/>
    <d v="2024-04-16T00:00:00"/>
    <s v="Text"/>
    <s v="Discover fresh beats on Spotify!"/>
    <n v="4674"/>
    <n v="326"/>
    <n v="62"/>
    <n v="45503"/>
    <n v="46814"/>
    <n v="116"/>
    <s v="#DiscoverWeekly"/>
    <s v="#SpotifyWrapped"/>
    <x v="1"/>
  </r>
  <r>
    <s v="SP061"/>
    <s v="YouTube"/>
    <d v="2024-01-01T00:00:00"/>
    <s v="Reel"/>
    <s v="Explore the latest podcasts now."/>
    <n v="3437"/>
    <n v="129"/>
    <n v="359"/>
    <n v="44558"/>
    <n v="30854"/>
    <n v="171"/>
    <s v="#DiscoverWeekly"/>
    <s v="#SoundtrackOfLife"/>
    <x v="3"/>
  </r>
  <r>
    <s v="SP062"/>
    <s v="Twitter"/>
    <d v="2024-11-03T00:00:00"/>
    <s v="Story"/>
    <s v="Wrapped is here! Relive your top tracks"/>
    <n v="1959"/>
    <n v="316"/>
    <n v="82"/>
    <n v="54036"/>
    <n v="69015"/>
    <n v="182"/>
    <s v="#MusicForEveryone"/>
    <s v="#NowPlaying"/>
    <x v="0"/>
  </r>
  <r>
    <s v="SP063"/>
    <s v="Twitter"/>
    <d v="2024-07-07T00:00:00"/>
    <s v="Text"/>
    <s v="New music just dropped. Hit play!"/>
    <n v="1035"/>
    <n v="137"/>
    <n v="184"/>
    <n v="37302"/>
    <n v="68953"/>
    <n v="237"/>
    <s v="#SoundtrackOfLife"/>
    <m/>
    <x v="1"/>
  </r>
  <r>
    <s v="SP064"/>
    <s v="Twitter"/>
    <d v="2025-01-22T00:00:00"/>
    <s v="Story"/>
    <s v="New music just dropped. Hit play!"/>
    <n v="4478"/>
    <n v="101"/>
    <n v="121"/>
    <n v="51035"/>
    <n v="58207"/>
    <n v="205"/>
    <s v="#MusicForEveryone"/>
    <s v="#NowPlaying"/>
    <x v="0"/>
  </r>
  <r>
    <s v="SP065"/>
    <s v="YouTube"/>
    <d v="2024-05-26T00:00:00"/>
    <s v="Text"/>
    <s v="From pop to podcasts, its all here."/>
    <n v="1488"/>
    <n v="327"/>
    <n v="110"/>
    <n v="53805"/>
    <n v="30239"/>
    <n v="109"/>
    <s v="#DiscoverWeekly"/>
    <s v="#SpotifyWrapped"/>
    <x v="1"/>
  </r>
  <r>
    <s v="SP066"/>
    <s v="Instagram"/>
    <d v="2025-04-16T00:00:00"/>
    <s v="Text"/>
    <s v="Wrapped is here! Relive your top tracks"/>
    <n v="4836"/>
    <n v="331"/>
    <n v="140"/>
    <n v="58792"/>
    <n v="47711"/>
    <n v="227"/>
    <s v="#SoundtrackOfLife"/>
    <s v="#NowPlaying"/>
    <x v="0"/>
  </r>
  <r>
    <s v="SP067"/>
    <s v="YouTube"/>
    <d v="2024-04-02T00:00:00"/>
    <s v="Reel"/>
    <s v="Your weekend playlist is waiting."/>
    <n v="4563"/>
    <n v="488"/>
    <n v="356"/>
    <n v="30619"/>
    <n v="23328"/>
    <n v="267"/>
    <s v="#DiscoverWeekly"/>
    <s v="#SoundtrackOfLife"/>
    <x v="3"/>
  </r>
  <r>
    <s v="SP068"/>
    <s v="Twitter"/>
    <d v="2024-03-28T00:00:00"/>
    <s v="Text"/>
    <s v="Music that moves you only on Spotify."/>
    <n v="3276"/>
    <n v="421"/>
    <n v="114"/>
    <n v="20580"/>
    <n v="30324"/>
    <n v="221"/>
    <s v="#SoundtrackOfLife"/>
    <m/>
    <x v="1"/>
  </r>
  <r>
    <s v="SP069"/>
    <s v="Twitter"/>
    <d v="2024-12-17T00:00:00"/>
    <s v="Story"/>
    <s v="Music that moves you only on Spotify."/>
    <n v="1316"/>
    <n v="472"/>
    <n v="286"/>
    <n v="44692"/>
    <n v="53343"/>
    <n v="227"/>
    <s v="#DiscoverWeekly"/>
    <s v="#MusicForEveryone"/>
    <x v="0"/>
  </r>
  <r>
    <s v="SP070"/>
    <s v="Twitter"/>
    <d v="2025-01-05T00:00:00"/>
    <s v="Text"/>
    <s v="Wrapped is here! Relive your top tracks"/>
    <n v="4811"/>
    <n v="473"/>
    <n v="254"/>
    <n v="51964"/>
    <n v="68795"/>
    <n v="107"/>
    <s v="#NowPlaying"/>
    <m/>
    <x v="0"/>
  </r>
  <r>
    <s v="SP071"/>
    <s v="Twitter"/>
    <d v="2024-01-11T00:00:00"/>
    <s v="Text"/>
    <s v="Whats your vibe today?"/>
    <n v="4218"/>
    <n v="247"/>
    <n v="183"/>
    <n v="28914"/>
    <n v="18310"/>
    <n v="135"/>
    <s v="#SoundtrackOfLife"/>
    <m/>
    <x v="1"/>
  </r>
  <r>
    <s v="SP072"/>
    <s v="Instagram"/>
    <d v="2024-10-11T00:00:00"/>
    <s v="Text"/>
    <s v="From pop to podcasts, its all here."/>
    <n v="1360"/>
    <n v="249"/>
    <n v="52"/>
    <n v="20368"/>
    <n v="42152"/>
    <n v="193"/>
    <s v="#DiscoverWeekly"/>
    <m/>
    <x v="1"/>
  </r>
  <r>
    <s v="SP073"/>
    <s v="YouTube"/>
    <d v="2025-05-06T00:00:00"/>
    <s v="Reel"/>
    <s v="Discover fresh beats on Spotify!"/>
    <n v="1085"/>
    <n v="496"/>
    <n v="320"/>
    <n v="36528"/>
    <n v="38599"/>
    <n v="270"/>
    <s v="#DiscoverWeekly"/>
    <s v="#SoundtrackOfLife"/>
    <x v="3"/>
  </r>
  <r>
    <s v="SP074"/>
    <s v="Twitter"/>
    <d v="2024-05-19T00:00:00"/>
    <s v="Story"/>
    <s v="Get into the groove with our new drop!"/>
    <n v="1763"/>
    <n v="206"/>
    <n v="187"/>
    <n v="53342"/>
    <n v="25095"/>
    <n v="88"/>
    <s v="#DiscoverWeekly"/>
    <s v="#MusicForEveryone"/>
    <x v="0"/>
  </r>
  <r>
    <s v="SP075"/>
    <s v="Twitter"/>
    <d v="2024-01-22T00:00:00"/>
    <s v="Story"/>
    <s v="From pop to podcasts, its all here."/>
    <n v="1554"/>
    <n v="455"/>
    <n v="158"/>
    <n v="41947"/>
    <n v="48578"/>
    <n v="101"/>
    <s v="#SoundtrackOfLife"/>
    <s v="#NowPlaying"/>
    <x v="0"/>
  </r>
  <r>
    <s v="SP076"/>
    <s v="Instagram"/>
    <d v="2024-07-14T00:00:00"/>
    <s v="Text"/>
    <s v="Wrapped is here! Relive your top tracks"/>
    <n v="2464"/>
    <n v="401"/>
    <n v="78"/>
    <n v="38665"/>
    <n v="73593"/>
    <n v="207"/>
    <s v="#DiscoverWeekly"/>
    <m/>
    <x v="1"/>
  </r>
  <r>
    <s v="SP077"/>
    <s v="Twitter"/>
    <d v="2025-05-28T00:00:00"/>
    <s v="Text"/>
    <s v="From pop to podcasts, its all here."/>
    <n v="2418"/>
    <n v="161"/>
    <n v="360"/>
    <n v="30589"/>
    <n v="41383"/>
    <n v="88"/>
    <s v="#NowPlaying"/>
    <m/>
    <x v="0"/>
  </r>
  <r>
    <s v="SP078"/>
    <s v="Twitter"/>
    <d v="2025-01-21T00:00:00"/>
    <s v="Story"/>
    <s v="Discover fresh beats on Spotify!"/>
    <n v="2494"/>
    <n v="494"/>
    <n v="55"/>
    <n v="22580"/>
    <n v="22214"/>
    <n v="109"/>
    <s v="#MusicForEveryone"/>
    <s v="#NowPlaying"/>
    <x v="0"/>
  </r>
  <r>
    <s v="SP079"/>
    <s v="YouTube"/>
    <d v="2024-01-13T00:00:00"/>
    <s v="Reel"/>
    <s v="New music just dropped. Hit play!"/>
    <n v="4781"/>
    <n v="191"/>
    <n v="122"/>
    <n v="35535"/>
    <n v="50777"/>
    <n v="128"/>
    <s v="#DiscoverWeekly"/>
    <s v="#SoundtrackOfLife"/>
    <x v="3"/>
  </r>
  <r>
    <s v="SP080"/>
    <s v="Instagram"/>
    <d v="2025-06-17T00:00:00"/>
    <s v="Text"/>
    <s v="Music that moves you only on Spotify."/>
    <n v="2284"/>
    <n v="187"/>
    <n v="260"/>
    <n v="37400"/>
    <n v="65014"/>
    <n v="157"/>
    <s v="#SoundtrackOfLife"/>
    <s v="#NowPlaying"/>
    <x v="0"/>
  </r>
  <r>
    <s v="SP081"/>
    <s v="Twitter"/>
    <d v="2025-03-07T00:00:00"/>
    <s v="Text"/>
    <s v="Get into the groove with our new drop!"/>
    <n v="4234"/>
    <n v="486"/>
    <n v="276"/>
    <n v="56623"/>
    <n v="41343"/>
    <n v="184"/>
    <s v="#SoundtrackOfLife"/>
    <m/>
    <x v="1"/>
  </r>
  <r>
    <s v="SP082"/>
    <s v="Instagram"/>
    <d v="2024-08-26T00:00:00"/>
    <s v="Text"/>
    <s v="Your weekend playlist is waiting."/>
    <n v="2102"/>
    <n v="181"/>
    <n v="306"/>
    <n v="43650"/>
    <n v="50079"/>
    <n v="182"/>
    <s v="#DiscoverWeekly"/>
    <m/>
    <x v="1"/>
  </r>
  <r>
    <s v="SP083"/>
    <s v="Twitter"/>
    <d v="2025-01-03T00:00:00"/>
    <s v="Story"/>
    <s v="Get into the groove with our new drop!"/>
    <n v="4845"/>
    <n v="158"/>
    <n v="84"/>
    <n v="34578"/>
    <n v="51480"/>
    <n v="180"/>
    <s v="#SoundtrackOfLife"/>
    <s v="#NowPlaying"/>
    <x v="0"/>
  </r>
  <r>
    <s v="SP084"/>
    <s v="Twitter"/>
    <d v="2024-08-03T00:00:00"/>
    <s v="Text"/>
    <s v="Your weekend playlist is waiting."/>
    <n v="4247"/>
    <n v="390"/>
    <n v="213"/>
    <n v="29785"/>
    <n v="57768"/>
    <n v="122"/>
    <s v="#NowPlaying"/>
    <m/>
    <x v="0"/>
  </r>
  <r>
    <s v="SP085"/>
    <s v="Instagram"/>
    <d v="2024-08-18T00:00:00"/>
    <s v="Text"/>
    <s v="Explore the latest podcasts now."/>
    <n v="2965"/>
    <n v="328"/>
    <n v="171"/>
    <n v="57685"/>
    <n v="67536"/>
    <n v="264"/>
    <s v="#SoundtrackOfLife"/>
    <s v="#NowPlaying"/>
    <x v="0"/>
  </r>
  <r>
    <s v="SP086"/>
    <s v="Twitter"/>
    <d v="2025-05-14T00:00:00"/>
    <s v="Story"/>
    <s v="Wrapped is here! Relive your top tracks"/>
    <n v="1371"/>
    <n v="139"/>
    <n v="96"/>
    <n v="36140"/>
    <n v="39395"/>
    <n v="169"/>
    <s v="#SoundtrackOfLife"/>
    <s v="#NowPlaying"/>
    <x v="0"/>
  </r>
  <r>
    <s v="SP087"/>
    <s v="Twitter"/>
    <d v="2024-04-23T00:00:00"/>
    <s v="Story"/>
    <s v="Discover fresh beats on Spotify!"/>
    <n v="2683"/>
    <n v="496"/>
    <n v="89"/>
    <n v="53435"/>
    <n v="30334"/>
    <n v="160"/>
    <s v="#SoundtrackOfLife"/>
    <s v="#NowPlaying"/>
    <x v="0"/>
  </r>
  <r>
    <s v="SP088"/>
    <s v="Twitter"/>
    <d v="2025-02-17T00:00:00"/>
    <s v="Story"/>
    <s v="Whats your vibe today?"/>
    <n v="4796"/>
    <n v="427"/>
    <n v="339"/>
    <n v="30752"/>
    <n v="33870"/>
    <n v="298"/>
    <s v="#SoundtrackOfLife"/>
    <s v="#NowPlaying"/>
    <x v="0"/>
  </r>
  <r>
    <s v="SP089"/>
    <s v="Instagram"/>
    <d v="2024-12-04T00:00:00"/>
    <s v="Text"/>
    <s v="Wrapped is here! Relive your top tracks"/>
    <n v="2601"/>
    <n v="336"/>
    <n v="260"/>
    <n v="32368"/>
    <n v="49028"/>
    <n v="120"/>
    <s v="#SoundtrackOfLife"/>
    <s v="#NowPlaying"/>
    <x v="0"/>
  </r>
  <r>
    <s v="SP090"/>
    <s v="Twitter"/>
    <d v="2024-07-22T00:00:00"/>
    <s v="Story"/>
    <s v="Wrapped is here! Relive your top tracks"/>
    <n v="3336"/>
    <n v="229"/>
    <n v="337"/>
    <n v="22117"/>
    <n v="26205"/>
    <n v="160"/>
    <s v="#MusicForEveryone"/>
    <s v="#NowPlaying"/>
    <x v="0"/>
  </r>
  <r>
    <s v="SP091"/>
    <s v="Twitter"/>
    <d v="2025-04-27T00:00:00"/>
    <s v="Text"/>
    <s v="Explore the latest podcasts now."/>
    <n v="1165"/>
    <n v="294"/>
    <n v="163"/>
    <n v="20659"/>
    <n v="45926"/>
    <n v="111"/>
    <s v="#SoundtrackOfLife"/>
    <m/>
    <x v="1"/>
  </r>
  <r>
    <s v="SP092"/>
    <s v="YouTube"/>
    <d v="2024-03-25T00:00:00"/>
    <s v="Reel"/>
    <s v="Explore the latest podcasts now."/>
    <n v="1948"/>
    <n v="155"/>
    <n v="315"/>
    <n v="30321"/>
    <n v="57121"/>
    <n v="82"/>
    <s v="#DiscoverWeekly"/>
    <s v="#SoundtrackOfLife"/>
    <x v="3"/>
  </r>
  <r>
    <s v="SP093"/>
    <s v="Instagram"/>
    <d v="2024-02-29T00:00:00"/>
    <s v="Text"/>
    <s v="From pop to podcasts, its all here."/>
    <n v="1100"/>
    <n v="229"/>
    <n v="312"/>
    <n v="25641"/>
    <n v="34601"/>
    <n v="169"/>
    <s v="#DiscoverWeekly"/>
    <m/>
    <x v="1"/>
  </r>
  <r>
    <s v="SP094"/>
    <s v="Twitter"/>
    <d v="2024-11-13T00:00:00"/>
    <s v="Story"/>
    <s v="Top trending tracks updated daily!"/>
    <n v="4628"/>
    <n v="257"/>
    <n v="397"/>
    <n v="36686"/>
    <n v="54683"/>
    <n v="98"/>
    <s v="#SoundtrackOfLife"/>
    <s v="#NowPlaying"/>
    <x v="0"/>
  </r>
  <r>
    <s v="SP095"/>
    <s v="Instagram"/>
    <d v="2024-03-22T00:00:00"/>
    <s v="Story"/>
    <s v="Discover fresh beats on Spotify!"/>
    <n v="2319"/>
    <n v="484"/>
    <n v="193"/>
    <n v="21202"/>
    <n v="18091"/>
    <n v="241"/>
    <s v="#NowPlaying"/>
    <m/>
    <x v="2"/>
  </r>
  <r>
    <s v="SP096"/>
    <s v="Twitter"/>
    <d v="2024-03-16T00:00:00"/>
    <s v="Story"/>
    <s v="Wrapped is here! Relive your top tracks"/>
    <n v="2895"/>
    <n v="292"/>
    <n v="90"/>
    <n v="24223"/>
    <n v="54626"/>
    <n v="114"/>
    <s v="#SoundtrackOfLife"/>
    <s v="#NowPlaying"/>
    <x v="0"/>
  </r>
  <r>
    <s v="SP097"/>
    <s v="Instagram"/>
    <d v="2024-01-26T00:00:00"/>
    <s v="Text"/>
    <s v="Whats your vibe today?"/>
    <n v="3878"/>
    <n v="431"/>
    <n v="97"/>
    <n v="41763"/>
    <n v="29729"/>
    <n v="191"/>
    <s v="#DiscoverWeekly"/>
    <m/>
    <x v="1"/>
  </r>
  <r>
    <s v="SP098"/>
    <s v="Twitter"/>
    <d v="2024-03-15T00:00:00"/>
    <s v="Story"/>
    <s v="Get into the groove with our new drop!"/>
    <n v="4969"/>
    <n v="433"/>
    <n v="237"/>
    <n v="59552"/>
    <n v="23885"/>
    <n v="157"/>
    <s v="#DiscoverWeekly"/>
    <s v="#MusicForEveryone"/>
    <x v="0"/>
  </r>
  <r>
    <s v="SP099"/>
    <s v="Twitter"/>
    <d v="2024-10-15T00:00:00"/>
    <s v="Text"/>
    <s v="Wrapped is here! Relive your top tracks"/>
    <n v="1984"/>
    <n v="481"/>
    <n v="356"/>
    <n v="40681"/>
    <n v="63111"/>
    <n v="258"/>
    <s v="#NowPlaying"/>
    <m/>
    <x v="0"/>
  </r>
  <r>
    <s v="SP100"/>
    <s v="Instagram"/>
    <d v="2024-07-21T00:00:00"/>
    <s v="Text"/>
    <s v="Discover fresh beats on Spotify!"/>
    <n v="3004"/>
    <n v="415"/>
    <n v="218"/>
    <n v="36090"/>
    <n v="37073"/>
    <n v="181"/>
    <s v="#DiscoverWeekly"/>
    <m/>
    <x v="1"/>
  </r>
  <r>
    <s v="SP101"/>
    <s v="Twitter"/>
    <d v="2024-10-12T00:00:00"/>
    <s v="Text"/>
    <s v="Get into the groove with our new drop!"/>
    <n v="3169"/>
    <n v="386"/>
    <n v="175"/>
    <n v="45012"/>
    <n v="38508"/>
    <n v="218"/>
    <s v="#NowPlaying"/>
    <m/>
    <x v="0"/>
  </r>
  <r>
    <s v="SP102"/>
    <s v="Twitter"/>
    <d v="2024-10-26T00:00:00"/>
    <s v="Text"/>
    <s v="Discover fresh beats on Spotify!"/>
    <n v="3036"/>
    <n v="293"/>
    <n v="115"/>
    <n v="23776"/>
    <n v="46386"/>
    <n v="282"/>
    <s v="#NowPlaying"/>
    <m/>
    <x v="0"/>
  </r>
  <r>
    <s v="SP103"/>
    <s v="Instagram"/>
    <d v="2024-02-14T00:00:00"/>
    <s v="Text"/>
    <s v="Music that moves you only on Spotify."/>
    <n v="1830"/>
    <n v="112"/>
    <n v="181"/>
    <n v="31870"/>
    <n v="55742"/>
    <n v="263"/>
    <s v="#SoundtrackOfLife"/>
    <s v="#NowPlaying"/>
    <x v="0"/>
  </r>
  <r>
    <s v="SP104"/>
    <s v="Twitter"/>
    <d v="2024-05-01T00:00:00"/>
    <s v="Story"/>
    <s v="Whats your vibe today?"/>
    <n v="2587"/>
    <n v="447"/>
    <n v="183"/>
    <n v="36266"/>
    <n v="32877"/>
    <n v="132"/>
    <s v="#DiscoverWeekly"/>
    <s v="#MusicForEveryone"/>
    <x v="0"/>
  </r>
  <r>
    <s v="SP105"/>
    <s v="Twitter"/>
    <d v="2024-09-18T00:00:00"/>
    <s v="Text"/>
    <s v="Discover fresh beats on Spotify!"/>
    <n v="2878"/>
    <n v="265"/>
    <n v="91"/>
    <n v="52090"/>
    <n v="28924"/>
    <n v="133"/>
    <s v="#NowPlaying"/>
    <m/>
    <x v="0"/>
  </r>
  <r>
    <s v="SP106"/>
    <s v="Twitter"/>
    <d v="2025-01-20T00:00:00"/>
    <s v="Story"/>
    <s v="New music just dropped. Hit play!"/>
    <n v="4619"/>
    <n v="272"/>
    <n v="57"/>
    <n v="21334"/>
    <n v="46292"/>
    <n v="91"/>
    <s v="#SoundtrackOfLife"/>
    <s v="#NowPlaying"/>
    <x v="0"/>
  </r>
  <r>
    <s v="SP107"/>
    <s v="Twitter"/>
    <d v="2025-01-13T00:00:00"/>
    <s v="Text"/>
    <s v="Music that moves you only on Spotify."/>
    <n v="4090"/>
    <n v="209"/>
    <n v="278"/>
    <n v="52853"/>
    <n v="57084"/>
    <n v="102"/>
    <s v="#SoundtrackOfLife"/>
    <m/>
    <x v="1"/>
  </r>
  <r>
    <s v="SP108"/>
    <s v="YouTube"/>
    <d v="2024-09-07T00:00:00"/>
    <s v="Reel"/>
    <s v="Music that moves you only on Spotify."/>
    <n v="3882"/>
    <n v="342"/>
    <n v="374"/>
    <n v="41991"/>
    <n v="48554"/>
    <n v="118"/>
    <s v="#DiscoverWeekly"/>
    <s v="#SoundtrackOfLife"/>
    <x v="3"/>
  </r>
  <r>
    <s v="SP109"/>
    <s v="Instagram"/>
    <d v="2024-11-21T00:00:00"/>
    <s v="Text"/>
    <s v="Music that moves you only on Spotify."/>
    <n v="4581"/>
    <n v="181"/>
    <n v="112"/>
    <n v="35221"/>
    <n v="28797"/>
    <n v="164"/>
    <s v="#SoundtrackOfLife"/>
    <s v="#NowPlaying"/>
    <x v="0"/>
  </r>
  <r>
    <s v="SP110"/>
    <s v="Instagram"/>
    <d v="2024-06-26T00:00:00"/>
    <s v="Text"/>
    <s v="New music just dropped. Hit play!"/>
    <n v="3253"/>
    <n v="483"/>
    <n v="336"/>
    <n v="25397"/>
    <n v="51485"/>
    <n v="131"/>
    <s v="#DiscoverWeekly"/>
    <m/>
    <x v="1"/>
  </r>
  <r>
    <s v="SP111"/>
    <s v="YouTube"/>
    <d v="2024-07-20T00:00:00"/>
    <s v="Reel"/>
    <s v="Music that moves you only on Spotify."/>
    <n v="4955"/>
    <n v="299"/>
    <n v="345"/>
    <n v="33644"/>
    <n v="43547"/>
    <n v="194"/>
    <s v="#DiscoverWeekly"/>
    <s v="#SoundtrackOfLife"/>
    <x v="3"/>
  </r>
  <r>
    <s v="SP112"/>
    <s v="Instagram"/>
    <d v="2025-02-16T00:00:00"/>
    <s v="Text"/>
    <s v="Your weekend playlist is waiting."/>
    <n v="1333"/>
    <n v="286"/>
    <n v="298"/>
    <n v="36174"/>
    <n v="34517"/>
    <n v="170"/>
    <s v="#SoundtrackOfLife"/>
    <s v="#NowPlaying"/>
    <x v="0"/>
  </r>
  <r>
    <s v="SP113"/>
    <s v="Instagram"/>
    <d v="2024-09-09T00:00:00"/>
    <s v="Text"/>
    <s v="New music just dropped. Hit play!"/>
    <n v="1616"/>
    <n v="360"/>
    <n v="180"/>
    <n v="54342"/>
    <n v="18796"/>
    <n v="282"/>
    <s v="#SoundtrackOfLife"/>
    <s v="#NowPlaying"/>
    <x v="0"/>
  </r>
  <r>
    <s v="SP114"/>
    <s v="Twitter"/>
    <d v="2024-07-16T00:00:00"/>
    <s v="Text"/>
    <s v="Top trending tracks updated daily!"/>
    <n v="1803"/>
    <n v="273"/>
    <n v="287"/>
    <n v="46176"/>
    <n v="25488"/>
    <n v="141"/>
    <s v="#NowPlaying"/>
    <m/>
    <x v="0"/>
  </r>
  <r>
    <s v="SP115"/>
    <s v="Instagram"/>
    <d v="2025-04-15T00:00:00"/>
    <s v="Text"/>
    <s v="Explore the latest podcasts now."/>
    <n v="4177"/>
    <n v="489"/>
    <n v="331"/>
    <n v="57451"/>
    <n v="73793"/>
    <n v="251"/>
    <s v="#DiscoverWeekly"/>
    <m/>
    <x v="1"/>
  </r>
  <r>
    <s v="SP116"/>
    <s v="Instagram"/>
    <d v="2025-05-04T00:00:00"/>
    <s v="Story"/>
    <s v="New music just dropped. Hit play!"/>
    <n v="1311"/>
    <n v="181"/>
    <n v="361"/>
    <n v="37148"/>
    <n v="44875"/>
    <n v="245"/>
    <s v="#NowPlaying"/>
    <m/>
    <x v="2"/>
  </r>
  <r>
    <s v="SP117"/>
    <s v="Instagram"/>
    <d v="2024-02-18T00:00:00"/>
    <s v="Story"/>
    <s v="From pop to podcasts, its all here."/>
    <n v="1516"/>
    <n v="215"/>
    <n v="332"/>
    <n v="58981"/>
    <n v="36118"/>
    <n v="211"/>
    <s v="#NowPlaying"/>
    <m/>
    <x v="2"/>
  </r>
  <r>
    <s v="SP118"/>
    <s v="Twitter"/>
    <d v="2024-05-16T00:00:00"/>
    <s v="Story"/>
    <s v="Music that moves you only on Spotify."/>
    <n v="2023"/>
    <n v="124"/>
    <n v="99"/>
    <n v="54524"/>
    <n v="34790"/>
    <n v="195"/>
    <s v="#DiscoverWeekly"/>
    <s v="#MusicForEveryone"/>
    <x v="0"/>
  </r>
  <r>
    <s v="SP119"/>
    <s v="Twitter"/>
    <d v="2025-05-29T00:00:00"/>
    <s v="Story"/>
    <s v="Music that moves you only on Spotify."/>
    <n v="2134"/>
    <n v="322"/>
    <n v="114"/>
    <n v="44338"/>
    <n v="52165"/>
    <n v="176"/>
    <s v="#MusicForEveryone"/>
    <s v="#NowPlaying"/>
    <x v="0"/>
  </r>
  <r>
    <s v="SP120"/>
    <s v="Instagram"/>
    <d v="2025-01-17T00:00:00"/>
    <s v="Text"/>
    <s v="Top trending tracks updated daily!"/>
    <n v="2266"/>
    <n v="126"/>
    <n v="140"/>
    <n v="53759"/>
    <n v="46834"/>
    <n v="277"/>
    <s v="#DiscoverWeekly"/>
    <m/>
    <x v="1"/>
  </r>
  <r>
    <s v="SP121"/>
    <s v="Instagram"/>
    <d v="2025-04-30T00:00:00"/>
    <s v="Story"/>
    <s v="New music just dropped. Hit play!"/>
    <n v="3916"/>
    <n v="459"/>
    <n v="229"/>
    <n v="48989"/>
    <n v="39768"/>
    <n v="200"/>
    <s v="#NowPlaying"/>
    <m/>
    <x v="2"/>
  </r>
  <r>
    <s v="SP122"/>
    <s v="Twitter"/>
    <d v="2024-02-24T00:00:00"/>
    <s v="Story"/>
    <s v="Music that moves you only on Spotify."/>
    <n v="1022"/>
    <n v="463"/>
    <n v="360"/>
    <n v="51468"/>
    <n v="24279"/>
    <n v="230"/>
    <s v="#DiscoverWeekly"/>
    <s v="#MusicForEveryone"/>
    <x v="0"/>
  </r>
  <r>
    <s v="SP123"/>
    <s v="YouTube"/>
    <d v="2024-05-12T00:00:00"/>
    <s v="Text"/>
    <s v="From pop to podcasts, its all here."/>
    <n v="2911"/>
    <n v="467"/>
    <n v="94"/>
    <n v="59083"/>
    <n v="49762"/>
    <n v="236"/>
    <s v="#DiscoverWeekly"/>
    <s v="#SpotifyWrapped"/>
    <x v="1"/>
  </r>
  <r>
    <s v="SP124"/>
    <s v="Twitter"/>
    <d v="2024-05-09T00:00:00"/>
    <s v="Story"/>
    <s v="New music just dropped. Hit play!"/>
    <n v="3277"/>
    <n v="423"/>
    <n v="259"/>
    <n v="46328"/>
    <n v="44293"/>
    <n v="299"/>
    <s v="#SoundtrackOfLife"/>
    <s v="#NowPlaying"/>
    <x v="0"/>
  </r>
  <r>
    <s v="SP125"/>
    <s v="Twitter"/>
    <d v="2024-11-06T00:00:00"/>
    <s v="Text"/>
    <s v="From pop to podcasts, its all here."/>
    <n v="2956"/>
    <n v="381"/>
    <n v="345"/>
    <n v="33347"/>
    <n v="22558"/>
    <n v="173"/>
    <s v="#NowPlaying"/>
    <m/>
    <x v="0"/>
  </r>
  <r>
    <s v="SP126"/>
    <s v="Twitter"/>
    <d v="2024-01-04T00:00:00"/>
    <s v="Story"/>
    <s v="Whats your vibe today?"/>
    <n v="3208"/>
    <n v="476"/>
    <n v="277"/>
    <n v="56072"/>
    <n v="21061"/>
    <n v="113"/>
    <s v="#MusicForEveryone"/>
    <s v="#NowPlaying"/>
    <x v="0"/>
  </r>
  <r>
    <s v="SP127"/>
    <s v="Twitter"/>
    <d v="2024-01-28T00:00:00"/>
    <s v="Text"/>
    <s v="Music that moves you only on Spotify."/>
    <n v="1456"/>
    <n v="265"/>
    <n v="137"/>
    <n v="53485"/>
    <n v="59729"/>
    <n v="145"/>
    <s v="#SoundtrackOfLife"/>
    <m/>
    <x v="1"/>
  </r>
  <r>
    <s v="SP128"/>
    <s v="Instagram"/>
    <d v="2024-02-22T00:00:00"/>
    <s v="Text"/>
    <s v="New music just dropped. Hit play!"/>
    <n v="1902"/>
    <n v="394"/>
    <n v="279"/>
    <n v="24615"/>
    <n v="51330"/>
    <n v="176"/>
    <s v="#SoundtrackOfLife"/>
    <s v="#NowPlaying"/>
    <x v="0"/>
  </r>
  <r>
    <s v="SP129"/>
    <s v="Twitter"/>
    <d v="2025-07-01T00:00:00"/>
    <s v="Story"/>
    <s v="Explore the latest podcasts now."/>
    <n v="3219"/>
    <n v="424"/>
    <n v="267"/>
    <n v="48879"/>
    <n v="37691"/>
    <n v="224"/>
    <s v="#DiscoverWeekly"/>
    <s v="#MusicForEveryone"/>
    <x v="0"/>
  </r>
  <r>
    <s v="SP130"/>
    <s v="YouTube"/>
    <d v="2024-01-10T00:00:00"/>
    <s v="Text"/>
    <s v="Explore the latest podcasts now."/>
    <n v="1261"/>
    <n v="190"/>
    <n v="233"/>
    <n v="59888"/>
    <n v="51449"/>
    <n v="205"/>
    <s v="#DiscoverWeekly"/>
    <s v="#SpotifyWrapped"/>
    <x v="1"/>
  </r>
  <r>
    <s v="SP131"/>
    <s v="Twitter"/>
    <d v="2025-03-20T00:00:00"/>
    <s v="Text"/>
    <s v="Your weekend playlist is waiting."/>
    <n v="1564"/>
    <n v="362"/>
    <n v="371"/>
    <n v="42075"/>
    <n v="66659"/>
    <n v="205"/>
    <s v="#SoundtrackOfLife"/>
    <m/>
    <x v="1"/>
  </r>
  <r>
    <s v="SP132"/>
    <s v="Twitter"/>
    <d v="2024-09-28T00:00:00"/>
    <s v="Text"/>
    <s v="Whats your vibe today?"/>
    <n v="4006"/>
    <n v="420"/>
    <n v="194"/>
    <n v="49964"/>
    <n v="20685"/>
    <n v="148"/>
    <s v="#NowPlaying"/>
    <m/>
    <x v="0"/>
  </r>
  <r>
    <s v="SP133"/>
    <s v="YouTube"/>
    <d v="2024-01-27T00:00:00"/>
    <s v="Text"/>
    <s v="Your weekend playlist is waiting."/>
    <n v="1976"/>
    <n v="262"/>
    <n v="218"/>
    <n v="51696"/>
    <n v="44846"/>
    <n v="139"/>
    <s v="#DiscoverWeekly"/>
    <s v="#SpotifyWrapped"/>
    <x v="1"/>
  </r>
  <r>
    <s v="SP134"/>
    <s v="Twitter"/>
    <d v="2025-05-15T00:00:00"/>
    <s v="Text"/>
    <s v="New music just dropped. Hit play!"/>
    <n v="1583"/>
    <n v="433"/>
    <n v="249"/>
    <n v="30256"/>
    <n v="47066"/>
    <n v="196"/>
    <s v="#NowPlaying"/>
    <m/>
    <x v="0"/>
  </r>
  <r>
    <s v="SP135"/>
    <s v="Twitter"/>
    <d v="2024-10-04T00:00:00"/>
    <s v="Story"/>
    <s v="Explore the latest podcasts now."/>
    <n v="2870"/>
    <n v="380"/>
    <n v="393"/>
    <n v="37621"/>
    <n v="71794"/>
    <n v="127"/>
    <s v="#MusicForEveryone"/>
    <s v="#NowPlaying"/>
    <x v="0"/>
  </r>
  <r>
    <s v="SP136"/>
    <s v="Twitter"/>
    <d v="2024-11-19T00:00:00"/>
    <s v="Text"/>
    <s v="Top trending tracks updated daily!"/>
    <n v="3728"/>
    <n v="271"/>
    <n v="275"/>
    <n v="22827"/>
    <n v="37034"/>
    <n v="199"/>
    <s v="#NowPlaying"/>
    <m/>
    <x v="0"/>
  </r>
  <r>
    <s v="SP137"/>
    <s v="Twitter"/>
    <d v="2024-04-05T00:00:00"/>
    <s v="Story"/>
    <s v="New music just dropped. Hit play!"/>
    <n v="4965"/>
    <n v="175"/>
    <n v="307"/>
    <n v="32793"/>
    <n v="43412"/>
    <n v="296"/>
    <s v="#SoundtrackOfLife"/>
    <s v="#NowPlaying"/>
    <x v="0"/>
  </r>
  <r>
    <s v="SP138"/>
    <s v="Twitter"/>
    <d v="2024-11-28T00:00:00"/>
    <s v="Story"/>
    <s v="New music just dropped. Hit play!"/>
    <n v="1131"/>
    <n v="100"/>
    <n v="116"/>
    <n v="48437"/>
    <n v="72704"/>
    <n v="236"/>
    <s v="#DiscoverWeekly"/>
    <s v="#MusicForEveryone"/>
    <x v="0"/>
  </r>
  <r>
    <s v="SP139"/>
    <s v="Twitter"/>
    <d v="2025-03-09T00:00:00"/>
    <s v="Text"/>
    <s v="Your weekend playlist is waiting."/>
    <n v="2754"/>
    <n v="215"/>
    <n v="264"/>
    <n v="27762"/>
    <n v="70203"/>
    <n v="289"/>
    <s v="#NowPlaying"/>
    <m/>
    <x v="0"/>
  </r>
  <r>
    <s v="SP140"/>
    <s v="Twitter"/>
    <d v="2024-08-27T00:00:00"/>
    <s v="Story"/>
    <s v="New music just dropped. Hit play!"/>
    <n v="1856"/>
    <n v="357"/>
    <n v="348"/>
    <n v="29428"/>
    <n v="70206"/>
    <n v="236"/>
    <s v="#MusicForEveryone"/>
    <s v="#NowPlaying"/>
    <x v="0"/>
  </r>
  <r>
    <s v="SP141"/>
    <s v="YouTube"/>
    <d v="2024-10-01T00:00:00"/>
    <s v="Reel"/>
    <s v="Explore the latest podcasts now."/>
    <n v="3543"/>
    <n v="334"/>
    <n v="218"/>
    <n v="58007"/>
    <n v="24792"/>
    <n v="273"/>
    <s v="#DiscoverWeekly"/>
    <s v="#SoundtrackOfLife"/>
    <x v="3"/>
  </r>
  <r>
    <s v="SP142"/>
    <s v="Instagram"/>
    <d v="2024-12-21T00:00:00"/>
    <s v="Story"/>
    <s v="New music just dropped. Hit play!"/>
    <n v="4563"/>
    <n v="398"/>
    <n v="163"/>
    <n v="43679"/>
    <n v="48760"/>
    <n v="92"/>
    <s v="#NowPlaying"/>
    <m/>
    <x v="2"/>
  </r>
  <r>
    <s v="SP143"/>
    <s v="Instagram"/>
    <d v="2024-06-17T00:00:00"/>
    <s v="Text"/>
    <s v="Discover fresh beats on Spotify!"/>
    <n v="4283"/>
    <n v="471"/>
    <n v="156"/>
    <n v="53004"/>
    <n v="25678"/>
    <n v="105"/>
    <s v="#DiscoverWeekly"/>
    <m/>
    <x v="1"/>
  </r>
  <r>
    <s v="SP144"/>
    <s v="Instagram"/>
    <d v="2025-02-14T00:00:00"/>
    <s v="Text"/>
    <s v="Discover fresh beats on Spotify!"/>
    <n v="2329"/>
    <n v="373"/>
    <n v="291"/>
    <n v="49577"/>
    <n v="28002"/>
    <n v="82"/>
    <s v="#SoundtrackOfLife"/>
    <s v="#NowPlaying"/>
    <x v="0"/>
  </r>
  <r>
    <s v="SP145"/>
    <s v="Twitter"/>
    <d v="2025-05-28T00:00:00"/>
    <s v="Story"/>
    <s v="Top trending tracks updated daily!"/>
    <n v="4287"/>
    <n v="273"/>
    <n v="122"/>
    <n v="40792"/>
    <n v="23878"/>
    <n v="277"/>
    <s v="#MusicForEveryone"/>
    <s v="#NowPlaying"/>
    <x v="0"/>
  </r>
  <r>
    <s v="SP146"/>
    <s v="Instagram"/>
    <d v="2025-05-22T00:00:00"/>
    <s v="Text"/>
    <s v="Discover fresh beats on Spotify!"/>
    <n v="2633"/>
    <n v="318"/>
    <n v="380"/>
    <n v="40869"/>
    <n v="64474"/>
    <n v="245"/>
    <s v="#DiscoverWeekly"/>
    <m/>
    <x v="1"/>
  </r>
  <r>
    <s v="SP147"/>
    <s v="Twitter"/>
    <d v="2024-01-21T00:00:00"/>
    <s v="Story"/>
    <s v="Discover fresh beats on Spotify!"/>
    <n v="2383"/>
    <n v="136"/>
    <n v="302"/>
    <n v="39187"/>
    <n v="22133"/>
    <n v="208"/>
    <s v="#MusicForEveryone"/>
    <s v="#NowPlaying"/>
    <x v="0"/>
  </r>
  <r>
    <s v="SP148"/>
    <s v="Twitter"/>
    <d v="2025-02-08T00:00:00"/>
    <s v="Story"/>
    <s v="Your weekend playlist is waiting."/>
    <n v="4752"/>
    <n v="334"/>
    <n v="56"/>
    <n v="48017"/>
    <n v="55534"/>
    <n v="270"/>
    <s v="#DiscoverWeekly"/>
    <s v="#MusicForEveryone"/>
    <x v="0"/>
  </r>
  <r>
    <s v="SP149"/>
    <s v="Twitter"/>
    <d v="2025-04-13T00:00:00"/>
    <s v="Text"/>
    <s v="From pop to podcasts, its all here."/>
    <n v="3890"/>
    <n v="408"/>
    <n v="338"/>
    <n v="56994"/>
    <n v="32621"/>
    <n v="286"/>
    <s v="#SoundtrackOfLife"/>
    <m/>
    <x v="1"/>
  </r>
  <r>
    <s v="SP150"/>
    <s v="Twitter"/>
    <d v="2024-05-30T00:00:00"/>
    <s v="Story"/>
    <s v="Your weekend playlist is waiting."/>
    <n v="2311"/>
    <n v="207"/>
    <n v="363"/>
    <n v="30349"/>
    <n v="32925"/>
    <n v="88"/>
    <s v="#MusicForEveryone"/>
    <s v="#NowPlaying"/>
    <x v="0"/>
  </r>
  <r>
    <s v="SP151"/>
    <s v="Instagram"/>
    <d v="2024-08-12T00:00:00"/>
    <s v="Story"/>
    <s v="Discover fresh beats on Spotify!"/>
    <n v="2962"/>
    <n v="400"/>
    <n v="280"/>
    <n v="52508"/>
    <n v="58329"/>
    <n v="219"/>
    <s v="#NowPlaying"/>
    <m/>
    <x v="2"/>
  </r>
  <r>
    <s v="SP152"/>
    <s v="Instagram"/>
    <d v="2024-09-27T00:00:00"/>
    <s v="Text"/>
    <s v="Discover fresh beats on Spotify!"/>
    <n v="3118"/>
    <n v="116"/>
    <n v="195"/>
    <n v="37100"/>
    <n v="62629"/>
    <n v="272"/>
    <s v="#DiscoverWeekly"/>
    <m/>
    <x v="1"/>
  </r>
  <r>
    <s v="SP153"/>
    <s v="Twitter"/>
    <d v="2025-06-11T00:00:00"/>
    <s v="Story"/>
    <s v="Explore the latest podcasts now."/>
    <n v="3805"/>
    <n v="453"/>
    <n v="63"/>
    <n v="52395"/>
    <n v="72934"/>
    <n v="87"/>
    <s v="#DiscoverWeekly"/>
    <s v="#MusicForEveryone"/>
    <x v="0"/>
  </r>
  <r>
    <s v="SP154"/>
    <s v="Instagram"/>
    <d v="2024-11-19T00:00:00"/>
    <s v="Text"/>
    <s v="Whats your vibe today?"/>
    <n v="2525"/>
    <n v="272"/>
    <n v="294"/>
    <n v="51875"/>
    <n v="24732"/>
    <n v="92"/>
    <s v="#DiscoverWeekly"/>
    <m/>
    <x v="1"/>
  </r>
  <r>
    <s v="SP155"/>
    <s v="Instagram"/>
    <d v="2024-04-25T00:00:00"/>
    <s v="Text"/>
    <s v="Music that moves you only on Spotify."/>
    <n v="3563"/>
    <n v="483"/>
    <n v="227"/>
    <n v="41085"/>
    <n v="26393"/>
    <n v="236"/>
    <s v="#SoundtrackOfLife"/>
    <s v="#NowPlaying"/>
    <x v="0"/>
  </r>
  <r>
    <s v="SP156"/>
    <s v="YouTube"/>
    <d v="2024-09-03T00:00:00"/>
    <s v="Reel"/>
    <s v="Whats your vibe today?"/>
    <n v="1437"/>
    <n v="494"/>
    <n v="129"/>
    <n v="53048"/>
    <n v="44090"/>
    <n v="230"/>
    <s v="#DiscoverWeekly"/>
    <s v="#SoundtrackOfLife"/>
    <x v="3"/>
  </r>
  <r>
    <s v="SP157"/>
    <s v="YouTube"/>
    <d v="2025-03-02T00:00:00"/>
    <s v="Text"/>
    <s v="From pop to podcasts, its all here."/>
    <n v="4425"/>
    <n v="185"/>
    <n v="162"/>
    <n v="24610"/>
    <n v="21342"/>
    <n v="158"/>
    <s v="#DiscoverWeekly"/>
    <s v="#SpotifyWrapped"/>
    <x v="1"/>
  </r>
  <r>
    <s v="SP158"/>
    <s v="Twitter"/>
    <d v="2025-03-21T00:00:00"/>
    <s v="Story"/>
    <s v="New music just dropped. Hit play!"/>
    <n v="4609"/>
    <n v="427"/>
    <n v="395"/>
    <n v="33698"/>
    <n v="29259"/>
    <n v="216"/>
    <s v="#DiscoverWeekly"/>
    <s v="#MusicForEveryone"/>
    <x v="0"/>
  </r>
  <r>
    <s v="SP159"/>
    <s v="Instagram"/>
    <d v="2024-04-12T00:00:00"/>
    <s v="Story"/>
    <s v="Get into the groove with our new drop!"/>
    <n v="1558"/>
    <n v="352"/>
    <n v="202"/>
    <n v="25405"/>
    <n v="69941"/>
    <n v="219"/>
    <s v="#NowPlaying"/>
    <m/>
    <x v="2"/>
  </r>
  <r>
    <s v="SP160"/>
    <s v="YouTube"/>
    <d v="2024-02-08T00:00:00"/>
    <s v="Reel"/>
    <s v="Top trending tracks updated daily!"/>
    <n v="1889"/>
    <n v="298"/>
    <n v="122"/>
    <n v="46225"/>
    <n v="74305"/>
    <n v="293"/>
    <s v="#DiscoverWeekly"/>
    <s v="#SoundtrackOfLife"/>
    <x v="3"/>
  </r>
  <r>
    <s v="SP161"/>
    <s v="Instagram"/>
    <d v="2025-05-26T00:00:00"/>
    <s v="Text"/>
    <s v="Discover fresh beats on Spotify!"/>
    <n v="3086"/>
    <n v="148"/>
    <n v="310"/>
    <n v="22824"/>
    <n v="58103"/>
    <n v="275"/>
    <s v="#DiscoverWeekly"/>
    <m/>
    <x v="1"/>
  </r>
  <r>
    <s v="SP162"/>
    <s v="Instagram"/>
    <d v="2024-11-14T00:00:00"/>
    <s v="Text"/>
    <s v="Music that moves you only on Spotify."/>
    <n v="2422"/>
    <n v="318"/>
    <n v="118"/>
    <n v="25386"/>
    <n v="20873"/>
    <n v="100"/>
    <s v="#SoundtrackOfLife"/>
    <s v="#NowPlaying"/>
    <x v="0"/>
  </r>
  <r>
    <s v="SP163"/>
    <s v="YouTube"/>
    <d v="2024-08-09T00:00:00"/>
    <s v="Reel"/>
    <s v="From pop to podcasts, its all here."/>
    <n v="3414"/>
    <n v="154"/>
    <n v="204"/>
    <n v="34146"/>
    <n v="44633"/>
    <n v="256"/>
    <s v="#DiscoverWeekly"/>
    <s v="#SoundtrackOfLife"/>
    <x v="3"/>
  </r>
  <r>
    <s v="SP164"/>
    <s v="Instagram"/>
    <d v="2025-06-27T00:00:00"/>
    <s v="Story"/>
    <s v="Whats your vibe today?"/>
    <n v="1342"/>
    <n v="332"/>
    <n v="163"/>
    <n v="51712"/>
    <n v="57922"/>
    <n v="168"/>
    <s v="#NowPlaying"/>
    <m/>
    <x v="2"/>
  </r>
  <r>
    <s v="SP165"/>
    <s v="Instagram"/>
    <d v="2024-05-08T00:00:00"/>
    <s v="Story"/>
    <s v="Music that moves you only on Spotify."/>
    <n v="2414"/>
    <n v="220"/>
    <n v="280"/>
    <n v="27355"/>
    <n v="50562"/>
    <n v="258"/>
    <s v="#NowPlaying"/>
    <m/>
    <x v="2"/>
  </r>
  <r>
    <s v="SP166"/>
    <s v="Instagram"/>
    <d v="2024-04-05T00:00:00"/>
    <s v="Text"/>
    <s v="New music just dropped. Hit play!"/>
    <n v="4383"/>
    <n v="352"/>
    <n v="176"/>
    <n v="53239"/>
    <n v="34168"/>
    <n v="288"/>
    <s v="#DiscoverWeekly"/>
    <m/>
    <x v="1"/>
  </r>
  <r>
    <s v="SP167"/>
    <s v="YouTube"/>
    <d v="2025-01-27T00:00:00"/>
    <s v="Text"/>
    <s v="Wrapped is here! Relive your top tracks"/>
    <n v="4294"/>
    <n v="423"/>
    <n v="93"/>
    <n v="29828"/>
    <n v="73144"/>
    <n v="298"/>
    <s v="#DiscoverWeekly"/>
    <s v="#SpotifyWrapped"/>
    <x v="1"/>
  </r>
  <r>
    <s v="SP168"/>
    <s v="Instagram"/>
    <d v="2024-04-03T00:00:00"/>
    <s v="Text"/>
    <s v="Top trending tracks updated daily!"/>
    <n v="2762"/>
    <n v="339"/>
    <n v="323"/>
    <n v="33757"/>
    <n v="68511"/>
    <n v="121"/>
    <s v="#SoundtrackOfLife"/>
    <s v="#NowPlaying"/>
    <x v="0"/>
  </r>
  <r>
    <s v="SP169"/>
    <s v="YouTube"/>
    <d v="2025-01-03T00:00:00"/>
    <s v="Text"/>
    <s v="New music just dropped. Hit play!"/>
    <n v="3782"/>
    <n v="484"/>
    <n v="144"/>
    <n v="52172"/>
    <n v="59386"/>
    <n v="175"/>
    <s v="#DiscoverWeekly"/>
    <s v="#SpotifyWrapped"/>
    <x v="1"/>
  </r>
  <r>
    <s v="SP170"/>
    <s v="Twitter"/>
    <d v="2024-11-23T00:00:00"/>
    <s v="Text"/>
    <s v="New music just dropped. Hit play!"/>
    <n v="4318"/>
    <n v="371"/>
    <n v="329"/>
    <n v="32347"/>
    <n v="68956"/>
    <n v="259"/>
    <s v="#SoundtrackOfLife"/>
    <m/>
    <x v="1"/>
  </r>
  <r>
    <s v="SP171"/>
    <s v="Instagram"/>
    <d v="2024-09-01T00:00:00"/>
    <s v="Story"/>
    <s v="Wrapped is here! Relive your top tracks"/>
    <n v="2335"/>
    <n v="150"/>
    <n v="75"/>
    <n v="26114"/>
    <n v="57549"/>
    <n v="135"/>
    <s v="#NowPlaying"/>
    <m/>
    <x v="2"/>
  </r>
  <r>
    <s v="SP172"/>
    <s v="YouTube"/>
    <d v="2024-04-18T00:00:00"/>
    <s v="Text"/>
    <s v="Explore the latest podcasts now."/>
    <n v="4023"/>
    <n v="293"/>
    <n v="91"/>
    <n v="26795"/>
    <n v="28924"/>
    <n v="278"/>
    <s v="#DiscoverWeekly"/>
    <s v="#SpotifyWrapped"/>
    <x v="1"/>
  </r>
  <r>
    <s v="SP173"/>
    <s v="Instagram"/>
    <d v="2024-06-04T00:00:00"/>
    <s v="Text"/>
    <s v="Get into the groove with our new drop!"/>
    <n v="3948"/>
    <n v="151"/>
    <n v="249"/>
    <n v="43147"/>
    <n v="63136"/>
    <n v="230"/>
    <s v="#DiscoverWeekly"/>
    <m/>
    <x v="1"/>
  </r>
  <r>
    <s v="SP174"/>
    <s v="YouTube"/>
    <d v="2025-04-02T00:00:00"/>
    <s v="Text"/>
    <s v="Wrapped is here! Relive your top tracks"/>
    <n v="4598"/>
    <n v="455"/>
    <n v="378"/>
    <n v="52952"/>
    <n v="58504"/>
    <n v="269"/>
    <s v="#DiscoverWeekly"/>
    <s v="#SpotifyWrapped"/>
    <x v="1"/>
  </r>
  <r>
    <s v="SP175"/>
    <s v="Twitter"/>
    <d v="2025-04-01T00:00:00"/>
    <s v="Story"/>
    <s v="Music that moves you only on Spotify."/>
    <n v="2665"/>
    <n v="143"/>
    <n v="315"/>
    <n v="54808"/>
    <n v="29818"/>
    <n v="98"/>
    <s v="#DiscoverWeekly"/>
    <s v="#MusicForEveryone"/>
    <x v="0"/>
  </r>
  <r>
    <s v="SP176"/>
    <s v="Instagram"/>
    <d v="2024-07-02T00:00:00"/>
    <s v="Text"/>
    <s v="Top trending tracks updated daily!"/>
    <n v="3469"/>
    <n v="371"/>
    <n v="76"/>
    <n v="46493"/>
    <n v="26906"/>
    <n v="150"/>
    <s v="#SoundtrackOfLife"/>
    <s v="#NowPlaying"/>
    <x v="0"/>
  </r>
  <r>
    <s v="SP177"/>
    <s v="Twitter"/>
    <d v="2024-11-10T00:00:00"/>
    <s v="Text"/>
    <s v="Explore the latest podcasts now."/>
    <n v="4823"/>
    <n v="489"/>
    <n v="302"/>
    <n v="32470"/>
    <n v="31861"/>
    <n v="178"/>
    <s v="#SoundtrackOfLife"/>
    <m/>
    <x v="1"/>
  </r>
  <r>
    <s v="SP178"/>
    <s v="Instagram"/>
    <d v="2024-12-14T00:00:00"/>
    <s v="Story"/>
    <s v="From pop to podcasts, its all here."/>
    <n v="3812"/>
    <n v="321"/>
    <n v="289"/>
    <n v="59838"/>
    <n v="36337"/>
    <n v="161"/>
    <s v="#NowPlaying"/>
    <m/>
    <x v="2"/>
  </r>
  <r>
    <s v="SP179"/>
    <s v="Twitter"/>
    <d v="2024-11-19T00:00:00"/>
    <s v="Text"/>
    <s v="Explore the latest podcasts now."/>
    <n v="2387"/>
    <n v="353"/>
    <n v="78"/>
    <n v="39745"/>
    <n v="69226"/>
    <n v="208"/>
    <s v="#SoundtrackOfLife"/>
    <m/>
    <x v="1"/>
  </r>
  <r>
    <s v="SP180"/>
    <s v="Twitter"/>
    <d v="2025-04-30T00:00:00"/>
    <s v="Story"/>
    <s v="Wrapped is here! Relive your top tracks"/>
    <n v="3929"/>
    <n v="275"/>
    <n v="330"/>
    <n v="58329"/>
    <n v="33196"/>
    <n v="85"/>
    <s v="#MusicForEveryone"/>
    <s v="#NowPlaying"/>
    <x v="0"/>
  </r>
  <r>
    <s v="SP181"/>
    <s v="Twitter"/>
    <d v="2024-03-19T00:00:00"/>
    <s v="Text"/>
    <s v="From pop to podcasts, its all here."/>
    <n v="2191"/>
    <n v="288"/>
    <n v="83"/>
    <n v="59606"/>
    <n v="24765"/>
    <n v="281"/>
    <s v="#SoundtrackOfLife"/>
    <m/>
    <x v="1"/>
  </r>
  <r>
    <s v="SP182"/>
    <s v="Instagram"/>
    <d v="2024-03-19T00:00:00"/>
    <s v="Text"/>
    <s v="From pop to podcasts, its all here."/>
    <n v="2878"/>
    <n v="278"/>
    <n v="255"/>
    <n v="47235"/>
    <n v="57922"/>
    <n v="112"/>
    <s v="#SoundtrackOfLife"/>
    <s v="#NowPlaying"/>
    <x v="0"/>
  </r>
  <r>
    <s v="SP183"/>
    <s v="Twitter"/>
    <d v="2024-07-23T00:00:00"/>
    <s v="Text"/>
    <s v="Top trending tracks updated daily!"/>
    <n v="3204"/>
    <n v="398"/>
    <n v="85"/>
    <n v="22020"/>
    <n v="58353"/>
    <n v="286"/>
    <s v="#SoundtrackOfLife"/>
    <m/>
    <x v="1"/>
  </r>
  <r>
    <s v="SP184"/>
    <s v="Twitter"/>
    <d v="2024-07-13T00:00:00"/>
    <s v="Story"/>
    <s v="Get into the groove with our new drop!"/>
    <n v="2408"/>
    <n v="323"/>
    <n v="251"/>
    <n v="47599"/>
    <n v="35543"/>
    <n v="287"/>
    <s v="#MusicForEveryone"/>
    <s v="#NowPlaying"/>
    <x v="0"/>
  </r>
  <r>
    <s v="SP185"/>
    <s v="YouTube"/>
    <d v="2025-04-22T00:00:00"/>
    <s v="Reel"/>
    <s v="New music just dropped. Hit play!"/>
    <n v="2733"/>
    <n v="297"/>
    <n v="235"/>
    <n v="37980"/>
    <n v="33058"/>
    <n v="219"/>
    <s v="#DiscoverWeekly"/>
    <s v="#SoundtrackOfLife"/>
    <x v="3"/>
  </r>
  <r>
    <s v="SP186"/>
    <s v="Twitter"/>
    <d v="2024-06-16T00:00:00"/>
    <s v="Story"/>
    <s v="Explore the latest podcasts now."/>
    <n v="4618"/>
    <n v="312"/>
    <n v="254"/>
    <n v="22571"/>
    <n v="29453"/>
    <n v="197"/>
    <s v="#MusicForEveryone"/>
    <s v="#NowPlaying"/>
    <x v="0"/>
  </r>
  <r>
    <s v="SP187"/>
    <s v="YouTube"/>
    <d v="2025-05-18T00:00:00"/>
    <s v="Reel"/>
    <s v="Wrapped is here! Relive your top tracks"/>
    <n v="4210"/>
    <n v="319"/>
    <n v="350"/>
    <n v="37762"/>
    <n v="55162"/>
    <n v="204"/>
    <s v="#DiscoverWeekly"/>
    <s v="#SoundtrackOfLife"/>
    <x v="3"/>
  </r>
  <r>
    <s v="SP188"/>
    <s v="Instagram"/>
    <d v="2025-06-06T00:00:00"/>
    <s v="Text"/>
    <s v="Wrapped is here! Relive your top tracks"/>
    <n v="3987"/>
    <n v="171"/>
    <n v="274"/>
    <n v="45122"/>
    <n v="65431"/>
    <n v="168"/>
    <s v="#DiscoverWeekly"/>
    <m/>
    <x v="1"/>
  </r>
  <r>
    <s v="SP189"/>
    <s v="YouTube"/>
    <d v="2025-02-20T00:00:00"/>
    <s v="Reel"/>
    <s v="Get into the groove with our new drop!"/>
    <n v="4957"/>
    <n v="262"/>
    <n v="365"/>
    <n v="49199"/>
    <n v="40314"/>
    <n v="216"/>
    <s v="#DiscoverWeekly"/>
    <s v="#SoundtrackOfLife"/>
    <x v="3"/>
  </r>
  <r>
    <s v="SP190"/>
    <s v="Instagram"/>
    <d v="2025-01-16T00:00:00"/>
    <s v="Text"/>
    <s v="Music that moves you only on Spotify."/>
    <n v="2605"/>
    <n v="282"/>
    <n v="148"/>
    <n v="32201"/>
    <n v="49583"/>
    <n v="241"/>
    <s v="#SoundtrackOfLife"/>
    <s v="#NowPlaying"/>
    <x v="0"/>
  </r>
  <r>
    <s v="SP191"/>
    <s v="YouTube"/>
    <d v="2024-02-24T00:00:00"/>
    <s v="Reel"/>
    <s v="Discover fresh beats on Spotify!"/>
    <n v="4221"/>
    <n v="307"/>
    <n v="58"/>
    <n v="45080"/>
    <n v="37214"/>
    <n v="240"/>
    <s v="#DiscoverWeekly"/>
    <s v="#SoundtrackOfLife"/>
    <x v="3"/>
  </r>
  <r>
    <s v="SP192"/>
    <s v="Twitter"/>
    <d v="2024-09-16T00:00:00"/>
    <s v="Story"/>
    <s v="Whats your vibe today?"/>
    <n v="4422"/>
    <n v="434"/>
    <n v="156"/>
    <n v="56165"/>
    <n v="52431"/>
    <n v="173"/>
    <s v="#DiscoverWeekly"/>
    <s v="#MusicForEveryone"/>
    <x v="0"/>
  </r>
  <r>
    <s v="SP193"/>
    <s v="YouTube"/>
    <d v="2024-06-04T00:00:00"/>
    <s v="Reel"/>
    <s v="Wrapped is here! Relive your top tracks"/>
    <n v="1211"/>
    <n v="431"/>
    <n v="83"/>
    <n v="26532"/>
    <n v="47305"/>
    <n v="232"/>
    <s v="#DiscoverWeekly"/>
    <s v="#SoundtrackOfLife"/>
    <x v="3"/>
  </r>
  <r>
    <s v="SP194"/>
    <s v="Twitter"/>
    <d v="2024-05-10T00:00:00"/>
    <s v="Story"/>
    <s v="Explore the latest podcasts now."/>
    <n v="2784"/>
    <n v="111"/>
    <n v="399"/>
    <n v="58366"/>
    <n v="69512"/>
    <n v="269"/>
    <s v="#MusicForEveryone"/>
    <s v="#NowPlaying"/>
    <x v="0"/>
  </r>
  <r>
    <s v="SP195"/>
    <s v="YouTube"/>
    <d v="2024-01-14T00:00:00"/>
    <s v="Text"/>
    <s v="New music just dropped. Hit play!"/>
    <n v="3634"/>
    <n v="280"/>
    <n v="399"/>
    <n v="40256"/>
    <n v="52605"/>
    <n v="213"/>
    <s v="#DiscoverWeekly"/>
    <s v="#SpotifyWrapped"/>
    <x v="1"/>
  </r>
  <r>
    <s v="SP196"/>
    <s v="Instagram"/>
    <d v="2025-01-12T00:00:00"/>
    <s v="Text"/>
    <s v="From pop to podcasts, its all here."/>
    <n v="1771"/>
    <n v="487"/>
    <n v="272"/>
    <n v="48810"/>
    <n v="48084"/>
    <n v="272"/>
    <s v="#SoundtrackOfLife"/>
    <s v="#NowPlaying"/>
    <x v="0"/>
  </r>
  <r>
    <s v="SP197"/>
    <s v="YouTube"/>
    <d v="2024-12-08T00:00:00"/>
    <s v="Text"/>
    <s v="Top trending tracks updated daily!"/>
    <n v="1424"/>
    <n v="396"/>
    <n v="312"/>
    <n v="59517"/>
    <n v="46102"/>
    <n v="239"/>
    <s v="#DiscoverWeekly"/>
    <s v="#SpotifyWrapped"/>
    <x v="1"/>
  </r>
  <r>
    <s v="SP198"/>
    <s v="Twitter"/>
    <d v="2025-02-01T00:00:00"/>
    <s v="Story"/>
    <s v="Top trending tracks updated daily!"/>
    <n v="1079"/>
    <n v="265"/>
    <n v="190"/>
    <n v="43786"/>
    <n v="72428"/>
    <n v="222"/>
    <s v="#SoundtrackOfLife"/>
    <s v="#NowPlaying"/>
    <x v="0"/>
  </r>
  <r>
    <s v="SP199"/>
    <s v="Twitter"/>
    <d v="2024-07-11T00:00:00"/>
    <s v="Story"/>
    <s v="Get into the groove with our new drop!"/>
    <n v="4247"/>
    <n v="179"/>
    <n v="175"/>
    <n v="32991"/>
    <n v="70120"/>
    <n v="276"/>
    <s v="#SoundtrackOfLife"/>
    <s v="#NowPlaying"/>
    <x v="0"/>
  </r>
  <r>
    <s v="SP200"/>
    <s v="Twitter"/>
    <d v="2024-03-18T00:00:00"/>
    <s v="Text"/>
    <s v="New music just dropped. Hit play!"/>
    <n v="2033"/>
    <n v="420"/>
    <n v="94"/>
    <n v="56290"/>
    <n v="57391"/>
    <n v="196"/>
    <s v="#NowPlaying"/>
    <m/>
    <x v="0"/>
  </r>
  <r>
    <s v="SP201"/>
    <s v="Twitter"/>
    <d v="2024-09-12T00:00:00"/>
    <s v="Story"/>
    <s v="Wrapped is here! Relive your top tracks"/>
    <n v="1839"/>
    <n v="223"/>
    <n v="171"/>
    <n v="35459"/>
    <n v="69988"/>
    <n v="114"/>
    <s v="#MusicForEveryone"/>
    <s v="#NowPlaying"/>
    <x v="0"/>
  </r>
  <r>
    <s v="SP202"/>
    <s v="Twitter"/>
    <d v="2024-01-11T00:00:00"/>
    <s v="Story"/>
    <s v="Wrapped is here! Relive your top tracks"/>
    <n v="2340"/>
    <n v="141"/>
    <n v="206"/>
    <n v="24916"/>
    <n v="30582"/>
    <n v="157"/>
    <s v="#SoundtrackOfLife"/>
    <s v="#NowPlaying"/>
    <x v="0"/>
  </r>
  <r>
    <s v="SP203"/>
    <s v="Instagram"/>
    <d v="2024-10-06T00:00:00"/>
    <s v="Text"/>
    <s v="Top trending tracks updated daily!"/>
    <n v="2080"/>
    <n v="389"/>
    <n v="92"/>
    <n v="30971"/>
    <n v="25347"/>
    <n v="111"/>
    <s v="#DiscoverWeekly"/>
    <m/>
    <x v="1"/>
  </r>
  <r>
    <s v="SP204"/>
    <s v="Twitter"/>
    <d v="2024-12-30T00:00:00"/>
    <s v="Text"/>
    <s v="Get into the groove with our new drop!"/>
    <n v="4214"/>
    <n v="286"/>
    <n v="127"/>
    <n v="47293"/>
    <n v="27184"/>
    <n v="232"/>
    <s v="#NowPlaying"/>
    <m/>
    <x v="0"/>
  </r>
  <r>
    <s v="SP205"/>
    <s v="Twitter"/>
    <d v="2025-04-16T00:00:00"/>
    <s v="Text"/>
    <s v="Wrapped is here! Relive your top tracks"/>
    <n v="3792"/>
    <n v="315"/>
    <n v="120"/>
    <n v="54592"/>
    <n v="67886"/>
    <n v="117"/>
    <s v="#SoundtrackOfLife"/>
    <m/>
    <x v="1"/>
  </r>
  <r>
    <s v="SP206"/>
    <s v="Twitter"/>
    <d v="2024-08-21T00:00:00"/>
    <s v="Story"/>
    <s v="Explore the latest podcasts now."/>
    <n v="3989"/>
    <n v="476"/>
    <n v="128"/>
    <n v="57569"/>
    <n v="40193"/>
    <n v="222"/>
    <s v="#DiscoverWeekly"/>
    <s v="#MusicForEveryone"/>
    <x v="0"/>
  </r>
  <r>
    <s v="SP207"/>
    <s v="Twitter"/>
    <d v="2024-04-05T00:00:00"/>
    <s v="Story"/>
    <s v="Wrapped is here! Relive your top tracks"/>
    <n v="2857"/>
    <n v="443"/>
    <n v="359"/>
    <n v="51519"/>
    <n v="28256"/>
    <n v="155"/>
    <s v="#SoundtrackOfLife"/>
    <s v="#NowPlaying"/>
    <x v="0"/>
  </r>
  <r>
    <s v="SP208"/>
    <s v="Twitter"/>
    <d v="2025-04-07T00:00:00"/>
    <s v="Text"/>
    <s v="From pop to podcasts, its all here."/>
    <n v="1403"/>
    <n v="385"/>
    <n v="344"/>
    <n v="54223"/>
    <n v="72595"/>
    <n v="239"/>
    <s v="#SoundtrackOfLife"/>
    <m/>
    <x v="1"/>
  </r>
  <r>
    <s v="SP209"/>
    <s v="Twitter"/>
    <d v="2024-07-19T00:00:00"/>
    <s v="Story"/>
    <s v="Whats your vibe today?"/>
    <n v="3071"/>
    <n v="126"/>
    <n v="200"/>
    <n v="44013"/>
    <n v="44679"/>
    <n v="118"/>
    <s v="#DiscoverWeekly"/>
    <s v="#MusicForEveryone"/>
    <x v="0"/>
  </r>
  <r>
    <s v="SP210"/>
    <s v="Twitter"/>
    <d v="2025-05-03T00:00:00"/>
    <s v="Story"/>
    <s v="Top trending tracks updated daily!"/>
    <n v="1010"/>
    <n v="361"/>
    <n v="240"/>
    <n v="47229"/>
    <n v="72573"/>
    <n v="275"/>
    <s v="#SoundtrackOfLife"/>
    <s v="#NowPlaying"/>
    <x v="0"/>
  </r>
  <r>
    <s v="SP211"/>
    <s v="Twitter"/>
    <d v="2024-04-14T00:00:00"/>
    <s v="Story"/>
    <s v="Discover fresh beats on Spotify!"/>
    <n v="1295"/>
    <n v="153"/>
    <n v="81"/>
    <n v="48350"/>
    <n v="61033"/>
    <n v="232"/>
    <s v="#DiscoverWeekly"/>
    <s v="#MusicForEveryone"/>
    <x v="0"/>
  </r>
  <r>
    <s v="SP212"/>
    <s v="Twitter"/>
    <d v="2025-06-19T00:00:00"/>
    <s v="Story"/>
    <s v="Whats your vibe today?"/>
    <n v="1433"/>
    <n v="452"/>
    <n v="305"/>
    <n v="54541"/>
    <n v="63700"/>
    <n v="296"/>
    <s v="#DiscoverWeekly"/>
    <s v="#MusicForEveryone"/>
    <x v="0"/>
  </r>
  <r>
    <s v="SP213"/>
    <s v="Instagram"/>
    <d v="2025-06-24T00:00:00"/>
    <s v="Story"/>
    <s v="Get into the groove with our new drop!"/>
    <n v="4902"/>
    <n v="422"/>
    <n v="376"/>
    <n v="31674"/>
    <n v="53225"/>
    <n v="147"/>
    <s v="#NowPlaying"/>
    <m/>
    <x v="2"/>
  </r>
  <r>
    <s v="SP214"/>
    <s v="Twitter"/>
    <d v="2024-10-09T00:00:00"/>
    <s v="Text"/>
    <s v="Wrapped is here! Relive your top tracks"/>
    <n v="2659"/>
    <n v="167"/>
    <n v="73"/>
    <n v="23090"/>
    <n v="25872"/>
    <n v="293"/>
    <s v="#SoundtrackOfLife"/>
    <m/>
    <x v="1"/>
  </r>
  <r>
    <s v="SP215"/>
    <s v="YouTube"/>
    <d v="2025-01-15T00:00:00"/>
    <s v="Text"/>
    <s v="Your weekend playlist is waiting."/>
    <n v="2599"/>
    <n v="324"/>
    <n v="182"/>
    <n v="37525"/>
    <n v="37216"/>
    <n v="186"/>
    <s v="#DiscoverWeekly"/>
    <s v="#SpotifyWrapped"/>
    <x v="1"/>
  </r>
  <r>
    <s v="SP216"/>
    <s v="Twitter"/>
    <d v="2025-01-12T00:00:00"/>
    <s v="Text"/>
    <s v="Music that moves you only on Spotify."/>
    <n v="1765"/>
    <n v="285"/>
    <n v="100"/>
    <n v="41313"/>
    <n v="56575"/>
    <n v="174"/>
    <s v="#SoundtrackOfLife"/>
    <m/>
    <x v="1"/>
  </r>
  <r>
    <s v="SP217"/>
    <s v="Instagram"/>
    <d v="2025-05-31T00:00:00"/>
    <s v="Text"/>
    <s v="Whats your vibe today?"/>
    <n v="2169"/>
    <n v="240"/>
    <n v="57"/>
    <n v="26109"/>
    <n v="46667"/>
    <n v="133"/>
    <s v="#SoundtrackOfLife"/>
    <s v="#NowPlaying"/>
    <x v="0"/>
  </r>
  <r>
    <s v="SP218"/>
    <s v="Twitter"/>
    <d v="2024-10-14T00:00:00"/>
    <s v="Story"/>
    <s v="Explore the latest podcasts now."/>
    <n v="4303"/>
    <n v="306"/>
    <n v="302"/>
    <n v="39575"/>
    <n v="33762"/>
    <n v="265"/>
    <s v="#DiscoverWeekly"/>
    <s v="#MusicForEveryone"/>
    <x v="0"/>
  </r>
  <r>
    <s v="SP219"/>
    <s v="Twitter"/>
    <d v="2024-02-10T00:00:00"/>
    <s v="Text"/>
    <s v="From pop to podcasts, its all here."/>
    <n v="1519"/>
    <n v="456"/>
    <n v="379"/>
    <n v="51611"/>
    <n v="45880"/>
    <n v="176"/>
    <s v="#SoundtrackOfLife"/>
    <m/>
    <x v="1"/>
  </r>
  <r>
    <s v="SP220"/>
    <s v="YouTube"/>
    <d v="2024-12-10T00:00:00"/>
    <s v="Text"/>
    <s v="Whats your vibe today?"/>
    <n v="2569"/>
    <n v="140"/>
    <n v="375"/>
    <n v="38372"/>
    <n v="22102"/>
    <n v="255"/>
    <s v="#DiscoverWeekly"/>
    <s v="#SpotifyWrapped"/>
    <x v="1"/>
  </r>
  <r>
    <s v="SP221"/>
    <s v="Twitter"/>
    <d v="2025-05-09T00:00:00"/>
    <s v="Story"/>
    <s v="Music that moves you only on Spotify."/>
    <n v="2778"/>
    <n v="241"/>
    <n v="317"/>
    <n v="26247"/>
    <n v="20677"/>
    <n v="282"/>
    <s v="#MusicForEveryone"/>
    <s v="#NowPlaying"/>
    <x v="0"/>
  </r>
  <r>
    <s v="SP222"/>
    <s v="Twitter"/>
    <d v="2025-06-21T00:00:00"/>
    <s v="Text"/>
    <s v="Explore the latest podcasts now."/>
    <n v="3611"/>
    <n v="127"/>
    <n v="139"/>
    <n v="44768"/>
    <n v="29435"/>
    <n v="178"/>
    <s v="#NowPlaying"/>
    <m/>
    <x v="0"/>
  </r>
  <r>
    <s v="SP223"/>
    <s v="Twitter"/>
    <d v="2024-06-19T00:00:00"/>
    <s v="Text"/>
    <s v="Whats your vibe today?"/>
    <n v="1224"/>
    <n v="168"/>
    <n v="199"/>
    <n v="54232"/>
    <n v="52844"/>
    <n v="271"/>
    <s v="#SoundtrackOfLife"/>
    <m/>
    <x v="1"/>
  </r>
  <r>
    <s v="SP224"/>
    <s v="Twitter"/>
    <d v="2024-12-10T00:00:00"/>
    <s v="Text"/>
    <s v="From pop to podcasts, its all here."/>
    <n v="4673"/>
    <n v="270"/>
    <n v="93"/>
    <n v="45260"/>
    <n v="57513"/>
    <n v="103"/>
    <s v="#NowPlaying"/>
    <m/>
    <x v="0"/>
  </r>
  <r>
    <s v="SP225"/>
    <s v="YouTube"/>
    <d v="2024-02-01T00:00:00"/>
    <s v="Text"/>
    <s v="Wrapped is here! Relive your top tracks"/>
    <n v="1432"/>
    <n v="437"/>
    <n v="267"/>
    <n v="40634"/>
    <n v="54511"/>
    <n v="197"/>
    <s v="#DiscoverWeekly"/>
    <s v="#SpotifyWrapped"/>
    <x v="1"/>
  </r>
  <r>
    <s v="SP226"/>
    <s v="Twitter"/>
    <d v="2024-01-17T00:00:00"/>
    <s v="Story"/>
    <s v="New music just dropped. Hit play!"/>
    <n v="2174"/>
    <n v="499"/>
    <n v="212"/>
    <n v="54938"/>
    <n v="27190"/>
    <n v="265"/>
    <s v="#MusicForEveryone"/>
    <s v="#NowPlaying"/>
    <x v="0"/>
  </r>
  <r>
    <s v="SP227"/>
    <s v="YouTube"/>
    <d v="2025-03-22T00:00:00"/>
    <s v="Text"/>
    <s v="Music that moves you only on Spotify."/>
    <n v="4308"/>
    <n v="171"/>
    <n v="106"/>
    <n v="36955"/>
    <n v="23949"/>
    <n v="294"/>
    <s v="#DiscoverWeekly"/>
    <s v="#SpotifyWrapped"/>
    <x v="1"/>
  </r>
  <r>
    <s v="SP228"/>
    <s v="YouTube"/>
    <d v="2024-05-30T00:00:00"/>
    <s v="Reel"/>
    <s v="Whats your vibe today?"/>
    <n v="1060"/>
    <n v="442"/>
    <n v="319"/>
    <n v="57194"/>
    <n v="24258"/>
    <n v="101"/>
    <s v="#DiscoverWeekly"/>
    <s v="#SoundtrackOfLife"/>
    <x v="3"/>
  </r>
  <r>
    <s v="SP229"/>
    <s v="YouTube"/>
    <d v="2024-02-24T00:00:00"/>
    <s v="Text"/>
    <s v="Music that moves you only on Spotify."/>
    <n v="4653"/>
    <n v="226"/>
    <n v="349"/>
    <n v="56876"/>
    <n v="28452"/>
    <n v="257"/>
    <s v="#DiscoverWeekly"/>
    <s v="#SpotifyWrapped"/>
    <x v="1"/>
  </r>
  <r>
    <s v="SP230"/>
    <s v="YouTube"/>
    <d v="2025-05-14T00:00:00"/>
    <s v="Text"/>
    <s v="Discover fresh beats on Spotify!"/>
    <n v="1701"/>
    <n v="272"/>
    <n v="385"/>
    <n v="47496"/>
    <n v="40832"/>
    <n v="246"/>
    <s v="#DiscoverWeekly"/>
    <s v="#SpotifyWrapped"/>
    <x v="1"/>
  </r>
  <r>
    <s v="SP231"/>
    <s v="Instagram"/>
    <d v="2024-03-28T00:00:00"/>
    <s v="Text"/>
    <s v="Whats your vibe today?"/>
    <n v="1673"/>
    <n v="280"/>
    <n v="67"/>
    <n v="29847"/>
    <n v="48016"/>
    <n v="213"/>
    <s v="#SoundtrackOfLife"/>
    <s v="#NowPlaying"/>
    <x v="0"/>
  </r>
  <r>
    <s v="SP232"/>
    <s v="YouTube"/>
    <d v="2025-03-07T00:00:00"/>
    <s v="Text"/>
    <s v="Top trending tracks updated daily!"/>
    <n v="4310"/>
    <n v="284"/>
    <n v="306"/>
    <n v="44606"/>
    <n v="42604"/>
    <n v="290"/>
    <s v="#DiscoverWeekly"/>
    <s v="#SpotifyWrapped"/>
    <x v="1"/>
  </r>
  <r>
    <s v="SP233"/>
    <s v="Twitter"/>
    <d v="2024-10-20T00:00:00"/>
    <s v="Text"/>
    <s v="From pop to podcasts, its all here."/>
    <n v="2752"/>
    <n v="309"/>
    <n v="91"/>
    <n v="39038"/>
    <n v="28095"/>
    <n v="277"/>
    <s v="#NowPlaying"/>
    <m/>
    <x v="0"/>
  </r>
  <r>
    <s v="SP234"/>
    <s v="Twitter"/>
    <d v="2024-02-02T00:00:00"/>
    <s v="Text"/>
    <s v="From pop to podcasts, its all here."/>
    <n v="3818"/>
    <n v="115"/>
    <n v="286"/>
    <n v="25127"/>
    <n v="22277"/>
    <n v="263"/>
    <s v="#NowPlaying"/>
    <m/>
    <x v="0"/>
  </r>
  <r>
    <s v="SP235"/>
    <s v="YouTube"/>
    <d v="2024-09-07T00:00:00"/>
    <s v="Text"/>
    <s v="Your weekend playlist is waiting."/>
    <n v="2101"/>
    <n v="411"/>
    <n v="190"/>
    <n v="41791"/>
    <n v="57090"/>
    <n v="172"/>
    <s v="#DiscoverWeekly"/>
    <s v="#SpotifyWrapped"/>
    <x v="1"/>
  </r>
  <r>
    <s v="SP236"/>
    <s v="Instagram"/>
    <d v="2024-12-20T00:00:00"/>
    <s v="Text"/>
    <s v="Discover fresh beats on Spotify!"/>
    <n v="2519"/>
    <n v="202"/>
    <n v="239"/>
    <n v="36245"/>
    <n v="48606"/>
    <n v="145"/>
    <s v="#DiscoverWeekly"/>
    <m/>
    <x v="1"/>
  </r>
  <r>
    <s v="SP237"/>
    <s v="YouTube"/>
    <d v="2024-01-14T00:00:00"/>
    <s v="Text"/>
    <s v="Whats your vibe today?"/>
    <n v="4502"/>
    <n v="238"/>
    <n v="386"/>
    <n v="39198"/>
    <n v="25050"/>
    <n v="297"/>
    <s v="#DiscoverWeekly"/>
    <s v="#SpotifyWrapped"/>
    <x v="1"/>
  </r>
  <r>
    <s v="SP238"/>
    <s v="Instagram"/>
    <d v="2025-06-15T00:00:00"/>
    <s v="Text"/>
    <s v="Explore the latest podcasts now."/>
    <n v="2478"/>
    <n v="427"/>
    <n v="242"/>
    <n v="59272"/>
    <n v="37833"/>
    <n v="214"/>
    <s v="#SoundtrackOfLife"/>
    <s v="#NowPlaying"/>
    <x v="0"/>
  </r>
  <r>
    <s v="SP239"/>
    <s v="Twitter"/>
    <d v="2024-12-13T00:00:00"/>
    <s v="Story"/>
    <s v="New music just dropped. Hit play!"/>
    <n v="4984"/>
    <n v="300"/>
    <n v="338"/>
    <n v="32900"/>
    <n v="31691"/>
    <n v="160"/>
    <s v="#MusicForEveryone"/>
    <s v="#NowPlaying"/>
    <x v="0"/>
  </r>
  <r>
    <s v="SP240"/>
    <s v="YouTube"/>
    <d v="2024-08-29T00:00:00"/>
    <s v="Text"/>
    <s v="Wrapped is here! Relive your top tracks"/>
    <n v="4774"/>
    <n v="389"/>
    <n v="358"/>
    <n v="52346"/>
    <n v="30518"/>
    <n v="277"/>
    <s v="#DiscoverWeekly"/>
    <s v="#SpotifyWrapped"/>
    <x v="1"/>
  </r>
  <r>
    <s v="SP241"/>
    <s v="Twitter"/>
    <d v="2024-09-15T00:00:00"/>
    <s v="Text"/>
    <s v="Get into the groove with our new drop!"/>
    <n v="2145"/>
    <n v="340"/>
    <n v="85"/>
    <n v="53323"/>
    <n v="49938"/>
    <n v="104"/>
    <s v="#NowPlaying"/>
    <m/>
    <x v="0"/>
  </r>
  <r>
    <s v="SP242"/>
    <s v="Twitter"/>
    <d v="2025-04-12T00:00:00"/>
    <s v="Story"/>
    <s v="From pop to podcasts, its all here."/>
    <n v="4315"/>
    <n v="208"/>
    <n v="273"/>
    <n v="35780"/>
    <n v="44349"/>
    <n v="133"/>
    <s v="#DiscoverWeekly"/>
    <s v="#MusicForEveryone"/>
    <x v="0"/>
  </r>
  <r>
    <s v="SP243"/>
    <s v="Twitter"/>
    <d v="2024-12-10T00:00:00"/>
    <s v="Story"/>
    <s v="Wrapped is here! Relive your top tracks"/>
    <n v="2267"/>
    <n v="230"/>
    <n v="243"/>
    <n v="27904"/>
    <n v="69771"/>
    <n v="255"/>
    <s v="#DiscoverWeekly"/>
    <s v="#MusicForEveryone"/>
    <x v="0"/>
  </r>
  <r>
    <s v="SP244"/>
    <s v="YouTube"/>
    <d v="2025-06-08T00:00:00"/>
    <s v="Text"/>
    <s v="Music that moves you only on Spotify."/>
    <n v="4375"/>
    <n v="303"/>
    <n v="294"/>
    <n v="57468"/>
    <n v="53397"/>
    <n v="159"/>
    <s v="#DiscoverWeekly"/>
    <s v="#SpotifyWrapped"/>
    <x v="1"/>
  </r>
  <r>
    <s v="SP245"/>
    <s v="Twitter"/>
    <d v="2025-01-09T00:00:00"/>
    <s v="Story"/>
    <s v="Your weekend playlist is waiting."/>
    <n v="3817"/>
    <n v="284"/>
    <n v="204"/>
    <n v="46434"/>
    <n v="53396"/>
    <n v="104"/>
    <s v="#MusicForEveryone"/>
    <s v="#NowPlaying"/>
    <x v="0"/>
  </r>
  <r>
    <s v="SP246"/>
    <s v="Twitter"/>
    <d v="2024-07-08T00:00:00"/>
    <s v="Story"/>
    <s v="Top trending tracks updated daily!"/>
    <n v="2981"/>
    <n v="258"/>
    <n v="168"/>
    <n v="20677"/>
    <n v="68290"/>
    <n v="130"/>
    <s v="#SoundtrackOfLife"/>
    <s v="#NowPlaying"/>
    <x v="0"/>
  </r>
  <r>
    <s v="SP247"/>
    <s v="Twitter"/>
    <d v="2024-09-16T00:00:00"/>
    <s v="Story"/>
    <s v="Your weekend playlist is waiting."/>
    <n v="3300"/>
    <n v="354"/>
    <n v="397"/>
    <n v="56773"/>
    <n v="72110"/>
    <n v="163"/>
    <s v="#DiscoverWeekly"/>
    <s v="#MusicForEveryone"/>
    <x v="0"/>
  </r>
  <r>
    <s v="SP248"/>
    <s v="YouTube"/>
    <d v="2024-06-14T00:00:00"/>
    <s v="Reel"/>
    <s v="Wrapped is here! Relive your top tracks"/>
    <n v="4722"/>
    <n v="310"/>
    <n v="344"/>
    <n v="27911"/>
    <n v="19000"/>
    <n v="225"/>
    <s v="#DiscoverWeekly"/>
    <s v="#SoundtrackOfLife"/>
    <x v="3"/>
  </r>
  <r>
    <s v="SP249"/>
    <s v="Instagram"/>
    <d v="2024-03-06T00:00:00"/>
    <s v="Text"/>
    <s v="Whats your vibe today?"/>
    <n v="3529"/>
    <n v="263"/>
    <n v="107"/>
    <n v="26570"/>
    <n v="19367"/>
    <n v="96"/>
    <s v="#DiscoverWeekly"/>
    <m/>
    <x v="1"/>
  </r>
  <r>
    <s v="SP250"/>
    <s v="Twitter"/>
    <d v="2025-05-15T00:00:00"/>
    <s v="Text"/>
    <s v="Your weekend playlist is waiting."/>
    <n v="4782"/>
    <n v="210"/>
    <n v="311"/>
    <n v="29793"/>
    <n v="37543"/>
    <n v="145"/>
    <s v="#NowPlaying"/>
    <m/>
    <x v="0"/>
  </r>
  <r>
    <s v="SP251"/>
    <s v="Twitter"/>
    <d v="2024-07-07T00:00:00"/>
    <s v="Text"/>
    <s v="Whats your vibe today?"/>
    <n v="1848"/>
    <n v="417"/>
    <n v="294"/>
    <n v="57819"/>
    <n v="19798"/>
    <n v="262"/>
    <s v="#SoundtrackOfLife"/>
    <m/>
    <x v="1"/>
  </r>
  <r>
    <s v="SP252"/>
    <s v="YouTube"/>
    <d v="2024-10-26T00:00:00"/>
    <s v="Text"/>
    <s v="New music just dropped. Hit play!"/>
    <n v="4676"/>
    <n v="211"/>
    <n v="55"/>
    <n v="45917"/>
    <n v="73503"/>
    <n v="248"/>
    <s v="#DiscoverWeekly"/>
    <s v="#SpotifyWrapped"/>
    <x v="1"/>
  </r>
  <r>
    <s v="SP253"/>
    <s v="YouTube"/>
    <d v="2024-08-08T00:00:00"/>
    <s v="Text"/>
    <s v="From pop to podcasts, its all here."/>
    <n v="1994"/>
    <n v="197"/>
    <n v="290"/>
    <n v="49500"/>
    <n v="23343"/>
    <n v="160"/>
    <s v="#DiscoverWeekly"/>
    <s v="#SpotifyWrapped"/>
    <x v="1"/>
  </r>
  <r>
    <s v="SP254"/>
    <s v="Twitter"/>
    <d v="2025-02-03T00:00:00"/>
    <s v="Text"/>
    <s v="Whats your vibe today?"/>
    <n v="4995"/>
    <n v="231"/>
    <n v="94"/>
    <n v="34431"/>
    <n v="32560"/>
    <n v="262"/>
    <s v="#NowPlaying"/>
    <m/>
    <x v="0"/>
  </r>
  <r>
    <s v="SP255"/>
    <s v="Twitter"/>
    <d v="2024-04-03T00:00:00"/>
    <s v="Story"/>
    <s v="Top trending tracks updated daily!"/>
    <n v="2291"/>
    <n v="146"/>
    <n v="399"/>
    <n v="49319"/>
    <n v="28056"/>
    <n v="90"/>
    <s v="#DiscoverWeekly"/>
    <s v="#MusicForEveryone"/>
    <x v="0"/>
  </r>
  <r>
    <s v="SP256"/>
    <s v="Twitter"/>
    <d v="2024-07-08T00:00:00"/>
    <s v="Story"/>
    <s v="Wrapped is here! Relive your top tracks"/>
    <n v="2304"/>
    <n v="289"/>
    <n v="161"/>
    <n v="52645"/>
    <n v="66262"/>
    <n v="146"/>
    <s v="#MusicForEveryone"/>
    <s v="#NowPlaying"/>
    <x v="0"/>
  </r>
  <r>
    <s v="SP257"/>
    <s v="Twitter"/>
    <d v="2024-06-08T00:00:00"/>
    <s v="Story"/>
    <s v="Top trending tracks updated daily!"/>
    <n v="3413"/>
    <n v="326"/>
    <n v="86"/>
    <n v="44680"/>
    <n v="52719"/>
    <n v="272"/>
    <s v="#DiscoverWeekly"/>
    <s v="#MusicForEveryone"/>
    <x v="0"/>
  </r>
  <r>
    <s v="SP258"/>
    <s v="YouTube"/>
    <d v="2025-03-20T00:00:00"/>
    <s v="Reel"/>
    <s v="From pop to podcasts, its all here."/>
    <n v="1453"/>
    <n v="156"/>
    <n v="178"/>
    <n v="52980"/>
    <n v="57180"/>
    <n v="286"/>
    <s v="#DiscoverWeekly"/>
    <s v="#SoundtrackOfLife"/>
    <x v="3"/>
  </r>
  <r>
    <s v="SP259"/>
    <s v="Twitter"/>
    <d v="2025-01-19T00:00:00"/>
    <s v="Story"/>
    <s v="Music that moves you only on Spotify."/>
    <n v="1651"/>
    <n v="480"/>
    <n v="282"/>
    <n v="32140"/>
    <n v="70560"/>
    <n v="138"/>
    <s v="#SoundtrackOfLife"/>
    <s v="#NowPlaying"/>
    <x v="0"/>
  </r>
  <r>
    <s v="SP260"/>
    <s v="Twitter"/>
    <d v="2025-01-05T00:00:00"/>
    <s v="Story"/>
    <s v="Explore the latest podcasts now."/>
    <n v="3341"/>
    <n v="154"/>
    <n v="123"/>
    <n v="43369"/>
    <n v="49035"/>
    <n v="128"/>
    <s v="#MusicForEveryone"/>
    <s v="#NowPlaying"/>
    <x v="0"/>
  </r>
  <r>
    <s v="SP261"/>
    <s v="Twitter"/>
    <d v="2024-11-16T00:00:00"/>
    <s v="Text"/>
    <s v="From pop to podcasts, its all here."/>
    <n v="2972"/>
    <n v="263"/>
    <n v="308"/>
    <n v="51740"/>
    <n v="28214"/>
    <n v="190"/>
    <s v="#SoundtrackOfLife"/>
    <m/>
    <x v="1"/>
  </r>
  <r>
    <s v="SP262"/>
    <s v="Twitter"/>
    <d v="2024-11-30T00:00:00"/>
    <s v="Story"/>
    <s v="Explore the latest podcasts now."/>
    <n v="4963"/>
    <n v="255"/>
    <n v="193"/>
    <n v="44386"/>
    <n v="28415"/>
    <n v="174"/>
    <s v="#MusicForEveryone"/>
    <s v="#NowPlaying"/>
    <x v="0"/>
  </r>
  <r>
    <s v="SP263"/>
    <s v="YouTube"/>
    <d v="2024-03-27T00:00:00"/>
    <s v="Text"/>
    <s v="Music that moves you only on Spotify."/>
    <n v="2399"/>
    <n v="191"/>
    <n v="221"/>
    <n v="51603"/>
    <n v="40033"/>
    <n v="173"/>
    <s v="#DiscoverWeekly"/>
    <s v="#SpotifyWrapped"/>
    <x v="1"/>
  </r>
  <r>
    <s v="SP264"/>
    <s v="YouTube"/>
    <d v="2025-05-31T00:00:00"/>
    <s v="Reel"/>
    <s v="Get into the groove with our new drop!"/>
    <n v="2162"/>
    <n v="318"/>
    <n v="83"/>
    <n v="46719"/>
    <n v="20482"/>
    <n v="185"/>
    <s v="#DiscoverWeekly"/>
    <s v="#SoundtrackOfLife"/>
    <x v="3"/>
  </r>
  <r>
    <s v="SP265"/>
    <s v="Twitter"/>
    <d v="2025-06-17T00:00:00"/>
    <s v="Story"/>
    <s v="Explore the latest podcasts now."/>
    <n v="4341"/>
    <n v="141"/>
    <n v="63"/>
    <n v="50081"/>
    <n v="27507"/>
    <n v="221"/>
    <s v="#DiscoverWeekly"/>
    <s v="#MusicForEveryone"/>
    <x v="0"/>
  </r>
  <r>
    <s v="SP266"/>
    <s v="Instagram"/>
    <d v="2024-05-30T00:00:00"/>
    <s v="Story"/>
    <s v="Get into the groove with our new drop!"/>
    <n v="2448"/>
    <n v="464"/>
    <n v="98"/>
    <n v="25737"/>
    <n v="48545"/>
    <n v="246"/>
    <s v="#NowPlaying"/>
    <m/>
    <x v="2"/>
  </r>
  <r>
    <s v="SP267"/>
    <s v="YouTube"/>
    <d v="2024-11-08T00:00:00"/>
    <s v="Text"/>
    <s v="Top trending tracks updated daily!"/>
    <n v="2471"/>
    <n v="166"/>
    <n v="320"/>
    <n v="48254"/>
    <n v="46900"/>
    <n v="111"/>
    <s v="#DiscoverWeekly"/>
    <s v="#SpotifyWrapped"/>
    <x v="1"/>
  </r>
  <r>
    <s v="SP268"/>
    <s v="YouTube"/>
    <d v="2024-03-17T00:00:00"/>
    <s v="Reel"/>
    <s v="Explore the latest podcasts now."/>
    <n v="2692"/>
    <n v="446"/>
    <n v="216"/>
    <n v="45818"/>
    <n v="62723"/>
    <n v="85"/>
    <s v="#DiscoverWeekly"/>
    <s v="#SoundtrackOfLife"/>
    <x v="3"/>
  </r>
  <r>
    <s v="SP269"/>
    <s v="YouTube"/>
    <d v="2024-06-21T00:00:00"/>
    <s v="Reel"/>
    <s v="Music that moves you only on Spotify."/>
    <n v="4621"/>
    <n v="374"/>
    <n v="298"/>
    <n v="56979"/>
    <n v="24098"/>
    <n v="205"/>
    <s v="#DiscoverWeekly"/>
    <s v="#SoundtrackOfLife"/>
    <x v="3"/>
  </r>
  <r>
    <s v="SP270"/>
    <s v="Twitter"/>
    <d v="2024-11-13T00:00:00"/>
    <s v="Story"/>
    <s v="New music just dropped. Hit play!"/>
    <n v="1409"/>
    <n v="466"/>
    <n v="105"/>
    <n v="58923"/>
    <n v="38753"/>
    <n v="265"/>
    <s v="#DiscoverWeekly"/>
    <s v="#MusicForEveryone"/>
    <x v="0"/>
  </r>
  <r>
    <s v="SP271"/>
    <s v="Twitter"/>
    <d v="2025-02-05T00:00:00"/>
    <s v="Story"/>
    <s v="Discover fresh beats on Spotify!"/>
    <n v="3029"/>
    <n v="440"/>
    <n v="66"/>
    <n v="23815"/>
    <n v="47895"/>
    <n v="210"/>
    <s v="#DiscoverWeekly"/>
    <s v="#MusicForEveryone"/>
    <x v="0"/>
  </r>
  <r>
    <s v="SP272"/>
    <s v="Twitter"/>
    <d v="2024-11-07T00:00:00"/>
    <s v="Text"/>
    <s v="Explore the latest podcasts now."/>
    <n v="2229"/>
    <n v="395"/>
    <n v="328"/>
    <n v="56921"/>
    <n v="37176"/>
    <n v="126"/>
    <s v="#SoundtrackOfLife"/>
    <m/>
    <x v="1"/>
  </r>
  <r>
    <s v="SP273"/>
    <s v="Twitter"/>
    <d v="2024-02-12T00:00:00"/>
    <s v="Text"/>
    <s v="Explore the latest podcasts now."/>
    <n v="2691"/>
    <n v="486"/>
    <n v="206"/>
    <n v="51133"/>
    <n v="44583"/>
    <n v="276"/>
    <s v="#NowPlaying"/>
    <m/>
    <x v="0"/>
  </r>
  <r>
    <s v="SP274"/>
    <s v="Instagram"/>
    <d v="2024-10-08T00:00:00"/>
    <s v="Text"/>
    <s v="Explore the latest podcasts now."/>
    <n v="2110"/>
    <n v="384"/>
    <n v="236"/>
    <n v="49965"/>
    <n v="61555"/>
    <n v="195"/>
    <s v="#DiscoverWeekly"/>
    <m/>
    <x v="1"/>
  </r>
  <r>
    <s v="SP275"/>
    <s v="Instagram"/>
    <d v="2024-02-19T00:00:00"/>
    <s v="Text"/>
    <s v="Wrapped is here! Relive your top tracks"/>
    <n v="4752"/>
    <n v="449"/>
    <n v="309"/>
    <n v="58530"/>
    <n v="26630"/>
    <n v="234"/>
    <s v="#DiscoverWeekly"/>
    <m/>
    <x v="1"/>
  </r>
  <r>
    <s v="SP276"/>
    <s v="Twitter"/>
    <d v="2025-03-04T00:00:00"/>
    <s v="Text"/>
    <s v="Discover fresh beats on Spotify!"/>
    <n v="2177"/>
    <n v="258"/>
    <n v="292"/>
    <n v="47276"/>
    <n v="51324"/>
    <n v="143"/>
    <s v="#NowPlaying"/>
    <m/>
    <x v="0"/>
  </r>
  <r>
    <s v="SP277"/>
    <s v="Instagram"/>
    <d v="2025-02-03T00:00:00"/>
    <s v="Story"/>
    <s v="New music just dropped. Hit play!"/>
    <n v="1205"/>
    <n v="486"/>
    <n v="269"/>
    <n v="23341"/>
    <n v="42411"/>
    <n v="184"/>
    <s v="#NowPlaying"/>
    <m/>
    <x v="2"/>
  </r>
  <r>
    <s v="SP278"/>
    <s v="Instagram"/>
    <d v="2024-12-02T00:00:00"/>
    <s v="Text"/>
    <s v="Top trending tracks updated daily!"/>
    <n v="3194"/>
    <n v="292"/>
    <n v="245"/>
    <n v="56371"/>
    <n v="65597"/>
    <n v="163"/>
    <s v="#SoundtrackOfLife"/>
    <s v="#NowPlaying"/>
    <x v="0"/>
  </r>
  <r>
    <s v="SP279"/>
    <s v="Twitter"/>
    <d v="2025-01-19T00:00:00"/>
    <s v="Story"/>
    <s v="New music just dropped. Hit play!"/>
    <n v="3507"/>
    <n v="295"/>
    <n v="371"/>
    <n v="20410"/>
    <n v="53965"/>
    <n v="212"/>
    <s v="#SoundtrackOfLife"/>
    <s v="#NowPlaying"/>
    <x v="0"/>
  </r>
  <r>
    <s v="SP280"/>
    <s v="Twitter"/>
    <d v="2024-09-28T00:00:00"/>
    <s v="Story"/>
    <s v="Wrapped is here! Relive your top tracks"/>
    <n v="4471"/>
    <n v="317"/>
    <n v="249"/>
    <n v="44862"/>
    <n v="33365"/>
    <n v="184"/>
    <s v="#DiscoverWeekly"/>
    <s v="#MusicForEveryone"/>
    <x v="0"/>
  </r>
  <r>
    <s v="SP281"/>
    <s v="Instagram"/>
    <d v="2024-01-07T00:00:00"/>
    <s v="Text"/>
    <s v="Top trending tracks updated daily!"/>
    <n v="4931"/>
    <n v="469"/>
    <n v="193"/>
    <n v="56701"/>
    <n v="69437"/>
    <n v="291"/>
    <s v="#SoundtrackOfLife"/>
    <s v="#NowPlaying"/>
    <x v="0"/>
  </r>
  <r>
    <s v="SP282"/>
    <s v="Twitter"/>
    <d v="2024-02-21T00:00:00"/>
    <s v="Story"/>
    <s v="Get into the groove with our new drop!"/>
    <n v="2604"/>
    <n v="439"/>
    <n v="148"/>
    <n v="58468"/>
    <n v="39629"/>
    <n v="163"/>
    <s v="#MusicForEveryone"/>
    <s v="#NowPlaying"/>
    <x v="0"/>
  </r>
  <r>
    <s v="SP283"/>
    <s v="Instagram"/>
    <d v="2024-08-27T00:00:00"/>
    <s v="Text"/>
    <s v="Music that moves you only on Spotify."/>
    <n v="4197"/>
    <n v="359"/>
    <n v="280"/>
    <n v="56048"/>
    <n v="70930"/>
    <n v="295"/>
    <s v="#DiscoverWeekly"/>
    <m/>
    <x v="1"/>
  </r>
  <r>
    <s v="SP284"/>
    <s v="Instagram"/>
    <d v="2024-10-24T00:00:00"/>
    <s v="Story"/>
    <s v="Top trending tracks updated daily!"/>
    <n v="1914"/>
    <n v="255"/>
    <n v="156"/>
    <n v="27660"/>
    <n v="47776"/>
    <n v="111"/>
    <s v="#NowPlaying"/>
    <m/>
    <x v="2"/>
  </r>
  <r>
    <s v="SP285"/>
    <s v="YouTube"/>
    <d v="2025-01-29T00:00:00"/>
    <s v="Text"/>
    <s v="New music just dropped. Hit play!"/>
    <n v="1334"/>
    <n v="357"/>
    <n v="257"/>
    <n v="56910"/>
    <n v="70606"/>
    <n v="228"/>
    <s v="#DiscoverWeekly"/>
    <s v="#SpotifyWrapped"/>
    <x v="1"/>
  </r>
  <r>
    <s v="SP286"/>
    <s v="Instagram"/>
    <d v="2024-05-01T00:00:00"/>
    <s v="Text"/>
    <s v="Get into the groove with our new drop!"/>
    <n v="3359"/>
    <n v="137"/>
    <n v="387"/>
    <n v="33861"/>
    <n v="47257"/>
    <n v="198"/>
    <s v="#DiscoverWeekly"/>
    <m/>
    <x v="1"/>
  </r>
  <r>
    <s v="SP287"/>
    <s v="YouTube"/>
    <d v="2024-06-25T00:00:00"/>
    <s v="Text"/>
    <s v="Your weekend playlist is waiting."/>
    <n v="2172"/>
    <n v="338"/>
    <n v="70"/>
    <n v="30515"/>
    <n v="57853"/>
    <n v="156"/>
    <s v="#DiscoverWeekly"/>
    <s v="#SpotifyWrapped"/>
    <x v="1"/>
  </r>
  <r>
    <s v="SP288"/>
    <s v="Twitter"/>
    <d v="2024-08-09T00:00:00"/>
    <s v="Story"/>
    <s v="From pop to podcasts, its all here."/>
    <n v="4877"/>
    <n v="442"/>
    <n v="236"/>
    <n v="52673"/>
    <n v="48241"/>
    <n v="114"/>
    <s v="#DiscoverWeekly"/>
    <s v="#MusicForEveryone"/>
    <x v="0"/>
  </r>
  <r>
    <s v="SP289"/>
    <s v="Instagram"/>
    <d v="2025-01-21T00:00:00"/>
    <s v="Story"/>
    <s v="New music just dropped. Hit play!"/>
    <n v="4918"/>
    <n v="440"/>
    <n v="149"/>
    <n v="53269"/>
    <n v="64370"/>
    <n v="269"/>
    <s v="#NowPlaying"/>
    <m/>
    <x v="2"/>
  </r>
  <r>
    <s v="SP290"/>
    <s v="Twitter"/>
    <d v="2024-08-13T00:00:00"/>
    <s v="Text"/>
    <s v="Explore the latest podcasts now."/>
    <n v="3418"/>
    <n v="107"/>
    <n v="221"/>
    <n v="23927"/>
    <n v="26182"/>
    <n v="155"/>
    <s v="#SoundtrackOfLife"/>
    <m/>
    <x v="1"/>
  </r>
  <r>
    <s v="SP291"/>
    <s v="Instagram"/>
    <d v="2024-06-29T00:00:00"/>
    <s v="Text"/>
    <s v="Your weekend playlist is waiting."/>
    <n v="2088"/>
    <n v="490"/>
    <n v="124"/>
    <n v="46544"/>
    <n v="69346"/>
    <n v="178"/>
    <s v="#SoundtrackOfLife"/>
    <s v="#NowPlaying"/>
    <x v="0"/>
  </r>
  <r>
    <s v="SP292"/>
    <s v="Twitter"/>
    <d v="2024-11-03T00:00:00"/>
    <s v="Story"/>
    <s v="Explore the latest podcasts now."/>
    <n v="3061"/>
    <n v="320"/>
    <n v="76"/>
    <n v="26640"/>
    <n v="24306"/>
    <n v="112"/>
    <s v="#MusicForEveryone"/>
    <s v="#NowPlaying"/>
    <x v="0"/>
  </r>
  <r>
    <s v="SP293"/>
    <s v="YouTube"/>
    <d v="2025-04-18T00:00:00"/>
    <s v="Reel"/>
    <s v="Your weekend playlist is waiting."/>
    <n v="1265"/>
    <n v="230"/>
    <n v="364"/>
    <n v="41312"/>
    <n v="50382"/>
    <n v="106"/>
    <s v="#DiscoverWeekly"/>
    <s v="#SoundtrackOfLife"/>
    <x v="3"/>
  </r>
  <r>
    <s v="SP294"/>
    <s v="Instagram"/>
    <d v="2024-12-27T00:00:00"/>
    <s v="Text"/>
    <s v="From pop to podcasts, its all here."/>
    <n v="1436"/>
    <n v="219"/>
    <n v="229"/>
    <n v="58488"/>
    <n v="24314"/>
    <n v="147"/>
    <s v="#DiscoverWeekly"/>
    <m/>
    <x v="1"/>
  </r>
  <r>
    <s v="SP295"/>
    <s v="Instagram"/>
    <d v="2025-03-08T00:00:00"/>
    <s v="Story"/>
    <s v="Top trending tracks updated daily!"/>
    <n v="2244"/>
    <n v="392"/>
    <n v="231"/>
    <n v="25834"/>
    <n v="50906"/>
    <n v="165"/>
    <s v="#NowPlaying"/>
    <m/>
    <x v="2"/>
  </r>
  <r>
    <s v="SP296"/>
    <s v="Twitter"/>
    <d v="2025-03-20T00:00:00"/>
    <s v="Story"/>
    <s v="Your weekend playlist is waiting."/>
    <n v="3393"/>
    <n v="104"/>
    <n v="79"/>
    <n v="30025"/>
    <n v="21593"/>
    <n v="165"/>
    <s v="#MusicForEveryone"/>
    <s v="#NowPlaying"/>
    <x v="0"/>
  </r>
  <r>
    <s v="SP297"/>
    <s v="Twitter"/>
    <d v="2024-11-16T00:00:00"/>
    <s v="Text"/>
    <s v="Explore the latest podcasts now."/>
    <n v="2901"/>
    <n v="108"/>
    <n v="86"/>
    <n v="51777"/>
    <n v="23773"/>
    <n v="160"/>
    <s v="#SoundtrackOfLife"/>
    <m/>
    <x v="1"/>
  </r>
  <r>
    <s v="SP298"/>
    <s v="Twitter"/>
    <d v="2025-06-30T00:00:00"/>
    <s v="Text"/>
    <s v="Whats your vibe today?"/>
    <n v="2275"/>
    <n v="285"/>
    <n v="125"/>
    <n v="43970"/>
    <n v="74761"/>
    <n v="83"/>
    <s v="#NowPlaying"/>
    <m/>
    <x v="0"/>
  </r>
  <r>
    <s v="SP299"/>
    <s v="Twitter"/>
    <d v="2024-01-12T00:00:00"/>
    <s v="Story"/>
    <s v="Wrapped is here! Relive your top tracks"/>
    <n v="2227"/>
    <n v="494"/>
    <n v="161"/>
    <n v="51651"/>
    <n v="68074"/>
    <n v="240"/>
    <s v="#DiscoverWeekly"/>
    <s v="#MusicForEveryone"/>
    <x v="0"/>
  </r>
  <r>
    <s v="SP300"/>
    <s v="Instagram"/>
    <d v="2024-02-07T00:00:00"/>
    <s v="Text"/>
    <s v="Music that moves you only on Spotify."/>
    <n v="1883"/>
    <n v="432"/>
    <n v="397"/>
    <n v="28759"/>
    <n v="18691"/>
    <n v="270"/>
    <s v="#SoundtrackOfLife"/>
    <s v="#NowPlaying"/>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13AF71-F021-4203-AEE0-B326B7B3AB43}" name="PivotTable1" cacheId="9"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P4:V8" firstHeaderRow="0" firstDataRow="1" firstDataCol="1"/>
  <pivotFields count="14">
    <pivotField showAll="0"/>
    <pivotField showAll="0"/>
    <pivotField numFmtId="14" showAll="0"/>
    <pivotField showAll="0"/>
    <pivotField showAll="0"/>
    <pivotField dataField="1" numFmtId="1" showAll="0"/>
    <pivotField numFmtId="1" showAll="0"/>
    <pivotField numFmtId="1" showAll="0"/>
    <pivotField dataField="1" numFmtId="1" showAll="0"/>
    <pivotField numFmtId="1" showAll="0"/>
    <pivotField dataField="1" numFmtId="1" showAll="0"/>
    <pivotField showAll="0"/>
    <pivotField showAll="0"/>
    <pivotField axis="axisRow" showAll="0">
      <items count="5">
        <item x="0"/>
        <item x="1"/>
        <item x="3"/>
        <item x="2"/>
        <item t="default"/>
      </items>
    </pivotField>
  </pivotFields>
  <rowFields count="1">
    <field x="13"/>
  </rowFields>
  <rowItems count="4">
    <i>
      <x/>
    </i>
    <i>
      <x v="1"/>
    </i>
    <i>
      <x v="2"/>
    </i>
    <i>
      <x v="3"/>
    </i>
  </rowItems>
  <colFields count="1">
    <field x="-2"/>
  </colFields>
  <colItems count="6">
    <i>
      <x/>
    </i>
    <i i="1">
      <x v="1"/>
    </i>
    <i i="2">
      <x v="2"/>
    </i>
    <i i="3">
      <x v="3"/>
    </i>
    <i i="4">
      <x v="4"/>
    </i>
    <i i="5">
      <x v="5"/>
    </i>
  </colItems>
  <dataFields count="6">
    <dataField name="Average of Impressions" fld="8" subtotal="average" baseField="13" baseItem="0" numFmtId="1"/>
    <dataField name="Sum of Impressions" fld="8" baseField="0" baseItem="0" numFmtId="1"/>
    <dataField name="Average of Likes" fld="5" subtotal="average" baseField="13" baseItem="3" numFmtId="1"/>
    <dataField name="Sum of Likes" fld="5" baseField="0" baseItem="0" numFmtId="1"/>
    <dataField name="Average of Clicks" fld="10" subtotal="average" baseField="13" baseItem="3" numFmtId="1"/>
    <dataField name="Sum of Clicks" fld="10" baseField="0" baseItem="0" numFmtId="1"/>
  </dataFields>
  <formats count="4">
    <format dxfId="110">
      <pivotArea outline="0" collapsedLevelsAreSubtotals="1" fieldPosition="0"/>
    </format>
    <format dxfId="109">
      <pivotArea dataOnly="0" labelOnly="1" fieldPosition="0">
        <references count="1">
          <reference field="13" count="0"/>
        </references>
      </pivotArea>
    </format>
    <format dxfId="108">
      <pivotArea dataOnly="0" labelOnly="1" fieldPosition="0">
        <references count="1">
          <reference field="13" count="1">
            <x v="0"/>
          </reference>
        </references>
      </pivotArea>
    </format>
    <format dxfId="107">
      <pivotArea dataOnly="0" labelOnly="1" fieldPosition="0">
        <references count="1">
          <reference field="13" count="0"/>
        </references>
      </pivotArea>
    </format>
  </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_Name" xr10:uid="{CCA13111-BD40-420B-BC7B-9A30E8319393}" sourceName="Campaign_Name">
  <extLst>
    <x:ext xmlns:x15="http://schemas.microsoft.com/office/spreadsheetml/2010/11/main" uri="{2F2917AC-EB37-4324-AD4E-5DD8C200BD13}">
      <x15:tableSlicerCache tableId="4" column="14"/>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07333606-05B6-45EA-8525-07DF143813A6}" sourceName="Platform">
  <extLst>
    <x:ext xmlns:x15="http://schemas.microsoft.com/office/spreadsheetml/2010/11/main" uri="{2F2917AC-EB37-4324-AD4E-5DD8C200BD13}">
      <x15:tableSlicerCache tableId="7"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1" xr10:uid="{4791048D-FD97-4F05-9AA6-4D396BC8F2EC}" sourceName="Platform">
  <extLst>
    <x:ext xmlns:x15="http://schemas.microsoft.com/office/spreadsheetml/2010/11/main" uri="{2F2917AC-EB37-4324-AD4E-5DD8C200BD13}">
      <x15:tableSlicerCache tableId="10"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mpaign_Name" xr10:uid="{07529F6E-FD99-493D-BFC6-937B7226EAA9}" cache="Slicer_Campaign_Name" caption="Campaign_Name" style="SlicerStyleLight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xr10:uid="{FC80FA23-1D4A-46D5-A887-1DD86070FD08}" cache="Slicer_Platform" caption="Platform" style="SlicerStyleDark5"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1" xr10:uid="{A8AC60C5-33AD-4771-BBDD-F11E02DEE436}" cache="Slicer_Platform1" caption="Platform"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E7328CB-3CF8-4CE9-8173-31A31811932B}" name="Table1" displayName="Table1" ref="A1:N301" totalsRowShown="0" headerRowDxfId="126" dataDxfId="125">
  <autoFilter ref="A1:N301" xr:uid="{CE7328CB-3CF8-4CE9-8173-31A31811932B}"/>
  <tableColumns count="14">
    <tableColumn id="1" xr3:uid="{50BE9EC5-6FF1-44F1-88A8-78C2A41C4D09}" name="Post ID" dataDxfId="124"/>
    <tableColumn id="2" xr3:uid="{9883916F-949A-4666-AEA5-FDC0F67CC906}" name="Platform" dataDxfId="123"/>
    <tableColumn id="3" xr3:uid="{AF010181-4110-4E71-B98B-FD29DB6651CF}" name="Date" dataDxfId="122"/>
    <tableColumn id="4" xr3:uid="{9103B60D-E65B-4ED3-B2F3-BEC4BF100C52}" name="Content Type" dataDxfId="121"/>
    <tableColumn id="5" xr3:uid="{BA501876-6374-44B9-B149-9711995BF42A}" name="Post Text" dataDxfId="120"/>
    <tableColumn id="6" xr3:uid="{01957983-48D8-473B-A5DE-A5CFC502F28D}" name="Likes" dataDxfId="119"/>
    <tableColumn id="7" xr3:uid="{6A03D69F-C971-40FB-9FF9-C02454951930}" name="Shares" dataDxfId="118"/>
    <tableColumn id="8" xr3:uid="{38CB7255-BA66-4820-AC40-68C7AB9B94C5}" name="Comments" dataDxfId="117"/>
    <tableColumn id="9" xr3:uid="{6951EC6B-7D45-48AC-B019-C857C62F8E26}" name="Impressions" dataDxfId="116"/>
    <tableColumn id="10" xr3:uid="{48B3BB3F-1BDA-4FFF-A50D-D3E568B926B7}" name="Reach" dataDxfId="115"/>
    <tableColumn id="11" xr3:uid="{8DACC315-A10E-4D3F-A1C5-73DB7466E79C}" name="Clicks" dataDxfId="114"/>
    <tableColumn id="12" xr3:uid="{84E6C39D-1056-4DA8-AF47-7B86F53495BE}" name="Hastag_1" dataDxfId="113"/>
    <tableColumn id="13" xr3:uid="{397EA6AB-AC59-42A7-B59A-F57E0D226D9B}" name="Hastag_2" dataDxfId="112"/>
    <tableColumn id="14" xr3:uid="{588814A8-B3D6-475B-A914-4DF55B38CABD}" name="Campaign_Name" dataDxfId="11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DA5A54D-F259-40DB-A6E3-2B435C2AB612}" name="Table14" displayName="Table14" ref="A1:N301" totalsRowShown="0" headerRowDxfId="106" dataDxfId="105">
  <autoFilter ref="A1:N301" xr:uid="{CE7328CB-3CF8-4CE9-8173-31A31811932B}"/>
  <tableColumns count="14">
    <tableColumn id="1" xr3:uid="{B566C989-84FD-43F0-B6E0-AD4782E298D8}" name="Post ID" dataDxfId="104"/>
    <tableColumn id="2" xr3:uid="{A6091F3A-E9FA-4776-B2C2-61C452D29BFB}" name="Platform" dataDxfId="103"/>
    <tableColumn id="3" xr3:uid="{590BF02E-C4C3-4916-A7B6-77C5326F2CF5}" name="Date" dataDxfId="102"/>
    <tableColumn id="4" xr3:uid="{0BA645D1-2DEC-4129-BCD3-2D402DBB5465}" name="Content Type" dataDxfId="101"/>
    <tableColumn id="5" xr3:uid="{BC59AEF7-5DB8-42CB-9A42-1644DCBFFEBA}" name="Post Text" dataDxfId="100"/>
    <tableColumn id="6" xr3:uid="{D085AF28-710A-40B6-9B72-821B764874C0}" name="Likes" dataDxfId="99"/>
    <tableColumn id="7" xr3:uid="{C13199C6-D8BB-45DA-B64B-4B377011AAA8}" name="Shares" dataDxfId="98"/>
    <tableColumn id="8" xr3:uid="{BC112D60-D2CE-41B4-AF63-040D9D970363}" name="Comments" dataDxfId="97"/>
    <tableColumn id="9" xr3:uid="{A3046F1C-DF5D-4BD2-851C-BDEB7BBD2583}" name="Impressions" dataDxfId="96"/>
    <tableColumn id="10" xr3:uid="{D0677D77-318F-49B7-BE12-09237DA2D30F}" name="Reach" dataDxfId="95"/>
    <tableColumn id="11" xr3:uid="{A28BA44F-3C9C-4C49-967C-E23269676882}" name="Clicks" dataDxfId="94"/>
    <tableColumn id="12" xr3:uid="{2A4AD48C-3A95-43CB-A73B-96EDD567502F}" name="Hastag_1" dataDxfId="93"/>
    <tableColumn id="13" xr3:uid="{3558AC99-1650-4F2E-BD2F-EC6A2BB1A704}" name="Hastag_2" dataDxfId="92"/>
    <tableColumn id="14" xr3:uid="{57F1F215-6687-4AC4-B280-5B3C081E3854}" name="Campaign_Name" dataDxfId="9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ADA06AF-9E38-4DA1-B30D-AC7F4493A3DD}" name="Table15" displayName="Table15" ref="A1:O302" totalsRowCount="1" headerRowDxfId="90" dataDxfId="89">
  <autoFilter ref="A1:O301" xr:uid="{CE7328CB-3CF8-4CE9-8173-31A31811932B}"/>
  <tableColumns count="15">
    <tableColumn id="1" xr3:uid="{1B62122B-1E76-424E-8A96-B5682EAA5634}" name="Post ID" dataDxfId="88" totalsRowDxfId="87"/>
    <tableColumn id="2" xr3:uid="{16B54B8E-33C6-42C9-ACED-7863C534652E}" name="Platform" dataDxfId="86" totalsRowDxfId="85"/>
    <tableColumn id="3" xr3:uid="{5548C46A-96DB-4E6E-B603-B869E34FCBD5}" name="Date" dataDxfId="84" totalsRowDxfId="83"/>
    <tableColumn id="4" xr3:uid="{FCBA1A2B-902D-41AA-9F5B-1E257979FB64}" name="Content Type" dataDxfId="82" totalsRowDxfId="81"/>
    <tableColumn id="5" xr3:uid="{741D0F87-8C86-48C2-8EA6-514B8C481626}" name="Post Text" dataDxfId="80" totalsRowDxfId="79"/>
    <tableColumn id="6" xr3:uid="{4E454EC9-D94F-44B3-A6EC-7F6CAB5F3458}" name="Likes" dataDxfId="78" totalsRowDxfId="77"/>
    <tableColumn id="7" xr3:uid="{BD187B00-0276-4C72-97AE-75E9136FA4CD}" name="Shares" dataDxfId="76" totalsRowDxfId="75"/>
    <tableColumn id="8" xr3:uid="{9CD4BB33-56CF-41A2-8A63-80E74C914F42}" name="Comments" dataDxfId="74" totalsRowDxfId="73"/>
    <tableColumn id="9" xr3:uid="{BE3D111B-E2E2-411A-B6FD-1AB5AFAB2D06}" name="Impressions" dataDxfId="72" totalsRowDxfId="71"/>
    <tableColumn id="10" xr3:uid="{FF9ED0B4-68F3-4A5E-A629-6589C0C186F5}" name="Reach" dataDxfId="70" totalsRowDxfId="69"/>
    <tableColumn id="11" xr3:uid="{B59D242B-46E4-4AC6-8E52-3BD827E43685}" name="Clicks" dataDxfId="68" totalsRowDxfId="67"/>
    <tableColumn id="12" xr3:uid="{4E91FC4B-A26E-4489-AECB-8D39C427466E}" name="Hastag_1" dataDxfId="66" totalsRowDxfId="65"/>
    <tableColumn id="13" xr3:uid="{7DA31C26-B225-4083-9065-51AF9B719616}" name="Hastag_2" dataDxfId="64" totalsRowDxfId="63"/>
    <tableColumn id="14" xr3:uid="{ED4277A8-931A-43C5-8C33-6F54BF1DFA45}" name="Campaign_Name" dataDxfId="62" totalsRowDxfId="61"/>
    <tableColumn id="15" xr3:uid="{0E10181E-5B68-4A9E-820A-31590EEF6C67}" name="Engagement Metric" totalsRowFunction="custom" dataDxfId="60" totalsRowDxfId="59">
      <calculatedColumnFormula>Table15[[#This Row],[Likes]]+Table15[[#This Row],[Shares]]+Table15[[#This Row],[Comments]]</calculatedColumnFormula>
      <totalsRowFormula array="1">SUBTOTAL(9,Engagement_Metric)</totalsRowFormula>
    </tableColumn>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410CE5B-C439-4DC3-83BC-B7E37778EE36}" name="Table6" displayName="Table6" ref="Q3:X7" totalsRowShown="0">
  <autoFilter ref="Q3:X7" xr:uid="{C410CE5B-C439-4DC3-83BC-B7E37778EE36}"/>
  <sortState xmlns:xlrd2="http://schemas.microsoft.com/office/spreadsheetml/2017/richdata2" ref="Q4:X7">
    <sortCondition descending="1" ref="X5:X7"/>
  </sortState>
  <tableColumns count="8">
    <tableColumn id="1" xr3:uid="{C7581A5C-E567-4597-A314-FB1E910BD9C0}" name="Column1" dataDxfId="58"/>
    <tableColumn id="2" xr3:uid="{2B1B1C54-7ACC-4E92-B4A8-6629EA410533}" name="Caimpaign Days" dataDxfId="57"/>
    <tableColumn id="3" xr3:uid="{524E0877-F8C2-4920-A36C-D75946C4F33E}" name="Total Engagement" dataDxfId="56"/>
    <tableColumn id="4" xr3:uid="{9072A6D8-4326-4909-A168-E408B89836AA}" name="Avg Daily during Engagement" dataDxfId="55">
      <calculatedColumnFormula>S4/R4</calculatedColumnFormula>
    </tableColumn>
    <tableColumn id="5" xr3:uid="{22B0A8B3-3B0F-4566-8A43-07A1654F6591}" name="Total Engagement Before"/>
    <tableColumn id="6" xr3:uid="{1D0F3BF8-A6A3-4724-8A6E-4B914E5267D5}" name="Avg_Before30Days" dataDxfId="54">
      <calculatedColumnFormula>Table6[[#This Row],[Total Engagement Before]]/30</calculatedColumnFormula>
    </tableColumn>
    <tableColumn id="7" xr3:uid="{BEEC942F-5944-4502-A347-74986875B6BE}" name="Rate_Uplift" dataDxfId="53">
      <calculatedColumnFormula>Table6[[#This Row],[Avg Daily during Engagement]]-Table6[[#This Row],[Avg_Before30Days]]</calculatedColumnFormula>
    </tableColumn>
    <tableColumn id="8" xr3:uid="{41C23FF8-89FF-44B1-B165-F1F9A47693EF}" name="Rate_Engagement" dataDxfId="52" dataCellStyle="Percent">
      <calculatedColumnFormula>Table6[[#This Row],[Rate_Uplift]]/Table6[[#This Row],[Avg_Before30Days]]</calculatedColumnFormula>
    </tableColumn>
  </tableColumns>
  <tableStyleInfo name="TableStyleMedium1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084538A-C580-49AF-BC8A-0D92C4906E78}" name="Table2" displayName="Table2" ref="A1:G201" totalsRowShown="0" headerRowDxfId="51" dataDxfId="50">
  <autoFilter ref="A1:G201" xr:uid="{E084538A-C580-49AF-BC8A-0D92C4906E78}"/>
  <tableColumns count="7">
    <tableColumn id="1" xr3:uid="{94D3A589-E3C7-403E-9B3F-CD825E72BA2B}" name="Week_Start_Date" dataDxfId="49"/>
    <tableColumn id="2" xr3:uid="{849174EA-C6B1-48AF-A29C-FC776E8B12B2}" name="Platform" dataDxfId="48"/>
    <tableColumn id="3" xr3:uid="{4DC494A1-3DCC-46E9-B299-D13AC282DE1E}" name="New_Followers" dataDxfId="47"/>
    <tableColumn id="4" xr3:uid="{5A91DC21-51FC-4D19-AA3C-750471E3B59D}" name="Unfollows" dataDxfId="46"/>
    <tableColumn id="5" xr3:uid="{01DD98DC-26D4-4AE9-A785-C364BE290FD1}" name="Total_Followers" dataDxfId="45"/>
    <tableColumn id="6" xr3:uid="{526B28EB-F74C-4329-98EA-94820C31809E}" name="Engagement_Rate" dataDxfId="44"/>
    <tableColumn id="7" xr3:uid="{750BBAD2-5137-40BB-B918-A559F425F5B6}" name="Ad_Spend" dataDxfId="43"/>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584087A-A69F-4C76-9708-1A57764D5ABA}" name="tbl_summary" displayName="tbl_summary" ref="A1:H201" totalsRowShown="0" headerRowDxfId="42" dataDxfId="41">
  <autoFilter ref="A1:H201" xr:uid="{E084538A-C580-49AF-BC8A-0D92C4906E78}"/>
  <tableColumns count="8">
    <tableColumn id="1" xr3:uid="{210FCB93-EEBC-4145-881B-CAA8EF593C2C}" name="Week_Start_Date" dataDxfId="40"/>
    <tableColumn id="2" xr3:uid="{EEAA78ED-726E-495A-85AD-B455B79DB8EA}" name="Platform" dataDxfId="39"/>
    <tableColumn id="3" xr3:uid="{D726FCC9-9B10-4CF6-A1F9-02DF15795CD5}" name="New_Followers" dataDxfId="38"/>
    <tableColumn id="4" xr3:uid="{C32BA1D2-C8E7-431A-9E36-FDC487B06F56}" name="Unfollows" dataDxfId="37"/>
    <tableColumn id="5" xr3:uid="{16C68A25-2C22-4D7B-96AA-B0AA0FFACAB6}" name="Total_Followers" dataDxfId="36"/>
    <tableColumn id="6" xr3:uid="{DED95E1F-E714-49DB-A17F-8A4AD79EB930}" name="Engagement_Rate" dataDxfId="35"/>
    <tableColumn id="7" xr3:uid="{9A030CC2-FE3C-4A85-AF0F-0DEEA3436E8F}" name="Ad_Spend" dataDxfId="34"/>
    <tableColumn id="8" xr3:uid="{C01BFB18-3924-4CE5-8D09-4757C2A1B7C8}" name="Engagement Rate" dataDxfId="33">
      <calculatedColumnFormula>(tbl_summary[[#This Row],[Engagement_Rate]]/100)*tbl_summary[[#This Row],[Total_Followers]]</calculatedColumnFormula>
    </tableColumn>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DA08473-CEC6-476F-8A14-5B47074E2119}" name="Table9" displayName="Table9" ref="K3:Q7" totalsRowShown="0" headerRowDxfId="32" headerRowBorderDxfId="31" tableBorderDxfId="30" totalsRowBorderDxfId="29">
  <autoFilter ref="K3:Q7" xr:uid="{9DA08473-CEC6-476F-8A14-5B47074E2119}"/>
  <sortState xmlns:xlrd2="http://schemas.microsoft.com/office/spreadsheetml/2017/richdata2" ref="K4:Q7">
    <sortCondition descending="1" ref="Q6:Q7"/>
  </sortState>
  <tableColumns count="7">
    <tableColumn id="1" xr3:uid="{C54F808A-F20E-4F55-AE8B-31C8BD2427CB}" name="Caimpaign"/>
    <tableColumn id="2" xr3:uid="{3185453F-7444-48AC-8E80-731AE1E375FE}" name="Start Date" dataDxfId="28"/>
    <tableColumn id="3" xr3:uid="{45F9CEEF-5729-4E86-A20C-6F3DA823D357}" name="End Date" dataDxfId="27"/>
    <tableColumn id="4" xr3:uid="{9E96521F-4859-4B5E-B638-FF7AA251AAF0}" name="Platform"/>
    <tableColumn id="9" xr3:uid="{31547E92-DE3D-48D7-A8EC-1B2D10B3A179}" name="Total Engagement" dataDxfId="26">
      <calculatedColumnFormula>SUMIFS(tbl_summary[Engagement Rate],tbl_summary[Week_Start_Date],"&gt;="&amp;$L4,tbl_summary[Week_Start_Date],"&lt;=" &amp; $M4,tbl_summary[Platform],"Instagram")+SUMIFS(tbl_summary[Engagement Rate],tbl_summary[Week_Start_Date],"&gt;=" &amp;$L4,tbl_summary[Week_Start_Date],"&lt;=" &amp; $M4,tbl_summary[Platform],"YouTube")</calculatedColumnFormula>
    </tableColumn>
    <tableColumn id="10" xr3:uid="{C0F1C084-3F81-4F96-A570-294DF16D80EC}" name="Total ad spend" dataDxfId="25">
      <calculatedColumnFormula>SUMIFS(tbl_summary[Ad_Spend],tbl_summary[Week_Start_Date],"&gt;="&amp;$L4,tbl_summary[Week_Start_Date],"&lt;=" &amp; $M4,tbl_summary[Platform],"Twitter")+SUMIFS(tbl_summary[Ad_Spend],tbl_summary[Week_Start_Date],"&gt;=" &amp;$L4,tbl_summary[Week_Start_Date],"&lt;=" &amp; $M4,tbl_summary[Platform],"YouTube")</calculatedColumnFormula>
    </tableColumn>
    <tableColumn id="11" xr3:uid="{71296400-A0D1-48F9-9A9C-75BC03575497}" name="ROI" dataDxfId="24">
      <calculatedColumnFormula>Table9[[#This Row],[Total Engagement]]/Table9[[#This Row],[Total ad spend]]</calculatedColumnFormula>
    </tableColumn>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8458BBB-8946-4CC3-A1A9-4A65B4CCBA0C}" name="Table211" displayName="Table211" ref="A1:M201" totalsRowShown="0" headerRowDxfId="23" dataDxfId="22">
  <autoFilter ref="A1:M201" xr:uid="{E084538A-C580-49AF-BC8A-0D92C4906E78}"/>
  <tableColumns count="13">
    <tableColumn id="1" xr3:uid="{AD384661-08AC-4380-8EBC-0E52CF9920E4}" name="Week_Start_Date" dataDxfId="21"/>
    <tableColumn id="2" xr3:uid="{3D2576D5-9F9C-4B41-8E77-C88E8FDF44AC}" name="Platform" dataDxfId="20"/>
    <tableColumn id="3" xr3:uid="{510AB2A5-2CB9-49FE-9FB8-DBD0DFF20BA0}" name="New_Followers" dataDxfId="19"/>
    <tableColumn id="4" xr3:uid="{5B8503E4-9F24-4071-8282-5D4DBC9B6B62}" name="Unfollows" dataDxfId="18"/>
    <tableColumn id="5" xr3:uid="{97748A98-1A5C-4554-B897-04B91EEEDC25}" name="Total_Followers" dataDxfId="17"/>
    <tableColumn id="6" xr3:uid="{DA74F657-1B75-49E9-9A88-B9275674C2C4}" name="Engagement_Rate" dataDxfId="16"/>
    <tableColumn id="7" xr3:uid="{B0505D03-4069-4884-B01B-C8CDADD5740F}" name="Ad_Spend" dataDxfId="15"/>
    <tableColumn id="8" xr3:uid="{DA609D5A-28C6-45BE-982A-5548DCA3109E}" name="Campaign_Name" dataDxfId="14"/>
    <tableColumn id="9" xr3:uid="{F6609019-6469-41BB-AE05-082E75134574}" name="Start_Date" dataDxfId="13"/>
    <tableColumn id="10" xr3:uid="{1DC2A8F5-B12C-4D00-B89A-2829FB1083E6}" name="End_Date" dataDxfId="12"/>
    <tableColumn id="11" xr3:uid="{38063BFE-DA8B-4163-8E2A-B208526CF4EB}" name="Target_Platforms" dataDxfId="11"/>
    <tableColumn id="13" xr3:uid="{DAD88328-AF82-458A-8C08-EE3DBE6FBBC2}" name="TotalNew_Follower" dataDxfId="10"/>
    <tableColumn id="14" xr3:uid="{37D270E6-AD0A-4F0C-8616-F9463620F840}" name="Total_Clicks(App Download)" dataDxfId="9">
      <calculatedColumnFormula>SUMIF(Table1[Campaign_Name],"Wrapped2024",Table1[Clicks])</calculatedColumnFormula>
    </tableColumn>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7ABD1CC-1AB4-4DF5-B8E0-AC4413E1F708}" name="Table5" displayName="Table5" ref="A1:I5" totalsRowShown="0">
  <autoFilter ref="A1:I5" xr:uid="{57ABD1CC-1AB4-4DF5-B8E0-AC4413E1F708}"/>
  <tableColumns count="9">
    <tableColumn id="1" xr3:uid="{52BC7565-1693-44E7-9FD2-066DE19ED893}" name="Campaign_Name" dataDxfId="8"/>
    <tableColumn id="2" xr3:uid="{0270FCF1-2971-4C25-930C-B09560C743DF}" name="Start_Date" dataDxfId="7"/>
    <tableColumn id="3" xr3:uid="{78F97C0E-D665-4555-BD2F-D2574D3D118E}" name="End_Date" dataDxfId="6"/>
    <tableColumn id="4" xr3:uid="{445CB235-B9CE-49C1-A357-C8FDEE5808F8}" name="Objective" dataDxfId="5"/>
    <tableColumn id="5" xr3:uid="{60CC0ADD-8ACC-4790-8384-43DD2083E276}" name="Total_Budget" dataDxfId="4"/>
    <tableColumn id="6" xr3:uid="{8E26B079-ADBE-48E6-9FA8-A0E2D39DC64F}" name="Target_Platforms" dataDxfId="3"/>
    <tableColumn id="7" xr3:uid="{EAA2E888-E2F6-4E89-92DB-CE62CB29A924}" name="Hastag_1" dataDxfId="2"/>
    <tableColumn id="8" xr3:uid="{EFB05805-BDF6-436D-892C-F15F724420DE}" name="Hastag_2" dataDxfId="1"/>
    <tableColumn id="9" xr3:uid="{35767505-EF8F-440D-9D24-A3C603A86391}" name="Number of days" dataDxfId="0">
      <calculatedColumnFormula>Table5[[#This Row],[End_Date]]-Table5[[#This Row],[Start_Date]]+1</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2.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5.xml"/></Relationships>
</file>

<file path=xl/worksheets/_rels/sheet5.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3.xml"/><Relationship Id="rId4" Type="http://schemas.microsoft.com/office/2007/relationships/slicer" Target="../slicers/slicer2.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8.x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301"/>
  <sheetViews>
    <sheetView topLeftCell="F28" zoomScaleNormal="100" workbookViewId="0">
      <selection activeCell="G16" sqref="G16"/>
    </sheetView>
  </sheetViews>
  <sheetFormatPr defaultColWidth="14.42578125" defaultRowHeight="15.75"/>
  <cols>
    <col min="1" max="1" width="12.85546875" style="2" bestFit="1" customWidth="1"/>
    <col min="2" max="2" width="14" style="2" bestFit="1" customWidth="1"/>
    <col min="3" max="3" width="11.5703125" style="6" bestFit="1" customWidth="1"/>
    <col min="4" max="4" width="19.42578125" style="18" bestFit="1" customWidth="1"/>
    <col min="5" max="5" width="41.28515625" style="18" bestFit="1" customWidth="1"/>
    <col min="6" max="6" width="11" style="10" bestFit="1" customWidth="1"/>
    <col min="7" max="7" width="12.7109375" style="10" bestFit="1" customWidth="1"/>
    <col min="8" max="8" width="16.28515625" style="10" bestFit="1" customWidth="1"/>
    <col min="9" max="9" width="18" style="10" bestFit="1" customWidth="1"/>
    <col min="10" max="10" width="12" style="10" bestFit="1" customWidth="1"/>
    <col min="11" max="11" width="11.7109375" style="10" bestFit="1" customWidth="1"/>
    <col min="12" max="13" width="19.7109375" style="18" bestFit="1" customWidth="1"/>
    <col min="14" max="14" width="22.7109375" style="18" bestFit="1" customWidth="1"/>
    <col min="15" max="15" width="17.5703125" style="2" customWidth="1"/>
    <col min="16" max="16" width="13.42578125" style="15" bestFit="1" customWidth="1"/>
    <col min="17" max="17" width="22.140625" style="15" bestFit="1" customWidth="1"/>
    <col min="18" max="18" width="18.5703125" style="15" bestFit="1" customWidth="1"/>
    <col min="19" max="19" width="15.5703125" style="13" bestFit="1" customWidth="1"/>
    <col min="20" max="20" width="12" style="2" bestFit="1" customWidth="1"/>
    <col min="21" max="21" width="16.140625" style="2" bestFit="1" customWidth="1"/>
    <col min="22" max="22" width="12.5703125" style="2" bestFit="1" customWidth="1"/>
    <col min="23" max="28" width="8.7109375" style="2" customWidth="1"/>
    <col min="29" max="16384" width="14.42578125" style="2"/>
  </cols>
  <sheetData>
    <row r="1" spans="1:22" s="14" customFormat="1">
      <c r="A1" s="19" t="s">
        <v>0</v>
      </c>
      <c r="B1" s="19" t="s">
        <v>1</v>
      </c>
      <c r="C1" s="20" t="s">
        <v>2</v>
      </c>
      <c r="D1" s="19" t="s">
        <v>3</v>
      </c>
      <c r="E1" s="19" t="s">
        <v>4</v>
      </c>
      <c r="F1" s="21" t="s">
        <v>5</v>
      </c>
      <c r="G1" s="21" t="s">
        <v>6</v>
      </c>
      <c r="H1" s="21" t="s">
        <v>7</v>
      </c>
      <c r="I1" s="21" t="s">
        <v>8</v>
      </c>
      <c r="J1" s="21" t="s">
        <v>9</v>
      </c>
      <c r="K1" s="21" t="s">
        <v>10</v>
      </c>
      <c r="L1" s="19" t="s">
        <v>358</v>
      </c>
      <c r="M1" s="19" t="s">
        <v>359</v>
      </c>
      <c r="N1" s="19" t="s">
        <v>11</v>
      </c>
      <c r="O1" s="19"/>
      <c r="P1" s="24"/>
      <c r="Q1" s="24"/>
      <c r="R1" s="24"/>
      <c r="S1" s="22"/>
    </row>
    <row r="2" spans="1:22">
      <c r="A2" s="1" t="s">
        <v>12</v>
      </c>
      <c r="B2" s="1" t="s">
        <v>13</v>
      </c>
      <c r="C2" s="5">
        <v>45781</v>
      </c>
      <c r="D2" s="16" t="s">
        <v>14</v>
      </c>
      <c r="E2" s="17" t="s">
        <v>15</v>
      </c>
      <c r="F2" s="9">
        <v>2414</v>
      </c>
      <c r="G2" s="9">
        <v>245</v>
      </c>
      <c r="H2" s="9">
        <v>137</v>
      </c>
      <c r="I2" s="9">
        <v>21181</v>
      </c>
      <c r="J2" s="9">
        <v>45292</v>
      </c>
      <c r="K2" s="9">
        <v>133</v>
      </c>
      <c r="L2" s="16" t="s">
        <v>37</v>
      </c>
      <c r="M2" s="16" t="s">
        <v>34</v>
      </c>
      <c r="N2" s="16" t="s">
        <v>16</v>
      </c>
      <c r="O2" s="1"/>
      <c r="P2" s="24"/>
      <c r="Q2" s="24"/>
      <c r="R2" s="24"/>
    </row>
    <row r="3" spans="1:22">
      <c r="A3" s="1" t="s">
        <v>17</v>
      </c>
      <c r="B3" s="1" t="s">
        <v>13</v>
      </c>
      <c r="C3" s="5">
        <v>45689</v>
      </c>
      <c r="D3" s="16" t="s">
        <v>14</v>
      </c>
      <c r="E3" s="17" t="s">
        <v>18</v>
      </c>
      <c r="F3" s="9">
        <v>1934</v>
      </c>
      <c r="G3" s="9">
        <v>210</v>
      </c>
      <c r="H3" s="9">
        <v>393</v>
      </c>
      <c r="I3" s="9">
        <v>29129</v>
      </c>
      <c r="J3" s="9">
        <v>73287</v>
      </c>
      <c r="K3" s="9">
        <v>273</v>
      </c>
      <c r="L3" s="16" t="s">
        <v>19</v>
      </c>
      <c r="M3" s="16"/>
      <c r="N3" s="16" t="s">
        <v>20</v>
      </c>
      <c r="O3" s="1"/>
      <c r="P3" s="24"/>
      <c r="Q3" s="24"/>
      <c r="R3" s="24"/>
    </row>
    <row r="4" spans="1:22" ht="15">
      <c r="A4" s="1" t="s">
        <v>21</v>
      </c>
      <c r="B4" s="1" t="s">
        <v>22</v>
      </c>
      <c r="C4" s="5">
        <v>45629</v>
      </c>
      <c r="D4" s="16" t="s">
        <v>23</v>
      </c>
      <c r="E4" s="17" t="s">
        <v>24</v>
      </c>
      <c r="F4" s="9">
        <v>3092</v>
      </c>
      <c r="G4" s="9">
        <v>177</v>
      </c>
      <c r="H4" s="9">
        <v>81</v>
      </c>
      <c r="I4" s="9">
        <v>47533</v>
      </c>
      <c r="J4" s="9">
        <v>29220</v>
      </c>
      <c r="K4" s="9">
        <v>121</v>
      </c>
      <c r="L4" s="16" t="s">
        <v>364</v>
      </c>
      <c r="M4" s="16" t="s">
        <v>34</v>
      </c>
      <c r="N4" s="16" t="s">
        <v>16</v>
      </c>
      <c r="O4" s="1"/>
      <c r="P4"/>
      <c r="Q4"/>
      <c r="R4"/>
      <c r="S4"/>
      <c r="T4"/>
      <c r="U4"/>
      <c r="V4"/>
    </row>
    <row r="5" spans="1:22" ht="15">
      <c r="A5" s="1" t="s">
        <v>25</v>
      </c>
      <c r="B5" s="1" t="s">
        <v>13</v>
      </c>
      <c r="C5" s="5">
        <v>45629</v>
      </c>
      <c r="D5" s="16" t="s">
        <v>14</v>
      </c>
      <c r="E5" s="17" t="s">
        <v>360</v>
      </c>
      <c r="F5" s="9">
        <v>3173</v>
      </c>
      <c r="G5" s="9">
        <v>229</v>
      </c>
      <c r="H5" s="9">
        <v>197</v>
      </c>
      <c r="I5" s="9">
        <v>29604</v>
      </c>
      <c r="J5" s="9">
        <v>21809</v>
      </c>
      <c r="K5" s="9">
        <v>272</v>
      </c>
      <c r="L5" s="16" t="s">
        <v>37</v>
      </c>
      <c r="M5" s="16" t="s">
        <v>34</v>
      </c>
      <c r="N5" s="16" t="s">
        <v>16</v>
      </c>
      <c r="O5" s="1"/>
      <c r="P5"/>
      <c r="Q5"/>
      <c r="R5"/>
      <c r="S5"/>
      <c r="T5"/>
      <c r="U5"/>
      <c r="V5"/>
    </row>
    <row r="6" spans="1:22" ht="15">
      <c r="A6" s="1" t="s">
        <v>26</v>
      </c>
      <c r="B6" s="1" t="s">
        <v>27</v>
      </c>
      <c r="C6" s="5">
        <v>45388</v>
      </c>
      <c r="D6" s="16" t="s">
        <v>14</v>
      </c>
      <c r="E6" s="17" t="s">
        <v>361</v>
      </c>
      <c r="F6" s="9">
        <v>2748</v>
      </c>
      <c r="G6" s="9">
        <v>145</v>
      </c>
      <c r="H6" s="9">
        <v>315</v>
      </c>
      <c r="I6" s="9">
        <v>24401</v>
      </c>
      <c r="J6" s="9">
        <v>61182</v>
      </c>
      <c r="K6" s="9">
        <v>200</v>
      </c>
      <c r="L6" s="16" t="s">
        <v>19</v>
      </c>
      <c r="M6" s="16" t="s">
        <v>365</v>
      </c>
      <c r="N6" s="16" t="s">
        <v>20</v>
      </c>
      <c r="O6" s="1"/>
      <c r="P6"/>
      <c r="Q6"/>
      <c r="R6"/>
      <c r="S6"/>
      <c r="T6"/>
      <c r="U6"/>
      <c r="V6"/>
    </row>
    <row r="7" spans="1:22" ht="15">
      <c r="A7" s="1" t="s">
        <v>28</v>
      </c>
      <c r="B7" s="1" t="s">
        <v>27</v>
      </c>
      <c r="C7" s="5">
        <v>45456</v>
      </c>
      <c r="D7" s="16" t="s">
        <v>14</v>
      </c>
      <c r="E7" s="17" t="s">
        <v>362</v>
      </c>
      <c r="F7" s="9">
        <v>3882</v>
      </c>
      <c r="G7" s="9">
        <v>239</v>
      </c>
      <c r="H7" s="9">
        <v>275</v>
      </c>
      <c r="I7" s="9">
        <v>58748</v>
      </c>
      <c r="J7" s="9">
        <v>44646</v>
      </c>
      <c r="K7" s="9">
        <v>149</v>
      </c>
      <c r="L7" s="16" t="s">
        <v>19</v>
      </c>
      <c r="M7" s="16" t="s">
        <v>365</v>
      </c>
      <c r="N7" s="16" t="s">
        <v>20</v>
      </c>
      <c r="O7" s="1"/>
      <c r="P7"/>
      <c r="Q7"/>
      <c r="R7"/>
      <c r="S7"/>
      <c r="T7"/>
      <c r="U7"/>
      <c r="V7"/>
    </row>
    <row r="8" spans="1:22" ht="15">
      <c r="A8" s="1" t="s">
        <v>29</v>
      </c>
      <c r="B8" s="1" t="s">
        <v>22</v>
      </c>
      <c r="C8" s="5">
        <v>45645</v>
      </c>
      <c r="D8" s="16" t="s">
        <v>23</v>
      </c>
      <c r="E8" s="17" t="s">
        <v>30</v>
      </c>
      <c r="F8" s="9">
        <v>4674</v>
      </c>
      <c r="G8" s="9">
        <v>409</v>
      </c>
      <c r="H8" s="9">
        <v>327</v>
      </c>
      <c r="I8" s="9">
        <v>20756</v>
      </c>
      <c r="J8" s="9">
        <v>63599</v>
      </c>
      <c r="K8" s="9">
        <v>212</v>
      </c>
      <c r="L8" s="16" t="s">
        <v>37</v>
      </c>
      <c r="M8" s="16" t="s">
        <v>34</v>
      </c>
      <c r="N8" s="16" t="s">
        <v>16</v>
      </c>
      <c r="O8" s="1"/>
      <c r="P8"/>
      <c r="Q8"/>
      <c r="R8"/>
      <c r="S8"/>
      <c r="T8"/>
      <c r="U8"/>
      <c r="V8"/>
    </row>
    <row r="9" spans="1:22" ht="15">
      <c r="A9" s="1" t="s">
        <v>31</v>
      </c>
      <c r="B9" s="1" t="s">
        <v>22</v>
      </c>
      <c r="C9" s="5">
        <v>45421</v>
      </c>
      <c r="D9" s="16" t="s">
        <v>23</v>
      </c>
      <c r="E9" s="17" t="s">
        <v>360</v>
      </c>
      <c r="F9" s="9">
        <v>1428</v>
      </c>
      <c r="G9" s="9">
        <v>347</v>
      </c>
      <c r="H9" s="9">
        <v>67</v>
      </c>
      <c r="I9" s="9">
        <v>21148</v>
      </c>
      <c r="J9" s="9">
        <v>19712</v>
      </c>
      <c r="K9" s="9">
        <v>120</v>
      </c>
      <c r="L9" s="16" t="s">
        <v>19</v>
      </c>
      <c r="M9" s="16" t="s">
        <v>364</v>
      </c>
      <c r="N9" s="16" t="s">
        <v>16</v>
      </c>
      <c r="O9" s="1"/>
      <c r="P9"/>
      <c r="Q9"/>
      <c r="R9"/>
      <c r="S9"/>
      <c r="T9"/>
      <c r="U9"/>
      <c r="V9"/>
    </row>
    <row r="10" spans="1:22" ht="15">
      <c r="A10" s="1" t="s">
        <v>32</v>
      </c>
      <c r="B10" s="1" t="s">
        <v>22</v>
      </c>
      <c r="C10" s="5">
        <v>45823</v>
      </c>
      <c r="D10" s="16" t="s">
        <v>14</v>
      </c>
      <c r="E10" s="17" t="s">
        <v>33</v>
      </c>
      <c r="F10" s="9">
        <v>4432</v>
      </c>
      <c r="G10" s="9">
        <v>223</v>
      </c>
      <c r="H10" s="9">
        <v>299</v>
      </c>
      <c r="I10" s="9">
        <v>59016</v>
      </c>
      <c r="J10" s="9">
        <v>21742</v>
      </c>
      <c r="K10" s="9">
        <v>171</v>
      </c>
      <c r="L10" s="16" t="s">
        <v>34</v>
      </c>
      <c r="M10" s="16"/>
      <c r="N10" s="16" t="s">
        <v>16</v>
      </c>
      <c r="O10" s="1"/>
      <c r="P10"/>
      <c r="Q10"/>
      <c r="R10"/>
    </row>
    <row r="11" spans="1:22" ht="15">
      <c r="A11" s="1" t="s">
        <v>35</v>
      </c>
      <c r="B11" s="1" t="s">
        <v>22</v>
      </c>
      <c r="C11" s="5">
        <v>45630</v>
      </c>
      <c r="D11" s="16" t="s">
        <v>14</v>
      </c>
      <c r="E11" s="17" t="s">
        <v>360</v>
      </c>
      <c r="F11" s="9">
        <v>2357</v>
      </c>
      <c r="G11" s="9">
        <v>274</v>
      </c>
      <c r="H11" s="9">
        <v>172</v>
      </c>
      <c r="I11" s="9">
        <v>21566</v>
      </c>
      <c r="J11" s="9">
        <v>66829</v>
      </c>
      <c r="K11" s="9">
        <v>284</v>
      </c>
      <c r="L11" s="16" t="s">
        <v>34</v>
      </c>
      <c r="M11" s="16"/>
      <c r="N11" s="16" t="s">
        <v>16</v>
      </c>
      <c r="O11" s="1"/>
      <c r="P11"/>
      <c r="Q11"/>
      <c r="R11"/>
    </row>
    <row r="12" spans="1:22" ht="15">
      <c r="A12" s="1" t="s">
        <v>36</v>
      </c>
      <c r="B12" s="1" t="s">
        <v>22</v>
      </c>
      <c r="C12" s="5">
        <v>45357</v>
      </c>
      <c r="D12" s="16" t="s">
        <v>14</v>
      </c>
      <c r="E12" s="17" t="s">
        <v>15</v>
      </c>
      <c r="F12" s="9">
        <v>1971</v>
      </c>
      <c r="G12" s="9">
        <v>370</v>
      </c>
      <c r="H12" s="9">
        <v>306</v>
      </c>
      <c r="I12" s="9">
        <v>31316</v>
      </c>
      <c r="J12" s="9">
        <v>27897</v>
      </c>
      <c r="K12" s="9">
        <v>88</v>
      </c>
      <c r="L12" s="16" t="s">
        <v>37</v>
      </c>
      <c r="M12" s="16"/>
      <c r="N12" s="16" t="s">
        <v>20</v>
      </c>
      <c r="O12" s="1"/>
      <c r="P12"/>
      <c r="Q12"/>
      <c r="R12"/>
    </row>
    <row r="13" spans="1:22" ht="15">
      <c r="A13" s="1" t="s">
        <v>38</v>
      </c>
      <c r="B13" s="1" t="s">
        <v>13</v>
      </c>
      <c r="C13" s="5">
        <v>45426</v>
      </c>
      <c r="D13" s="16" t="s">
        <v>14</v>
      </c>
      <c r="E13" s="17" t="s">
        <v>15</v>
      </c>
      <c r="F13" s="9">
        <v>1485</v>
      </c>
      <c r="G13" s="9">
        <v>353</v>
      </c>
      <c r="H13" s="9">
        <v>244</v>
      </c>
      <c r="I13" s="9">
        <v>38419</v>
      </c>
      <c r="J13" s="9">
        <v>38556</v>
      </c>
      <c r="K13" s="9">
        <v>86</v>
      </c>
      <c r="L13" s="16" t="s">
        <v>37</v>
      </c>
      <c r="M13" s="16" t="s">
        <v>34</v>
      </c>
      <c r="N13" s="16" t="s">
        <v>16</v>
      </c>
      <c r="O13" s="1"/>
      <c r="P13"/>
      <c r="Q13"/>
      <c r="R13"/>
    </row>
    <row r="14" spans="1:22" ht="15">
      <c r="A14" s="1" t="s">
        <v>39</v>
      </c>
      <c r="B14" s="1" t="s">
        <v>22</v>
      </c>
      <c r="C14" s="5">
        <v>45826</v>
      </c>
      <c r="D14" s="16" t="s">
        <v>23</v>
      </c>
      <c r="E14" s="17" t="s">
        <v>15</v>
      </c>
      <c r="F14" s="9">
        <v>3956</v>
      </c>
      <c r="G14" s="9">
        <v>319</v>
      </c>
      <c r="H14" s="9">
        <v>61</v>
      </c>
      <c r="I14" s="9">
        <v>58162</v>
      </c>
      <c r="J14" s="9">
        <v>28720</v>
      </c>
      <c r="K14" s="9">
        <v>213</v>
      </c>
      <c r="L14" s="16" t="s">
        <v>364</v>
      </c>
      <c r="M14" s="16" t="s">
        <v>34</v>
      </c>
      <c r="N14" s="16" t="s">
        <v>16</v>
      </c>
      <c r="O14" s="1"/>
      <c r="P14"/>
      <c r="Q14"/>
      <c r="R14"/>
    </row>
    <row r="15" spans="1:22" ht="15">
      <c r="A15" s="1" t="s">
        <v>40</v>
      </c>
      <c r="B15" s="1" t="s">
        <v>22</v>
      </c>
      <c r="C15" s="5">
        <v>45573</v>
      </c>
      <c r="D15" s="16" t="s">
        <v>14</v>
      </c>
      <c r="E15" s="17" t="s">
        <v>363</v>
      </c>
      <c r="F15" s="9">
        <v>2460</v>
      </c>
      <c r="G15" s="9">
        <v>409</v>
      </c>
      <c r="H15" s="9">
        <v>253</v>
      </c>
      <c r="I15" s="9">
        <v>36702</v>
      </c>
      <c r="J15" s="9">
        <v>46122</v>
      </c>
      <c r="K15" s="9">
        <v>264</v>
      </c>
      <c r="L15" s="16" t="s">
        <v>34</v>
      </c>
      <c r="M15" s="16"/>
      <c r="N15" s="16" t="s">
        <v>16</v>
      </c>
      <c r="O15" s="1"/>
      <c r="P15"/>
      <c r="Q15"/>
      <c r="R15"/>
    </row>
    <row r="16" spans="1:22" ht="15">
      <c r="A16" s="1" t="s">
        <v>41</v>
      </c>
      <c r="B16" s="1" t="s">
        <v>22</v>
      </c>
      <c r="C16" s="5">
        <v>45418</v>
      </c>
      <c r="D16" s="16" t="s">
        <v>14</v>
      </c>
      <c r="E16" s="17" t="s">
        <v>42</v>
      </c>
      <c r="F16" s="9">
        <v>3476</v>
      </c>
      <c r="G16" s="9">
        <v>355</v>
      </c>
      <c r="H16" s="9">
        <v>396</v>
      </c>
      <c r="I16" s="9">
        <v>37492</v>
      </c>
      <c r="J16" s="9">
        <v>27285</v>
      </c>
      <c r="K16" s="9">
        <v>179</v>
      </c>
      <c r="L16" s="16" t="s">
        <v>34</v>
      </c>
      <c r="M16" s="16"/>
      <c r="N16" s="16" t="s">
        <v>16</v>
      </c>
      <c r="O16" s="1"/>
      <c r="P16"/>
      <c r="Q16"/>
      <c r="R16"/>
    </row>
    <row r="17" spans="1:18" ht="15">
      <c r="A17" s="1" t="s">
        <v>43</v>
      </c>
      <c r="B17" s="1" t="s">
        <v>22</v>
      </c>
      <c r="C17" s="5">
        <v>45655</v>
      </c>
      <c r="D17" s="16" t="s">
        <v>23</v>
      </c>
      <c r="E17" s="17" t="s">
        <v>24</v>
      </c>
      <c r="F17" s="9">
        <v>4049</v>
      </c>
      <c r="G17" s="9">
        <v>377</v>
      </c>
      <c r="H17" s="9">
        <v>94</v>
      </c>
      <c r="I17" s="9">
        <v>48182</v>
      </c>
      <c r="J17" s="9">
        <v>42875</v>
      </c>
      <c r="K17" s="9">
        <v>172</v>
      </c>
      <c r="L17" s="16" t="s">
        <v>364</v>
      </c>
      <c r="M17" s="16" t="s">
        <v>34</v>
      </c>
      <c r="N17" s="16" t="s">
        <v>16</v>
      </c>
      <c r="O17" s="1"/>
      <c r="P17"/>
      <c r="Q17"/>
      <c r="R17"/>
    </row>
    <row r="18" spans="1:18" ht="15">
      <c r="A18" s="1" t="s">
        <v>44</v>
      </c>
      <c r="B18" s="1" t="s">
        <v>22</v>
      </c>
      <c r="C18" s="5">
        <v>45453</v>
      </c>
      <c r="D18" s="16" t="s">
        <v>14</v>
      </c>
      <c r="E18" s="17" t="s">
        <v>362</v>
      </c>
      <c r="F18" s="9">
        <v>1514</v>
      </c>
      <c r="G18" s="9">
        <v>164</v>
      </c>
      <c r="H18" s="9">
        <v>275</v>
      </c>
      <c r="I18" s="9">
        <v>41364</v>
      </c>
      <c r="J18" s="9">
        <v>44389</v>
      </c>
      <c r="K18" s="9">
        <v>83</v>
      </c>
      <c r="L18" s="16" t="s">
        <v>34</v>
      </c>
      <c r="M18" s="16"/>
      <c r="N18" s="16" t="s">
        <v>16</v>
      </c>
      <c r="O18" s="1"/>
      <c r="P18"/>
      <c r="Q18"/>
      <c r="R18"/>
    </row>
    <row r="19" spans="1:18" ht="15">
      <c r="A19" s="1" t="s">
        <v>45</v>
      </c>
      <c r="B19" s="1" t="s">
        <v>13</v>
      </c>
      <c r="C19" s="5">
        <v>45325</v>
      </c>
      <c r="D19" s="16" t="s">
        <v>23</v>
      </c>
      <c r="E19" s="17" t="s">
        <v>361</v>
      </c>
      <c r="F19" s="9">
        <v>4281</v>
      </c>
      <c r="G19" s="9">
        <v>101</v>
      </c>
      <c r="H19" s="9">
        <v>163</v>
      </c>
      <c r="I19" s="9">
        <v>32278</v>
      </c>
      <c r="J19" s="9">
        <v>53382</v>
      </c>
      <c r="K19" s="9">
        <v>235</v>
      </c>
      <c r="L19" s="16" t="s">
        <v>34</v>
      </c>
      <c r="M19" s="16"/>
      <c r="N19" s="16" t="s">
        <v>46</v>
      </c>
      <c r="O19" s="1"/>
      <c r="P19"/>
      <c r="Q19"/>
      <c r="R19"/>
    </row>
    <row r="20" spans="1:18" ht="15">
      <c r="A20" s="1" t="s">
        <v>47</v>
      </c>
      <c r="B20" s="1" t="s">
        <v>27</v>
      </c>
      <c r="C20" s="5">
        <v>45458</v>
      </c>
      <c r="D20" s="16" t="s">
        <v>48</v>
      </c>
      <c r="E20" s="17" t="s">
        <v>30</v>
      </c>
      <c r="F20" s="9">
        <v>1751</v>
      </c>
      <c r="G20" s="9">
        <v>143</v>
      </c>
      <c r="H20" s="9">
        <v>151</v>
      </c>
      <c r="I20" s="9">
        <v>31826</v>
      </c>
      <c r="J20" s="9">
        <v>47729</v>
      </c>
      <c r="K20" s="9">
        <v>95</v>
      </c>
      <c r="L20" s="16" t="s">
        <v>19</v>
      </c>
      <c r="M20" s="16" t="s">
        <v>37</v>
      </c>
      <c r="N20" s="16" t="s">
        <v>49</v>
      </c>
      <c r="O20" s="1"/>
      <c r="P20"/>
      <c r="Q20"/>
      <c r="R20"/>
    </row>
    <row r="21" spans="1:18" ht="15">
      <c r="A21" s="1" t="s">
        <v>50</v>
      </c>
      <c r="B21" s="1" t="s">
        <v>13</v>
      </c>
      <c r="C21" s="5">
        <v>45478</v>
      </c>
      <c r="D21" s="16" t="s">
        <v>14</v>
      </c>
      <c r="E21" s="17" t="s">
        <v>42</v>
      </c>
      <c r="F21" s="9">
        <v>3753</v>
      </c>
      <c r="G21" s="9">
        <v>411</v>
      </c>
      <c r="H21" s="9">
        <v>308</v>
      </c>
      <c r="I21" s="9">
        <v>29138</v>
      </c>
      <c r="J21" s="9">
        <v>27678</v>
      </c>
      <c r="K21" s="9">
        <v>90</v>
      </c>
      <c r="L21" s="16" t="s">
        <v>19</v>
      </c>
      <c r="M21" s="16"/>
      <c r="N21" s="16" t="s">
        <v>20</v>
      </c>
      <c r="O21" s="1"/>
      <c r="P21"/>
      <c r="Q21"/>
      <c r="R21"/>
    </row>
    <row r="22" spans="1:18">
      <c r="A22" s="1" t="s">
        <v>51</v>
      </c>
      <c r="B22" s="1" t="s">
        <v>13</v>
      </c>
      <c r="C22" s="5">
        <v>45603</v>
      </c>
      <c r="D22" s="16" t="s">
        <v>23</v>
      </c>
      <c r="E22" s="17" t="s">
        <v>360</v>
      </c>
      <c r="F22" s="9">
        <v>1678</v>
      </c>
      <c r="G22" s="9">
        <v>423</v>
      </c>
      <c r="H22" s="9">
        <v>323</v>
      </c>
      <c r="I22" s="9">
        <v>55668</v>
      </c>
      <c r="J22" s="9">
        <v>37945</v>
      </c>
      <c r="K22" s="9">
        <v>230</v>
      </c>
      <c r="L22" s="16" t="s">
        <v>34</v>
      </c>
      <c r="M22" s="16"/>
      <c r="N22" s="16" t="s">
        <v>46</v>
      </c>
      <c r="O22" s="1"/>
    </row>
    <row r="23" spans="1:18">
      <c r="A23" s="1" t="s">
        <v>52</v>
      </c>
      <c r="B23" s="1" t="s">
        <v>13</v>
      </c>
      <c r="C23" s="5">
        <v>45823</v>
      </c>
      <c r="D23" s="16" t="s">
        <v>14</v>
      </c>
      <c r="E23" s="17" t="s">
        <v>362</v>
      </c>
      <c r="F23" s="9">
        <v>4896</v>
      </c>
      <c r="G23" s="9">
        <v>466</v>
      </c>
      <c r="H23" s="9">
        <v>233</v>
      </c>
      <c r="I23" s="9">
        <v>28621</v>
      </c>
      <c r="J23" s="9">
        <v>34270</v>
      </c>
      <c r="K23" s="9">
        <v>84</v>
      </c>
      <c r="L23" s="16" t="s">
        <v>37</v>
      </c>
      <c r="M23" s="16" t="s">
        <v>34</v>
      </c>
      <c r="N23" s="16" t="s">
        <v>16</v>
      </c>
      <c r="O23" s="1"/>
    </row>
    <row r="24" spans="1:18">
      <c r="A24" s="1" t="s">
        <v>53</v>
      </c>
      <c r="B24" s="1" t="s">
        <v>27</v>
      </c>
      <c r="C24" s="5">
        <v>45452</v>
      </c>
      <c r="D24" s="16" t="s">
        <v>48</v>
      </c>
      <c r="E24" s="17" t="s">
        <v>363</v>
      </c>
      <c r="F24" s="9">
        <v>2786</v>
      </c>
      <c r="G24" s="9">
        <v>368</v>
      </c>
      <c r="H24" s="9">
        <v>208</v>
      </c>
      <c r="I24" s="9">
        <v>42000</v>
      </c>
      <c r="J24" s="9">
        <v>39967</v>
      </c>
      <c r="K24" s="9">
        <v>103</v>
      </c>
      <c r="L24" s="16" t="s">
        <v>19</v>
      </c>
      <c r="M24" s="16" t="s">
        <v>37</v>
      </c>
      <c r="N24" s="16" t="s">
        <v>49</v>
      </c>
      <c r="O24" s="1"/>
    </row>
    <row r="25" spans="1:18">
      <c r="A25" s="1" t="s">
        <v>54</v>
      </c>
      <c r="B25" s="1" t="s">
        <v>22</v>
      </c>
      <c r="C25" s="5">
        <v>45583</v>
      </c>
      <c r="D25" s="16" t="s">
        <v>14</v>
      </c>
      <c r="E25" s="17" t="s">
        <v>24</v>
      </c>
      <c r="F25" s="9">
        <v>2607</v>
      </c>
      <c r="G25" s="9">
        <v>379</v>
      </c>
      <c r="H25" s="9">
        <v>180</v>
      </c>
      <c r="I25" s="9">
        <v>28712</v>
      </c>
      <c r="J25" s="9">
        <v>61620</v>
      </c>
      <c r="K25" s="9">
        <v>174</v>
      </c>
      <c r="L25" s="16" t="s">
        <v>37</v>
      </c>
      <c r="M25" s="16"/>
      <c r="N25" s="16" t="s">
        <v>20</v>
      </c>
      <c r="O25" s="1"/>
    </row>
    <row r="26" spans="1:18">
      <c r="A26" s="1" t="s">
        <v>55</v>
      </c>
      <c r="B26" s="1" t="s">
        <v>27</v>
      </c>
      <c r="C26" s="5">
        <v>45575</v>
      </c>
      <c r="D26" s="16" t="s">
        <v>48</v>
      </c>
      <c r="E26" s="17" t="s">
        <v>363</v>
      </c>
      <c r="F26" s="9">
        <v>4013</v>
      </c>
      <c r="G26" s="9">
        <v>320</v>
      </c>
      <c r="H26" s="9">
        <v>92</v>
      </c>
      <c r="I26" s="9">
        <v>54605</v>
      </c>
      <c r="J26" s="9">
        <v>60169</v>
      </c>
      <c r="K26" s="9">
        <v>232</v>
      </c>
      <c r="L26" s="16" t="s">
        <v>19</v>
      </c>
      <c r="M26" s="16" t="s">
        <v>37</v>
      </c>
      <c r="N26" s="16" t="s">
        <v>49</v>
      </c>
      <c r="O26" s="1"/>
    </row>
    <row r="27" spans="1:18">
      <c r="A27" s="1" t="s">
        <v>56</v>
      </c>
      <c r="B27" s="1" t="s">
        <v>22</v>
      </c>
      <c r="C27" s="5">
        <v>45791</v>
      </c>
      <c r="D27" s="16" t="s">
        <v>23</v>
      </c>
      <c r="E27" s="17" t="s">
        <v>363</v>
      </c>
      <c r="F27" s="9">
        <v>2707</v>
      </c>
      <c r="G27" s="9">
        <v>103</v>
      </c>
      <c r="H27" s="9">
        <v>51</v>
      </c>
      <c r="I27" s="9">
        <v>55302</v>
      </c>
      <c r="J27" s="9">
        <v>18801</v>
      </c>
      <c r="K27" s="9">
        <v>147</v>
      </c>
      <c r="L27" s="16" t="s">
        <v>19</v>
      </c>
      <c r="M27" s="16" t="s">
        <v>364</v>
      </c>
      <c r="N27" s="16" t="s">
        <v>16</v>
      </c>
      <c r="O27" s="1"/>
    </row>
    <row r="28" spans="1:18">
      <c r="A28" s="1" t="s">
        <v>57</v>
      </c>
      <c r="B28" s="1" t="s">
        <v>13</v>
      </c>
      <c r="C28" s="5">
        <v>45625</v>
      </c>
      <c r="D28" s="16" t="s">
        <v>14</v>
      </c>
      <c r="E28" s="17" t="s">
        <v>362</v>
      </c>
      <c r="F28" s="9">
        <v>2824</v>
      </c>
      <c r="G28" s="9">
        <v>425</v>
      </c>
      <c r="H28" s="9">
        <v>274</v>
      </c>
      <c r="I28" s="9">
        <v>31004</v>
      </c>
      <c r="J28" s="9">
        <v>53488</v>
      </c>
      <c r="K28" s="9">
        <v>268</v>
      </c>
      <c r="L28" s="16" t="s">
        <v>37</v>
      </c>
      <c r="M28" s="16" t="s">
        <v>34</v>
      </c>
      <c r="N28" s="16" t="s">
        <v>16</v>
      </c>
      <c r="O28" s="1"/>
    </row>
    <row r="29" spans="1:18">
      <c r="A29" s="1" t="s">
        <v>58</v>
      </c>
      <c r="B29" s="1" t="s">
        <v>27</v>
      </c>
      <c r="C29" s="5">
        <v>45356</v>
      </c>
      <c r="D29" s="16" t="s">
        <v>48</v>
      </c>
      <c r="E29" s="17" t="s">
        <v>18</v>
      </c>
      <c r="F29" s="9">
        <v>3558</v>
      </c>
      <c r="G29" s="9">
        <v>314</v>
      </c>
      <c r="H29" s="9">
        <v>199</v>
      </c>
      <c r="I29" s="9">
        <v>49612</v>
      </c>
      <c r="J29" s="9">
        <v>53929</v>
      </c>
      <c r="K29" s="9">
        <v>206</v>
      </c>
      <c r="L29" s="16" t="s">
        <v>19</v>
      </c>
      <c r="M29" s="16" t="s">
        <v>37</v>
      </c>
      <c r="N29" s="16" t="s">
        <v>49</v>
      </c>
      <c r="O29" s="1"/>
    </row>
    <row r="30" spans="1:18">
      <c r="A30" s="1" t="s">
        <v>59</v>
      </c>
      <c r="B30" s="1" t="s">
        <v>22</v>
      </c>
      <c r="C30" s="5">
        <v>45734</v>
      </c>
      <c r="D30" s="16" t="s">
        <v>23</v>
      </c>
      <c r="E30" s="17" t="s">
        <v>18</v>
      </c>
      <c r="F30" s="9">
        <v>3418</v>
      </c>
      <c r="G30" s="9">
        <v>188</v>
      </c>
      <c r="H30" s="9">
        <v>387</v>
      </c>
      <c r="I30" s="9">
        <v>57431</v>
      </c>
      <c r="J30" s="9">
        <v>36933</v>
      </c>
      <c r="K30" s="9">
        <v>202</v>
      </c>
      <c r="L30" s="16" t="s">
        <v>364</v>
      </c>
      <c r="M30" s="16" t="s">
        <v>34</v>
      </c>
      <c r="N30" s="16" t="s">
        <v>16</v>
      </c>
      <c r="O30" s="1"/>
    </row>
    <row r="31" spans="1:18">
      <c r="A31" s="1" t="s">
        <v>60</v>
      </c>
      <c r="B31" s="1" t="s">
        <v>22</v>
      </c>
      <c r="C31" s="5">
        <v>45773</v>
      </c>
      <c r="D31" s="16" t="s">
        <v>14</v>
      </c>
      <c r="E31" s="17" t="s">
        <v>15</v>
      </c>
      <c r="F31" s="9">
        <v>2411</v>
      </c>
      <c r="G31" s="9">
        <v>194</v>
      </c>
      <c r="H31" s="9">
        <v>168</v>
      </c>
      <c r="I31" s="9">
        <v>26665</v>
      </c>
      <c r="J31" s="9">
        <v>71699</v>
      </c>
      <c r="K31" s="9">
        <v>197</v>
      </c>
      <c r="L31" s="16" t="s">
        <v>34</v>
      </c>
      <c r="M31" s="16"/>
      <c r="N31" s="16" t="s">
        <v>16</v>
      </c>
      <c r="O31" s="1"/>
    </row>
    <row r="32" spans="1:18">
      <c r="A32" s="1" t="s">
        <v>61</v>
      </c>
      <c r="B32" s="1" t="s">
        <v>13</v>
      </c>
      <c r="C32" s="5">
        <v>45658</v>
      </c>
      <c r="D32" s="16" t="s">
        <v>14</v>
      </c>
      <c r="E32" s="17" t="s">
        <v>24</v>
      </c>
      <c r="F32" s="9">
        <v>4036</v>
      </c>
      <c r="G32" s="9">
        <v>112</v>
      </c>
      <c r="H32" s="9">
        <v>382</v>
      </c>
      <c r="I32" s="9">
        <v>56284</v>
      </c>
      <c r="J32" s="9">
        <v>29440</v>
      </c>
      <c r="K32" s="9">
        <v>279</v>
      </c>
      <c r="L32" s="16" t="s">
        <v>37</v>
      </c>
      <c r="M32" s="16" t="s">
        <v>34</v>
      </c>
      <c r="N32" s="16" t="s">
        <v>16</v>
      </c>
      <c r="O32" s="1"/>
    </row>
    <row r="33" spans="1:15">
      <c r="A33" s="1" t="s">
        <v>62</v>
      </c>
      <c r="B33" s="1" t="s">
        <v>22</v>
      </c>
      <c r="C33" s="5">
        <v>45419</v>
      </c>
      <c r="D33" s="16" t="s">
        <v>23</v>
      </c>
      <c r="E33" s="17" t="s">
        <v>18</v>
      </c>
      <c r="F33" s="9">
        <v>2776</v>
      </c>
      <c r="G33" s="9">
        <v>307</v>
      </c>
      <c r="H33" s="9">
        <v>178</v>
      </c>
      <c r="I33" s="9">
        <v>43365</v>
      </c>
      <c r="J33" s="9">
        <v>48408</v>
      </c>
      <c r="K33" s="9">
        <v>138</v>
      </c>
      <c r="L33" s="16" t="s">
        <v>37</v>
      </c>
      <c r="M33" s="16" t="s">
        <v>34</v>
      </c>
      <c r="N33" s="16" t="s">
        <v>16</v>
      </c>
      <c r="O33" s="1"/>
    </row>
    <row r="34" spans="1:15">
      <c r="A34" s="1" t="s">
        <v>63</v>
      </c>
      <c r="B34" s="1" t="s">
        <v>22</v>
      </c>
      <c r="C34" s="5">
        <v>45574</v>
      </c>
      <c r="D34" s="16" t="s">
        <v>23</v>
      </c>
      <c r="E34" s="17" t="s">
        <v>15</v>
      </c>
      <c r="F34" s="9">
        <v>4929</v>
      </c>
      <c r="G34" s="9">
        <v>182</v>
      </c>
      <c r="H34" s="9">
        <v>95</v>
      </c>
      <c r="I34" s="9">
        <v>32181</v>
      </c>
      <c r="J34" s="9">
        <v>31084</v>
      </c>
      <c r="K34" s="9">
        <v>289</v>
      </c>
      <c r="L34" s="16" t="s">
        <v>19</v>
      </c>
      <c r="M34" s="16" t="s">
        <v>364</v>
      </c>
      <c r="N34" s="16" t="s">
        <v>16</v>
      </c>
      <c r="O34" s="1"/>
    </row>
    <row r="35" spans="1:15">
      <c r="A35" s="1" t="s">
        <v>64</v>
      </c>
      <c r="B35" s="1" t="s">
        <v>13</v>
      </c>
      <c r="C35" s="5">
        <v>45666</v>
      </c>
      <c r="D35" s="16" t="s">
        <v>14</v>
      </c>
      <c r="E35" s="17" t="s">
        <v>24</v>
      </c>
      <c r="F35" s="9">
        <v>1015</v>
      </c>
      <c r="G35" s="9">
        <v>366</v>
      </c>
      <c r="H35" s="9">
        <v>308</v>
      </c>
      <c r="I35" s="9">
        <v>38127</v>
      </c>
      <c r="J35" s="9">
        <v>63790</v>
      </c>
      <c r="K35" s="9">
        <v>287</v>
      </c>
      <c r="L35" s="16" t="s">
        <v>37</v>
      </c>
      <c r="M35" s="16" t="s">
        <v>34</v>
      </c>
      <c r="N35" s="16" t="s">
        <v>16</v>
      </c>
      <c r="O35" s="1"/>
    </row>
    <row r="36" spans="1:15">
      <c r="A36" s="1" t="s">
        <v>65</v>
      </c>
      <c r="B36" s="1" t="s">
        <v>22</v>
      </c>
      <c r="C36" s="5">
        <v>45785</v>
      </c>
      <c r="D36" s="16" t="s">
        <v>23</v>
      </c>
      <c r="E36" s="17" t="s">
        <v>42</v>
      </c>
      <c r="F36" s="9">
        <v>3316</v>
      </c>
      <c r="G36" s="9">
        <v>332</v>
      </c>
      <c r="H36" s="9">
        <v>268</v>
      </c>
      <c r="I36" s="9">
        <v>40095</v>
      </c>
      <c r="J36" s="9">
        <v>36913</v>
      </c>
      <c r="K36" s="9">
        <v>265</v>
      </c>
      <c r="L36" s="16" t="s">
        <v>364</v>
      </c>
      <c r="M36" s="16" t="s">
        <v>34</v>
      </c>
      <c r="N36" s="16" t="s">
        <v>16</v>
      </c>
      <c r="O36" s="1"/>
    </row>
    <row r="37" spans="1:15">
      <c r="A37" s="1" t="s">
        <v>66</v>
      </c>
      <c r="B37" s="1" t="s">
        <v>13</v>
      </c>
      <c r="C37" s="5">
        <v>45416</v>
      </c>
      <c r="D37" s="16" t="s">
        <v>14</v>
      </c>
      <c r="E37" s="17" t="s">
        <v>360</v>
      </c>
      <c r="F37" s="9">
        <v>2274</v>
      </c>
      <c r="G37" s="9">
        <v>243</v>
      </c>
      <c r="H37" s="9">
        <v>222</v>
      </c>
      <c r="I37" s="9">
        <v>43066</v>
      </c>
      <c r="J37" s="9">
        <v>59174</v>
      </c>
      <c r="K37" s="9">
        <v>80</v>
      </c>
      <c r="L37" s="16" t="s">
        <v>19</v>
      </c>
      <c r="M37" s="16"/>
      <c r="N37" s="16" t="s">
        <v>20</v>
      </c>
      <c r="O37" s="1"/>
    </row>
    <row r="38" spans="1:15">
      <c r="A38" s="1" t="s">
        <v>67</v>
      </c>
      <c r="B38" s="1" t="s">
        <v>22</v>
      </c>
      <c r="C38" s="5">
        <v>45804</v>
      </c>
      <c r="D38" s="16" t="s">
        <v>23</v>
      </c>
      <c r="E38" s="17" t="s">
        <v>18</v>
      </c>
      <c r="F38" s="9">
        <v>4095</v>
      </c>
      <c r="G38" s="9">
        <v>385</v>
      </c>
      <c r="H38" s="9">
        <v>400</v>
      </c>
      <c r="I38" s="9">
        <v>45300</v>
      </c>
      <c r="J38" s="9">
        <v>31795</v>
      </c>
      <c r="K38" s="9">
        <v>80</v>
      </c>
      <c r="L38" s="16" t="s">
        <v>364</v>
      </c>
      <c r="M38" s="16" t="s">
        <v>34</v>
      </c>
      <c r="N38" s="16" t="s">
        <v>16</v>
      </c>
      <c r="O38" s="1"/>
    </row>
    <row r="39" spans="1:15">
      <c r="A39" s="1" t="s">
        <v>68</v>
      </c>
      <c r="B39" s="1" t="s">
        <v>13</v>
      </c>
      <c r="C39" s="5">
        <v>45545</v>
      </c>
      <c r="D39" s="16" t="s">
        <v>23</v>
      </c>
      <c r="E39" s="17" t="s">
        <v>24</v>
      </c>
      <c r="F39" s="9">
        <v>1230</v>
      </c>
      <c r="G39" s="9">
        <v>309</v>
      </c>
      <c r="H39" s="9">
        <v>207</v>
      </c>
      <c r="I39" s="9">
        <v>44629</v>
      </c>
      <c r="J39" s="9">
        <v>40699</v>
      </c>
      <c r="K39" s="9">
        <v>195</v>
      </c>
      <c r="L39" s="16" t="s">
        <v>34</v>
      </c>
      <c r="M39" s="16"/>
      <c r="N39" s="16" t="s">
        <v>46</v>
      </c>
      <c r="O39" s="1"/>
    </row>
    <row r="40" spans="1:15">
      <c r="A40" s="1" t="s">
        <v>69</v>
      </c>
      <c r="B40" s="1" t="s">
        <v>13</v>
      </c>
      <c r="C40" s="5">
        <v>45621</v>
      </c>
      <c r="D40" s="16" t="s">
        <v>14</v>
      </c>
      <c r="E40" s="17" t="s">
        <v>363</v>
      </c>
      <c r="F40" s="9">
        <v>1341</v>
      </c>
      <c r="G40" s="9">
        <v>472</v>
      </c>
      <c r="H40" s="9">
        <v>238</v>
      </c>
      <c r="I40" s="9">
        <v>51386</v>
      </c>
      <c r="J40" s="9">
        <v>51706</v>
      </c>
      <c r="K40" s="9">
        <v>133</v>
      </c>
      <c r="L40" s="16" t="s">
        <v>19</v>
      </c>
      <c r="M40" s="16"/>
      <c r="N40" s="16" t="s">
        <v>20</v>
      </c>
      <c r="O40" s="1"/>
    </row>
    <row r="41" spans="1:15">
      <c r="A41" s="1" t="s">
        <v>70</v>
      </c>
      <c r="B41" s="1" t="s">
        <v>22</v>
      </c>
      <c r="C41" s="5">
        <v>45818</v>
      </c>
      <c r="D41" s="16" t="s">
        <v>14</v>
      </c>
      <c r="E41" s="17" t="s">
        <v>18</v>
      </c>
      <c r="F41" s="9">
        <v>3615</v>
      </c>
      <c r="G41" s="9">
        <v>192</v>
      </c>
      <c r="H41" s="9">
        <v>162</v>
      </c>
      <c r="I41" s="9">
        <v>27492</v>
      </c>
      <c r="J41" s="9">
        <v>35341</v>
      </c>
      <c r="K41" s="9">
        <v>125</v>
      </c>
      <c r="L41" s="16" t="s">
        <v>34</v>
      </c>
      <c r="M41" s="16"/>
      <c r="N41" s="16" t="s">
        <v>16</v>
      </c>
      <c r="O41" s="1"/>
    </row>
    <row r="42" spans="1:15">
      <c r="A42" s="1" t="s">
        <v>71</v>
      </c>
      <c r="B42" s="1" t="s">
        <v>13</v>
      </c>
      <c r="C42" s="5">
        <v>45401</v>
      </c>
      <c r="D42" s="16" t="s">
        <v>14</v>
      </c>
      <c r="E42" s="17" t="s">
        <v>24</v>
      </c>
      <c r="F42" s="9">
        <v>4001</v>
      </c>
      <c r="G42" s="9">
        <v>353</v>
      </c>
      <c r="H42" s="9">
        <v>129</v>
      </c>
      <c r="I42" s="9">
        <v>41265</v>
      </c>
      <c r="J42" s="9">
        <v>37279</v>
      </c>
      <c r="K42" s="9">
        <v>275</v>
      </c>
      <c r="L42" s="16" t="s">
        <v>37</v>
      </c>
      <c r="M42" s="16" t="s">
        <v>34</v>
      </c>
      <c r="N42" s="16" t="s">
        <v>16</v>
      </c>
      <c r="O42" s="1"/>
    </row>
    <row r="43" spans="1:15">
      <c r="A43" s="1" t="s">
        <v>72</v>
      </c>
      <c r="B43" s="1" t="s">
        <v>13</v>
      </c>
      <c r="C43" s="5">
        <v>45683</v>
      </c>
      <c r="D43" s="16" t="s">
        <v>23</v>
      </c>
      <c r="E43" s="17" t="s">
        <v>362</v>
      </c>
      <c r="F43" s="9">
        <v>3451</v>
      </c>
      <c r="G43" s="9">
        <v>363</v>
      </c>
      <c r="H43" s="9">
        <v>393</v>
      </c>
      <c r="I43" s="9">
        <v>44853</v>
      </c>
      <c r="J43" s="9">
        <v>69032</v>
      </c>
      <c r="K43" s="9">
        <v>211</v>
      </c>
      <c r="L43" s="16" t="s">
        <v>34</v>
      </c>
      <c r="M43" s="16"/>
      <c r="N43" s="16" t="s">
        <v>46</v>
      </c>
      <c r="O43" s="1"/>
    </row>
    <row r="44" spans="1:15">
      <c r="A44" s="1" t="s">
        <v>73</v>
      </c>
      <c r="B44" s="1" t="s">
        <v>13</v>
      </c>
      <c r="C44" s="5">
        <v>45702</v>
      </c>
      <c r="D44" s="16" t="s">
        <v>14</v>
      </c>
      <c r="E44" s="17" t="s">
        <v>33</v>
      </c>
      <c r="F44" s="9">
        <v>4891</v>
      </c>
      <c r="G44" s="9">
        <v>450</v>
      </c>
      <c r="H44" s="9">
        <v>387</v>
      </c>
      <c r="I44" s="9">
        <v>48746</v>
      </c>
      <c r="J44" s="9">
        <v>37312</v>
      </c>
      <c r="K44" s="9">
        <v>154</v>
      </c>
      <c r="L44" s="16" t="s">
        <v>37</v>
      </c>
      <c r="M44" s="16" t="s">
        <v>34</v>
      </c>
      <c r="N44" s="16" t="s">
        <v>16</v>
      </c>
      <c r="O44" s="1"/>
    </row>
    <row r="45" spans="1:15">
      <c r="A45" s="1" t="s">
        <v>74</v>
      </c>
      <c r="B45" s="1" t="s">
        <v>13</v>
      </c>
      <c r="C45" s="5">
        <v>45541</v>
      </c>
      <c r="D45" s="16" t="s">
        <v>14</v>
      </c>
      <c r="E45" s="17" t="s">
        <v>24</v>
      </c>
      <c r="F45" s="9">
        <v>1452</v>
      </c>
      <c r="G45" s="9">
        <v>281</v>
      </c>
      <c r="H45" s="9">
        <v>326</v>
      </c>
      <c r="I45" s="9">
        <v>51556</v>
      </c>
      <c r="J45" s="9">
        <v>62599</v>
      </c>
      <c r="K45" s="9">
        <v>290</v>
      </c>
      <c r="L45" s="16" t="s">
        <v>19</v>
      </c>
      <c r="M45" s="16"/>
      <c r="N45" s="16" t="s">
        <v>20</v>
      </c>
      <c r="O45" s="1"/>
    </row>
    <row r="46" spans="1:15">
      <c r="A46" s="1" t="s">
        <v>75</v>
      </c>
      <c r="B46" s="1" t="s">
        <v>27</v>
      </c>
      <c r="C46" s="5">
        <v>45487</v>
      </c>
      <c r="D46" s="16" t="s">
        <v>14</v>
      </c>
      <c r="E46" s="17" t="s">
        <v>42</v>
      </c>
      <c r="F46" s="9">
        <v>3806</v>
      </c>
      <c r="G46" s="9">
        <v>114</v>
      </c>
      <c r="H46" s="9">
        <v>278</v>
      </c>
      <c r="I46" s="9">
        <v>36148</v>
      </c>
      <c r="J46" s="9">
        <v>24209</v>
      </c>
      <c r="K46" s="9">
        <v>201</v>
      </c>
      <c r="L46" s="16" t="s">
        <v>19</v>
      </c>
      <c r="M46" s="16" t="s">
        <v>365</v>
      </c>
      <c r="N46" s="16" t="s">
        <v>20</v>
      </c>
      <c r="O46" s="1"/>
    </row>
    <row r="47" spans="1:15">
      <c r="A47" s="1" t="s">
        <v>76</v>
      </c>
      <c r="B47" s="1" t="s">
        <v>13</v>
      </c>
      <c r="C47" s="5">
        <v>45334</v>
      </c>
      <c r="D47" s="16" t="s">
        <v>14</v>
      </c>
      <c r="E47" s="17" t="s">
        <v>18</v>
      </c>
      <c r="F47" s="9">
        <v>2923</v>
      </c>
      <c r="G47" s="9">
        <v>330</v>
      </c>
      <c r="H47" s="9">
        <v>250</v>
      </c>
      <c r="I47" s="9">
        <v>23993</v>
      </c>
      <c r="J47" s="9">
        <v>74590</v>
      </c>
      <c r="K47" s="9">
        <v>92</v>
      </c>
      <c r="L47" s="16" t="s">
        <v>19</v>
      </c>
      <c r="M47" s="16"/>
      <c r="N47" s="16" t="s">
        <v>20</v>
      </c>
      <c r="O47" s="1"/>
    </row>
    <row r="48" spans="1:15">
      <c r="A48" s="1" t="s">
        <v>77</v>
      </c>
      <c r="B48" s="1" t="s">
        <v>27</v>
      </c>
      <c r="C48" s="5">
        <v>45365</v>
      </c>
      <c r="D48" s="16" t="s">
        <v>48</v>
      </c>
      <c r="E48" s="17" t="s">
        <v>363</v>
      </c>
      <c r="F48" s="9">
        <v>3361</v>
      </c>
      <c r="G48" s="9">
        <v>188</v>
      </c>
      <c r="H48" s="9">
        <v>358</v>
      </c>
      <c r="I48" s="9">
        <v>39838</v>
      </c>
      <c r="J48" s="9">
        <v>24536</v>
      </c>
      <c r="K48" s="9">
        <v>120</v>
      </c>
      <c r="L48" s="16" t="s">
        <v>19</v>
      </c>
      <c r="M48" s="16" t="s">
        <v>37</v>
      </c>
      <c r="N48" s="16" t="s">
        <v>49</v>
      </c>
      <c r="O48" s="1"/>
    </row>
    <row r="49" spans="1:15">
      <c r="A49" s="1" t="s">
        <v>78</v>
      </c>
      <c r="B49" s="1" t="s">
        <v>13</v>
      </c>
      <c r="C49" s="5">
        <v>45693</v>
      </c>
      <c r="D49" s="16" t="s">
        <v>23</v>
      </c>
      <c r="E49" s="17" t="s">
        <v>361</v>
      </c>
      <c r="F49" s="9">
        <v>3074</v>
      </c>
      <c r="G49" s="9">
        <v>371</v>
      </c>
      <c r="H49" s="9">
        <v>348</v>
      </c>
      <c r="I49" s="9">
        <v>24104</v>
      </c>
      <c r="J49" s="9">
        <v>57803</v>
      </c>
      <c r="K49" s="9">
        <v>213</v>
      </c>
      <c r="L49" s="16" t="s">
        <v>34</v>
      </c>
      <c r="M49" s="16"/>
      <c r="N49" s="16" t="s">
        <v>46</v>
      </c>
      <c r="O49" s="1"/>
    </row>
    <row r="50" spans="1:15">
      <c r="A50" s="1" t="s">
        <v>79</v>
      </c>
      <c r="B50" s="1" t="s">
        <v>22</v>
      </c>
      <c r="C50" s="5">
        <v>45533</v>
      </c>
      <c r="D50" s="16" t="s">
        <v>23</v>
      </c>
      <c r="E50" s="17" t="s">
        <v>30</v>
      </c>
      <c r="F50" s="9">
        <v>4276</v>
      </c>
      <c r="G50" s="9">
        <v>227</v>
      </c>
      <c r="H50" s="9">
        <v>223</v>
      </c>
      <c r="I50" s="9">
        <v>43443</v>
      </c>
      <c r="J50" s="9">
        <v>41005</v>
      </c>
      <c r="K50" s="9">
        <v>191</v>
      </c>
      <c r="L50" s="16" t="s">
        <v>19</v>
      </c>
      <c r="M50" s="16" t="s">
        <v>364</v>
      </c>
      <c r="N50" s="16" t="s">
        <v>16</v>
      </c>
      <c r="O50" s="1"/>
    </row>
    <row r="51" spans="1:15">
      <c r="A51" s="1" t="s">
        <v>80</v>
      </c>
      <c r="B51" s="1" t="s">
        <v>22</v>
      </c>
      <c r="C51" s="5">
        <v>45769</v>
      </c>
      <c r="D51" s="16" t="s">
        <v>14</v>
      </c>
      <c r="E51" s="17" t="s">
        <v>15</v>
      </c>
      <c r="F51" s="9">
        <v>4401</v>
      </c>
      <c r="G51" s="9">
        <v>421</v>
      </c>
      <c r="H51" s="9">
        <v>216</v>
      </c>
      <c r="I51" s="9">
        <v>24890</v>
      </c>
      <c r="J51" s="9">
        <v>54361</v>
      </c>
      <c r="K51" s="9">
        <v>148</v>
      </c>
      <c r="L51" s="16" t="s">
        <v>34</v>
      </c>
      <c r="M51" s="16"/>
      <c r="N51" s="16" t="s">
        <v>16</v>
      </c>
      <c r="O51" s="1"/>
    </row>
    <row r="52" spans="1:15">
      <c r="A52" s="1" t="s">
        <v>81</v>
      </c>
      <c r="B52" s="1" t="s">
        <v>27</v>
      </c>
      <c r="C52" s="5">
        <v>45425</v>
      </c>
      <c r="D52" s="16" t="s">
        <v>48</v>
      </c>
      <c r="E52" s="17" t="s">
        <v>18</v>
      </c>
      <c r="F52" s="9">
        <v>4161</v>
      </c>
      <c r="G52" s="9">
        <v>481</v>
      </c>
      <c r="H52" s="9">
        <v>61</v>
      </c>
      <c r="I52" s="9">
        <v>45884</v>
      </c>
      <c r="J52" s="9">
        <v>48955</v>
      </c>
      <c r="K52" s="9">
        <v>215</v>
      </c>
      <c r="L52" s="16" t="s">
        <v>19</v>
      </c>
      <c r="M52" s="16" t="s">
        <v>37</v>
      </c>
      <c r="N52" s="16" t="s">
        <v>49</v>
      </c>
      <c r="O52" s="1"/>
    </row>
    <row r="53" spans="1:15">
      <c r="A53" s="1" t="s">
        <v>82</v>
      </c>
      <c r="B53" s="1" t="s">
        <v>22</v>
      </c>
      <c r="C53" s="5">
        <v>45539</v>
      </c>
      <c r="D53" s="16" t="s">
        <v>23</v>
      </c>
      <c r="E53" s="17" t="s">
        <v>24</v>
      </c>
      <c r="F53" s="9">
        <v>2613</v>
      </c>
      <c r="G53" s="9">
        <v>455</v>
      </c>
      <c r="H53" s="9">
        <v>228</v>
      </c>
      <c r="I53" s="9">
        <v>21645</v>
      </c>
      <c r="J53" s="9">
        <v>61334</v>
      </c>
      <c r="K53" s="9">
        <v>261</v>
      </c>
      <c r="L53" s="16" t="s">
        <v>19</v>
      </c>
      <c r="M53" s="16" t="s">
        <v>364</v>
      </c>
      <c r="N53" s="16" t="s">
        <v>16</v>
      </c>
      <c r="O53" s="1"/>
    </row>
    <row r="54" spans="1:15">
      <c r="A54" s="1" t="s">
        <v>83</v>
      </c>
      <c r="B54" s="1" t="s">
        <v>22</v>
      </c>
      <c r="C54" s="5">
        <v>45516</v>
      </c>
      <c r="D54" s="16" t="s">
        <v>23</v>
      </c>
      <c r="E54" s="17" t="s">
        <v>362</v>
      </c>
      <c r="F54" s="9">
        <v>2842</v>
      </c>
      <c r="G54" s="9">
        <v>213</v>
      </c>
      <c r="H54" s="9">
        <v>331</v>
      </c>
      <c r="I54" s="9">
        <v>57660</v>
      </c>
      <c r="J54" s="9">
        <v>68606</v>
      </c>
      <c r="K54" s="9">
        <v>87</v>
      </c>
      <c r="L54" s="16" t="s">
        <v>364</v>
      </c>
      <c r="M54" s="16" t="s">
        <v>34</v>
      </c>
      <c r="N54" s="16" t="s">
        <v>16</v>
      </c>
      <c r="O54" s="1"/>
    </row>
    <row r="55" spans="1:15">
      <c r="A55" s="1" t="s">
        <v>84</v>
      </c>
      <c r="B55" s="1" t="s">
        <v>13</v>
      </c>
      <c r="C55" s="5">
        <v>45722</v>
      </c>
      <c r="D55" s="16" t="s">
        <v>14</v>
      </c>
      <c r="E55" s="17" t="s">
        <v>30</v>
      </c>
      <c r="F55" s="9">
        <v>4851</v>
      </c>
      <c r="G55" s="9">
        <v>460</v>
      </c>
      <c r="H55" s="9">
        <v>212</v>
      </c>
      <c r="I55" s="9">
        <v>58075</v>
      </c>
      <c r="J55" s="9">
        <v>59574</v>
      </c>
      <c r="K55" s="9">
        <v>239</v>
      </c>
      <c r="L55" s="16" t="s">
        <v>19</v>
      </c>
      <c r="M55" s="16"/>
      <c r="N55" s="16" t="s">
        <v>20</v>
      </c>
      <c r="O55" s="1"/>
    </row>
    <row r="56" spans="1:15">
      <c r="A56" s="1" t="s">
        <v>85</v>
      </c>
      <c r="B56" s="1" t="s">
        <v>22</v>
      </c>
      <c r="C56" s="5">
        <v>45420</v>
      </c>
      <c r="D56" s="16" t="s">
        <v>14</v>
      </c>
      <c r="E56" s="17" t="s">
        <v>18</v>
      </c>
      <c r="F56" s="9">
        <v>1828</v>
      </c>
      <c r="G56" s="9">
        <v>450</v>
      </c>
      <c r="H56" s="9">
        <v>214</v>
      </c>
      <c r="I56" s="9">
        <v>52115</v>
      </c>
      <c r="J56" s="9">
        <v>19166</v>
      </c>
      <c r="K56" s="9">
        <v>190</v>
      </c>
      <c r="L56" s="16" t="s">
        <v>34</v>
      </c>
      <c r="M56" s="16"/>
      <c r="N56" s="16" t="s">
        <v>16</v>
      </c>
      <c r="O56" s="1"/>
    </row>
    <row r="57" spans="1:15">
      <c r="A57" s="1" t="s">
        <v>86</v>
      </c>
      <c r="B57" s="1" t="s">
        <v>13</v>
      </c>
      <c r="C57" s="5">
        <v>45707</v>
      </c>
      <c r="D57" s="16" t="s">
        <v>23</v>
      </c>
      <c r="E57" s="17" t="s">
        <v>363</v>
      </c>
      <c r="F57" s="9">
        <v>2422</v>
      </c>
      <c r="G57" s="9">
        <v>455</v>
      </c>
      <c r="H57" s="9">
        <v>376</v>
      </c>
      <c r="I57" s="9">
        <v>23428</v>
      </c>
      <c r="J57" s="9">
        <v>46775</v>
      </c>
      <c r="K57" s="9">
        <v>259</v>
      </c>
      <c r="L57" s="16" t="s">
        <v>34</v>
      </c>
      <c r="M57" s="16"/>
      <c r="N57" s="16" t="s">
        <v>46</v>
      </c>
      <c r="O57" s="1"/>
    </row>
    <row r="58" spans="1:15">
      <c r="A58" s="1" t="s">
        <v>87</v>
      </c>
      <c r="B58" s="1" t="s">
        <v>13</v>
      </c>
      <c r="C58" s="5">
        <v>45299</v>
      </c>
      <c r="D58" s="16" t="s">
        <v>14</v>
      </c>
      <c r="E58" s="17" t="s">
        <v>33</v>
      </c>
      <c r="F58" s="9">
        <v>2683</v>
      </c>
      <c r="G58" s="9">
        <v>405</v>
      </c>
      <c r="H58" s="9">
        <v>223</v>
      </c>
      <c r="I58" s="9">
        <v>31233</v>
      </c>
      <c r="J58" s="9">
        <v>58106</v>
      </c>
      <c r="K58" s="9">
        <v>291</v>
      </c>
      <c r="L58" s="16" t="s">
        <v>19</v>
      </c>
      <c r="M58" s="16"/>
      <c r="N58" s="16" t="s">
        <v>20</v>
      </c>
      <c r="O58" s="1"/>
    </row>
    <row r="59" spans="1:15">
      <c r="A59" s="1" t="s">
        <v>88</v>
      </c>
      <c r="B59" s="1" t="s">
        <v>27</v>
      </c>
      <c r="C59" s="5">
        <v>45490</v>
      </c>
      <c r="D59" s="16" t="s">
        <v>14</v>
      </c>
      <c r="E59" s="17" t="s">
        <v>33</v>
      </c>
      <c r="F59" s="9">
        <v>3135</v>
      </c>
      <c r="G59" s="9">
        <v>110</v>
      </c>
      <c r="H59" s="9">
        <v>215</v>
      </c>
      <c r="I59" s="9">
        <v>39192</v>
      </c>
      <c r="J59" s="9">
        <v>24744</v>
      </c>
      <c r="K59" s="9">
        <v>177</v>
      </c>
      <c r="L59" s="16" t="s">
        <v>19</v>
      </c>
      <c r="M59" s="16" t="s">
        <v>365</v>
      </c>
      <c r="N59" s="16" t="s">
        <v>20</v>
      </c>
      <c r="O59" s="1"/>
    </row>
    <row r="60" spans="1:15">
      <c r="A60" s="1" t="s">
        <v>89</v>
      </c>
      <c r="B60" s="1" t="s">
        <v>27</v>
      </c>
      <c r="C60" s="5">
        <v>45514</v>
      </c>
      <c r="D60" s="16" t="s">
        <v>14</v>
      </c>
      <c r="E60" s="17" t="s">
        <v>363</v>
      </c>
      <c r="F60" s="9">
        <v>1105</v>
      </c>
      <c r="G60" s="9">
        <v>181</v>
      </c>
      <c r="H60" s="9">
        <v>55</v>
      </c>
      <c r="I60" s="9">
        <v>53581</v>
      </c>
      <c r="J60" s="9">
        <v>74048</v>
      </c>
      <c r="K60" s="9">
        <v>220</v>
      </c>
      <c r="L60" s="16" t="s">
        <v>19</v>
      </c>
      <c r="M60" s="16" t="s">
        <v>365</v>
      </c>
      <c r="N60" s="16" t="s">
        <v>20</v>
      </c>
      <c r="O60" s="1"/>
    </row>
    <row r="61" spans="1:15">
      <c r="A61" s="1" t="s">
        <v>90</v>
      </c>
      <c r="B61" s="1" t="s">
        <v>27</v>
      </c>
      <c r="C61" s="5">
        <v>45398</v>
      </c>
      <c r="D61" s="16" t="s">
        <v>14</v>
      </c>
      <c r="E61" s="17" t="s">
        <v>15</v>
      </c>
      <c r="F61" s="9">
        <v>4674</v>
      </c>
      <c r="G61" s="9">
        <v>326</v>
      </c>
      <c r="H61" s="9">
        <v>62</v>
      </c>
      <c r="I61" s="9">
        <v>45503</v>
      </c>
      <c r="J61" s="9">
        <v>46814</v>
      </c>
      <c r="K61" s="9">
        <v>116</v>
      </c>
      <c r="L61" s="16" t="s">
        <v>19</v>
      </c>
      <c r="M61" s="16" t="s">
        <v>365</v>
      </c>
      <c r="N61" s="16" t="s">
        <v>20</v>
      </c>
      <c r="O61" s="1"/>
    </row>
    <row r="62" spans="1:15">
      <c r="A62" s="1" t="s">
        <v>91</v>
      </c>
      <c r="B62" s="1" t="s">
        <v>27</v>
      </c>
      <c r="C62" s="5">
        <v>45292</v>
      </c>
      <c r="D62" s="16" t="s">
        <v>48</v>
      </c>
      <c r="E62" s="17" t="s">
        <v>18</v>
      </c>
      <c r="F62" s="9">
        <v>3437</v>
      </c>
      <c r="G62" s="9">
        <v>129</v>
      </c>
      <c r="H62" s="9">
        <v>359</v>
      </c>
      <c r="I62" s="9">
        <v>44558</v>
      </c>
      <c r="J62" s="9">
        <v>30854</v>
      </c>
      <c r="K62" s="9">
        <v>171</v>
      </c>
      <c r="L62" s="16" t="s">
        <v>19</v>
      </c>
      <c r="M62" s="16" t="s">
        <v>37</v>
      </c>
      <c r="N62" s="16" t="s">
        <v>49</v>
      </c>
      <c r="O62" s="1"/>
    </row>
    <row r="63" spans="1:15">
      <c r="A63" s="1" t="s">
        <v>92</v>
      </c>
      <c r="B63" s="1" t="s">
        <v>22</v>
      </c>
      <c r="C63" s="5">
        <v>45599</v>
      </c>
      <c r="D63" s="16" t="s">
        <v>23</v>
      </c>
      <c r="E63" s="17" t="s">
        <v>360</v>
      </c>
      <c r="F63" s="9">
        <v>1959</v>
      </c>
      <c r="G63" s="9">
        <v>316</v>
      </c>
      <c r="H63" s="9">
        <v>82</v>
      </c>
      <c r="I63" s="9">
        <v>54036</v>
      </c>
      <c r="J63" s="9">
        <v>69015</v>
      </c>
      <c r="K63" s="9">
        <v>182</v>
      </c>
      <c r="L63" s="16" t="s">
        <v>364</v>
      </c>
      <c r="M63" s="16" t="s">
        <v>34</v>
      </c>
      <c r="N63" s="16" t="s">
        <v>16</v>
      </c>
      <c r="O63" s="1"/>
    </row>
    <row r="64" spans="1:15">
      <c r="A64" s="1" t="s">
        <v>93</v>
      </c>
      <c r="B64" s="1" t="s">
        <v>22</v>
      </c>
      <c r="C64" s="5">
        <v>45480</v>
      </c>
      <c r="D64" s="16" t="s">
        <v>14</v>
      </c>
      <c r="E64" s="17" t="s">
        <v>24</v>
      </c>
      <c r="F64" s="9">
        <v>1035</v>
      </c>
      <c r="G64" s="9">
        <v>137</v>
      </c>
      <c r="H64" s="9">
        <v>184</v>
      </c>
      <c r="I64" s="9">
        <v>37302</v>
      </c>
      <c r="J64" s="9">
        <v>68953</v>
      </c>
      <c r="K64" s="9">
        <v>237</v>
      </c>
      <c r="L64" s="16" t="s">
        <v>37</v>
      </c>
      <c r="M64" s="16"/>
      <c r="N64" s="16" t="s">
        <v>20</v>
      </c>
      <c r="O64" s="1"/>
    </row>
    <row r="65" spans="1:15">
      <c r="A65" s="1" t="s">
        <v>94</v>
      </c>
      <c r="B65" s="1" t="s">
        <v>22</v>
      </c>
      <c r="C65" s="5">
        <v>45679</v>
      </c>
      <c r="D65" s="16" t="s">
        <v>23</v>
      </c>
      <c r="E65" s="17" t="s">
        <v>24</v>
      </c>
      <c r="F65" s="9">
        <v>4478</v>
      </c>
      <c r="G65" s="9">
        <v>101</v>
      </c>
      <c r="H65" s="9">
        <v>121</v>
      </c>
      <c r="I65" s="9">
        <v>51035</v>
      </c>
      <c r="J65" s="9">
        <v>58207</v>
      </c>
      <c r="K65" s="9">
        <v>205</v>
      </c>
      <c r="L65" s="16" t="s">
        <v>364</v>
      </c>
      <c r="M65" s="16" t="s">
        <v>34</v>
      </c>
      <c r="N65" s="16" t="s">
        <v>16</v>
      </c>
      <c r="O65" s="1"/>
    </row>
    <row r="66" spans="1:15">
      <c r="A66" s="1" t="s">
        <v>95</v>
      </c>
      <c r="B66" s="1" t="s">
        <v>27</v>
      </c>
      <c r="C66" s="5">
        <v>45438</v>
      </c>
      <c r="D66" s="16" t="s">
        <v>14</v>
      </c>
      <c r="E66" s="17" t="s">
        <v>363</v>
      </c>
      <c r="F66" s="9">
        <v>1488</v>
      </c>
      <c r="G66" s="9">
        <v>327</v>
      </c>
      <c r="H66" s="9">
        <v>110</v>
      </c>
      <c r="I66" s="9">
        <v>53805</v>
      </c>
      <c r="J66" s="9">
        <v>30239</v>
      </c>
      <c r="K66" s="9">
        <v>109</v>
      </c>
      <c r="L66" s="16" t="s">
        <v>19</v>
      </c>
      <c r="M66" s="16" t="s">
        <v>365</v>
      </c>
      <c r="N66" s="16" t="s">
        <v>20</v>
      </c>
      <c r="O66" s="1"/>
    </row>
    <row r="67" spans="1:15">
      <c r="A67" s="1" t="s">
        <v>96</v>
      </c>
      <c r="B67" s="1" t="s">
        <v>13</v>
      </c>
      <c r="C67" s="5">
        <v>45763</v>
      </c>
      <c r="D67" s="16" t="s">
        <v>14</v>
      </c>
      <c r="E67" s="17" t="s">
        <v>360</v>
      </c>
      <c r="F67" s="9">
        <v>4836</v>
      </c>
      <c r="G67" s="9">
        <v>331</v>
      </c>
      <c r="H67" s="9">
        <v>140</v>
      </c>
      <c r="I67" s="9">
        <v>58792</v>
      </c>
      <c r="J67" s="9">
        <v>47711</v>
      </c>
      <c r="K67" s="9">
        <v>227</v>
      </c>
      <c r="L67" s="16" t="s">
        <v>37</v>
      </c>
      <c r="M67" s="16" t="s">
        <v>34</v>
      </c>
      <c r="N67" s="16" t="s">
        <v>16</v>
      </c>
      <c r="O67" s="1"/>
    </row>
    <row r="68" spans="1:15">
      <c r="A68" s="1" t="s">
        <v>97</v>
      </c>
      <c r="B68" s="1" t="s">
        <v>27</v>
      </c>
      <c r="C68" s="5">
        <v>45384</v>
      </c>
      <c r="D68" s="16" t="s">
        <v>48</v>
      </c>
      <c r="E68" s="17" t="s">
        <v>42</v>
      </c>
      <c r="F68" s="9">
        <v>4563</v>
      </c>
      <c r="G68" s="9">
        <v>488</v>
      </c>
      <c r="H68" s="9">
        <v>356</v>
      </c>
      <c r="I68" s="9">
        <v>30619</v>
      </c>
      <c r="J68" s="9">
        <v>23328</v>
      </c>
      <c r="K68" s="9">
        <v>267</v>
      </c>
      <c r="L68" s="16" t="s">
        <v>19</v>
      </c>
      <c r="M68" s="16" t="s">
        <v>37</v>
      </c>
      <c r="N68" s="16" t="s">
        <v>49</v>
      </c>
      <c r="O68" s="1"/>
    </row>
    <row r="69" spans="1:15">
      <c r="A69" s="1" t="s">
        <v>98</v>
      </c>
      <c r="B69" s="1" t="s">
        <v>22</v>
      </c>
      <c r="C69" s="5">
        <v>45379</v>
      </c>
      <c r="D69" s="16" t="s">
        <v>14</v>
      </c>
      <c r="E69" s="17" t="s">
        <v>361</v>
      </c>
      <c r="F69" s="9">
        <v>3276</v>
      </c>
      <c r="G69" s="9">
        <v>421</v>
      </c>
      <c r="H69" s="9">
        <v>114</v>
      </c>
      <c r="I69" s="9">
        <v>20580</v>
      </c>
      <c r="J69" s="9">
        <v>30324</v>
      </c>
      <c r="K69" s="9">
        <v>221</v>
      </c>
      <c r="L69" s="16" t="s">
        <v>37</v>
      </c>
      <c r="M69" s="16"/>
      <c r="N69" s="16" t="s">
        <v>20</v>
      </c>
      <c r="O69" s="1"/>
    </row>
    <row r="70" spans="1:15">
      <c r="A70" s="1" t="s">
        <v>99</v>
      </c>
      <c r="B70" s="1" t="s">
        <v>22</v>
      </c>
      <c r="C70" s="5">
        <v>45643</v>
      </c>
      <c r="D70" s="16" t="s">
        <v>23</v>
      </c>
      <c r="E70" s="17" t="s">
        <v>361</v>
      </c>
      <c r="F70" s="9">
        <v>1316</v>
      </c>
      <c r="G70" s="9">
        <v>472</v>
      </c>
      <c r="H70" s="9">
        <v>286</v>
      </c>
      <c r="I70" s="9">
        <v>44692</v>
      </c>
      <c r="J70" s="9">
        <v>53343</v>
      </c>
      <c r="K70" s="9">
        <v>227</v>
      </c>
      <c r="L70" s="16" t="s">
        <v>19</v>
      </c>
      <c r="M70" s="16" t="s">
        <v>364</v>
      </c>
      <c r="N70" s="16" t="s">
        <v>16</v>
      </c>
      <c r="O70" s="1"/>
    </row>
    <row r="71" spans="1:15">
      <c r="A71" s="1" t="s">
        <v>100</v>
      </c>
      <c r="B71" s="1" t="s">
        <v>22</v>
      </c>
      <c r="C71" s="5">
        <v>45662</v>
      </c>
      <c r="D71" s="16" t="s">
        <v>14</v>
      </c>
      <c r="E71" s="17" t="s">
        <v>360</v>
      </c>
      <c r="F71" s="9">
        <v>4811</v>
      </c>
      <c r="G71" s="9">
        <v>473</v>
      </c>
      <c r="H71" s="9">
        <v>254</v>
      </c>
      <c r="I71" s="9">
        <v>51964</v>
      </c>
      <c r="J71" s="9">
        <v>68795</v>
      </c>
      <c r="K71" s="9">
        <v>107</v>
      </c>
      <c r="L71" s="16" t="s">
        <v>34</v>
      </c>
      <c r="M71" s="16"/>
      <c r="N71" s="16" t="s">
        <v>16</v>
      </c>
      <c r="O71" s="1"/>
    </row>
    <row r="72" spans="1:15">
      <c r="A72" s="1" t="s">
        <v>101</v>
      </c>
      <c r="B72" s="1" t="s">
        <v>22</v>
      </c>
      <c r="C72" s="5">
        <v>45302</v>
      </c>
      <c r="D72" s="16" t="s">
        <v>14</v>
      </c>
      <c r="E72" s="17" t="s">
        <v>362</v>
      </c>
      <c r="F72" s="9">
        <v>4218</v>
      </c>
      <c r="G72" s="9">
        <v>247</v>
      </c>
      <c r="H72" s="9">
        <v>183</v>
      </c>
      <c r="I72" s="9">
        <v>28914</v>
      </c>
      <c r="J72" s="9">
        <v>18310</v>
      </c>
      <c r="K72" s="9">
        <v>135</v>
      </c>
      <c r="L72" s="16" t="s">
        <v>37</v>
      </c>
      <c r="M72" s="16"/>
      <c r="N72" s="16" t="s">
        <v>20</v>
      </c>
      <c r="O72" s="1"/>
    </row>
    <row r="73" spans="1:15">
      <c r="A73" s="1" t="s">
        <v>102</v>
      </c>
      <c r="B73" s="1" t="s">
        <v>13</v>
      </c>
      <c r="C73" s="5">
        <v>45576</v>
      </c>
      <c r="D73" s="16" t="s">
        <v>14</v>
      </c>
      <c r="E73" s="17" t="s">
        <v>363</v>
      </c>
      <c r="F73" s="9">
        <v>1360</v>
      </c>
      <c r="G73" s="9">
        <v>249</v>
      </c>
      <c r="H73" s="9">
        <v>52</v>
      </c>
      <c r="I73" s="9">
        <v>20368</v>
      </c>
      <c r="J73" s="9">
        <v>42152</v>
      </c>
      <c r="K73" s="9">
        <v>193</v>
      </c>
      <c r="L73" s="16" t="s">
        <v>19</v>
      </c>
      <c r="M73" s="16"/>
      <c r="N73" s="16" t="s">
        <v>20</v>
      </c>
      <c r="O73" s="1"/>
    </row>
    <row r="74" spans="1:15">
      <c r="A74" s="1" t="s">
        <v>103</v>
      </c>
      <c r="B74" s="1" t="s">
        <v>27</v>
      </c>
      <c r="C74" s="5">
        <v>45783</v>
      </c>
      <c r="D74" s="16" t="s">
        <v>48</v>
      </c>
      <c r="E74" s="17" t="s">
        <v>15</v>
      </c>
      <c r="F74" s="9">
        <v>1085</v>
      </c>
      <c r="G74" s="9">
        <v>496</v>
      </c>
      <c r="H74" s="9">
        <v>320</v>
      </c>
      <c r="I74" s="9">
        <v>36528</v>
      </c>
      <c r="J74" s="9">
        <v>38599</v>
      </c>
      <c r="K74" s="9">
        <v>270</v>
      </c>
      <c r="L74" s="16" t="s">
        <v>19</v>
      </c>
      <c r="M74" s="16" t="s">
        <v>37</v>
      </c>
      <c r="N74" s="16" t="s">
        <v>49</v>
      </c>
      <c r="O74" s="1"/>
    </row>
    <row r="75" spans="1:15">
      <c r="A75" s="1" t="s">
        <v>104</v>
      </c>
      <c r="B75" s="1" t="s">
        <v>22</v>
      </c>
      <c r="C75" s="5">
        <v>45431</v>
      </c>
      <c r="D75" s="16" t="s">
        <v>23</v>
      </c>
      <c r="E75" s="17" t="s">
        <v>30</v>
      </c>
      <c r="F75" s="9">
        <v>1763</v>
      </c>
      <c r="G75" s="9">
        <v>206</v>
      </c>
      <c r="H75" s="9">
        <v>187</v>
      </c>
      <c r="I75" s="9">
        <v>53342</v>
      </c>
      <c r="J75" s="9">
        <v>25095</v>
      </c>
      <c r="K75" s="9">
        <v>88</v>
      </c>
      <c r="L75" s="16" t="s">
        <v>19</v>
      </c>
      <c r="M75" s="16" t="s">
        <v>364</v>
      </c>
      <c r="N75" s="16" t="s">
        <v>16</v>
      </c>
      <c r="O75" s="1"/>
    </row>
    <row r="76" spans="1:15">
      <c r="A76" s="1" t="s">
        <v>105</v>
      </c>
      <c r="B76" s="1" t="s">
        <v>22</v>
      </c>
      <c r="C76" s="5">
        <v>45313</v>
      </c>
      <c r="D76" s="16" t="s">
        <v>23</v>
      </c>
      <c r="E76" s="17" t="s">
        <v>363</v>
      </c>
      <c r="F76" s="9">
        <v>1554</v>
      </c>
      <c r="G76" s="9">
        <v>455</v>
      </c>
      <c r="H76" s="9">
        <v>158</v>
      </c>
      <c r="I76" s="9">
        <v>41947</v>
      </c>
      <c r="J76" s="9">
        <v>48578</v>
      </c>
      <c r="K76" s="9">
        <v>101</v>
      </c>
      <c r="L76" s="16" t="s">
        <v>37</v>
      </c>
      <c r="M76" s="16" t="s">
        <v>34</v>
      </c>
      <c r="N76" s="16" t="s">
        <v>16</v>
      </c>
      <c r="O76" s="1"/>
    </row>
    <row r="77" spans="1:15">
      <c r="A77" s="1" t="s">
        <v>106</v>
      </c>
      <c r="B77" s="1" t="s">
        <v>13</v>
      </c>
      <c r="C77" s="5">
        <v>45487</v>
      </c>
      <c r="D77" s="16" t="s">
        <v>14</v>
      </c>
      <c r="E77" s="17" t="s">
        <v>360</v>
      </c>
      <c r="F77" s="9">
        <v>2464</v>
      </c>
      <c r="G77" s="9">
        <v>401</v>
      </c>
      <c r="H77" s="9">
        <v>78</v>
      </c>
      <c r="I77" s="9">
        <v>38665</v>
      </c>
      <c r="J77" s="9">
        <v>73593</v>
      </c>
      <c r="K77" s="9">
        <v>207</v>
      </c>
      <c r="L77" s="16" t="s">
        <v>19</v>
      </c>
      <c r="M77" s="16"/>
      <c r="N77" s="16" t="s">
        <v>20</v>
      </c>
      <c r="O77" s="1"/>
    </row>
    <row r="78" spans="1:15">
      <c r="A78" s="1" t="s">
        <v>107</v>
      </c>
      <c r="B78" s="1" t="s">
        <v>22</v>
      </c>
      <c r="C78" s="5">
        <v>45805</v>
      </c>
      <c r="D78" s="16" t="s">
        <v>14</v>
      </c>
      <c r="E78" s="17" t="s">
        <v>363</v>
      </c>
      <c r="F78" s="9">
        <v>2418</v>
      </c>
      <c r="G78" s="9">
        <v>161</v>
      </c>
      <c r="H78" s="9">
        <v>360</v>
      </c>
      <c r="I78" s="9">
        <v>30589</v>
      </c>
      <c r="J78" s="9">
        <v>41383</v>
      </c>
      <c r="K78" s="9">
        <v>88</v>
      </c>
      <c r="L78" s="16" t="s">
        <v>34</v>
      </c>
      <c r="M78" s="16"/>
      <c r="N78" s="16" t="s">
        <v>16</v>
      </c>
      <c r="O78" s="1"/>
    </row>
    <row r="79" spans="1:15">
      <c r="A79" s="1" t="s">
        <v>108</v>
      </c>
      <c r="B79" s="1" t="s">
        <v>22</v>
      </c>
      <c r="C79" s="5">
        <v>45678</v>
      </c>
      <c r="D79" s="16" t="s">
        <v>23</v>
      </c>
      <c r="E79" s="17" t="s">
        <v>15</v>
      </c>
      <c r="F79" s="9">
        <v>2494</v>
      </c>
      <c r="G79" s="9">
        <v>494</v>
      </c>
      <c r="H79" s="9">
        <v>55</v>
      </c>
      <c r="I79" s="9">
        <v>22580</v>
      </c>
      <c r="J79" s="9">
        <v>22214</v>
      </c>
      <c r="K79" s="9">
        <v>109</v>
      </c>
      <c r="L79" s="16" t="s">
        <v>364</v>
      </c>
      <c r="M79" s="16" t="s">
        <v>34</v>
      </c>
      <c r="N79" s="16" t="s">
        <v>16</v>
      </c>
      <c r="O79" s="1"/>
    </row>
    <row r="80" spans="1:15">
      <c r="A80" s="1" t="s">
        <v>109</v>
      </c>
      <c r="B80" s="1" t="s">
        <v>27</v>
      </c>
      <c r="C80" s="5">
        <v>45304</v>
      </c>
      <c r="D80" s="16" t="s">
        <v>48</v>
      </c>
      <c r="E80" s="17" t="s">
        <v>24</v>
      </c>
      <c r="F80" s="9">
        <v>4781</v>
      </c>
      <c r="G80" s="9">
        <v>191</v>
      </c>
      <c r="H80" s="9">
        <v>122</v>
      </c>
      <c r="I80" s="9">
        <v>35535</v>
      </c>
      <c r="J80" s="9">
        <v>50777</v>
      </c>
      <c r="K80" s="9">
        <v>128</v>
      </c>
      <c r="L80" s="16" t="s">
        <v>19</v>
      </c>
      <c r="M80" s="16" t="s">
        <v>37</v>
      </c>
      <c r="N80" s="16" t="s">
        <v>49</v>
      </c>
      <c r="O80" s="1"/>
    </row>
    <row r="81" spans="1:15">
      <c r="A81" s="1" t="s">
        <v>110</v>
      </c>
      <c r="B81" s="1" t="s">
        <v>13</v>
      </c>
      <c r="C81" s="5">
        <v>45825</v>
      </c>
      <c r="D81" s="16" t="s">
        <v>14</v>
      </c>
      <c r="E81" s="17" t="s">
        <v>361</v>
      </c>
      <c r="F81" s="9">
        <v>2284</v>
      </c>
      <c r="G81" s="9">
        <v>187</v>
      </c>
      <c r="H81" s="9">
        <v>260</v>
      </c>
      <c r="I81" s="9">
        <v>37400</v>
      </c>
      <c r="J81" s="9">
        <v>65014</v>
      </c>
      <c r="K81" s="9">
        <v>157</v>
      </c>
      <c r="L81" s="16" t="s">
        <v>37</v>
      </c>
      <c r="M81" s="16" t="s">
        <v>34</v>
      </c>
      <c r="N81" s="16" t="s">
        <v>16</v>
      </c>
      <c r="O81" s="1"/>
    </row>
    <row r="82" spans="1:15">
      <c r="A82" s="1" t="s">
        <v>111</v>
      </c>
      <c r="B82" s="1" t="s">
        <v>22</v>
      </c>
      <c r="C82" s="5">
        <v>45723</v>
      </c>
      <c r="D82" s="16" t="s">
        <v>14</v>
      </c>
      <c r="E82" s="17" t="s">
        <v>30</v>
      </c>
      <c r="F82" s="9">
        <v>4234</v>
      </c>
      <c r="G82" s="9">
        <v>486</v>
      </c>
      <c r="H82" s="9">
        <v>276</v>
      </c>
      <c r="I82" s="9">
        <v>56623</v>
      </c>
      <c r="J82" s="9">
        <v>41343</v>
      </c>
      <c r="K82" s="9">
        <v>184</v>
      </c>
      <c r="L82" s="16" t="s">
        <v>37</v>
      </c>
      <c r="M82" s="16"/>
      <c r="N82" s="16" t="s">
        <v>20</v>
      </c>
      <c r="O82" s="1"/>
    </row>
    <row r="83" spans="1:15">
      <c r="A83" s="1" t="s">
        <v>112</v>
      </c>
      <c r="B83" s="1" t="s">
        <v>13</v>
      </c>
      <c r="C83" s="5">
        <v>45530</v>
      </c>
      <c r="D83" s="16" t="s">
        <v>14</v>
      </c>
      <c r="E83" s="17" t="s">
        <v>42</v>
      </c>
      <c r="F83" s="9">
        <v>2102</v>
      </c>
      <c r="G83" s="9">
        <v>181</v>
      </c>
      <c r="H83" s="9">
        <v>306</v>
      </c>
      <c r="I83" s="9">
        <v>43650</v>
      </c>
      <c r="J83" s="9">
        <v>50079</v>
      </c>
      <c r="K83" s="9">
        <v>182</v>
      </c>
      <c r="L83" s="16" t="s">
        <v>19</v>
      </c>
      <c r="M83" s="16"/>
      <c r="N83" s="16" t="s">
        <v>20</v>
      </c>
      <c r="O83" s="1"/>
    </row>
    <row r="84" spans="1:15">
      <c r="A84" s="1" t="s">
        <v>113</v>
      </c>
      <c r="B84" s="1" t="s">
        <v>22</v>
      </c>
      <c r="C84" s="5">
        <v>45660</v>
      </c>
      <c r="D84" s="16" t="s">
        <v>23</v>
      </c>
      <c r="E84" s="17" t="s">
        <v>30</v>
      </c>
      <c r="F84" s="9">
        <v>4845</v>
      </c>
      <c r="G84" s="9">
        <v>158</v>
      </c>
      <c r="H84" s="9">
        <v>84</v>
      </c>
      <c r="I84" s="9">
        <v>34578</v>
      </c>
      <c r="J84" s="9">
        <v>51480</v>
      </c>
      <c r="K84" s="9">
        <v>180</v>
      </c>
      <c r="L84" s="16" t="s">
        <v>37</v>
      </c>
      <c r="M84" s="16" t="s">
        <v>34</v>
      </c>
      <c r="N84" s="16" t="s">
        <v>16</v>
      </c>
      <c r="O84" s="1"/>
    </row>
    <row r="85" spans="1:15">
      <c r="A85" s="1" t="s">
        <v>114</v>
      </c>
      <c r="B85" s="1" t="s">
        <v>22</v>
      </c>
      <c r="C85" s="5">
        <v>45507</v>
      </c>
      <c r="D85" s="16" t="s">
        <v>14</v>
      </c>
      <c r="E85" s="17" t="s">
        <v>42</v>
      </c>
      <c r="F85" s="9">
        <v>4247</v>
      </c>
      <c r="G85" s="9">
        <v>390</v>
      </c>
      <c r="H85" s="9">
        <v>213</v>
      </c>
      <c r="I85" s="9">
        <v>29785</v>
      </c>
      <c r="J85" s="9">
        <v>57768</v>
      </c>
      <c r="K85" s="9">
        <v>122</v>
      </c>
      <c r="L85" s="16" t="s">
        <v>34</v>
      </c>
      <c r="M85" s="16"/>
      <c r="N85" s="16" t="s">
        <v>16</v>
      </c>
      <c r="O85" s="1"/>
    </row>
    <row r="86" spans="1:15">
      <c r="A86" s="1" t="s">
        <v>115</v>
      </c>
      <c r="B86" s="1" t="s">
        <v>13</v>
      </c>
      <c r="C86" s="5">
        <v>45522</v>
      </c>
      <c r="D86" s="16" t="s">
        <v>14</v>
      </c>
      <c r="E86" s="17" t="s">
        <v>18</v>
      </c>
      <c r="F86" s="9">
        <v>2965</v>
      </c>
      <c r="G86" s="9">
        <v>328</v>
      </c>
      <c r="H86" s="9">
        <v>171</v>
      </c>
      <c r="I86" s="9">
        <v>57685</v>
      </c>
      <c r="J86" s="9">
        <v>67536</v>
      </c>
      <c r="K86" s="9">
        <v>264</v>
      </c>
      <c r="L86" s="16" t="s">
        <v>37</v>
      </c>
      <c r="M86" s="16" t="s">
        <v>34</v>
      </c>
      <c r="N86" s="16" t="s">
        <v>16</v>
      </c>
      <c r="O86" s="1"/>
    </row>
    <row r="87" spans="1:15">
      <c r="A87" s="1" t="s">
        <v>116</v>
      </c>
      <c r="B87" s="1" t="s">
        <v>22</v>
      </c>
      <c r="C87" s="5">
        <v>45791</v>
      </c>
      <c r="D87" s="16" t="s">
        <v>23</v>
      </c>
      <c r="E87" s="17" t="s">
        <v>360</v>
      </c>
      <c r="F87" s="9">
        <v>1371</v>
      </c>
      <c r="G87" s="9">
        <v>139</v>
      </c>
      <c r="H87" s="9">
        <v>96</v>
      </c>
      <c r="I87" s="9">
        <v>36140</v>
      </c>
      <c r="J87" s="9">
        <v>39395</v>
      </c>
      <c r="K87" s="9">
        <v>169</v>
      </c>
      <c r="L87" s="16" t="s">
        <v>37</v>
      </c>
      <c r="M87" s="16" t="s">
        <v>34</v>
      </c>
      <c r="N87" s="16" t="s">
        <v>16</v>
      </c>
      <c r="O87" s="1"/>
    </row>
    <row r="88" spans="1:15">
      <c r="A88" s="1" t="s">
        <v>117</v>
      </c>
      <c r="B88" s="1" t="s">
        <v>22</v>
      </c>
      <c r="C88" s="5">
        <v>45405</v>
      </c>
      <c r="D88" s="16" t="s">
        <v>23</v>
      </c>
      <c r="E88" s="17" t="s">
        <v>15</v>
      </c>
      <c r="F88" s="9">
        <v>2683</v>
      </c>
      <c r="G88" s="9">
        <v>496</v>
      </c>
      <c r="H88" s="9">
        <v>89</v>
      </c>
      <c r="I88" s="9">
        <v>53435</v>
      </c>
      <c r="J88" s="9">
        <v>30334</v>
      </c>
      <c r="K88" s="9">
        <v>160</v>
      </c>
      <c r="L88" s="16" t="s">
        <v>37</v>
      </c>
      <c r="M88" s="16" t="s">
        <v>34</v>
      </c>
      <c r="N88" s="16" t="s">
        <v>16</v>
      </c>
      <c r="O88" s="1"/>
    </row>
    <row r="89" spans="1:15">
      <c r="A89" s="1" t="s">
        <v>118</v>
      </c>
      <c r="B89" s="1" t="s">
        <v>22</v>
      </c>
      <c r="C89" s="5">
        <v>45705</v>
      </c>
      <c r="D89" s="16" t="s">
        <v>23</v>
      </c>
      <c r="E89" s="17" t="s">
        <v>362</v>
      </c>
      <c r="F89" s="9">
        <v>4796</v>
      </c>
      <c r="G89" s="9">
        <v>427</v>
      </c>
      <c r="H89" s="9">
        <v>339</v>
      </c>
      <c r="I89" s="9">
        <v>30752</v>
      </c>
      <c r="J89" s="9">
        <v>33870</v>
      </c>
      <c r="K89" s="9">
        <v>298</v>
      </c>
      <c r="L89" s="16" t="s">
        <v>37</v>
      </c>
      <c r="M89" s="16" t="s">
        <v>34</v>
      </c>
      <c r="N89" s="16" t="s">
        <v>16</v>
      </c>
      <c r="O89" s="1"/>
    </row>
    <row r="90" spans="1:15">
      <c r="A90" s="1" t="s">
        <v>119</v>
      </c>
      <c r="B90" s="1" t="s">
        <v>13</v>
      </c>
      <c r="C90" s="5">
        <v>45630</v>
      </c>
      <c r="D90" s="16" t="s">
        <v>14</v>
      </c>
      <c r="E90" s="17" t="s">
        <v>360</v>
      </c>
      <c r="F90" s="9">
        <v>2601</v>
      </c>
      <c r="G90" s="9">
        <v>336</v>
      </c>
      <c r="H90" s="9">
        <v>260</v>
      </c>
      <c r="I90" s="9">
        <v>32368</v>
      </c>
      <c r="J90" s="9">
        <v>49028</v>
      </c>
      <c r="K90" s="9">
        <v>120</v>
      </c>
      <c r="L90" s="16" t="s">
        <v>37</v>
      </c>
      <c r="M90" s="16" t="s">
        <v>34</v>
      </c>
      <c r="N90" s="16" t="s">
        <v>16</v>
      </c>
      <c r="O90" s="1"/>
    </row>
    <row r="91" spans="1:15">
      <c r="A91" s="1" t="s">
        <v>120</v>
      </c>
      <c r="B91" s="1" t="s">
        <v>22</v>
      </c>
      <c r="C91" s="5">
        <v>45495</v>
      </c>
      <c r="D91" s="16" t="s">
        <v>23</v>
      </c>
      <c r="E91" s="17" t="s">
        <v>360</v>
      </c>
      <c r="F91" s="9">
        <v>3336</v>
      </c>
      <c r="G91" s="9">
        <v>229</v>
      </c>
      <c r="H91" s="9">
        <v>337</v>
      </c>
      <c r="I91" s="9">
        <v>22117</v>
      </c>
      <c r="J91" s="9">
        <v>26205</v>
      </c>
      <c r="K91" s="9">
        <v>160</v>
      </c>
      <c r="L91" s="16" t="s">
        <v>364</v>
      </c>
      <c r="M91" s="16" t="s">
        <v>34</v>
      </c>
      <c r="N91" s="16" t="s">
        <v>16</v>
      </c>
      <c r="O91" s="1"/>
    </row>
    <row r="92" spans="1:15">
      <c r="A92" s="1" t="s">
        <v>121</v>
      </c>
      <c r="B92" s="1" t="s">
        <v>22</v>
      </c>
      <c r="C92" s="5">
        <v>45774</v>
      </c>
      <c r="D92" s="16" t="s">
        <v>14</v>
      </c>
      <c r="E92" s="17" t="s">
        <v>18</v>
      </c>
      <c r="F92" s="9">
        <v>1165</v>
      </c>
      <c r="G92" s="9">
        <v>294</v>
      </c>
      <c r="H92" s="9">
        <v>163</v>
      </c>
      <c r="I92" s="9">
        <v>20659</v>
      </c>
      <c r="J92" s="9">
        <v>45926</v>
      </c>
      <c r="K92" s="9">
        <v>111</v>
      </c>
      <c r="L92" s="16" t="s">
        <v>37</v>
      </c>
      <c r="M92" s="16"/>
      <c r="N92" s="16" t="s">
        <v>20</v>
      </c>
      <c r="O92" s="1"/>
    </row>
    <row r="93" spans="1:15">
      <c r="A93" s="1" t="s">
        <v>122</v>
      </c>
      <c r="B93" s="1" t="s">
        <v>27</v>
      </c>
      <c r="C93" s="5">
        <v>45376</v>
      </c>
      <c r="D93" s="16" t="s">
        <v>48</v>
      </c>
      <c r="E93" s="17" t="s">
        <v>18</v>
      </c>
      <c r="F93" s="9">
        <v>1948</v>
      </c>
      <c r="G93" s="9">
        <v>155</v>
      </c>
      <c r="H93" s="9">
        <v>315</v>
      </c>
      <c r="I93" s="9">
        <v>30321</v>
      </c>
      <c r="J93" s="9">
        <v>57121</v>
      </c>
      <c r="K93" s="9">
        <v>82</v>
      </c>
      <c r="L93" s="16" t="s">
        <v>19</v>
      </c>
      <c r="M93" s="16" t="s">
        <v>37</v>
      </c>
      <c r="N93" s="16" t="s">
        <v>49</v>
      </c>
      <c r="O93" s="1"/>
    </row>
    <row r="94" spans="1:15">
      <c r="A94" s="1" t="s">
        <v>123</v>
      </c>
      <c r="B94" s="1" t="s">
        <v>13</v>
      </c>
      <c r="C94" s="5">
        <v>45351</v>
      </c>
      <c r="D94" s="16" t="s">
        <v>14</v>
      </c>
      <c r="E94" s="17" t="s">
        <v>363</v>
      </c>
      <c r="F94" s="9">
        <v>1100</v>
      </c>
      <c r="G94" s="9">
        <v>229</v>
      </c>
      <c r="H94" s="9">
        <v>312</v>
      </c>
      <c r="I94" s="9">
        <v>25641</v>
      </c>
      <c r="J94" s="9">
        <v>34601</v>
      </c>
      <c r="K94" s="9">
        <v>169</v>
      </c>
      <c r="L94" s="16" t="s">
        <v>19</v>
      </c>
      <c r="M94" s="16"/>
      <c r="N94" s="16" t="s">
        <v>20</v>
      </c>
      <c r="O94" s="1"/>
    </row>
    <row r="95" spans="1:15">
      <c r="A95" s="1" t="s">
        <v>124</v>
      </c>
      <c r="B95" s="1" t="s">
        <v>22</v>
      </c>
      <c r="C95" s="5">
        <v>45609</v>
      </c>
      <c r="D95" s="16" t="s">
        <v>23</v>
      </c>
      <c r="E95" s="17" t="s">
        <v>33</v>
      </c>
      <c r="F95" s="9">
        <v>4628</v>
      </c>
      <c r="G95" s="9">
        <v>257</v>
      </c>
      <c r="H95" s="9">
        <v>397</v>
      </c>
      <c r="I95" s="9">
        <v>36686</v>
      </c>
      <c r="J95" s="9">
        <v>54683</v>
      </c>
      <c r="K95" s="9">
        <v>98</v>
      </c>
      <c r="L95" s="16" t="s">
        <v>37</v>
      </c>
      <c r="M95" s="16" t="s">
        <v>34</v>
      </c>
      <c r="N95" s="16" t="s">
        <v>16</v>
      </c>
      <c r="O95" s="1"/>
    </row>
    <row r="96" spans="1:15">
      <c r="A96" s="1" t="s">
        <v>125</v>
      </c>
      <c r="B96" s="1" t="s">
        <v>13</v>
      </c>
      <c r="C96" s="5">
        <v>45373</v>
      </c>
      <c r="D96" s="16" t="s">
        <v>23</v>
      </c>
      <c r="E96" s="17" t="s">
        <v>15</v>
      </c>
      <c r="F96" s="9">
        <v>2319</v>
      </c>
      <c r="G96" s="9">
        <v>484</v>
      </c>
      <c r="H96" s="9">
        <v>193</v>
      </c>
      <c r="I96" s="9">
        <v>21202</v>
      </c>
      <c r="J96" s="9">
        <v>18091</v>
      </c>
      <c r="K96" s="9">
        <v>241</v>
      </c>
      <c r="L96" s="16" t="s">
        <v>34</v>
      </c>
      <c r="M96" s="16"/>
      <c r="N96" s="16" t="s">
        <v>46</v>
      </c>
      <c r="O96" s="1"/>
    </row>
    <row r="97" spans="1:15">
      <c r="A97" s="1" t="s">
        <v>126</v>
      </c>
      <c r="B97" s="1" t="s">
        <v>22</v>
      </c>
      <c r="C97" s="5">
        <v>45367</v>
      </c>
      <c r="D97" s="16" t="s">
        <v>23</v>
      </c>
      <c r="E97" s="17" t="s">
        <v>360</v>
      </c>
      <c r="F97" s="9">
        <v>2895</v>
      </c>
      <c r="G97" s="9">
        <v>292</v>
      </c>
      <c r="H97" s="9">
        <v>90</v>
      </c>
      <c r="I97" s="9">
        <v>24223</v>
      </c>
      <c r="J97" s="9">
        <v>54626</v>
      </c>
      <c r="K97" s="9">
        <v>114</v>
      </c>
      <c r="L97" s="16" t="s">
        <v>37</v>
      </c>
      <c r="M97" s="16" t="s">
        <v>34</v>
      </c>
      <c r="N97" s="16" t="s">
        <v>16</v>
      </c>
      <c r="O97" s="1"/>
    </row>
    <row r="98" spans="1:15">
      <c r="A98" s="1" t="s">
        <v>127</v>
      </c>
      <c r="B98" s="1" t="s">
        <v>13</v>
      </c>
      <c r="C98" s="5">
        <v>45317</v>
      </c>
      <c r="D98" s="16" t="s">
        <v>14</v>
      </c>
      <c r="E98" s="17" t="s">
        <v>362</v>
      </c>
      <c r="F98" s="9">
        <v>3878</v>
      </c>
      <c r="G98" s="9">
        <v>431</v>
      </c>
      <c r="H98" s="9">
        <v>97</v>
      </c>
      <c r="I98" s="9">
        <v>41763</v>
      </c>
      <c r="J98" s="9">
        <v>29729</v>
      </c>
      <c r="K98" s="9">
        <v>191</v>
      </c>
      <c r="L98" s="16" t="s">
        <v>19</v>
      </c>
      <c r="M98" s="16"/>
      <c r="N98" s="16" t="s">
        <v>20</v>
      </c>
      <c r="O98" s="1"/>
    </row>
    <row r="99" spans="1:15">
      <c r="A99" s="1" t="s">
        <v>128</v>
      </c>
      <c r="B99" s="1" t="s">
        <v>22</v>
      </c>
      <c r="C99" s="5">
        <v>45366</v>
      </c>
      <c r="D99" s="16" t="s">
        <v>23</v>
      </c>
      <c r="E99" s="17" t="s">
        <v>30</v>
      </c>
      <c r="F99" s="9">
        <v>4969</v>
      </c>
      <c r="G99" s="9">
        <v>433</v>
      </c>
      <c r="H99" s="9">
        <v>237</v>
      </c>
      <c r="I99" s="9">
        <v>59552</v>
      </c>
      <c r="J99" s="9">
        <v>23885</v>
      </c>
      <c r="K99" s="9">
        <v>157</v>
      </c>
      <c r="L99" s="16" t="s">
        <v>19</v>
      </c>
      <c r="M99" s="16" t="s">
        <v>364</v>
      </c>
      <c r="N99" s="16" t="s">
        <v>16</v>
      </c>
      <c r="O99" s="1"/>
    </row>
    <row r="100" spans="1:15">
      <c r="A100" s="1" t="s">
        <v>129</v>
      </c>
      <c r="B100" s="1" t="s">
        <v>22</v>
      </c>
      <c r="C100" s="5">
        <v>45580</v>
      </c>
      <c r="D100" s="16" t="s">
        <v>14</v>
      </c>
      <c r="E100" s="17" t="s">
        <v>360</v>
      </c>
      <c r="F100" s="9">
        <v>1984</v>
      </c>
      <c r="G100" s="9">
        <v>481</v>
      </c>
      <c r="H100" s="9">
        <v>356</v>
      </c>
      <c r="I100" s="9">
        <v>40681</v>
      </c>
      <c r="J100" s="9">
        <v>63111</v>
      </c>
      <c r="K100" s="9">
        <v>258</v>
      </c>
      <c r="L100" s="16" t="s">
        <v>34</v>
      </c>
      <c r="M100" s="16"/>
      <c r="N100" s="16" t="s">
        <v>16</v>
      </c>
      <c r="O100" s="1"/>
    </row>
    <row r="101" spans="1:15">
      <c r="A101" s="1" t="s">
        <v>130</v>
      </c>
      <c r="B101" s="1" t="s">
        <v>13</v>
      </c>
      <c r="C101" s="5">
        <v>45494</v>
      </c>
      <c r="D101" s="16" t="s">
        <v>14</v>
      </c>
      <c r="E101" s="17" t="s">
        <v>15</v>
      </c>
      <c r="F101" s="9">
        <v>3004</v>
      </c>
      <c r="G101" s="9">
        <v>415</v>
      </c>
      <c r="H101" s="9">
        <v>218</v>
      </c>
      <c r="I101" s="9">
        <v>36090</v>
      </c>
      <c r="J101" s="9">
        <v>37073</v>
      </c>
      <c r="K101" s="9">
        <v>181</v>
      </c>
      <c r="L101" s="16" t="s">
        <v>19</v>
      </c>
      <c r="M101" s="16"/>
      <c r="N101" s="16" t="s">
        <v>20</v>
      </c>
      <c r="O101" s="1"/>
    </row>
    <row r="102" spans="1:15">
      <c r="A102" s="1" t="s">
        <v>131</v>
      </c>
      <c r="B102" s="1" t="s">
        <v>22</v>
      </c>
      <c r="C102" s="5">
        <v>45577</v>
      </c>
      <c r="D102" s="16" t="s">
        <v>14</v>
      </c>
      <c r="E102" s="17" t="s">
        <v>30</v>
      </c>
      <c r="F102" s="9">
        <v>3169</v>
      </c>
      <c r="G102" s="9">
        <v>386</v>
      </c>
      <c r="H102" s="9">
        <v>175</v>
      </c>
      <c r="I102" s="9">
        <v>45012</v>
      </c>
      <c r="J102" s="9">
        <v>38508</v>
      </c>
      <c r="K102" s="9">
        <v>218</v>
      </c>
      <c r="L102" s="16" t="s">
        <v>34</v>
      </c>
      <c r="M102" s="16"/>
      <c r="N102" s="16" t="s">
        <v>16</v>
      </c>
      <c r="O102" s="1"/>
    </row>
    <row r="103" spans="1:15">
      <c r="A103" s="1" t="s">
        <v>132</v>
      </c>
      <c r="B103" s="1" t="s">
        <v>22</v>
      </c>
      <c r="C103" s="5">
        <v>45591</v>
      </c>
      <c r="D103" s="16" t="s">
        <v>14</v>
      </c>
      <c r="E103" s="17" t="s">
        <v>15</v>
      </c>
      <c r="F103" s="9">
        <v>3036</v>
      </c>
      <c r="G103" s="9">
        <v>293</v>
      </c>
      <c r="H103" s="9">
        <v>115</v>
      </c>
      <c r="I103" s="9">
        <v>23776</v>
      </c>
      <c r="J103" s="9">
        <v>46386</v>
      </c>
      <c r="K103" s="9">
        <v>282</v>
      </c>
      <c r="L103" s="16" t="s">
        <v>34</v>
      </c>
      <c r="M103" s="16"/>
      <c r="N103" s="16" t="s">
        <v>16</v>
      </c>
      <c r="O103" s="1"/>
    </row>
    <row r="104" spans="1:15">
      <c r="A104" s="1" t="s">
        <v>133</v>
      </c>
      <c r="B104" s="1" t="s">
        <v>13</v>
      </c>
      <c r="C104" s="5">
        <v>45336</v>
      </c>
      <c r="D104" s="16" t="s">
        <v>14</v>
      </c>
      <c r="E104" s="17" t="s">
        <v>361</v>
      </c>
      <c r="F104" s="9">
        <v>1830</v>
      </c>
      <c r="G104" s="9">
        <v>112</v>
      </c>
      <c r="H104" s="9">
        <v>181</v>
      </c>
      <c r="I104" s="9">
        <v>31870</v>
      </c>
      <c r="J104" s="9">
        <v>55742</v>
      </c>
      <c r="K104" s="9">
        <v>263</v>
      </c>
      <c r="L104" s="16" t="s">
        <v>37</v>
      </c>
      <c r="M104" s="16" t="s">
        <v>34</v>
      </c>
      <c r="N104" s="16" t="s">
        <v>16</v>
      </c>
      <c r="O104" s="1"/>
    </row>
    <row r="105" spans="1:15">
      <c r="A105" s="1" t="s">
        <v>134</v>
      </c>
      <c r="B105" s="1" t="s">
        <v>22</v>
      </c>
      <c r="C105" s="5">
        <v>45413</v>
      </c>
      <c r="D105" s="16" t="s">
        <v>23</v>
      </c>
      <c r="E105" s="17" t="s">
        <v>362</v>
      </c>
      <c r="F105" s="9">
        <v>2587</v>
      </c>
      <c r="G105" s="9">
        <v>447</v>
      </c>
      <c r="H105" s="9">
        <v>183</v>
      </c>
      <c r="I105" s="9">
        <v>36266</v>
      </c>
      <c r="J105" s="9">
        <v>32877</v>
      </c>
      <c r="K105" s="9">
        <v>132</v>
      </c>
      <c r="L105" s="16" t="s">
        <v>19</v>
      </c>
      <c r="M105" s="16" t="s">
        <v>364</v>
      </c>
      <c r="N105" s="16" t="s">
        <v>16</v>
      </c>
      <c r="O105" s="1"/>
    </row>
    <row r="106" spans="1:15">
      <c r="A106" s="1" t="s">
        <v>135</v>
      </c>
      <c r="B106" s="1" t="s">
        <v>22</v>
      </c>
      <c r="C106" s="5">
        <v>45553</v>
      </c>
      <c r="D106" s="16" t="s">
        <v>14</v>
      </c>
      <c r="E106" s="17" t="s">
        <v>15</v>
      </c>
      <c r="F106" s="9">
        <v>2878</v>
      </c>
      <c r="G106" s="9">
        <v>265</v>
      </c>
      <c r="H106" s="9">
        <v>91</v>
      </c>
      <c r="I106" s="9">
        <v>52090</v>
      </c>
      <c r="J106" s="9">
        <v>28924</v>
      </c>
      <c r="K106" s="9">
        <v>133</v>
      </c>
      <c r="L106" s="16" t="s">
        <v>34</v>
      </c>
      <c r="M106" s="16"/>
      <c r="N106" s="16" t="s">
        <v>16</v>
      </c>
      <c r="O106" s="1"/>
    </row>
    <row r="107" spans="1:15">
      <c r="A107" s="1" t="s">
        <v>136</v>
      </c>
      <c r="B107" s="1" t="s">
        <v>22</v>
      </c>
      <c r="C107" s="5">
        <v>45677</v>
      </c>
      <c r="D107" s="16" t="s">
        <v>23</v>
      </c>
      <c r="E107" s="17" t="s">
        <v>24</v>
      </c>
      <c r="F107" s="9">
        <v>4619</v>
      </c>
      <c r="G107" s="9">
        <v>272</v>
      </c>
      <c r="H107" s="9">
        <v>57</v>
      </c>
      <c r="I107" s="9">
        <v>21334</v>
      </c>
      <c r="J107" s="9">
        <v>46292</v>
      </c>
      <c r="K107" s="9">
        <v>91</v>
      </c>
      <c r="L107" s="16" t="s">
        <v>37</v>
      </c>
      <c r="M107" s="16" t="s">
        <v>34</v>
      </c>
      <c r="N107" s="16" t="s">
        <v>16</v>
      </c>
      <c r="O107" s="1"/>
    </row>
    <row r="108" spans="1:15">
      <c r="A108" s="1" t="s">
        <v>137</v>
      </c>
      <c r="B108" s="1" t="s">
        <v>22</v>
      </c>
      <c r="C108" s="5">
        <v>45670</v>
      </c>
      <c r="D108" s="16" t="s">
        <v>14</v>
      </c>
      <c r="E108" s="17" t="s">
        <v>361</v>
      </c>
      <c r="F108" s="9">
        <v>4090</v>
      </c>
      <c r="G108" s="9">
        <v>209</v>
      </c>
      <c r="H108" s="9">
        <v>278</v>
      </c>
      <c r="I108" s="9">
        <v>52853</v>
      </c>
      <c r="J108" s="9">
        <v>57084</v>
      </c>
      <c r="K108" s="9">
        <v>102</v>
      </c>
      <c r="L108" s="16" t="s">
        <v>37</v>
      </c>
      <c r="M108" s="16"/>
      <c r="N108" s="16" t="s">
        <v>20</v>
      </c>
      <c r="O108" s="1"/>
    </row>
    <row r="109" spans="1:15">
      <c r="A109" s="1" t="s">
        <v>138</v>
      </c>
      <c r="B109" s="1" t="s">
        <v>27</v>
      </c>
      <c r="C109" s="5">
        <v>45542</v>
      </c>
      <c r="D109" s="16" t="s">
        <v>48</v>
      </c>
      <c r="E109" s="17" t="s">
        <v>361</v>
      </c>
      <c r="F109" s="9">
        <v>3882</v>
      </c>
      <c r="G109" s="9">
        <v>342</v>
      </c>
      <c r="H109" s="9">
        <v>374</v>
      </c>
      <c r="I109" s="9">
        <v>41991</v>
      </c>
      <c r="J109" s="9">
        <v>48554</v>
      </c>
      <c r="K109" s="9">
        <v>118</v>
      </c>
      <c r="L109" s="16" t="s">
        <v>19</v>
      </c>
      <c r="M109" s="16" t="s">
        <v>37</v>
      </c>
      <c r="N109" s="16" t="s">
        <v>49</v>
      </c>
      <c r="O109" s="1"/>
    </row>
    <row r="110" spans="1:15">
      <c r="A110" s="1" t="s">
        <v>139</v>
      </c>
      <c r="B110" s="1" t="s">
        <v>13</v>
      </c>
      <c r="C110" s="5">
        <v>45617</v>
      </c>
      <c r="D110" s="16" t="s">
        <v>14</v>
      </c>
      <c r="E110" s="17" t="s">
        <v>361</v>
      </c>
      <c r="F110" s="9">
        <v>4581</v>
      </c>
      <c r="G110" s="9">
        <v>181</v>
      </c>
      <c r="H110" s="9">
        <v>112</v>
      </c>
      <c r="I110" s="9">
        <v>35221</v>
      </c>
      <c r="J110" s="9">
        <v>28797</v>
      </c>
      <c r="K110" s="9">
        <v>164</v>
      </c>
      <c r="L110" s="16" t="s">
        <v>37</v>
      </c>
      <c r="M110" s="16" t="s">
        <v>34</v>
      </c>
      <c r="N110" s="16" t="s">
        <v>16</v>
      </c>
      <c r="O110" s="1"/>
    </row>
    <row r="111" spans="1:15">
      <c r="A111" s="1" t="s">
        <v>140</v>
      </c>
      <c r="B111" s="1" t="s">
        <v>13</v>
      </c>
      <c r="C111" s="5">
        <v>45469</v>
      </c>
      <c r="D111" s="16" t="s">
        <v>14</v>
      </c>
      <c r="E111" s="17" t="s">
        <v>24</v>
      </c>
      <c r="F111" s="9">
        <v>3253</v>
      </c>
      <c r="G111" s="9">
        <v>483</v>
      </c>
      <c r="H111" s="9">
        <v>336</v>
      </c>
      <c r="I111" s="9">
        <v>25397</v>
      </c>
      <c r="J111" s="9">
        <v>51485</v>
      </c>
      <c r="K111" s="9">
        <v>131</v>
      </c>
      <c r="L111" s="16" t="s">
        <v>19</v>
      </c>
      <c r="M111" s="16"/>
      <c r="N111" s="16" t="s">
        <v>20</v>
      </c>
      <c r="O111" s="1"/>
    </row>
    <row r="112" spans="1:15">
      <c r="A112" s="1" t="s">
        <v>141</v>
      </c>
      <c r="B112" s="1" t="s">
        <v>27</v>
      </c>
      <c r="C112" s="5">
        <v>45493</v>
      </c>
      <c r="D112" s="16" t="s">
        <v>48</v>
      </c>
      <c r="E112" s="17" t="s">
        <v>361</v>
      </c>
      <c r="F112" s="9">
        <v>4955</v>
      </c>
      <c r="G112" s="9">
        <v>299</v>
      </c>
      <c r="H112" s="9">
        <v>345</v>
      </c>
      <c r="I112" s="9">
        <v>33644</v>
      </c>
      <c r="J112" s="9">
        <v>43547</v>
      </c>
      <c r="K112" s="9">
        <v>194</v>
      </c>
      <c r="L112" s="16" t="s">
        <v>19</v>
      </c>
      <c r="M112" s="16" t="s">
        <v>37</v>
      </c>
      <c r="N112" s="16" t="s">
        <v>49</v>
      </c>
      <c r="O112" s="1"/>
    </row>
    <row r="113" spans="1:15">
      <c r="A113" s="1" t="s">
        <v>142</v>
      </c>
      <c r="B113" s="1" t="s">
        <v>13</v>
      </c>
      <c r="C113" s="5">
        <v>45704</v>
      </c>
      <c r="D113" s="16" t="s">
        <v>14</v>
      </c>
      <c r="E113" s="17" t="s">
        <v>42</v>
      </c>
      <c r="F113" s="9">
        <v>1333</v>
      </c>
      <c r="G113" s="9">
        <v>286</v>
      </c>
      <c r="H113" s="9">
        <v>298</v>
      </c>
      <c r="I113" s="9">
        <v>36174</v>
      </c>
      <c r="J113" s="9">
        <v>34517</v>
      </c>
      <c r="K113" s="9">
        <v>170</v>
      </c>
      <c r="L113" s="16" t="s">
        <v>37</v>
      </c>
      <c r="M113" s="16" t="s">
        <v>34</v>
      </c>
      <c r="N113" s="16" t="s">
        <v>16</v>
      </c>
      <c r="O113" s="1"/>
    </row>
    <row r="114" spans="1:15">
      <c r="A114" s="1" t="s">
        <v>143</v>
      </c>
      <c r="B114" s="1" t="s">
        <v>13</v>
      </c>
      <c r="C114" s="5">
        <v>45544</v>
      </c>
      <c r="D114" s="16" t="s">
        <v>14</v>
      </c>
      <c r="E114" s="17" t="s">
        <v>24</v>
      </c>
      <c r="F114" s="9">
        <v>1616</v>
      </c>
      <c r="G114" s="9">
        <v>360</v>
      </c>
      <c r="H114" s="9">
        <v>180</v>
      </c>
      <c r="I114" s="9">
        <v>54342</v>
      </c>
      <c r="J114" s="9">
        <v>18796</v>
      </c>
      <c r="K114" s="9">
        <v>282</v>
      </c>
      <c r="L114" s="16" t="s">
        <v>37</v>
      </c>
      <c r="M114" s="16" t="s">
        <v>34</v>
      </c>
      <c r="N114" s="16" t="s">
        <v>16</v>
      </c>
      <c r="O114" s="1"/>
    </row>
    <row r="115" spans="1:15">
      <c r="A115" s="1" t="s">
        <v>144</v>
      </c>
      <c r="B115" s="1" t="s">
        <v>22</v>
      </c>
      <c r="C115" s="5">
        <v>45489</v>
      </c>
      <c r="D115" s="16" t="s">
        <v>14</v>
      </c>
      <c r="E115" s="17" t="s">
        <v>33</v>
      </c>
      <c r="F115" s="9">
        <v>1803</v>
      </c>
      <c r="G115" s="9">
        <v>273</v>
      </c>
      <c r="H115" s="9">
        <v>287</v>
      </c>
      <c r="I115" s="9">
        <v>46176</v>
      </c>
      <c r="J115" s="9">
        <v>25488</v>
      </c>
      <c r="K115" s="9">
        <v>141</v>
      </c>
      <c r="L115" s="16" t="s">
        <v>34</v>
      </c>
      <c r="M115" s="16"/>
      <c r="N115" s="16" t="s">
        <v>16</v>
      </c>
      <c r="O115" s="1"/>
    </row>
    <row r="116" spans="1:15">
      <c r="A116" s="1" t="s">
        <v>145</v>
      </c>
      <c r="B116" s="1" t="s">
        <v>13</v>
      </c>
      <c r="C116" s="5">
        <v>45762</v>
      </c>
      <c r="D116" s="16" t="s">
        <v>14</v>
      </c>
      <c r="E116" s="17" t="s">
        <v>18</v>
      </c>
      <c r="F116" s="9">
        <v>4177</v>
      </c>
      <c r="G116" s="9">
        <v>489</v>
      </c>
      <c r="H116" s="9">
        <v>331</v>
      </c>
      <c r="I116" s="9">
        <v>57451</v>
      </c>
      <c r="J116" s="9">
        <v>73793</v>
      </c>
      <c r="K116" s="9">
        <v>251</v>
      </c>
      <c r="L116" s="16" t="s">
        <v>19</v>
      </c>
      <c r="M116" s="16"/>
      <c r="N116" s="16" t="s">
        <v>20</v>
      </c>
      <c r="O116" s="1"/>
    </row>
    <row r="117" spans="1:15">
      <c r="A117" s="1" t="s">
        <v>146</v>
      </c>
      <c r="B117" s="1" t="s">
        <v>13</v>
      </c>
      <c r="C117" s="5">
        <v>45781</v>
      </c>
      <c r="D117" s="16" t="s">
        <v>23</v>
      </c>
      <c r="E117" s="17" t="s">
        <v>24</v>
      </c>
      <c r="F117" s="9">
        <v>1311</v>
      </c>
      <c r="G117" s="9">
        <v>181</v>
      </c>
      <c r="H117" s="9">
        <v>361</v>
      </c>
      <c r="I117" s="9">
        <v>37148</v>
      </c>
      <c r="J117" s="9">
        <v>44875</v>
      </c>
      <c r="K117" s="9">
        <v>245</v>
      </c>
      <c r="L117" s="16" t="s">
        <v>34</v>
      </c>
      <c r="M117" s="16"/>
      <c r="N117" s="16" t="s">
        <v>46</v>
      </c>
      <c r="O117" s="1"/>
    </row>
    <row r="118" spans="1:15">
      <c r="A118" s="1" t="s">
        <v>147</v>
      </c>
      <c r="B118" s="1" t="s">
        <v>13</v>
      </c>
      <c r="C118" s="5">
        <v>45340</v>
      </c>
      <c r="D118" s="16" t="s">
        <v>23</v>
      </c>
      <c r="E118" s="17" t="s">
        <v>363</v>
      </c>
      <c r="F118" s="9">
        <v>1516</v>
      </c>
      <c r="G118" s="9">
        <v>215</v>
      </c>
      <c r="H118" s="9">
        <v>332</v>
      </c>
      <c r="I118" s="9">
        <v>58981</v>
      </c>
      <c r="J118" s="9">
        <v>36118</v>
      </c>
      <c r="K118" s="9">
        <v>211</v>
      </c>
      <c r="L118" s="16" t="s">
        <v>34</v>
      </c>
      <c r="M118" s="16"/>
      <c r="N118" s="16" t="s">
        <v>46</v>
      </c>
      <c r="O118" s="1"/>
    </row>
    <row r="119" spans="1:15">
      <c r="A119" s="1" t="s">
        <v>148</v>
      </c>
      <c r="B119" s="1" t="s">
        <v>22</v>
      </c>
      <c r="C119" s="5">
        <v>45428</v>
      </c>
      <c r="D119" s="16" t="s">
        <v>23</v>
      </c>
      <c r="E119" s="17" t="s">
        <v>361</v>
      </c>
      <c r="F119" s="9">
        <v>2023</v>
      </c>
      <c r="G119" s="9">
        <v>124</v>
      </c>
      <c r="H119" s="9">
        <v>99</v>
      </c>
      <c r="I119" s="9">
        <v>54524</v>
      </c>
      <c r="J119" s="9">
        <v>34790</v>
      </c>
      <c r="K119" s="9">
        <v>195</v>
      </c>
      <c r="L119" s="16" t="s">
        <v>19</v>
      </c>
      <c r="M119" s="16" t="s">
        <v>364</v>
      </c>
      <c r="N119" s="16" t="s">
        <v>16</v>
      </c>
      <c r="O119" s="1"/>
    </row>
    <row r="120" spans="1:15">
      <c r="A120" s="1" t="s">
        <v>149</v>
      </c>
      <c r="B120" s="1" t="s">
        <v>22</v>
      </c>
      <c r="C120" s="5">
        <v>45806</v>
      </c>
      <c r="D120" s="16" t="s">
        <v>23</v>
      </c>
      <c r="E120" s="17" t="s">
        <v>361</v>
      </c>
      <c r="F120" s="9">
        <v>2134</v>
      </c>
      <c r="G120" s="9">
        <v>322</v>
      </c>
      <c r="H120" s="9">
        <v>114</v>
      </c>
      <c r="I120" s="9">
        <v>44338</v>
      </c>
      <c r="J120" s="9">
        <v>52165</v>
      </c>
      <c r="K120" s="9">
        <v>176</v>
      </c>
      <c r="L120" s="16" t="s">
        <v>364</v>
      </c>
      <c r="M120" s="16" t="s">
        <v>34</v>
      </c>
      <c r="N120" s="16" t="s">
        <v>16</v>
      </c>
      <c r="O120" s="1"/>
    </row>
    <row r="121" spans="1:15">
      <c r="A121" s="1" t="s">
        <v>150</v>
      </c>
      <c r="B121" s="1" t="s">
        <v>13</v>
      </c>
      <c r="C121" s="5">
        <v>45674</v>
      </c>
      <c r="D121" s="16" t="s">
        <v>14</v>
      </c>
      <c r="E121" s="17" t="s">
        <v>33</v>
      </c>
      <c r="F121" s="9">
        <v>2266</v>
      </c>
      <c r="G121" s="9">
        <v>126</v>
      </c>
      <c r="H121" s="9">
        <v>140</v>
      </c>
      <c r="I121" s="9">
        <v>53759</v>
      </c>
      <c r="J121" s="9">
        <v>46834</v>
      </c>
      <c r="K121" s="9">
        <v>277</v>
      </c>
      <c r="L121" s="16" t="s">
        <v>19</v>
      </c>
      <c r="M121" s="16"/>
      <c r="N121" s="16" t="s">
        <v>20</v>
      </c>
      <c r="O121" s="1"/>
    </row>
    <row r="122" spans="1:15">
      <c r="A122" s="1" t="s">
        <v>151</v>
      </c>
      <c r="B122" s="1" t="s">
        <v>13</v>
      </c>
      <c r="C122" s="5">
        <v>45777</v>
      </c>
      <c r="D122" s="16" t="s">
        <v>23</v>
      </c>
      <c r="E122" s="17" t="s">
        <v>24</v>
      </c>
      <c r="F122" s="9">
        <v>3916</v>
      </c>
      <c r="G122" s="9">
        <v>459</v>
      </c>
      <c r="H122" s="9">
        <v>229</v>
      </c>
      <c r="I122" s="9">
        <v>48989</v>
      </c>
      <c r="J122" s="9">
        <v>39768</v>
      </c>
      <c r="K122" s="9">
        <v>200</v>
      </c>
      <c r="L122" s="16" t="s">
        <v>34</v>
      </c>
      <c r="M122" s="16"/>
      <c r="N122" s="16" t="s">
        <v>46</v>
      </c>
      <c r="O122" s="1"/>
    </row>
    <row r="123" spans="1:15">
      <c r="A123" s="1" t="s">
        <v>152</v>
      </c>
      <c r="B123" s="1" t="s">
        <v>22</v>
      </c>
      <c r="C123" s="5">
        <v>45346</v>
      </c>
      <c r="D123" s="16" t="s">
        <v>23</v>
      </c>
      <c r="E123" s="17" t="s">
        <v>361</v>
      </c>
      <c r="F123" s="9">
        <v>1022</v>
      </c>
      <c r="G123" s="9">
        <v>463</v>
      </c>
      <c r="H123" s="9">
        <v>360</v>
      </c>
      <c r="I123" s="9">
        <v>51468</v>
      </c>
      <c r="J123" s="9">
        <v>24279</v>
      </c>
      <c r="K123" s="9">
        <v>230</v>
      </c>
      <c r="L123" s="16" t="s">
        <v>19</v>
      </c>
      <c r="M123" s="16" t="s">
        <v>364</v>
      </c>
      <c r="N123" s="16" t="s">
        <v>16</v>
      </c>
      <c r="O123" s="1"/>
    </row>
    <row r="124" spans="1:15">
      <c r="A124" s="1" t="s">
        <v>153</v>
      </c>
      <c r="B124" s="1" t="s">
        <v>27</v>
      </c>
      <c r="C124" s="5">
        <v>45424</v>
      </c>
      <c r="D124" s="16" t="s">
        <v>14</v>
      </c>
      <c r="E124" s="17" t="s">
        <v>363</v>
      </c>
      <c r="F124" s="9">
        <v>2911</v>
      </c>
      <c r="G124" s="9">
        <v>467</v>
      </c>
      <c r="H124" s="9">
        <v>94</v>
      </c>
      <c r="I124" s="9">
        <v>59083</v>
      </c>
      <c r="J124" s="9">
        <v>49762</v>
      </c>
      <c r="K124" s="9">
        <v>236</v>
      </c>
      <c r="L124" s="16" t="s">
        <v>19</v>
      </c>
      <c r="M124" s="16" t="s">
        <v>365</v>
      </c>
      <c r="N124" s="16" t="s">
        <v>20</v>
      </c>
      <c r="O124" s="1"/>
    </row>
    <row r="125" spans="1:15">
      <c r="A125" s="1" t="s">
        <v>154</v>
      </c>
      <c r="B125" s="1" t="s">
        <v>22</v>
      </c>
      <c r="C125" s="5">
        <v>45421</v>
      </c>
      <c r="D125" s="16" t="s">
        <v>23</v>
      </c>
      <c r="E125" s="17" t="s">
        <v>24</v>
      </c>
      <c r="F125" s="9">
        <v>3277</v>
      </c>
      <c r="G125" s="9">
        <v>423</v>
      </c>
      <c r="H125" s="9">
        <v>259</v>
      </c>
      <c r="I125" s="9">
        <v>46328</v>
      </c>
      <c r="J125" s="9">
        <v>44293</v>
      </c>
      <c r="K125" s="9">
        <v>299</v>
      </c>
      <c r="L125" s="16" t="s">
        <v>37</v>
      </c>
      <c r="M125" s="16" t="s">
        <v>34</v>
      </c>
      <c r="N125" s="16" t="s">
        <v>16</v>
      </c>
      <c r="O125" s="1"/>
    </row>
    <row r="126" spans="1:15">
      <c r="A126" s="1" t="s">
        <v>155</v>
      </c>
      <c r="B126" s="1" t="s">
        <v>22</v>
      </c>
      <c r="C126" s="5">
        <v>45602</v>
      </c>
      <c r="D126" s="16" t="s">
        <v>14</v>
      </c>
      <c r="E126" s="17" t="s">
        <v>363</v>
      </c>
      <c r="F126" s="9">
        <v>2956</v>
      </c>
      <c r="G126" s="9">
        <v>381</v>
      </c>
      <c r="H126" s="9">
        <v>345</v>
      </c>
      <c r="I126" s="9">
        <v>33347</v>
      </c>
      <c r="J126" s="9">
        <v>22558</v>
      </c>
      <c r="K126" s="9">
        <v>173</v>
      </c>
      <c r="L126" s="16" t="s">
        <v>34</v>
      </c>
      <c r="M126" s="16"/>
      <c r="N126" s="16" t="s">
        <v>16</v>
      </c>
      <c r="O126" s="1"/>
    </row>
    <row r="127" spans="1:15">
      <c r="A127" s="1" t="s">
        <v>156</v>
      </c>
      <c r="B127" s="1" t="s">
        <v>22</v>
      </c>
      <c r="C127" s="5">
        <v>45295</v>
      </c>
      <c r="D127" s="16" t="s">
        <v>23</v>
      </c>
      <c r="E127" s="17" t="s">
        <v>362</v>
      </c>
      <c r="F127" s="9">
        <v>3208</v>
      </c>
      <c r="G127" s="9">
        <v>476</v>
      </c>
      <c r="H127" s="9">
        <v>277</v>
      </c>
      <c r="I127" s="9">
        <v>56072</v>
      </c>
      <c r="J127" s="9">
        <v>21061</v>
      </c>
      <c r="K127" s="9">
        <v>113</v>
      </c>
      <c r="L127" s="16" t="s">
        <v>364</v>
      </c>
      <c r="M127" s="16" t="s">
        <v>34</v>
      </c>
      <c r="N127" s="16" t="s">
        <v>16</v>
      </c>
      <c r="O127" s="1"/>
    </row>
    <row r="128" spans="1:15">
      <c r="A128" s="1" t="s">
        <v>157</v>
      </c>
      <c r="B128" s="1" t="s">
        <v>22</v>
      </c>
      <c r="C128" s="5">
        <v>45319</v>
      </c>
      <c r="D128" s="16" t="s">
        <v>14</v>
      </c>
      <c r="E128" s="17" t="s">
        <v>361</v>
      </c>
      <c r="F128" s="9">
        <v>1456</v>
      </c>
      <c r="G128" s="9">
        <v>265</v>
      </c>
      <c r="H128" s="9">
        <v>137</v>
      </c>
      <c r="I128" s="9">
        <v>53485</v>
      </c>
      <c r="J128" s="9">
        <v>59729</v>
      </c>
      <c r="K128" s="9">
        <v>145</v>
      </c>
      <c r="L128" s="16" t="s">
        <v>37</v>
      </c>
      <c r="M128" s="16"/>
      <c r="N128" s="16" t="s">
        <v>20</v>
      </c>
      <c r="O128" s="1"/>
    </row>
    <row r="129" spans="1:15">
      <c r="A129" s="1" t="s">
        <v>158</v>
      </c>
      <c r="B129" s="1" t="s">
        <v>13</v>
      </c>
      <c r="C129" s="5">
        <v>45344</v>
      </c>
      <c r="D129" s="16" t="s">
        <v>14</v>
      </c>
      <c r="E129" s="17" t="s">
        <v>24</v>
      </c>
      <c r="F129" s="9">
        <v>1902</v>
      </c>
      <c r="G129" s="9">
        <v>394</v>
      </c>
      <c r="H129" s="9">
        <v>279</v>
      </c>
      <c r="I129" s="9">
        <v>24615</v>
      </c>
      <c r="J129" s="9">
        <v>51330</v>
      </c>
      <c r="K129" s="9">
        <v>176</v>
      </c>
      <c r="L129" s="16" t="s">
        <v>37</v>
      </c>
      <c r="M129" s="16" t="s">
        <v>34</v>
      </c>
      <c r="N129" s="16" t="s">
        <v>16</v>
      </c>
      <c r="O129" s="1"/>
    </row>
    <row r="130" spans="1:15">
      <c r="A130" s="1" t="s">
        <v>159</v>
      </c>
      <c r="B130" s="1" t="s">
        <v>22</v>
      </c>
      <c r="C130" s="5">
        <v>45839</v>
      </c>
      <c r="D130" s="16" t="s">
        <v>23</v>
      </c>
      <c r="E130" s="17" t="s">
        <v>18</v>
      </c>
      <c r="F130" s="9">
        <v>3219</v>
      </c>
      <c r="G130" s="9">
        <v>424</v>
      </c>
      <c r="H130" s="9">
        <v>267</v>
      </c>
      <c r="I130" s="9">
        <v>48879</v>
      </c>
      <c r="J130" s="9">
        <v>37691</v>
      </c>
      <c r="K130" s="9">
        <v>224</v>
      </c>
      <c r="L130" s="16" t="s">
        <v>19</v>
      </c>
      <c r="M130" s="16" t="s">
        <v>364</v>
      </c>
      <c r="N130" s="16" t="s">
        <v>16</v>
      </c>
      <c r="O130" s="1"/>
    </row>
    <row r="131" spans="1:15">
      <c r="A131" s="1" t="s">
        <v>160</v>
      </c>
      <c r="B131" s="1" t="s">
        <v>27</v>
      </c>
      <c r="C131" s="5">
        <v>45301</v>
      </c>
      <c r="D131" s="16" t="s">
        <v>14</v>
      </c>
      <c r="E131" s="17" t="s">
        <v>18</v>
      </c>
      <c r="F131" s="9">
        <v>1261</v>
      </c>
      <c r="G131" s="9">
        <v>190</v>
      </c>
      <c r="H131" s="9">
        <v>233</v>
      </c>
      <c r="I131" s="9">
        <v>59888</v>
      </c>
      <c r="J131" s="9">
        <v>51449</v>
      </c>
      <c r="K131" s="9">
        <v>205</v>
      </c>
      <c r="L131" s="16" t="s">
        <v>19</v>
      </c>
      <c r="M131" s="16" t="s">
        <v>365</v>
      </c>
      <c r="N131" s="16" t="s">
        <v>20</v>
      </c>
      <c r="O131" s="1"/>
    </row>
    <row r="132" spans="1:15">
      <c r="A132" s="1" t="s">
        <v>161</v>
      </c>
      <c r="B132" s="1" t="s">
        <v>22</v>
      </c>
      <c r="C132" s="5">
        <v>45736</v>
      </c>
      <c r="D132" s="16" t="s">
        <v>14</v>
      </c>
      <c r="E132" s="17" t="s">
        <v>42</v>
      </c>
      <c r="F132" s="9">
        <v>1564</v>
      </c>
      <c r="G132" s="9">
        <v>362</v>
      </c>
      <c r="H132" s="9">
        <v>371</v>
      </c>
      <c r="I132" s="9">
        <v>42075</v>
      </c>
      <c r="J132" s="9">
        <v>66659</v>
      </c>
      <c r="K132" s="9">
        <v>205</v>
      </c>
      <c r="L132" s="16" t="s">
        <v>37</v>
      </c>
      <c r="M132" s="16"/>
      <c r="N132" s="16" t="s">
        <v>20</v>
      </c>
      <c r="O132" s="1"/>
    </row>
    <row r="133" spans="1:15">
      <c r="A133" s="1" t="s">
        <v>162</v>
      </c>
      <c r="B133" s="1" t="s">
        <v>22</v>
      </c>
      <c r="C133" s="5">
        <v>45563</v>
      </c>
      <c r="D133" s="16" t="s">
        <v>14</v>
      </c>
      <c r="E133" s="17" t="s">
        <v>362</v>
      </c>
      <c r="F133" s="9">
        <v>4006</v>
      </c>
      <c r="G133" s="9">
        <v>420</v>
      </c>
      <c r="H133" s="9">
        <v>194</v>
      </c>
      <c r="I133" s="9">
        <v>49964</v>
      </c>
      <c r="J133" s="9">
        <v>20685</v>
      </c>
      <c r="K133" s="9">
        <v>148</v>
      </c>
      <c r="L133" s="16" t="s">
        <v>34</v>
      </c>
      <c r="M133" s="16"/>
      <c r="N133" s="16" t="s">
        <v>16</v>
      </c>
      <c r="O133" s="1"/>
    </row>
    <row r="134" spans="1:15">
      <c r="A134" s="1" t="s">
        <v>163</v>
      </c>
      <c r="B134" s="1" t="s">
        <v>27</v>
      </c>
      <c r="C134" s="5">
        <v>45318</v>
      </c>
      <c r="D134" s="16" t="s">
        <v>14</v>
      </c>
      <c r="E134" s="17" t="s">
        <v>42</v>
      </c>
      <c r="F134" s="9">
        <v>1976</v>
      </c>
      <c r="G134" s="9">
        <v>262</v>
      </c>
      <c r="H134" s="9">
        <v>218</v>
      </c>
      <c r="I134" s="9">
        <v>51696</v>
      </c>
      <c r="J134" s="9">
        <v>44846</v>
      </c>
      <c r="K134" s="9">
        <v>139</v>
      </c>
      <c r="L134" s="16" t="s">
        <v>19</v>
      </c>
      <c r="M134" s="16" t="s">
        <v>365</v>
      </c>
      <c r="N134" s="16" t="s">
        <v>20</v>
      </c>
      <c r="O134" s="1"/>
    </row>
    <row r="135" spans="1:15">
      <c r="A135" s="1" t="s">
        <v>164</v>
      </c>
      <c r="B135" s="1" t="s">
        <v>22</v>
      </c>
      <c r="C135" s="5">
        <v>45792</v>
      </c>
      <c r="D135" s="16" t="s">
        <v>14</v>
      </c>
      <c r="E135" s="17" t="s">
        <v>24</v>
      </c>
      <c r="F135" s="9">
        <v>1583</v>
      </c>
      <c r="G135" s="9">
        <v>433</v>
      </c>
      <c r="H135" s="9">
        <v>249</v>
      </c>
      <c r="I135" s="9">
        <v>30256</v>
      </c>
      <c r="J135" s="9">
        <v>47066</v>
      </c>
      <c r="K135" s="9">
        <v>196</v>
      </c>
      <c r="L135" s="16" t="s">
        <v>34</v>
      </c>
      <c r="M135" s="16"/>
      <c r="N135" s="16" t="s">
        <v>16</v>
      </c>
      <c r="O135" s="1"/>
    </row>
    <row r="136" spans="1:15">
      <c r="A136" s="1" t="s">
        <v>165</v>
      </c>
      <c r="B136" s="1" t="s">
        <v>22</v>
      </c>
      <c r="C136" s="5">
        <v>45569</v>
      </c>
      <c r="D136" s="16" t="s">
        <v>23</v>
      </c>
      <c r="E136" s="17" t="s">
        <v>18</v>
      </c>
      <c r="F136" s="9">
        <v>2870</v>
      </c>
      <c r="G136" s="9">
        <v>380</v>
      </c>
      <c r="H136" s="9">
        <v>393</v>
      </c>
      <c r="I136" s="9">
        <v>37621</v>
      </c>
      <c r="J136" s="9">
        <v>71794</v>
      </c>
      <c r="K136" s="9">
        <v>127</v>
      </c>
      <c r="L136" s="16" t="s">
        <v>364</v>
      </c>
      <c r="M136" s="16" t="s">
        <v>34</v>
      </c>
      <c r="N136" s="16" t="s">
        <v>16</v>
      </c>
      <c r="O136" s="1"/>
    </row>
    <row r="137" spans="1:15">
      <c r="A137" s="1" t="s">
        <v>166</v>
      </c>
      <c r="B137" s="1" t="s">
        <v>22</v>
      </c>
      <c r="C137" s="5">
        <v>45615</v>
      </c>
      <c r="D137" s="16" t="s">
        <v>14</v>
      </c>
      <c r="E137" s="17" t="s">
        <v>33</v>
      </c>
      <c r="F137" s="9">
        <v>3728</v>
      </c>
      <c r="G137" s="9">
        <v>271</v>
      </c>
      <c r="H137" s="9">
        <v>275</v>
      </c>
      <c r="I137" s="9">
        <v>22827</v>
      </c>
      <c r="J137" s="9">
        <v>37034</v>
      </c>
      <c r="K137" s="9">
        <v>199</v>
      </c>
      <c r="L137" s="16" t="s">
        <v>34</v>
      </c>
      <c r="M137" s="16"/>
      <c r="N137" s="16" t="s">
        <v>16</v>
      </c>
      <c r="O137" s="1"/>
    </row>
    <row r="138" spans="1:15">
      <c r="A138" s="1" t="s">
        <v>167</v>
      </c>
      <c r="B138" s="1" t="s">
        <v>22</v>
      </c>
      <c r="C138" s="5">
        <v>45387</v>
      </c>
      <c r="D138" s="16" t="s">
        <v>23</v>
      </c>
      <c r="E138" s="17" t="s">
        <v>24</v>
      </c>
      <c r="F138" s="9">
        <v>4965</v>
      </c>
      <c r="G138" s="9">
        <v>175</v>
      </c>
      <c r="H138" s="9">
        <v>307</v>
      </c>
      <c r="I138" s="9">
        <v>32793</v>
      </c>
      <c r="J138" s="9">
        <v>43412</v>
      </c>
      <c r="K138" s="9">
        <v>296</v>
      </c>
      <c r="L138" s="16" t="s">
        <v>37</v>
      </c>
      <c r="M138" s="16" t="s">
        <v>34</v>
      </c>
      <c r="N138" s="16" t="s">
        <v>16</v>
      </c>
      <c r="O138" s="1"/>
    </row>
    <row r="139" spans="1:15">
      <c r="A139" s="1" t="s">
        <v>168</v>
      </c>
      <c r="B139" s="1" t="s">
        <v>22</v>
      </c>
      <c r="C139" s="5">
        <v>45624</v>
      </c>
      <c r="D139" s="16" t="s">
        <v>23</v>
      </c>
      <c r="E139" s="17" t="s">
        <v>24</v>
      </c>
      <c r="F139" s="9">
        <v>1131</v>
      </c>
      <c r="G139" s="9">
        <v>100</v>
      </c>
      <c r="H139" s="9">
        <v>116</v>
      </c>
      <c r="I139" s="9">
        <v>48437</v>
      </c>
      <c r="J139" s="9">
        <v>72704</v>
      </c>
      <c r="K139" s="9">
        <v>236</v>
      </c>
      <c r="L139" s="16" t="s">
        <v>19</v>
      </c>
      <c r="M139" s="16" t="s">
        <v>364</v>
      </c>
      <c r="N139" s="16" t="s">
        <v>16</v>
      </c>
      <c r="O139" s="1"/>
    </row>
    <row r="140" spans="1:15">
      <c r="A140" s="1" t="s">
        <v>169</v>
      </c>
      <c r="B140" s="1" t="s">
        <v>22</v>
      </c>
      <c r="C140" s="5">
        <v>45725</v>
      </c>
      <c r="D140" s="16" t="s">
        <v>14</v>
      </c>
      <c r="E140" s="17" t="s">
        <v>42</v>
      </c>
      <c r="F140" s="9">
        <v>2754</v>
      </c>
      <c r="G140" s="9">
        <v>215</v>
      </c>
      <c r="H140" s="9">
        <v>264</v>
      </c>
      <c r="I140" s="9">
        <v>27762</v>
      </c>
      <c r="J140" s="9">
        <v>70203</v>
      </c>
      <c r="K140" s="9">
        <v>289</v>
      </c>
      <c r="L140" s="16" t="s">
        <v>34</v>
      </c>
      <c r="M140" s="16"/>
      <c r="N140" s="16" t="s">
        <v>16</v>
      </c>
      <c r="O140" s="1"/>
    </row>
    <row r="141" spans="1:15">
      <c r="A141" s="1" t="s">
        <v>170</v>
      </c>
      <c r="B141" s="1" t="s">
        <v>22</v>
      </c>
      <c r="C141" s="5">
        <v>45531</v>
      </c>
      <c r="D141" s="16" t="s">
        <v>23</v>
      </c>
      <c r="E141" s="17" t="s">
        <v>24</v>
      </c>
      <c r="F141" s="9">
        <v>1856</v>
      </c>
      <c r="G141" s="9">
        <v>357</v>
      </c>
      <c r="H141" s="9">
        <v>348</v>
      </c>
      <c r="I141" s="9">
        <v>29428</v>
      </c>
      <c r="J141" s="9">
        <v>70206</v>
      </c>
      <c r="K141" s="9">
        <v>236</v>
      </c>
      <c r="L141" s="16" t="s">
        <v>364</v>
      </c>
      <c r="M141" s="16" t="s">
        <v>34</v>
      </c>
      <c r="N141" s="16" t="s">
        <v>16</v>
      </c>
      <c r="O141" s="1"/>
    </row>
    <row r="142" spans="1:15">
      <c r="A142" s="1" t="s">
        <v>171</v>
      </c>
      <c r="B142" s="1" t="s">
        <v>27</v>
      </c>
      <c r="C142" s="5">
        <v>45566</v>
      </c>
      <c r="D142" s="16" t="s">
        <v>48</v>
      </c>
      <c r="E142" s="17" t="s">
        <v>18</v>
      </c>
      <c r="F142" s="9">
        <v>3543</v>
      </c>
      <c r="G142" s="9">
        <v>334</v>
      </c>
      <c r="H142" s="9">
        <v>218</v>
      </c>
      <c r="I142" s="9">
        <v>58007</v>
      </c>
      <c r="J142" s="9">
        <v>24792</v>
      </c>
      <c r="K142" s="9">
        <v>273</v>
      </c>
      <c r="L142" s="16" t="s">
        <v>19</v>
      </c>
      <c r="M142" s="16" t="s">
        <v>37</v>
      </c>
      <c r="N142" s="16" t="s">
        <v>49</v>
      </c>
      <c r="O142" s="1"/>
    </row>
    <row r="143" spans="1:15">
      <c r="A143" s="1" t="s">
        <v>172</v>
      </c>
      <c r="B143" s="1" t="s">
        <v>13</v>
      </c>
      <c r="C143" s="5">
        <v>45647</v>
      </c>
      <c r="D143" s="16" t="s">
        <v>23</v>
      </c>
      <c r="E143" s="17" t="s">
        <v>24</v>
      </c>
      <c r="F143" s="9">
        <v>4563</v>
      </c>
      <c r="G143" s="9">
        <v>398</v>
      </c>
      <c r="H143" s="9">
        <v>163</v>
      </c>
      <c r="I143" s="9">
        <v>43679</v>
      </c>
      <c r="J143" s="9">
        <v>48760</v>
      </c>
      <c r="K143" s="9">
        <v>92</v>
      </c>
      <c r="L143" s="16" t="s">
        <v>34</v>
      </c>
      <c r="M143" s="16"/>
      <c r="N143" s="16" t="s">
        <v>46</v>
      </c>
      <c r="O143" s="1"/>
    </row>
    <row r="144" spans="1:15">
      <c r="A144" s="1" t="s">
        <v>173</v>
      </c>
      <c r="B144" s="1" t="s">
        <v>13</v>
      </c>
      <c r="C144" s="5">
        <v>45460</v>
      </c>
      <c r="D144" s="16" t="s">
        <v>14</v>
      </c>
      <c r="E144" s="17" t="s">
        <v>15</v>
      </c>
      <c r="F144" s="9">
        <v>4283</v>
      </c>
      <c r="G144" s="9">
        <v>471</v>
      </c>
      <c r="H144" s="9">
        <v>156</v>
      </c>
      <c r="I144" s="9">
        <v>53004</v>
      </c>
      <c r="J144" s="9">
        <v>25678</v>
      </c>
      <c r="K144" s="9">
        <v>105</v>
      </c>
      <c r="L144" s="16" t="s">
        <v>19</v>
      </c>
      <c r="M144" s="16"/>
      <c r="N144" s="16" t="s">
        <v>20</v>
      </c>
      <c r="O144" s="1"/>
    </row>
    <row r="145" spans="1:15">
      <c r="A145" s="1" t="s">
        <v>174</v>
      </c>
      <c r="B145" s="1" t="s">
        <v>13</v>
      </c>
      <c r="C145" s="5">
        <v>45702</v>
      </c>
      <c r="D145" s="16" t="s">
        <v>14</v>
      </c>
      <c r="E145" s="17" t="s">
        <v>15</v>
      </c>
      <c r="F145" s="9">
        <v>2329</v>
      </c>
      <c r="G145" s="9">
        <v>373</v>
      </c>
      <c r="H145" s="9">
        <v>291</v>
      </c>
      <c r="I145" s="9">
        <v>49577</v>
      </c>
      <c r="J145" s="9">
        <v>28002</v>
      </c>
      <c r="K145" s="9">
        <v>82</v>
      </c>
      <c r="L145" s="16" t="s">
        <v>37</v>
      </c>
      <c r="M145" s="16" t="s">
        <v>34</v>
      </c>
      <c r="N145" s="16" t="s">
        <v>16</v>
      </c>
      <c r="O145" s="1"/>
    </row>
    <row r="146" spans="1:15">
      <c r="A146" s="1" t="s">
        <v>175</v>
      </c>
      <c r="B146" s="1" t="s">
        <v>22</v>
      </c>
      <c r="C146" s="5">
        <v>45805</v>
      </c>
      <c r="D146" s="16" t="s">
        <v>23</v>
      </c>
      <c r="E146" s="17" t="s">
        <v>33</v>
      </c>
      <c r="F146" s="9">
        <v>4287</v>
      </c>
      <c r="G146" s="9">
        <v>273</v>
      </c>
      <c r="H146" s="9">
        <v>122</v>
      </c>
      <c r="I146" s="9">
        <v>40792</v>
      </c>
      <c r="J146" s="9">
        <v>23878</v>
      </c>
      <c r="K146" s="9">
        <v>277</v>
      </c>
      <c r="L146" s="16" t="s">
        <v>364</v>
      </c>
      <c r="M146" s="16" t="s">
        <v>34</v>
      </c>
      <c r="N146" s="16" t="s">
        <v>16</v>
      </c>
      <c r="O146" s="1"/>
    </row>
    <row r="147" spans="1:15">
      <c r="A147" s="1" t="s">
        <v>176</v>
      </c>
      <c r="B147" s="1" t="s">
        <v>13</v>
      </c>
      <c r="C147" s="5">
        <v>45799</v>
      </c>
      <c r="D147" s="16" t="s">
        <v>14</v>
      </c>
      <c r="E147" s="17" t="s">
        <v>15</v>
      </c>
      <c r="F147" s="9">
        <v>2633</v>
      </c>
      <c r="G147" s="9">
        <v>318</v>
      </c>
      <c r="H147" s="9">
        <v>380</v>
      </c>
      <c r="I147" s="9">
        <v>40869</v>
      </c>
      <c r="J147" s="9">
        <v>64474</v>
      </c>
      <c r="K147" s="9">
        <v>245</v>
      </c>
      <c r="L147" s="16" t="s">
        <v>19</v>
      </c>
      <c r="M147" s="16"/>
      <c r="N147" s="16" t="s">
        <v>20</v>
      </c>
      <c r="O147" s="1"/>
    </row>
    <row r="148" spans="1:15">
      <c r="A148" s="1" t="s">
        <v>177</v>
      </c>
      <c r="B148" s="1" t="s">
        <v>22</v>
      </c>
      <c r="C148" s="5">
        <v>45312</v>
      </c>
      <c r="D148" s="16" t="s">
        <v>23</v>
      </c>
      <c r="E148" s="17" t="s">
        <v>15</v>
      </c>
      <c r="F148" s="9">
        <v>2383</v>
      </c>
      <c r="G148" s="9">
        <v>136</v>
      </c>
      <c r="H148" s="9">
        <v>302</v>
      </c>
      <c r="I148" s="9">
        <v>39187</v>
      </c>
      <c r="J148" s="9">
        <v>22133</v>
      </c>
      <c r="K148" s="9">
        <v>208</v>
      </c>
      <c r="L148" s="16" t="s">
        <v>364</v>
      </c>
      <c r="M148" s="16" t="s">
        <v>34</v>
      </c>
      <c r="N148" s="16" t="s">
        <v>16</v>
      </c>
      <c r="O148" s="1"/>
    </row>
    <row r="149" spans="1:15">
      <c r="A149" s="1" t="s">
        <v>178</v>
      </c>
      <c r="B149" s="1" t="s">
        <v>22</v>
      </c>
      <c r="C149" s="5">
        <v>45696</v>
      </c>
      <c r="D149" s="16" t="s">
        <v>23</v>
      </c>
      <c r="E149" s="17" t="s">
        <v>42</v>
      </c>
      <c r="F149" s="9">
        <v>4752</v>
      </c>
      <c r="G149" s="9">
        <v>334</v>
      </c>
      <c r="H149" s="9">
        <v>56</v>
      </c>
      <c r="I149" s="9">
        <v>48017</v>
      </c>
      <c r="J149" s="9">
        <v>55534</v>
      </c>
      <c r="K149" s="9">
        <v>270</v>
      </c>
      <c r="L149" s="16" t="s">
        <v>19</v>
      </c>
      <c r="M149" s="16" t="s">
        <v>364</v>
      </c>
      <c r="N149" s="16" t="s">
        <v>16</v>
      </c>
      <c r="O149" s="1"/>
    </row>
    <row r="150" spans="1:15">
      <c r="A150" s="1" t="s">
        <v>179</v>
      </c>
      <c r="B150" s="1" t="s">
        <v>22</v>
      </c>
      <c r="C150" s="5">
        <v>45760</v>
      </c>
      <c r="D150" s="16" t="s">
        <v>14</v>
      </c>
      <c r="E150" s="17" t="s">
        <v>363</v>
      </c>
      <c r="F150" s="9">
        <v>3890</v>
      </c>
      <c r="G150" s="9">
        <v>408</v>
      </c>
      <c r="H150" s="9">
        <v>338</v>
      </c>
      <c r="I150" s="9">
        <v>56994</v>
      </c>
      <c r="J150" s="9">
        <v>32621</v>
      </c>
      <c r="K150" s="9">
        <v>286</v>
      </c>
      <c r="L150" s="16" t="s">
        <v>37</v>
      </c>
      <c r="M150" s="16"/>
      <c r="N150" s="16" t="s">
        <v>20</v>
      </c>
      <c r="O150" s="1"/>
    </row>
    <row r="151" spans="1:15">
      <c r="A151" s="1" t="s">
        <v>180</v>
      </c>
      <c r="B151" s="1" t="s">
        <v>22</v>
      </c>
      <c r="C151" s="5">
        <v>45442</v>
      </c>
      <c r="D151" s="16" t="s">
        <v>23</v>
      </c>
      <c r="E151" s="17" t="s">
        <v>42</v>
      </c>
      <c r="F151" s="9">
        <v>2311</v>
      </c>
      <c r="G151" s="9">
        <v>207</v>
      </c>
      <c r="H151" s="9">
        <v>363</v>
      </c>
      <c r="I151" s="9">
        <v>30349</v>
      </c>
      <c r="J151" s="9">
        <v>32925</v>
      </c>
      <c r="K151" s="9">
        <v>88</v>
      </c>
      <c r="L151" s="16" t="s">
        <v>364</v>
      </c>
      <c r="M151" s="16" t="s">
        <v>34</v>
      </c>
      <c r="N151" s="16" t="s">
        <v>16</v>
      </c>
      <c r="O151" s="1"/>
    </row>
    <row r="152" spans="1:15">
      <c r="A152" s="1" t="s">
        <v>181</v>
      </c>
      <c r="B152" s="1" t="s">
        <v>13</v>
      </c>
      <c r="C152" s="5">
        <v>45516</v>
      </c>
      <c r="D152" s="16" t="s">
        <v>23</v>
      </c>
      <c r="E152" s="17" t="s">
        <v>15</v>
      </c>
      <c r="F152" s="9">
        <v>2962</v>
      </c>
      <c r="G152" s="9">
        <v>400</v>
      </c>
      <c r="H152" s="9">
        <v>280</v>
      </c>
      <c r="I152" s="9">
        <v>52508</v>
      </c>
      <c r="J152" s="9">
        <v>58329</v>
      </c>
      <c r="K152" s="9">
        <v>219</v>
      </c>
      <c r="L152" s="16" t="s">
        <v>34</v>
      </c>
      <c r="M152" s="16"/>
      <c r="N152" s="16" t="s">
        <v>46</v>
      </c>
      <c r="O152" s="1"/>
    </row>
    <row r="153" spans="1:15">
      <c r="A153" s="1" t="s">
        <v>182</v>
      </c>
      <c r="B153" s="1" t="s">
        <v>13</v>
      </c>
      <c r="C153" s="5">
        <v>45562</v>
      </c>
      <c r="D153" s="16" t="s">
        <v>14</v>
      </c>
      <c r="E153" s="17" t="s">
        <v>15</v>
      </c>
      <c r="F153" s="9">
        <v>3118</v>
      </c>
      <c r="G153" s="9">
        <v>116</v>
      </c>
      <c r="H153" s="9">
        <v>195</v>
      </c>
      <c r="I153" s="9">
        <v>37100</v>
      </c>
      <c r="J153" s="9">
        <v>62629</v>
      </c>
      <c r="K153" s="9">
        <v>272</v>
      </c>
      <c r="L153" s="16" t="s">
        <v>19</v>
      </c>
      <c r="M153" s="16"/>
      <c r="N153" s="16" t="s">
        <v>20</v>
      </c>
      <c r="O153" s="1"/>
    </row>
    <row r="154" spans="1:15">
      <c r="A154" s="1" t="s">
        <v>183</v>
      </c>
      <c r="B154" s="1" t="s">
        <v>22</v>
      </c>
      <c r="C154" s="5">
        <v>45819</v>
      </c>
      <c r="D154" s="16" t="s">
        <v>23</v>
      </c>
      <c r="E154" s="17" t="s">
        <v>18</v>
      </c>
      <c r="F154" s="9">
        <v>3805</v>
      </c>
      <c r="G154" s="9">
        <v>453</v>
      </c>
      <c r="H154" s="9">
        <v>63</v>
      </c>
      <c r="I154" s="9">
        <v>52395</v>
      </c>
      <c r="J154" s="9">
        <v>72934</v>
      </c>
      <c r="K154" s="9">
        <v>87</v>
      </c>
      <c r="L154" s="16" t="s">
        <v>19</v>
      </c>
      <c r="M154" s="16" t="s">
        <v>364</v>
      </c>
      <c r="N154" s="16" t="s">
        <v>16</v>
      </c>
      <c r="O154" s="1"/>
    </row>
    <row r="155" spans="1:15">
      <c r="A155" s="1" t="s">
        <v>184</v>
      </c>
      <c r="B155" s="1" t="s">
        <v>13</v>
      </c>
      <c r="C155" s="5">
        <v>45615</v>
      </c>
      <c r="D155" s="16" t="s">
        <v>14</v>
      </c>
      <c r="E155" s="17" t="s">
        <v>362</v>
      </c>
      <c r="F155" s="9">
        <v>2525</v>
      </c>
      <c r="G155" s="9">
        <v>272</v>
      </c>
      <c r="H155" s="9">
        <v>294</v>
      </c>
      <c r="I155" s="9">
        <v>51875</v>
      </c>
      <c r="J155" s="9">
        <v>24732</v>
      </c>
      <c r="K155" s="9">
        <v>92</v>
      </c>
      <c r="L155" s="16" t="s">
        <v>19</v>
      </c>
      <c r="M155" s="16"/>
      <c r="N155" s="16" t="s">
        <v>20</v>
      </c>
      <c r="O155" s="1"/>
    </row>
    <row r="156" spans="1:15">
      <c r="A156" s="1" t="s">
        <v>185</v>
      </c>
      <c r="B156" s="1" t="s">
        <v>13</v>
      </c>
      <c r="C156" s="5">
        <v>45407</v>
      </c>
      <c r="D156" s="16" t="s">
        <v>14</v>
      </c>
      <c r="E156" s="17" t="s">
        <v>361</v>
      </c>
      <c r="F156" s="9">
        <v>3563</v>
      </c>
      <c r="G156" s="9">
        <v>483</v>
      </c>
      <c r="H156" s="9">
        <v>227</v>
      </c>
      <c r="I156" s="9">
        <v>41085</v>
      </c>
      <c r="J156" s="9">
        <v>26393</v>
      </c>
      <c r="K156" s="9">
        <v>236</v>
      </c>
      <c r="L156" s="16" t="s">
        <v>37</v>
      </c>
      <c r="M156" s="16" t="s">
        <v>34</v>
      </c>
      <c r="N156" s="16" t="s">
        <v>16</v>
      </c>
      <c r="O156" s="1"/>
    </row>
    <row r="157" spans="1:15">
      <c r="A157" s="1" t="s">
        <v>186</v>
      </c>
      <c r="B157" s="1" t="s">
        <v>27</v>
      </c>
      <c r="C157" s="5">
        <v>45538</v>
      </c>
      <c r="D157" s="16" t="s">
        <v>48</v>
      </c>
      <c r="E157" s="17" t="s">
        <v>362</v>
      </c>
      <c r="F157" s="9">
        <v>1437</v>
      </c>
      <c r="G157" s="9">
        <v>494</v>
      </c>
      <c r="H157" s="9">
        <v>129</v>
      </c>
      <c r="I157" s="9">
        <v>53048</v>
      </c>
      <c r="J157" s="9">
        <v>44090</v>
      </c>
      <c r="K157" s="9">
        <v>230</v>
      </c>
      <c r="L157" s="16" t="s">
        <v>19</v>
      </c>
      <c r="M157" s="16" t="s">
        <v>37</v>
      </c>
      <c r="N157" s="16" t="s">
        <v>49</v>
      </c>
      <c r="O157" s="1"/>
    </row>
    <row r="158" spans="1:15">
      <c r="A158" s="1" t="s">
        <v>187</v>
      </c>
      <c r="B158" s="1" t="s">
        <v>27</v>
      </c>
      <c r="C158" s="5">
        <v>45718</v>
      </c>
      <c r="D158" s="16" t="s">
        <v>14</v>
      </c>
      <c r="E158" s="17" t="s">
        <v>363</v>
      </c>
      <c r="F158" s="9">
        <v>4425</v>
      </c>
      <c r="G158" s="9">
        <v>185</v>
      </c>
      <c r="H158" s="9">
        <v>162</v>
      </c>
      <c r="I158" s="9">
        <v>24610</v>
      </c>
      <c r="J158" s="9">
        <v>21342</v>
      </c>
      <c r="K158" s="9">
        <v>158</v>
      </c>
      <c r="L158" s="16" t="s">
        <v>19</v>
      </c>
      <c r="M158" s="16" t="s">
        <v>365</v>
      </c>
      <c r="N158" s="16" t="s">
        <v>20</v>
      </c>
      <c r="O158" s="1"/>
    </row>
    <row r="159" spans="1:15">
      <c r="A159" s="1" t="s">
        <v>188</v>
      </c>
      <c r="B159" s="1" t="s">
        <v>22</v>
      </c>
      <c r="C159" s="5">
        <v>45737</v>
      </c>
      <c r="D159" s="16" t="s">
        <v>23</v>
      </c>
      <c r="E159" s="17" t="s">
        <v>24</v>
      </c>
      <c r="F159" s="9">
        <v>4609</v>
      </c>
      <c r="G159" s="9">
        <v>427</v>
      </c>
      <c r="H159" s="9">
        <v>395</v>
      </c>
      <c r="I159" s="9">
        <v>33698</v>
      </c>
      <c r="J159" s="9">
        <v>29259</v>
      </c>
      <c r="K159" s="9">
        <v>216</v>
      </c>
      <c r="L159" s="16" t="s">
        <v>19</v>
      </c>
      <c r="M159" s="16" t="s">
        <v>364</v>
      </c>
      <c r="N159" s="16" t="s">
        <v>16</v>
      </c>
      <c r="O159" s="1"/>
    </row>
    <row r="160" spans="1:15">
      <c r="A160" s="1" t="s">
        <v>189</v>
      </c>
      <c r="B160" s="1" t="s">
        <v>13</v>
      </c>
      <c r="C160" s="5">
        <v>45394</v>
      </c>
      <c r="D160" s="16" t="s">
        <v>23</v>
      </c>
      <c r="E160" s="17" t="s">
        <v>30</v>
      </c>
      <c r="F160" s="9">
        <v>1558</v>
      </c>
      <c r="G160" s="9">
        <v>352</v>
      </c>
      <c r="H160" s="9">
        <v>202</v>
      </c>
      <c r="I160" s="9">
        <v>25405</v>
      </c>
      <c r="J160" s="9">
        <v>69941</v>
      </c>
      <c r="K160" s="9">
        <v>219</v>
      </c>
      <c r="L160" s="16" t="s">
        <v>34</v>
      </c>
      <c r="M160" s="16"/>
      <c r="N160" s="16" t="s">
        <v>46</v>
      </c>
      <c r="O160" s="1"/>
    </row>
    <row r="161" spans="1:15">
      <c r="A161" s="1" t="s">
        <v>190</v>
      </c>
      <c r="B161" s="1" t="s">
        <v>27</v>
      </c>
      <c r="C161" s="5">
        <v>45330</v>
      </c>
      <c r="D161" s="16" t="s">
        <v>48</v>
      </c>
      <c r="E161" s="17" t="s">
        <v>33</v>
      </c>
      <c r="F161" s="9">
        <v>1889</v>
      </c>
      <c r="G161" s="9">
        <v>298</v>
      </c>
      <c r="H161" s="9">
        <v>122</v>
      </c>
      <c r="I161" s="9">
        <v>46225</v>
      </c>
      <c r="J161" s="9">
        <v>74305</v>
      </c>
      <c r="K161" s="9">
        <v>293</v>
      </c>
      <c r="L161" s="16" t="s">
        <v>19</v>
      </c>
      <c r="M161" s="16" t="s">
        <v>37</v>
      </c>
      <c r="N161" s="16" t="s">
        <v>49</v>
      </c>
      <c r="O161" s="1"/>
    </row>
    <row r="162" spans="1:15">
      <c r="A162" s="1" t="s">
        <v>191</v>
      </c>
      <c r="B162" s="1" t="s">
        <v>13</v>
      </c>
      <c r="C162" s="5">
        <v>45803</v>
      </c>
      <c r="D162" s="16" t="s">
        <v>14</v>
      </c>
      <c r="E162" s="17" t="s">
        <v>15</v>
      </c>
      <c r="F162" s="9">
        <v>3086</v>
      </c>
      <c r="G162" s="9">
        <v>148</v>
      </c>
      <c r="H162" s="9">
        <v>310</v>
      </c>
      <c r="I162" s="9">
        <v>22824</v>
      </c>
      <c r="J162" s="9">
        <v>58103</v>
      </c>
      <c r="K162" s="9">
        <v>275</v>
      </c>
      <c r="L162" s="16" t="s">
        <v>19</v>
      </c>
      <c r="M162" s="16"/>
      <c r="N162" s="16" t="s">
        <v>20</v>
      </c>
      <c r="O162" s="1"/>
    </row>
    <row r="163" spans="1:15">
      <c r="A163" s="1" t="s">
        <v>192</v>
      </c>
      <c r="B163" s="1" t="s">
        <v>13</v>
      </c>
      <c r="C163" s="5">
        <v>45610</v>
      </c>
      <c r="D163" s="16" t="s">
        <v>14</v>
      </c>
      <c r="E163" s="17" t="s">
        <v>361</v>
      </c>
      <c r="F163" s="9">
        <v>2422</v>
      </c>
      <c r="G163" s="9">
        <v>318</v>
      </c>
      <c r="H163" s="9">
        <v>118</v>
      </c>
      <c r="I163" s="9">
        <v>25386</v>
      </c>
      <c r="J163" s="9">
        <v>20873</v>
      </c>
      <c r="K163" s="9">
        <v>100</v>
      </c>
      <c r="L163" s="16" t="s">
        <v>37</v>
      </c>
      <c r="M163" s="16" t="s">
        <v>34</v>
      </c>
      <c r="N163" s="16" t="s">
        <v>16</v>
      </c>
      <c r="O163" s="1"/>
    </row>
    <row r="164" spans="1:15">
      <c r="A164" s="1" t="s">
        <v>193</v>
      </c>
      <c r="B164" s="1" t="s">
        <v>27</v>
      </c>
      <c r="C164" s="5">
        <v>45513</v>
      </c>
      <c r="D164" s="16" t="s">
        <v>48</v>
      </c>
      <c r="E164" s="17" t="s">
        <v>363</v>
      </c>
      <c r="F164" s="9">
        <v>3414</v>
      </c>
      <c r="G164" s="9">
        <v>154</v>
      </c>
      <c r="H164" s="9">
        <v>204</v>
      </c>
      <c r="I164" s="9">
        <v>34146</v>
      </c>
      <c r="J164" s="9">
        <v>44633</v>
      </c>
      <c r="K164" s="9">
        <v>256</v>
      </c>
      <c r="L164" s="16" t="s">
        <v>19</v>
      </c>
      <c r="M164" s="16" t="s">
        <v>37</v>
      </c>
      <c r="N164" s="16" t="s">
        <v>49</v>
      </c>
      <c r="O164" s="1"/>
    </row>
    <row r="165" spans="1:15">
      <c r="A165" s="1" t="s">
        <v>194</v>
      </c>
      <c r="B165" s="1" t="s">
        <v>13</v>
      </c>
      <c r="C165" s="5">
        <v>45835</v>
      </c>
      <c r="D165" s="16" t="s">
        <v>23</v>
      </c>
      <c r="E165" s="17" t="s">
        <v>362</v>
      </c>
      <c r="F165" s="9">
        <v>1342</v>
      </c>
      <c r="G165" s="9">
        <v>332</v>
      </c>
      <c r="H165" s="9">
        <v>163</v>
      </c>
      <c r="I165" s="9">
        <v>51712</v>
      </c>
      <c r="J165" s="9">
        <v>57922</v>
      </c>
      <c r="K165" s="9">
        <v>168</v>
      </c>
      <c r="L165" s="16" t="s">
        <v>34</v>
      </c>
      <c r="M165" s="16"/>
      <c r="N165" s="16" t="s">
        <v>46</v>
      </c>
      <c r="O165" s="1"/>
    </row>
    <row r="166" spans="1:15">
      <c r="A166" s="1" t="s">
        <v>195</v>
      </c>
      <c r="B166" s="1" t="s">
        <v>13</v>
      </c>
      <c r="C166" s="5">
        <v>45420</v>
      </c>
      <c r="D166" s="16" t="s">
        <v>23</v>
      </c>
      <c r="E166" s="17" t="s">
        <v>361</v>
      </c>
      <c r="F166" s="9">
        <v>2414</v>
      </c>
      <c r="G166" s="9">
        <v>220</v>
      </c>
      <c r="H166" s="9">
        <v>280</v>
      </c>
      <c r="I166" s="9">
        <v>27355</v>
      </c>
      <c r="J166" s="9">
        <v>50562</v>
      </c>
      <c r="K166" s="9">
        <v>258</v>
      </c>
      <c r="L166" s="16" t="s">
        <v>34</v>
      </c>
      <c r="M166" s="16"/>
      <c r="N166" s="16" t="s">
        <v>46</v>
      </c>
      <c r="O166" s="1"/>
    </row>
    <row r="167" spans="1:15">
      <c r="A167" s="1" t="s">
        <v>196</v>
      </c>
      <c r="B167" s="1" t="s">
        <v>13</v>
      </c>
      <c r="C167" s="5">
        <v>45387</v>
      </c>
      <c r="D167" s="16" t="s">
        <v>14</v>
      </c>
      <c r="E167" s="17" t="s">
        <v>24</v>
      </c>
      <c r="F167" s="9">
        <v>4383</v>
      </c>
      <c r="G167" s="9">
        <v>352</v>
      </c>
      <c r="H167" s="9">
        <v>176</v>
      </c>
      <c r="I167" s="9">
        <v>53239</v>
      </c>
      <c r="J167" s="9">
        <v>34168</v>
      </c>
      <c r="K167" s="9">
        <v>288</v>
      </c>
      <c r="L167" s="16" t="s">
        <v>19</v>
      </c>
      <c r="M167" s="16"/>
      <c r="N167" s="16" t="s">
        <v>20</v>
      </c>
      <c r="O167" s="1"/>
    </row>
    <row r="168" spans="1:15">
      <c r="A168" s="1" t="s">
        <v>197</v>
      </c>
      <c r="B168" s="1" t="s">
        <v>27</v>
      </c>
      <c r="C168" s="5">
        <v>45684</v>
      </c>
      <c r="D168" s="16" t="s">
        <v>14</v>
      </c>
      <c r="E168" s="17" t="s">
        <v>360</v>
      </c>
      <c r="F168" s="9">
        <v>4294</v>
      </c>
      <c r="G168" s="9">
        <v>423</v>
      </c>
      <c r="H168" s="9">
        <v>93</v>
      </c>
      <c r="I168" s="9">
        <v>29828</v>
      </c>
      <c r="J168" s="9">
        <v>73144</v>
      </c>
      <c r="K168" s="9">
        <v>298</v>
      </c>
      <c r="L168" s="16" t="s">
        <v>19</v>
      </c>
      <c r="M168" s="16" t="s">
        <v>365</v>
      </c>
      <c r="N168" s="16" t="s">
        <v>20</v>
      </c>
      <c r="O168" s="1"/>
    </row>
    <row r="169" spans="1:15">
      <c r="A169" s="1" t="s">
        <v>198</v>
      </c>
      <c r="B169" s="1" t="s">
        <v>13</v>
      </c>
      <c r="C169" s="5">
        <v>45385</v>
      </c>
      <c r="D169" s="16" t="s">
        <v>14</v>
      </c>
      <c r="E169" s="17" t="s">
        <v>33</v>
      </c>
      <c r="F169" s="9">
        <v>2762</v>
      </c>
      <c r="G169" s="9">
        <v>339</v>
      </c>
      <c r="H169" s="9">
        <v>323</v>
      </c>
      <c r="I169" s="9">
        <v>33757</v>
      </c>
      <c r="J169" s="9">
        <v>68511</v>
      </c>
      <c r="K169" s="9">
        <v>121</v>
      </c>
      <c r="L169" s="16" t="s">
        <v>37</v>
      </c>
      <c r="M169" s="16" t="s">
        <v>34</v>
      </c>
      <c r="N169" s="16" t="s">
        <v>16</v>
      </c>
      <c r="O169" s="1"/>
    </row>
    <row r="170" spans="1:15">
      <c r="A170" s="1" t="s">
        <v>199</v>
      </c>
      <c r="B170" s="1" t="s">
        <v>27</v>
      </c>
      <c r="C170" s="5">
        <v>45660</v>
      </c>
      <c r="D170" s="16" t="s">
        <v>14</v>
      </c>
      <c r="E170" s="17" t="s">
        <v>24</v>
      </c>
      <c r="F170" s="9">
        <v>3782</v>
      </c>
      <c r="G170" s="9">
        <v>484</v>
      </c>
      <c r="H170" s="9">
        <v>144</v>
      </c>
      <c r="I170" s="9">
        <v>52172</v>
      </c>
      <c r="J170" s="9">
        <v>59386</v>
      </c>
      <c r="K170" s="9">
        <v>175</v>
      </c>
      <c r="L170" s="16" t="s">
        <v>19</v>
      </c>
      <c r="M170" s="16" t="s">
        <v>365</v>
      </c>
      <c r="N170" s="16" t="s">
        <v>20</v>
      </c>
      <c r="O170" s="1"/>
    </row>
    <row r="171" spans="1:15">
      <c r="A171" s="1" t="s">
        <v>200</v>
      </c>
      <c r="B171" s="1" t="s">
        <v>22</v>
      </c>
      <c r="C171" s="5">
        <v>45619</v>
      </c>
      <c r="D171" s="16" t="s">
        <v>14</v>
      </c>
      <c r="E171" s="17" t="s">
        <v>24</v>
      </c>
      <c r="F171" s="9">
        <v>4318</v>
      </c>
      <c r="G171" s="9">
        <v>371</v>
      </c>
      <c r="H171" s="9">
        <v>329</v>
      </c>
      <c r="I171" s="9">
        <v>32347</v>
      </c>
      <c r="J171" s="9">
        <v>68956</v>
      </c>
      <c r="K171" s="9">
        <v>259</v>
      </c>
      <c r="L171" s="16" t="s">
        <v>37</v>
      </c>
      <c r="M171" s="16"/>
      <c r="N171" s="16" t="s">
        <v>20</v>
      </c>
      <c r="O171" s="1"/>
    </row>
    <row r="172" spans="1:15">
      <c r="A172" s="1" t="s">
        <v>201</v>
      </c>
      <c r="B172" s="1" t="s">
        <v>13</v>
      </c>
      <c r="C172" s="5">
        <v>45536</v>
      </c>
      <c r="D172" s="16" t="s">
        <v>23</v>
      </c>
      <c r="E172" s="17" t="s">
        <v>360</v>
      </c>
      <c r="F172" s="9">
        <v>2335</v>
      </c>
      <c r="G172" s="9">
        <v>150</v>
      </c>
      <c r="H172" s="9">
        <v>75</v>
      </c>
      <c r="I172" s="9">
        <v>26114</v>
      </c>
      <c r="J172" s="9">
        <v>57549</v>
      </c>
      <c r="K172" s="9">
        <v>135</v>
      </c>
      <c r="L172" s="16" t="s">
        <v>34</v>
      </c>
      <c r="M172" s="16"/>
      <c r="N172" s="16" t="s">
        <v>46</v>
      </c>
      <c r="O172" s="1"/>
    </row>
    <row r="173" spans="1:15">
      <c r="A173" s="1" t="s">
        <v>202</v>
      </c>
      <c r="B173" s="1" t="s">
        <v>27</v>
      </c>
      <c r="C173" s="5">
        <v>45400</v>
      </c>
      <c r="D173" s="16" t="s">
        <v>14</v>
      </c>
      <c r="E173" s="17" t="s">
        <v>18</v>
      </c>
      <c r="F173" s="9">
        <v>4023</v>
      </c>
      <c r="G173" s="9">
        <v>293</v>
      </c>
      <c r="H173" s="9">
        <v>91</v>
      </c>
      <c r="I173" s="9">
        <v>26795</v>
      </c>
      <c r="J173" s="9">
        <v>28924</v>
      </c>
      <c r="K173" s="9">
        <v>278</v>
      </c>
      <c r="L173" s="16" t="s">
        <v>19</v>
      </c>
      <c r="M173" s="16" t="s">
        <v>365</v>
      </c>
      <c r="N173" s="16" t="s">
        <v>20</v>
      </c>
      <c r="O173" s="1"/>
    </row>
    <row r="174" spans="1:15">
      <c r="A174" s="1" t="s">
        <v>203</v>
      </c>
      <c r="B174" s="1" t="s">
        <v>13</v>
      </c>
      <c r="C174" s="5">
        <v>45447</v>
      </c>
      <c r="D174" s="16" t="s">
        <v>14</v>
      </c>
      <c r="E174" s="17" t="s">
        <v>30</v>
      </c>
      <c r="F174" s="9">
        <v>3948</v>
      </c>
      <c r="G174" s="9">
        <v>151</v>
      </c>
      <c r="H174" s="9">
        <v>249</v>
      </c>
      <c r="I174" s="9">
        <v>43147</v>
      </c>
      <c r="J174" s="9">
        <v>63136</v>
      </c>
      <c r="K174" s="9">
        <v>230</v>
      </c>
      <c r="L174" s="16" t="s">
        <v>19</v>
      </c>
      <c r="M174" s="16"/>
      <c r="N174" s="16" t="s">
        <v>20</v>
      </c>
      <c r="O174" s="1"/>
    </row>
    <row r="175" spans="1:15">
      <c r="A175" s="1" t="s">
        <v>204</v>
      </c>
      <c r="B175" s="1" t="s">
        <v>27</v>
      </c>
      <c r="C175" s="5">
        <v>45749</v>
      </c>
      <c r="D175" s="16" t="s">
        <v>14</v>
      </c>
      <c r="E175" s="17" t="s">
        <v>360</v>
      </c>
      <c r="F175" s="9">
        <v>4598</v>
      </c>
      <c r="G175" s="9">
        <v>455</v>
      </c>
      <c r="H175" s="9">
        <v>378</v>
      </c>
      <c r="I175" s="9">
        <v>52952</v>
      </c>
      <c r="J175" s="9">
        <v>58504</v>
      </c>
      <c r="K175" s="9">
        <v>269</v>
      </c>
      <c r="L175" s="16" t="s">
        <v>19</v>
      </c>
      <c r="M175" s="16" t="s">
        <v>365</v>
      </c>
      <c r="N175" s="16" t="s">
        <v>20</v>
      </c>
      <c r="O175" s="1"/>
    </row>
    <row r="176" spans="1:15">
      <c r="A176" s="1" t="s">
        <v>205</v>
      </c>
      <c r="B176" s="1" t="s">
        <v>22</v>
      </c>
      <c r="C176" s="5">
        <v>45748</v>
      </c>
      <c r="D176" s="16" t="s">
        <v>23</v>
      </c>
      <c r="E176" s="17" t="s">
        <v>361</v>
      </c>
      <c r="F176" s="9">
        <v>2665</v>
      </c>
      <c r="G176" s="9">
        <v>143</v>
      </c>
      <c r="H176" s="9">
        <v>315</v>
      </c>
      <c r="I176" s="9">
        <v>54808</v>
      </c>
      <c r="J176" s="9">
        <v>29818</v>
      </c>
      <c r="K176" s="9">
        <v>98</v>
      </c>
      <c r="L176" s="16" t="s">
        <v>19</v>
      </c>
      <c r="M176" s="16" t="s">
        <v>364</v>
      </c>
      <c r="N176" s="16" t="s">
        <v>16</v>
      </c>
      <c r="O176" s="1"/>
    </row>
    <row r="177" spans="1:15">
      <c r="A177" s="1" t="s">
        <v>206</v>
      </c>
      <c r="B177" s="1" t="s">
        <v>13</v>
      </c>
      <c r="C177" s="5">
        <v>45475</v>
      </c>
      <c r="D177" s="16" t="s">
        <v>14</v>
      </c>
      <c r="E177" s="17" t="s">
        <v>33</v>
      </c>
      <c r="F177" s="9">
        <v>3469</v>
      </c>
      <c r="G177" s="9">
        <v>371</v>
      </c>
      <c r="H177" s="9">
        <v>76</v>
      </c>
      <c r="I177" s="9">
        <v>46493</v>
      </c>
      <c r="J177" s="9">
        <v>26906</v>
      </c>
      <c r="K177" s="9">
        <v>150</v>
      </c>
      <c r="L177" s="16" t="s">
        <v>37</v>
      </c>
      <c r="M177" s="16" t="s">
        <v>34</v>
      </c>
      <c r="N177" s="16" t="s">
        <v>16</v>
      </c>
      <c r="O177" s="1"/>
    </row>
    <row r="178" spans="1:15">
      <c r="A178" s="1" t="s">
        <v>207</v>
      </c>
      <c r="B178" s="1" t="s">
        <v>22</v>
      </c>
      <c r="C178" s="5">
        <v>45606</v>
      </c>
      <c r="D178" s="16" t="s">
        <v>14</v>
      </c>
      <c r="E178" s="17" t="s">
        <v>18</v>
      </c>
      <c r="F178" s="9">
        <v>4823</v>
      </c>
      <c r="G178" s="9">
        <v>489</v>
      </c>
      <c r="H178" s="9">
        <v>302</v>
      </c>
      <c r="I178" s="9">
        <v>32470</v>
      </c>
      <c r="J178" s="9">
        <v>31861</v>
      </c>
      <c r="K178" s="9">
        <v>178</v>
      </c>
      <c r="L178" s="16" t="s">
        <v>37</v>
      </c>
      <c r="M178" s="16"/>
      <c r="N178" s="16" t="s">
        <v>20</v>
      </c>
      <c r="O178" s="1"/>
    </row>
    <row r="179" spans="1:15">
      <c r="A179" s="1" t="s">
        <v>208</v>
      </c>
      <c r="B179" s="1" t="s">
        <v>13</v>
      </c>
      <c r="C179" s="5">
        <v>45640</v>
      </c>
      <c r="D179" s="16" t="s">
        <v>23</v>
      </c>
      <c r="E179" s="17" t="s">
        <v>363</v>
      </c>
      <c r="F179" s="9">
        <v>3812</v>
      </c>
      <c r="G179" s="9">
        <v>321</v>
      </c>
      <c r="H179" s="9">
        <v>289</v>
      </c>
      <c r="I179" s="9">
        <v>59838</v>
      </c>
      <c r="J179" s="9">
        <v>36337</v>
      </c>
      <c r="K179" s="9">
        <v>161</v>
      </c>
      <c r="L179" s="16" t="s">
        <v>34</v>
      </c>
      <c r="M179" s="16"/>
      <c r="N179" s="16" t="s">
        <v>46</v>
      </c>
      <c r="O179" s="1"/>
    </row>
    <row r="180" spans="1:15">
      <c r="A180" s="1" t="s">
        <v>209</v>
      </c>
      <c r="B180" s="1" t="s">
        <v>22</v>
      </c>
      <c r="C180" s="5">
        <v>45615</v>
      </c>
      <c r="D180" s="16" t="s">
        <v>14</v>
      </c>
      <c r="E180" s="17" t="s">
        <v>18</v>
      </c>
      <c r="F180" s="9">
        <v>2387</v>
      </c>
      <c r="G180" s="9">
        <v>353</v>
      </c>
      <c r="H180" s="9">
        <v>78</v>
      </c>
      <c r="I180" s="9">
        <v>39745</v>
      </c>
      <c r="J180" s="9">
        <v>69226</v>
      </c>
      <c r="K180" s="9">
        <v>208</v>
      </c>
      <c r="L180" s="16" t="s">
        <v>37</v>
      </c>
      <c r="M180" s="16"/>
      <c r="N180" s="16" t="s">
        <v>20</v>
      </c>
      <c r="O180" s="1"/>
    </row>
    <row r="181" spans="1:15">
      <c r="A181" s="1" t="s">
        <v>210</v>
      </c>
      <c r="B181" s="1" t="s">
        <v>22</v>
      </c>
      <c r="C181" s="5">
        <v>45777</v>
      </c>
      <c r="D181" s="16" t="s">
        <v>23</v>
      </c>
      <c r="E181" s="17" t="s">
        <v>360</v>
      </c>
      <c r="F181" s="9">
        <v>3929</v>
      </c>
      <c r="G181" s="9">
        <v>275</v>
      </c>
      <c r="H181" s="9">
        <v>330</v>
      </c>
      <c r="I181" s="9">
        <v>58329</v>
      </c>
      <c r="J181" s="9">
        <v>33196</v>
      </c>
      <c r="K181" s="9">
        <v>85</v>
      </c>
      <c r="L181" s="16" t="s">
        <v>364</v>
      </c>
      <c r="M181" s="16" t="s">
        <v>34</v>
      </c>
      <c r="N181" s="16" t="s">
        <v>16</v>
      </c>
      <c r="O181" s="1"/>
    </row>
    <row r="182" spans="1:15">
      <c r="A182" s="1" t="s">
        <v>211</v>
      </c>
      <c r="B182" s="1" t="s">
        <v>22</v>
      </c>
      <c r="C182" s="5">
        <v>45370</v>
      </c>
      <c r="D182" s="16" t="s">
        <v>14</v>
      </c>
      <c r="E182" s="17" t="s">
        <v>363</v>
      </c>
      <c r="F182" s="9">
        <v>2191</v>
      </c>
      <c r="G182" s="9">
        <v>288</v>
      </c>
      <c r="H182" s="9">
        <v>83</v>
      </c>
      <c r="I182" s="9">
        <v>59606</v>
      </c>
      <c r="J182" s="9">
        <v>24765</v>
      </c>
      <c r="K182" s="9">
        <v>281</v>
      </c>
      <c r="L182" s="16" t="s">
        <v>37</v>
      </c>
      <c r="M182" s="16"/>
      <c r="N182" s="16" t="s">
        <v>20</v>
      </c>
      <c r="O182" s="1"/>
    </row>
    <row r="183" spans="1:15">
      <c r="A183" s="1" t="s">
        <v>212</v>
      </c>
      <c r="B183" s="1" t="s">
        <v>13</v>
      </c>
      <c r="C183" s="5">
        <v>45370</v>
      </c>
      <c r="D183" s="16" t="s">
        <v>14</v>
      </c>
      <c r="E183" s="17" t="s">
        <v>363</v>
      </c>
      <c r="F183" s="9">
        <v>2878</v>
      </c>
      <c r="G183" s="9">
        <v>278</v>
      </c>
      <c r="H183" s="9">
        <v>255</v>
      </c>
      <c r="I183" s="9">
        <v>47235</v>
      </c>
      <c r="J183" s="9">
        <v>57922</v>
      </c>
      <c r="K183" s="9">
        <v>112</v>
      </c>
      <c r="L183" s="16" t="s">
        <v>37</v>
      </c>
      <c r="M183" s="16" t="s">
        <v>34</v>
      </c>
      <c r="N183" s="16" t="s">
        <v>16</v>
      </c>
      <c r="O183" s="1"/>
    </row>
    <row r="184" spans="1:15">
      <c r="A184" s="1" t="s">
        <v>213</v>
      </c>
      <c r="B184" s="1" t="s">
        <v>22</v>
      </c>
      <c r="C184" s="5">
        <v>45496</v>
      </c>
      <c r="D184" s="16" t="s">
        <v>14</v>
      </c>
      <c r="E184" s="17" t="s">
        <v>33</v>
      </c>
      <c r="F184" s="9">
        <v>3204</v>
      </c>
      <c r="G184" s="9">
        <v>398</v>
      </c>
      <c r="H184" s="9">
        <v>85</v>
      </c>
      <c r="I184" s="9">
        <v>22020</v>
      </c>
      <c r="J184" s="9">
        <v>58353</v>
      </c>
      <c r="K184" s="9">
        <v>286</v>
      </c>
      <c r="L184" s="16" t="s">
        <v>37</v>
      </c>
      <c r="M184" s="16"/>
      <c r="N184" s="16" t="s">
        <v>20</v>
      </c>
      <c r="O184" s="1"/>
    </row>
    <row r="185" spans="1:15">
      <c r="A185" s="1" t="s">
        <v>214</v>
      </c>
      <c r="B185" s="1" t="s">
        <v>22</v>
      </c>
      <c r="C185" s="5">
        <v>45486</v>
      </c>
      <c r="D185" s="16" t="s">
        <v>23</v>
      </c>
      <c r="E185" s="17" t="s">
        <v>30</v>
      </c>
      <c r="F185" s="9">
        <v>2408</v>
      </c>
      <c r="G185" s="9">
        <v>323</v>
      </c>
      <c r="H185" s="9">
        <v>251</v>
      </c>
      <c r="I185" s="9">
        <v>47599</v>
      </c>
      <c r="J185" s="9">
        <v>35543</v>
      </c>
      <c r="K185" s="9">
        <v>287</v>
      </c>
      <c r="L185" s="16" t="s">
        <v>364</v>
      </c>
      <c r="M185" s="16" t="s">
        <v>34</v>
      </c>
      <c r="N185" s="16" t="s">
        <v>16</v>
      </c>
      <c r="O185" s="1"/>
    </row>
    <row r="186" spans="1:15">
      <c r="A186" s="1" t="s">
        <v>215</v>
      </c>
      <c r="B186" s="1" t="s">
        <v>27</v>
      </c>
      <c r="C186" s="5">
        <v>45769</v>
      </c>
      <c r="D186" s="16" t="s">
        <v>48</v>
      </c>
      <c r="E186" s="17" t="s">
        <v>24</v>
      </c>
      <c r="F186" s="9">
        <v>2733</v>
      </c>
      <c r="G186" s="9">
        <v>297</v>
      </c>
      <c r="H186" s="9">
        <v>235</v>
      </c>
      <c r="I186" s="9">
        <v>37980</v>
      </c>
      <c r="J186" s="9">
        <v>33058</v>
      </c>
      <c r="K186" s="9">
        <v>219</v>
      </c>
      <c r="L186" s="16" t="s">
        <v>19</v>
      </c>
      <c r="M186" s="16" t="s">
        <v>37</v>
      </c>
      <c r="N186" s="16" t="s">
        <v>49</v>
      </c>
      <c r="O186" s="1"/>
    </row>
    <row r="187" spans="1:15">
      <c r="A187" s="1" t="s">
        <v>216</v>
      </c>
      <c r="B187" s="1" t="s">
        <v>22</v>
      </c>
      <c r="C187" s="5">
        <v>45459</v>
      </c>
      <c r="D187" s="16" t="s">
        <v>23</v>
      </c>
      <c r="E187" s="17" t="s">
        <v>18</v>
      </c>
      <c r="F187" s="9">
        <v>4618</v>
      </c>
      <c r="G187" s="9">
        <v>312</v>
      </c>
      <c r="H187" s="9">
        <v>254</v>
      </c>
      <c r="I187" s="9">
        <v>22571</v>
      </c>
      <c r="J187" s="9">
        <v>29453</v>
      </c>
      <c r="K187" s="9">
        <v>197</v>
      </c>
      <c r="L187" s="16" t="s">
        <v>364</v>
      </c>
      <c r="M187" s="16" t="s">
        <v>34</v>
      </c>
      <c r="N187" s="16" t="s">
        <v>16</v>
      </c>
      <c r="O187" s="1"/>
    </row>
    <row r="188" spans="1:15">
      <c r="A188" s="1" t="s">
        <v>217</v>
      </c>
      <c r="B188" s="1" t="s">
        <v>27</v>
      </c>
      <c r="C188" s="5">
        <v>45795</v>
      </c>
      <c r="D188" s="16" t="s">
        <v>48</v>
      </c>
      <c r="E188" s="17" t="s">
        <v>360</v>
      </c>
      <c r="F188" s="9">
        <v>4210</v>
      </c>
      <c r="G188" s="9">
        <v>319</v>
      </c>
      <c r="H188" s="9">
        <v>350</v>
      </c>
      <c r="I188" s="9">
        <v>37762</v>
      </c>
      <c r="J188" s="9">
        <v>55162</v>
      </c>
      <c r="K188" s="9">
        <v>204</v>
      </c>
      <c r="L188" s="16" t="s">
        <v>19</v>
      </c>
      <c r="M188" s="16" t="s">
        <v>37</v>
      </c>
      <c r="N188" s="16" t="s">
        <v>49</v>
      </c>
      <c r="O188" s="1"/>
    </row>
    <row r="189" spans="1:15">
      <c r="A189" s="1" t="s">
        <v>218</v>
      </c>
      <c r="B189" s="1" t="s">
        <v>13</v>
      </c>
      <c r="C189" s="5">
        <v>45814</v>
      </c>
      <c r="D189" s="16" t="s">
        <v>14</v>
      </c>
      <c r="E189" s="17" t="s">
        <v>360</v>
      </c>
      <c r="F189" s="9">
        <v>3987</v>
      </c>
      <c r="G189" s="9">
        <v>171</v>
      </c>
      <c r="H189" s="9">
        <v>274</v>
      </c>
      <c r="I189" s="9">
        <v>45122</v>
      </c>
      <c r="J189" s="9">
        <v>65431</v>
      </c>
      <c r="K189" s="9">
        <v>168</v>
      </c>
      <c r="L189" s="16" t="s">
        <v>19</v>
      </c>
      <c r="M189" s="16"/>
      <c r="N189" s="16" t="s">
        <v>20</v>
      </c>
      <c r="O189" s="1"/>
    </row>
    <row r="190" spans="1:15">
      <c r="A190" s="1" t="s">
        <v>219</v>
      </c>
      <c r="B190" s="1" t="s">
        <v>27</v>
      </c>
      <c r="C190" s="5">
        <v>45708</v>
      </c>
      <c r="D190" s="16" t="s">
        <v>48</v>
      </c>
      <c r="E190" s="17" t="s">
        <v>30</v>
      </c>
      <c r="F190" s="9">
        <v>4957</v>
      </c>
      <c r="G190" s="9">
        <v>262</v>
      </c>
      <c r="H190" s="9">
        <v>365</v>
      </c>
      <c r="I190" s="9">
        <v>49199</v>
      </c>
      <c r="J190" s="9">
        <v>40314</v>
      </c>
      <c r="K190" s="9">
        <v>216</v>
      </c>
      <c r="L190" s="16" t="s">
        <v>19</v>
      </c>
      <c r="M190" s="16" t="s">
        <v>37</v>
      </c>
      <c r="N190" s="16" t="s">
        <v>49</v>
      </c>
      <c r="O190" s="1"/>
    </row>
    <row r="191" spans="1:15">
      <c r="A191" s="1" t="s">
        <v>220</v>
      </c>
      <c r="B191" s="1" t="s">
        <v>13</v>
      </c>
      <c r="C191" s="5">
        <v>45673</v>
      </c>
      <c r="D191" s="16" t="s">
        <v>14</v>
      </c>
      <c r="E191" s="17" t="s">
        <v>361</v>
      </c>
      <c r="F191" s="9">
        <v>2605</v>
      </c>
      <c r="G191" s="9">
        <v>282</v>
      </c>
      <c r="H191" s="9">
        <v>148</v>
      </c>
      <c r="I191" s="9">
        <v>32201</v>
      </c>
      <c r="J191" s="9">
        <v>49583</v>
      </c>
      <c r="K191" s="9">
        <v>241</v>
      </c>
      <c r="L191" s="16" t="s">
        <v>37</v>
      </c>
      <c r="M191" s="16" t="s">
        <v>34</v>
      </c>
      <c r="N191" s="16" t="s">
        <v>16</v>
      </c>
      <c r="O191" s="1"/>
    </row>
    <row r="192" spans="1:15">
      <c r="A192" s="1" t="s">
        <v>221</v>
      </c>
      <c r="B192" s="1" t="s">
        <v>27</v>
      </c>
      <c r="C192" s="5">
        <v>45346</v>
      </c>
      <c r="D192" s="16" t="s">
        <v>48</v>
      </c>
      <c r="E192" s="17" t="s">
        <v>15</v>
      </c>
      <c r="F192" s="9">
        <v>4221</v>
      </c>
      <c r="G192" s="9">
        <v>307</v>
      </c>
      <c r="H192" s="9">
        <v>58</v>
      </c>
      <c r="I192" s="9">
        <v>45080</v>
      </c>
      <c r="J192" s="9">
        <v>37214</v>
      </c>
      <c r="K192" s="9">
        <v>240</v>
      </c>
      <c r="L192" s="16" t="s">
        <v>19</v>
      </c>
      <c r="M192" s="16" t="s">
        <v>37</v>
      </c>
      <c r="N192" s="16" t="s">
        <v>49</v>
      </c>
      <c r="O192" s="1"/>
    </row>
    <row r="193" spans="1:15">
      <c r="A193" s="1" t="s">
        <v>222</v>
      </c>
      <c r="B193" s="1" t="s">
        <v>22</v>
      </c>
      <c r="C193" s="5">
        <v>45551</v>
      </c>
      <c r="D193" s="16" t="s">
        <v>23</v>
      </c>
      <c r="E193" s="17" t="s">
        <v>362</v>
      </c>
      <c r="F193" s="9">
        <v>4422</v>
      </c>
      <c r="G193" s="9">
        <v>434</v>
      </c>
      <c r="H193" s="9">
        <v>156</v>
      </c>
      <c r="I193" s="9">
        <v>56165</v>
      </c>
      <c r="J193" s="9">
        <v>52431</v>
      </c>
      <c r="K193" s="9">
        <v>173</v>
      </c>
      <c r="L193" s="16" t="s">
        <v>19</v>
      </c>
      <c r="M193" s="16" t="s">
        <v>364</v>
      </c>
      <c r="N193" s="16" t="s">
        <v>16</v>
      </c>
      <c r="O193" s="1"/>
    </row>
    <row r="194" spans="1:15">
      <c r="A194" s="1" t="s">
        <v>223</v>
      </c>
      <c r="B194" s="1" t="s">
        <v>27</v>
      </c>
      <c r="C194" s="5">
        <v>45447</v>
      </c>
      <c r="D194" s="16" t="s">
        <v>48</v>
      </c>
      <c r="E194" s="17" t="s">
        <v>360</v>
      </c>
      <c r="F194" s="9">
        <v>1211</v>
      </c>
      <c r="G194" s="9">
        <v>431</v>
      </c>
      <c r="H194" s="9">
        <v>83</v>
      </c>
      <c r="I194" s="9">
        <v>26532</v>
      </c>
      <c r="J194" s="9">
        <v>47305</v>
      </c>
      <c r="K194" s="9">
        <v>232</v>
      </c>
      <c r="L194" s="16" t="s">
        <v>19</v>
      </c>
      <c r="M194" s="16" t="s">
        <v>37</v>
      </c>
      <c r="N194" s="16" t="s">
        <v>49</v>
      </c>
      <c r="O194" s="1"/>
    </row>
    <row r="195" spans="1:15">
      <c r="A195" s="1" t="s">
        <v>224</v>
      </c>
      <c r="B195" s="1" t="s">
        <v>22</v>
      </c>
      <c r="C195" s="5">
        <v>45422</v>
      </c>
      <c r="D195" s="16" t="s">
        <v>23</v>
      </c>
      <c r="E195" s="17" t="s">
        <v>18</v>
      </c>
      <c r="F195" s="9">
        <v>2784</v>
      </c>
      <c r="G195" s="9">
        <v>111</v>
      </c>
      <c r="H195" s="9">
        <v>399</v>
      </c>
      <c r="I195" s="9">
        <v>58366</v>
      </c>
      <c r="J195" s="9">
        <v>69512</v>
      </c>
      <c r="K195" s="9">
        <v>269</v>
      </c>
      <c r="L195" s="16" t="s">
        <v>364</v>
      </c>
      <c r="M195" s="16" t="s">
        <v>34</v>
      </c>
      <c r="N195" s="16" t="s">
        <v>16</v>
      </c>
      <c r="O195" s="1"/>
    </row>
    <row r="196" spans="1:15">
      <c r="A196" s="1" t="s">
        <v>225</v>
      </c>
      <c r="B196" s="1" t="s">
        <v>27</v>
      </c>
      <c r="C196" s="5">
        <v>45305</v>
      </c>
      <c r="D196" s="16" t="s">
        <v>14</v>
      </c>
      <c r="E196" s="17" t="s">
        <v>24</v>
      </c>
      <c r="F196" s="9">
        <v>3634</v>
      </c>
      <c r="G196" s="9">
        <v>280</v>
      </c>
      <c r="H196" s="9">
        <v>399</v>
      </c>
      <c r="I196" s="9">
        <v>40256</v>
      </c>
      <c r="J196" s="9">
        <v>52605</v>
      </c>
      <c r="K196" s="9">
        <v>213</v>
      </c>
      <c r="L196" s="16" t="s">
        <v>19</v>
      </c>
      <c r="M196" s="16" t="s">
        <v>365</v>
      </c>
      <c r="N196" s="16" t="s">
        <v>20</v>
      </c>
      <c r="O196" s="1"/>
    </row>
    <row r="197" spans="1:15">
      <c r="A197" s="1" t="s">
        <v>226</v>
      </c>
      <c r="B197" s="1" t="s">
        <v>13</v>
      </c>
      <c r="C197" s="5">
        <v>45669</v>
      </c>
      <c r="D197" s="16" t="s">
        <v>14</v>
      </c>
      <c r="E197" s="17" t="s">
        <v>363</v>
      </c>
      <c r="F197" s="9">
        <v>1771</v>
      </c>
      <c r="G197" s="9">
        <v>487</v>
      </c>
      <c r="H197" s="9">
        <v>272</v>
      </c>
      <c r="I197" s="9">
        <v>48810</v>
      </c>
      <c r="J197" s="9">
        <v>48084</v>
      </c>
      <c r="K197" s="9">
        <v>272</v>
      </c>
      <c r="L197" s="16" t="s">
        <v>37</v>
      </c>
      <c r="M197" s="16" t="s">
        <v>34</v>
      </c>
      <c r="N197" s="16" t="s">
        <v>16</v>
      </c>
      <c r="O197" s="1"/>
    </row>
    <row r="198" spans="1:15">
      <c r="A198" s="1" t="s">
        <v>227</v>
      </c>
      <c r="B198" s="1" t="s">
        <v>27</v>
      </c>
      <c r="C198" s="5">
        <v>45634</v>
      </c>
      <c r="D198" s="16" t="s">
        <v>14</v>
      </c>
      <c r="E198" s="17" t="s">
        <v>33</v>
      </c>
      <c r="F198" s="9">
        <v>1424</v>
      </c>
      <c r="G198" s="9">
        <v>396</v>
      </c>
      <c r="H198" s="9">
        <v>312</v>
      </c>
      <c r="I198" s="9">
        <v>59517</v>
      </c>
      <c r="J198" s="9">
        <v>46102</v>
      </c>
      <c r="K198" s="9">
        <v>239</v>
      </c>
      <c r="L198" s="16" t="s">
        <v>19</v>
      </c>
      <c r="M198" s="16" t="s">
        <v>365</v>
      </c>
      <c r="N198" s="16" t="s">
        <v>20</v>
      </c>
      <c r="O198" s="1"/>
    </row>
    <row r="199" spans="1:15">
      <c r="A199" s="1" t="s">
        <v>228</v>
      </c>
      <c r="B199" s="1" t="s">
        <v>22</v>
      </c>
      <c r="C199" s="5">
        <v>45689</v>
      </c>
      <c r="D199" s="16" t="s">
        <v>23</v>
      </c>
      <c r="E199" s="17" t="s">
        <v>33</v>
      </c>
      <c r="F199" s="9">
        <v>1079</v>
      </c>
      <c r="G199" s="9">
        <v>265</v>
      </c>
      <c r="H199" s="9">
        <v>190</v>
      </c>
      <c r="I199" s="9">
        <v>43786</v>
      </c>
      <c r="J199" s="9">
        <v>72428</v>
      </c>
      <c r="K199" s="9">
        <v>222</v>
      </c>
      <c r="L199" s="16" t="s">
        <v>37</v>
      </c>
      <c r="M199" s="16" t="s">
        <v>34</v>
      </c>
      <c r="N199" s="16" t="s">
        <v>16</v>
      </c>
      <c r="O199" s="1"/>
    </row>
    <row r="200" spans="1:15">
      <c r="A200" s="1" t="s">
        <v>229</v>
      </c>
      <c r="B200" s="1" t="s">
        <v>22</v>
      </c>
      <c r="C200" s="5">
        <v>45484</v>
      </c>
      <c r="D200" s="16" t="s">
        <v>23</v>
      </c>
      <c r="E200" s="17" t="s">
        <v>30</v>
      </c>
      <c r="F200" s="9">
        <v>4247</v>
      </c>
      <c r="G200" s="9">
        <v>179</v>
      </c>
      <c r="H200" s="9">
        <v>175</v>
      </c>
      <c r="I200" s="9">
        <v>32991</v>
      </c>
      <c r="J200" s="9">
        <v>70120</v>
      </c>
      <c r="K200" s="9">
        <v>276</v>
      </c>
      <c r="L200" s="16" t="s">
        <v>37</v>
      </c>
      <c r="M200" s="16" t="s">
        <v>34</v>
      </c>
      <c r="N200" s="16" t="s">
        <v>16</v>
      </c>
      <c r="O200" s="1"/>
    </row>
    <row r="201" spans="1:15">
      <c r="A201" s="1" t="s">
        <v>230</v>
      </c>
      <c r="B201" s="1" t="s">
        <v>22</v>
      </c>
      <c r="C201" s="5">
        <v>45369</v>
      </c>
      <c r="D201" s="16" t="s">
        <v>14</v>
      </c>
      <c r="E201" s="17" t="s">
        <v>24</v>
      </c>
      <c r="F201" s="9">
        <v>2033</v>
      </c>
      <c r="G201" s="9">
        <v>420</v>
      </c>
      <c r="H201" s="9">
        <v>94</v>
      </c>
      <c r="I201" s="9">
        <v>56290</v>
      </c>
      <c r="J201" s="9">
        <v>57391</v>
      </c>
      <c r="K201" s="9">
        <v>196</v>
      </c>
      <c r="L201" s="16" t="s">
        <v>34</v>
      </c>
      <c r="M201" s="16"/>
      <c r="N201" s="16" t="s">
        <v>16</v>
      </c>
      <c r="O201" s="1"/>
    </row>
    <row r="202" spans="1:15">
      <c r="A202" s="1" t="s">
        <v>231</v>
      </c>
      <c r="B202" s="1" t="s">
        <v>22</v>
      </c>
      <c r="C202" s="5">
        <v>45547</v>
      </c>
      <c r="D202" s="16" t="s">
        <v>23</v>
      </c>
      <c r="E202" s="17" t="s">
        <v>360</v>
      </c>
      <c r="F202" s="9">
        <v>1839</v>
      </c>
      <c r="G202" s="9">
        <v>223</v>
      </c>
      <c r="H202" s="9">
        <v>171</v>
      </c>
      <c r="I202" s="9">
        <v>35459</v>
      </c>
      <c r="J202" s="9">
        <v>69988</v>
      </c>
      <c r="K202" s="9">
        <v>114</v>
      </c>
      <c r="L202" s="16" t="s">
        <v>364</v>
      </c>
      <c r="M202" s="16" t="s">
        <v>34</v>
      </c>
      <c r="N202" s="16" t="s">
        <v>16</v>
      </c>
      <c r="O202" s="1"/>
    </row>
    <row r="203" spans="1:15">
      <c r="A203" s="1" t="s">
        <v>232</v>
      </c>
      <c r="B203" s="1" t="s">
        <v>22</v>
      </c>
      <c r="C203" s="5">
        <v>45302</v>
      </c>
      <c r="D203" s="16" t="s">
        <v>23</v>
      </c>
      <c r="E203" s="17" t="s">
        <v>360</v>
      </c>
      <c r="F203" s="9">
        <v>2340</v>
      </c>
      <c r="G203" s="9">
        <v>141</v>
      </c>
      <c r="H203" s="9">
        <v>206</v>
      </c>
      <c r="I203" s="9">
        <v>24916</v>
      </c>
      <c r="J203" s="9">
        <v>30582</v>
      </c>
      <c r="K203" s="9">
        <v>157</v>
      </c>
      <c r="L203" s="16" t="s">
        <v>37</v>
      </c>
      <c r="M203" s="16" t="s">
        <v>34</v>
      </c>
      <c r="N203" s="16" t="s">
        <v>16</v>
      </c>
      <c r="O203" s="1"/>
    </row>
    <row r="204" spans="1:15">
      <c r="A204" s="1" t="s">
        <v>233</v>
      </c>
      <c r="B204" s="1" t="s">
        <v>13</v>
      </c>
      <c r="C204" s="5">
        <v>45571</v>
      </c>
      <c r="D204" s="16" t="s">
        <v>14</v>
      </c>
      <c r="E204" s="17" t="s">
        <v>33</v>
      </c>
      <c r="F204" s="9">
        <v>2080</v>
      </c>
      <c r="G204" s="9">
        <v>389</v>
      </c>
      <c r="H204" s="9">
        <v>92</v>
      </c>
      <c r="I204" s="9">
        <v>30971</v>
      </c>
      <c r="J204" s="9">
        <v>25347</v>
      </c>
      <c r="K204" s="9">
        <v>111</v>
      </c>
      <c r="L204" s="16" t="s">
        <v>19</v>
      </c>
      <c r="M204" s="16"/>
      <c r="N204" s="16" t="s">
        <v>20</v>
      </c>
      <c r="O204" s="1"/>
    </row>
    <row r="205" spans="1:15">
      <c r="A205" s="1" t="s">
        <v>234</v>
      </c>
      <c r="B205" s="1" t="s">
        <v>22</v>
      </c>
      <c r="C205" s="5">
        <v>45656</v>
      </c>
      <c r="D205" s="16" t="s">
        <v>14</v>
      </c>
      <c r="E205" s="17" t="s">
        <v>30</v>
      </c>
      <c r="F205" s="9">
        <v>4214</v>
      </c>
      <c r="G205" s="9">
        <v>286</v>
      </c>
      <c r="H205" s="9">
        <v>127</v>
      </c>
      <c r="I205" s="9">
        <v>47293</v>
      </c>
      <c r="J205" s="9">
        <v>27184</v>
      </c>
      <c r="K205" s="9">
        <v>232</v>
      </c>
      <c r="L205" s="16" t="s">
        <v>34</v>
      </c>
      <c r="M205" s="16"/>
      <c r="N205" s="16" t="s">
        <v>16</v>
      </c>
      <c r="O205" s="1"/>
    </row>
    <row r="206" spans="1:15">
      <c r="A206" s="1" t="s">
        <v>235</v>
      </c>
      <c r="B206" s="1" t="s">
        <v>22</v>
      </c>
      <c r="C206" s="5">
        <v>45763</v>
      </c>
      <c r="D206" s="16" t="s">
        <v>14</v>
      </c>
      <c r="E206" s="17" t="s">
        <v>360</v>
      </c>
      <c r="F206" s="9">
        <v>3792</v>
      </c>
      <c r="G206" s="9">
        <v>315</v>
      </c>
      <c r="H206" s="9">
        <v>120</v>
      </c>
      <c r="I206" s="9">
        <v>54592</v>
      </c>
      <c r="J206" s="9">
        <v>67886</v>
      </c>
      <c r="K206" s="9">
        <v>117</v>
      </c>
      <c r="L206" s="16" t="s">
        <v>37</v>
      </c>
      <c r="M206" s="16"/>
      <c r="N206" s="16" t="s">
        <v>20</v>
      </c>
      <c r="O206" s="1"/>
    </row>
    <row r="207" spans="1:15">
      <c r="A207" s="1" t="s">
        <v>236</v>
      </c>
      <c r="B207" s="1" t="s">
        <v>22</v>
      </c>
      <c r="C207" s="5">
        <v>45525</v>
      </c>
      <c r="D207" s="16" t="s">
        <v>23</v>
      </c>
      <c r="E207" s="17" t="s">
        <v>18</v>
      </c>
      <c r="F207" s="9">
        <v>3989</v>
      </c>
      <c r="G207" s="9">
        <v>476</v>
      </c>
      <c r="H207" s="9">
        <v>128</v>
      </c>
      <c r="I207" s="9">
        <v>57569</v>
      </c>
      <c r="J207" s="9">
        <v>40193</v>
      </c>
      <c r="K207" s="9">
        <v>222</v>
      </c>
      <c r="L207" s="16" t="s">
        <v>19</v>
      </c>
      <c r="M207" s="16" t="s">
        <v>364</v>
      </c>
      <c r="N207" s="16" t="s">
        <v>16</v>
      </c>
      <c r="O207" s="1"/>
    </row>
    <row r="208" spans="1:15">
      <c r="A208" s="1" t="s">
        <v>237</v>
      </c>
      <c r="B208" s="1" t="s">
        <v>22</v>
      </c>
      <c r="C208" s="5">
        <v>45387</v>
      </c>
      <c r="D208" s="16" t="s">
        <v>23</v>
      </c>
      <c r="E208" s="17" t="s">
        <v>360</v>
      </c>
      <c r="F208" s="9">
        <v>2857</v>
      </c>
      <c r="G208" s="9">
        <v>443</v>
      </c>
      <c r="H208" s="9">
        <v>359</v>
      </c>
      <c r="I208" s="9">
        <v>51519</v>
      </c>
      <c r="J208" s="9">
        <v>28256</v>
      </c>
      <c r="K208" s="9">
        <v>155</v>
      </c>
      <c r="L208" s="16" t="s">
        <v>37</v>
      </c>
      <c r="M208" s="16" t="s">
        <v>34</v>
      </c>
      <c r="N208" s="16" t="s">
        <v>16</v>
      </c>
      <c r="O208" s="1"/>
    </row>
    <row r="209" spans="1:15">
      <c r="A209" s="1" t="s">
        <v>238</v>
      </c>
      <c r="B209" s="1" t="s">
        <v>22</v>
      </c>
      <c r="C209" s="5">
        <v>45754</v>
      </c>
      <c r="D209" s="16" t="s">
        <v>14</v>
      </c>
      <c r="E209" s="17" t="s">
        <v>363</v>
      </c>
      <c r="F209" s="9">
        <v>1403</v>
      </c>
      <c r="G209" s="9">
        <v>385</v>
      </c>
      <c r="H209" s="9">
        <v>344</v>
      </c>
      <c r="I209" s="9">
        <v>54223</v>
      </c>
      <c r="J209" s="9">
        <v>72595</v>
      </c>
      <c r="K209" s="9">
        <v>239</v>
      </c>
      <c r="L209" s="16" t="s">
        <v>37</v>
      </c>
      <c r="M209" s="16"/>
      <c r="N209" s="16" t="s">
        <v>20</v>
      </c>
      <c r="O209" s="1"/>
    </row>
    <row r="210" spans="1:15">
      <c r="A210" s="1" t="s">
        <v>239</v>
      </c>
      <c r="B210" s="1" t="s">
        <v>22</v>
      </c>
      <c r="C210" s="5">
        <v>45492</v>
      </c>
      <c r="D210" s="16" t="s">
        <v>23</v>
      </c>
      <c r="E210" s="17" t="s">
        <v>362</v>
      </c>
      <c r="F210" s="9">
        <v>3071</v>
      </c>
      <c r="G210" s="9">
        <v>126</v>
      </c>
      <c r="H210" s="9">
        <v>200</v>
      </c>
      <c r="I210" s="9">
        <v>44013</v>
      </c>
      <c r="J210" s="9">
        <v>44679</v>
      </c>
      <c r="K210" s="9">
        <v>118</v>
      </c>
      <c r="L210" s="16" t="s">
        <v>19</v>
      </c>
      <c r="M210" s="16" t="s">
        <v>364</v>
      </c>
      <c r="N210" s="16" t="s">
        <v>16</v>
      </c>
      <c r="O210" s="1"/>
    </row>
    <row r="211" spans="1:15">
      <c r="A211" s="1" t="s">
        <v>240</v>
      </c>
      <c r="B211" s="1" t="s">
        <v>22</v>
      </c>
      <c r="C211" s="5">
        <v>45780</v>
      </c>
      <c r="D211" s="16" t="s">
        <v>23</v>
      </c>
      <c r="E211" s="17" t="s">
        <v>33</v>
      </c>
      <c r="F211" s="9">
        <v>1010</v>
      </c>
      <c r="G211" s="9">
        <v>361</v>
      </c>
      <c r="H211" s="9">
        <v>240</v>
      </c>
      <c r="I211" s="9">
        <v>47229</v>
      </c>
      <c r="J211" s="9">
        <v>72573</v>
      </c>
      <c r="K211" s="9">
        <v>275</v>
      </c>
      <c r="L211" s="16" t="s">
        <v>37</v>
      </c>
      <c r="M211" s="16" t="s">
        <v>34</v>
      </c>
      <c r="N211" s="16" t="s">
        <v>16</v>
      </c>
      <c r="O211" s="1"/>
    </row>
    <row r="212" spans="1:15">
      <c r="A212" s="1" t="s">
        <v>241</v>
      </c>
      <c r="B212" s="1" t="s">
        <v>22</v>
      </c>
      <c r="C212" s="5">
        <v>45396</v>
      </c>
      <c r="D212" s="16" t="s">
        <v>23</v>
      </c>
      <c r="E212" s="17" t="s">
        <v>15</v>
      </c>
      <c r="F212" s="9">
        <v>1295</v>
      </c>
      <c r="G212" s="9">
        <v>153</v>
      </c>
      <c r="H212" s="9">
        <v>81</v>
      </c>
      <c r="I212" s="9">
        <v>48350</v>
      </c>
      <c r="J212" s="9">
        <v>61033</v>
      </c>
      <c r="K212" s="9">
        <v>232</v>
      </c>
      <c r="L212" s="16" t="s">
        <v>19</v>
      </c>
      <c r="M212" s="16" t="s">
        <v>364</v>
      </c>
      <c r="N212" s="16" t="s">
        <v>16</v>
      </c>
      <c r="O212" s="1"/>
    </row>
    <row r="213" spans="1:15">
      <c r="A213" s="1" t="s">
        <v>242</v>
      </c>
      <c r="B213" s="1" t="s">
        <v>22</v>
      </c>
      <c r="C213" s="5">
        <v>45827</v>
      </c>
      <c r="D213" s="16" t="s">
        <v>23</v>
      </c>
      <c r="E213" s="17" t="s">
        <v>362</v>
      </c>
      <c r="F213" s="9">
        <v>1433</v>
      </c>
      <c r="G213" s="9">
        <v>452</v>
      </c>
      <c r="H213" s="9">
        <v>305</v>
      </c>
      <c r="I213" s="9">
        <v>54541</v>
      </c>
      <c r="J213" s="9">
        <v>63700</v>
      </c>
      <c r="K213" s="9">
        <v>296</v>
      </c>
      <c r="L213" s="16" t="s">
        <v>19</v>
      </c>
      <c r="M213" s="16" t="s">
        <v>364</v>
      </c>
      <c r="N213" s="16" t="s">
        <v>16</v>
      </c>
      <c r="O213" s="1"/>
    </row>
    <row r="214" spans="1:15">
      <c r="A214" s="1" t="s">
        <v>243</v>
      </c>
      <c r="B214" s="1" t="s">
        <v>13</v>
      </c>
      <c r="C214" s="5">
        <v>45832</v>
      </c>
      <c r="D214" s="16" t="s">
        <v>23</v>
      </c>
      <c r="E214" s="17" t="s">
        <v>30</v>
      </c>
      <c r="F214" s="9">
        <v>4902</v>
      </c>
      <c r="G214" s="9">
        <v>422</v>
      </c>
      <c r="H214" s="9">
        <v>376</v>
      </c>
      <c r="I214" s="9">
        <v>31674</v>
      </c>
      <c r="J214" s="9">
        <v>53225</v>
      </c>
      <c r="K214" s="9">
        <v>147</v>
      </c>
      <c r="L214" s="16" t="s">
        <v>34</v>
      </c>
      <c r="M214" s="16"/>
      <c r="N214" s="16" t="s">
        <v>46</v>
      </c>
      <c r="O214" s="1"/>
    </row>
    <row r="215" spans="1:15">
      <c r="A215" s="1" t="s">
        <v>244</v>
      </c>
      <c r="B215" s="1" t="s">
        <v>22</v>
      </c>
      <c r="C215" s="5">
        <v>45574</v>
      </c>
      <c r="D215" s="16" t="s">
        <v>14</v>
      </c>
      <c r="E215" s="17" t="s">
        <v>360</v>
      </c>
      <c r="F215" s="9">
        <v>2659</v>
      </c>
      <c r="G215" s="9">
        <v>167</v>
      </c>
      <c r="H215" s="9">
        <v>73</v>
      </c>
      <c r="I215" s="9">
        <v>23090</v>
      </c>
      <c r="J215" s="9">
        <v>25872</v>
      </c>
      <c r="K215" s="9">
        <v>293</v>
      </c>
      <c r="L215" s="16" t="s">
        <v>37</v>
      </c>
      <c r="M215" s="16"/>
      <c r="N215" s="16" t="s">
        <v>20</v>
      </c>
      <c r="O215" s="1"/>
    </row>
    <row r="216" spans="1:15">
      <c r="A216" s="1" t="s">
        <v>245</v>
      </c>
      <c r="B216" s="1" t="s">
        <v>27</v>
      </c>
      <c r="C216" s="5">
        <v>45672</v>
      </c>
      <c r="D216" s="16" t="s">
        <v>14</v>
      </c>
      <c r="E216" s="17" t="s">
        <v>42</v>
      </c>
      <c r="F216" s="9">
        <v>2599</v>
      </c>
      <c r="G216" s="9">
        <v>324</v>
      </c>
      <c r="H216" s="9">
        <v>182</v>
      </c>
      <c r="I216" s="9">
        <v>37525</v>
      </c>
      <c r="J216" s="9">
        <v>37216</v>
      </c>
      <c r="K216" s="9">
        <v>186</v>
      </c>
      <c r="L216" s="16" t="s">
        <v>19</v>
      </c>
      <c r="M216" s="16" t="s">
        <v>365</v>
      </c>
      <c r="N216" s="16" t="s">
        <v>20</v>
      </c>
      <c r="O216" s="1"/>
    </row>
    <row r="217" spans="1:15">
      <c r="A217" s="1" t="s">
        <v>246</v>
      </c>
      <c r="B217" s="1" t="s">
        <v>22</v>
      </c>
      <c r="C217" s="5">
        <v>45669</v>
      </c>
      <c r="D217" s="16" t="s">
        <v>14</v>
      </c>
      <c r="E217" s="17" t="s">
        <v>361</v>
      </c>
      <c r="F217" s="9">
        <v>1765</v>
      </c>
      <c r="G217" s="9">
        <v>285</v>
      </c>
      <c r="H217" s="9">
        <v>100</v>
      </c>
      <c r="I217" s="9">
        <v>41313</v>
      </c>
      <c r="J217" s="9">
        <v>56575</v>
      </c>
      <c r="K217" s="9">
        <v>174</v>
      </c>
      <c r="L217" s="16" t="s">
        <v>37</v>
      </c>
      <c r="M217" s="16"/>
      <c r="N217" s="16" t="s">
        <v>20</v>
      </c>
      <c r="O217" s="1"/>
    </row>
    <row r="218" spans="1:15">
      <c r="A218" s="1" t="s">
        <v>247</v>
      </c>
      <c r="B218" s="1" t="s">
        <v>13</v>
      </c>
      <c r="C218" s="5">
        <v>45808</v>
      </c>
      <c r="D218" s="16" t="s">
        <v>14</v>
      </c>
      <c r="E218" s="17" t="s">
        <v>362</v>
      </c>
      <c r="F218" s="9">
        <v>2169</v>
      </c>
      <c r="G218" s="9">
        <v>240</v>
      </c>
      <c r="H218" s="9">
        <v>57</v>
      </c>
      <c r="I218" s="9">
        <v>26109</v>
      </c>
      <c r="J218" s="9">
        <v>46667</v>
      </c>
      <c r="K218" s="9">
        <v>133</v>
      </c>
      <c r="L218" s="16" t="s">
        <v>37</v>
      </c>
      <c r="M218" s="16" t="s">
        <v>34</v>
      </c>
      <c r="N218" s="16" t="s">
        <v>16</v>
      </c>
      <c r="O218" s="1"/>
    </row>
    <row r="219" spans="1:15">
      <c r="A219" s="1" t="s">
        <v>248</v>
      </c>
      <c r="B219" s="1" t="s">
        <v>22</v>
      </c>
      <c r="C219" s="5">
        <v>45579</v>
      </c>
      <c r="D219" s="16" t="s">
        <v>23</v>
      </c>
      <c r="E219" s="17" t="s">
        <v>18</v>
      </c>
      <c r="F219" s="9">
        <v>4303</v>
      </c>
      <c r="G219" s="9">
        <v>306</v>
      </c>
      <c r="H219" s="9">
        <v>302</v>
      </c>
      <c r="I219" s="9">
        <v>39575</v>
      </c>
      <c r="J219" s="9">
        <v>33762</v>
      </c>
      <c r="K219" s="9">
        <v>265</v>
      </c>
      <c r="L219" s="16" t="s">
        <v>19</v>
      </c>
      <c r="M219" s="16" t="s">
        <v>364</v>
      </c>
      <c r="N219" s="16" t="s">
        <v>16</v>
      </c>
      <c r="O219" s="1"/>
    </row>
    <row r="220" spans="1:15">
      <c r="A220" s="1" t="s">
        <v>249</v>
      </c>
      <c r="B220" s="1" t="s">
        <v>22</v>
      </c>
      <c r="C220" s="5">
        <v>45332</v>
      </c>
      <c r="D220" s="16" t="s">
        <v>14</v>
      </c>
      <c r="E220" s="17" t="s">
        <v>363</v>
      </c>
      <c r="F220" s="9">
        <v>1519</v>
      </c>
      <c r="G220" s="9">
        <v>456</v>
      </c>
      <c r="H220" s="9">
        <v>379</v>
      </c>
      <c r="I220" s="9">
        <v>51611</v>
      </c>
      <c r="J220" s="9">
        <v>45880</v>
      </c>
      <c r="K220" s="9">
        <v>176</v>
      </c>
      <c r="L220" s="16" t="s">
        <v>37</v>
      </c>
      <c r="M220" s="16"/>
      <c r="N220" s="16" t="s">
        <v>20</v>
      </c>
      <c r="O220" s="1"/>
    </row>
    <row r="221" spans="1:15">
      <c r="A221" s="1" t="s">
        <v>250</v>
      </c>
      <c r="B221" s="1" t="s">
        <v>27</v>
      </c>
      <c r="C221" s="5">
        <v>45636</v>
      </c>
      <c r="D221" s="16" t="s">
        <v>14</v>
      </c>
      <c r="E221" s="17" t="s">
        <v>362</v>
      </c>
      <c r="F221" s="9">
        <v>2569</v>
      </c>
      <c r="G221" s="9">
        <v>140</v>
      </c>
      <c r="H221" s="9">
        <v>375</v>
      </c>
      <c r="I221" s="9">
        <v>38372</v>
      </c>
      <c r="J221" s="9">
        <v>22102</v>
      </c>
      <c r="K221" s="9">
        <v>255</v>
      </c>
      <c r="L221" s="16" t="s">
        <v>19</v>
      </c>
      <c r="M221" s="16" t="s">
        <v>365</v>
      </c>
      <c r="N221" s="16" t="s">
        <v>20</v>
      </c>
      <c r="O221" s="1"/>
    </row>
    <row r="222" spans="1:15">
      <c r="A222" s="1" t="s">
        <v>251</v>
      </c>
      <c r="B222" s="1" t="s">
        <v>22</v>
      </c>
      <c r="C222" s="5">
        <v>45786</v>
      </c>
      <c r="D222" s="16" t="s">
        <v>23</v>
      </c>
      <c r="E222" s="17" t="s">
        <v>361</v>
      </c>
      <c r="F222" s="9">
        <v>2778</v>
      </c>
      <c r="G222" s="9">
        <v>241</v>
      </c>
      <c r="H222" s="9">
        <v>317</v>
      </c>
      <c r="I222" s="9">
        <v>26247</v>
      </c>
      <c r="J222" s="9">
        <v>20677</v>
      </c>
      <c r="K222" s="9">
        <v>282</v>
      </c>
      <c r="L222" s="16" t="s">
        <v>364</v>
      </c>
      <c r="M222" s="16" t="s">
        <v>34</v>
      </c>
      <c r="N222" s="16" t="s">
        <v>16</v>
      </c>
      <c r="O222" s="1"/>
    </row>
    <row r="223" spans="1:15">
      <c r="A223" s="1" t="s">
        <v>252</v>
      </c>
      <c r="B223" s="1" t="s">
        <v>22</v>
      </c>
      <c r="C223" s="5">
        <v>45829</v>
      </c>
      <c r="D223" s="16" t="s">
        <v>14</v>
      </c>
      <c r="E223" s="17" t="s">
        <v>18</v>
      </c>
      <c r="F223" s="9">
        <v>3611</v>
      </c>
      <c r="G223" s="9">
        <v>127</v>
      </c>
      <c r="H223" s="9">
        <v>139</v>
      </c>
      <c r="I223" s="9">
        <v>44768</v>
      </c>
      <c r="J223" s="9">
        <v>29435</v>
      </c>
      <c r="K223" s="9">
        <v>178</v>
      </c>
      <c r="L223" s="16" t="s">
        <v>34</v>
      </c>
      <c r="M223" s="16"/>
      <c r="N223" s="16" t="s">
        <v>16</v>
      </c>
      <c r="O223" s="1"/>
    </row>
    <row r="224" spans="1:15">
      <c r="A224" s="1" t="s">
        <v>253</v>
      </c>
      <c r="B224" s="1" t="s">
        <v>22</v>
      </c>
      <c r="C224" s="5">
        <v>45462</v>
      </c>
      <c r="D224" s="16" t="s">
        <v>14</v>
      </c>
      <c r="E224" s="17" t="s">
        <v>362</v>
      </c>
      <c r="F224" s="9">
        <v>1224</v>
      </c>
      <c r="G224" s="9">
        <v>168</v>
      </c>
      <c r="H224" s="9">
        <v>199</v>
      </c>
      <c r="I224" s="9">
        <v>54232</v>
      </c>
      <c r="J224" s="9">
        <v>52844</v>
      </c>
      <c r="K224" s="9">
        <v>271</v>
      </c>
      <c r="L224" s="16" t="s">
        <v>37</v>
      </c>
      <c r="M224" s="16"/>
      <c r="N224" s="16" t="s">
        <v>20</v>
      </c>
      <c r="O224" s="1"/>
    </row>
    <row r="225" spans="1:15">
      <c r="A225" s="1" t="s">
        <v>254</v>
      </c>
      <c r="B225" s="1" t="s">
        <v>22</v>
      </c>
      <c r="C225" s="5">
        <v>45636</v>
      </c>
      <c r="D225" s="16" t="s">
        <v>14</v>
      </c>
      <c r="E225" s="17" t="s">
        <v>363</v>
      </c>
      <c r="F225" s="9">
        <v>4673</v>
      </c>
      <c r="G225" s="9">
        <v>270</v>
      </c>
      <c r="H225" s="9">
        <v>93</v>
      </c>
      <c r="I225" s="9">
        <v>45260</v>
      </c>
      <c r="J225" s="9">
        <v>57513</v>
      </c>
      <c r="K225" s="9">
        <v>103</v>
      </c>
      <c r="L225" s="16" t="s">
        <v>34</v>
      </c>
      <c r="M225" s="16"/>
      <c r="N225" s="16" t="s">
        <v>16</v>
      </c>
      <c r="O225" s="1"/>
    </row>
    <row r="226" spans="1:15">
      <c r="A226" s="1" t="s">
        <v>255</v>
      </c>
      <c r="B226" s="1" t="s">
        <v>27</v>
      </c>
      <c r="C226" s="5">
        <v>45323</v>
      </c>
      <c r="D226" s="16" t="s">
        <v>14</v>
      </c>
      <c r="E226" s="17" t="s">
        <v>360</v>
      </c>
      <c r="F226" s="9">
        <v>1432</v>
      </c>
      <c r="G226" s="9">
        <v>437</v>
      </c>
      <c r="H226" s="9">
        <v>267</v>
      </c>
      <c r="I226" s="9">
        <v>40634</v>
      </c>
      <c r="J226" s="9">
        <v>54511</v>
      </c>
      <c r="K226" s="9">
        <v>197</v>
      </c>
      <c r="L226" s="16" t="s">
        <v>19</v>
      </c>
      <c r="M226" s="16" t="s">
        <v>365</v>
      </c>
      <c r="N226" s="16" t="s">
        <v>20</v>
      </c>
      <c r="O226" s="1"/>
    </row>
    <row r="227" spans="1:15">
      <c r="A227" s="1" t="s">
        <v>256</v>
      </c>
      <c r="B227" s="1" t="s">
        <v>22</v>
      </c>
      <c r="C227" s="5">
        <v>45308</v>
      </c>
      <c r="D227" s="16" t="s">
        <v>23</v>
      </c>
      <c r="E227" s="17" t="s">
        <v>24</v>
      </c>
      <c r="F227" s="9">
        <v>2174</v>
      </c>
      <c r="G227" s="9">
        <v>499</v>
      </c>
      <c r="H227" s="9">
        <v>212</v>
      </c>
      <c r="I227" s="9">
        <v>54938</v>
      </c>
      <c r="J227" s="9">
        <v>27190</v>
      </c>
      <c r="K227" s="9">
        <v>265</v>
      </c>
      <c r="L227" s="16" t="s">
        <v>364</v>
      </c>
      <c r="M227" s="16" t="s">
        <v>34</v>
      </c>
      <c r="N227" s="16" t="s">
        <v>16</v>
      </c>
      <c r="O227" s="1"/>
    </row>
    <row r="228" spans="1:15">
      <c r="A228" s="1" t="s">
        <v>257</v>
      </c>
      <c r="B228" s="1" t="s">
        <v>27</v>
      </c>
      <c r="C228" s="5">
        <v>45738</v>
      </c>
      <c r="D228" s="16" t="s">
        <v>14</v>
      </c>
      <c r="E228" s="17" t="s">
        <v>361</v>
      </c>
      <c r="F228" s="9">
        <v>4308</v>
      </c>
      <c r="G228" s="9">
        <v>171</v>
      </c>
      <c r="H228" s="9">
        <v>106</v>
      </c>
      <c r="I228" s="9">
        <v>36955</v>
      </c>
      <c r="J228" s="9">
        <v>23949</v>
      </c>
      <c r="K228" s="9">
        <v>294</v>
      </c>
      <c r="L228" s="16" t="s">
        <v>19</v>
      </c>
      <c r="M228" s="16" t="s">
        <v>365</v>
      </c>
      <c r="N228" s="16" t="s">
        <v>20</v>
      </c>
      <c r="O228" s="1"/>
    </row>
    <row r="229" spans="1:15">
      <c r="A229" s="1" t="s">
        <v>258</v>
      </c>
      <c r="B229" s="1" t="s">
        <v>27</v>
      </c>
      <c r="C229" s="5">
        <v>45442</v>
      </c>
      <c r="D229" s="16" t="s">
        <v>48</v>
      </c>
      <c r="E229" s="17" t="s">
        <v>362</v>
      </c>
      <c r="F229" s="9">
        <v>1060</v>
      </c>
      <c r="G229" s="9">
        <v>442</v>
      </c>
      <c r="H229" s="9">
        <v>319</v>
      </c>
      <c r="I229" s="9">
        <v>57194</v>
      </c>
      <c r="J229" s="9">
        <v>24258</v>
      </c>
      <c r="K229" s="9">
        <v>101</v>
      </c>
      <c r="L229" s="16" t="s">
        <v>19</v>
      </c>
      <c r="M229" s="16" t="s">
        <v>37</v>
      </c>
      <c r="N229" s="16" t="s">
        <v>49</v>
      </c>
      <c r="O229" s="1"/>
    </row>
    <row r="230" spans="1:15">
      <c r="A230" s="1" t="s">
        <v>259</v>
      </c>
      <c r="B230" s="1" t="s">
        <v>27</v>
      </c>
      <c r="C230" s="5">
        <v>45346</v>
      </c>
      <c r="D230" s="16" t="s">
        <v>14</v>
      </c>
      <c r="E230" s="17" t="s">
        <v>361</v>
      </c>
      <c r="F230" s="9">
        <v>4653</v>
      </c>
      <c r="G230" s="9">
        <v>226</v>
      </c>
      <c r="H230" s="9">
        <v>349</v>
      </c>
      <c r="I230" s="9">
        <v>56876</v>
      </c>
      <c r="J230" s="9">
        <v>28452</v>
      </c>
      <c r="K230" s="9">
        <v>257</v>
      </c>
      <c r="L230" s="16" t="s">
        <v>19</v>
      </c>
      <c r="M230" s="16" t="s">
        <v>365</v>
      </c>
      <c r="N230" s="16" t="s">
        <v>20</v>
      </c>
      <c r="O230" s="1"/>
    </row>
    <row r="231" spans="1:15">
      <c r="A231" s="1" t="s">
        <v>260</v>
      </c>
      <c r="B231" s="1" t="s">
        <v>27</v>
      </c>
      <c r="C231" s="5">
        <v>45791</v>
      </c>
      <c r="D231" s="16" t="s">
        <v>14</v>
      </c>
      <c r="E231" s="17" t="s">
        <v>15</v>
      </c>
      <c r="F231" s="9">
        <v>1701</v>
      </c>
      <c r="G231" s="9">
        <v>272</v>
      </c>
      <c r="H231" s="9">
        <v>385</v>
      </c>
      <c r="I231" s="9">
        <v>47496</v>
      </c>
      <c r="J231" s="9">
        <v>40832</v>
      </c>
      <c r="K231" s="9">
        <v>246</v>
      </c>
      <c r="L231" s="16" t="s">
        <v>19</v>
      </c>
      <c r="M231" s="16" t="s">
        <v>365</v>
      </c>
      <c r="N231" s="16" t="s">
        <v>20</v>
      </c>
      <c r="O231" s="1"/>
    </row>
    <row r="232" spans="1:15">
      <c r="A232" s="1" t="s">
        <v>261</v>
      </c>
      <c r="B232" s="1" t="s">
        <v>13</v>
      </c>
      <c r="C232" s="5">
        <v>45379</v>
      </c>
      <c r="D232" s="16" t="s">
        <v>14</v>
      </c>
      <c r="E232" s="17" t="s">
        <v>362</v>
      </c>
      <c r="F232" s="9">
        <v>1673</v>
      </c>
      <c r="G232" s="9">
        <v>280</v>
      </c>
      <c r="H232" s="9">
        <v>67</v>
      </c>
      <c r="I232" s="9">
        <v>29847</v>
      </c>
      <c r="J232" s="9">
        <v>48016</v>
      </c>
      <c r="K232" s="9">
        <v>213</v>
      </c>
      <c r="L232" s="16" t="s">
        <v>37</v>
      </c>
      <c r="M232" s="16" t="s">
        <v>34</v>
      </c>
      <c r="N232" s="16" t="s">
        <v>16</v>
      </c>
      <c r="O232" s="1"/>
    </row>
    <row r="233" spans="1:15">
      <c r="A233" s="1" t="s">
        <v>262</v>
      </c>
      <c r="B233" s="1" t="s">
        <v>27</v>
      </c>
      <c r="C233" s="5">
        <v>45723</v>
      </c>
      <c r="D233" s="16" t="s">
        <v>14</v>
      </c>
      <c r="E233" s="17" t="s">
        <v>33</v>
      </c>
      <c r="F233" s="9">
        <v>4310</v>
      </c>
      <c r="G233" s="9">
        <v>284</v>
      </c>
      <c r="H233" s="9">
        <v>306</v>
      </c>
      <c r="I233" s="9">
        <v>44606</v>
      </c>
      <c r="J233" s="9">
        <v>42604</v>
      </c>
      <c r="K233" s="9">
        <v>290</v>
      </c>
      <c r="L233" s="16" t="s">
        <v>19</v>
      </c>
      <c r="M233" s="16" t="s">
        <v>365</v>
      </c>
      <c r="N233" s="16" t="s">
        <v>20</v>
      </c>
      <c r="O233" s="1"/>
    </row>
    <row r="234" spans="1:15">
      <c r="A234" s="1" t="s">
        <v>263</v>
      </c>
      <c r="B234" s="1" t="s">
        <v>22</v>
      </c>
      <c r="C234" s="5">
        <v>45585</v>
      </c>
      <c r="D234" s="16" t="s">
        <v>14</v>
      </c>
      <c r="E234" s="17" t="s">
        <v>363</v>
      </c>
      <c r="F234" s="9">
        <v>2752</v>
      </c>
      <c r="G234" s="9">
        <v>309</v>
      </c>
      <c r="H234" s="9">
        <v>91</v>
      </c>
      <c r="I234" s="9">
        <v>39038</v>
      </c>
      <c r="J234" s="9">
        <v>28095</v>
      </c>
      <c r="K234" s="9">
        <v>277</v>
      </c>
      <c r="L234" s="16" t="s">
        <v>34</v>
      </c>
      <c r="M234" s="16"/>
      <c r="N234" s="16" t="s">
        <v>16</v>
      </c>
      <c r="O234" s="1"/>
    </row>
    <row r="235" spans="1:15">
      <c r="A235" s="1" t="s">
        <v>264</v>
      </c>
      <c r="B235" s="1" t="s">
        <v>22</v>
      </c>
      <c r="C235" s="5">
        <v>45324</v>
      </c>
      <c r="D235" s="16" t="s">
        <v>14</v>
      </c>
      <c r="E235" s="17" t="s">
        <v>363</v>
      </c>
      <c r="F235" s="9">
        <v>3818</v>
      </c>
      <c r="G235" s="9">
        <v>115</v>
      </c>
      <c r="H235" s="9">
        <v>286</v>
      </c>
      <c r="I235" s="9">
        <v>25127</v>
      </c>
      <c r="J235" s="9">
        <v>22277</v>
      </c>
      <c r="K235" s="9">
        <v>263</v>
      </c>
      <c r="L235" s="16" t="s">
        <v>34</v>
      </c>
      <c r="M235" s="16"/>
      <c r="N235" s="16" t="s">
        <v>16</v>
      </c>
      <c r="O235" s="1"/>
    </row>
    <row r="236" spans="1:15">
      <c r="A236" s="1" t="s">
        <v>265</v>
      </c>
      <c r="B236" s="1" t="s">
        <v>27</v>
      </c>
      <c r="C236" s="5">
        <v>45542</v>
      </c>
      <c r="D236" s="16" t="s">
        <v>14</v>
      </c>
      <c r="E236" s="17" t="s">
        <v>42</v>
      </c>
      <c r="F236" s="9">
        <v>2101</v>
      </c>
      <c r="G236" s="9">
        <v>411</v>
      </c>
      <c r="H236" s="9">
        <v>190</v>
      </c>
      <c r="I236" s="9">
        <v>41791</v>
      </c>
      <c r="J236" s="9">
        <v>57090</v>
      </c>
      <c r="K236" s="9">
        <v>172</v>
      </c>
      <c r="L236" s="16" t="s">
        <v>19</v>
      </c>
      <c r="M236" s="16" t="s">
        <v>365</v>
      </c>
      <c r="N236" s="16" t="s">
        <v>20</v>
      </c>
      <c r="O236" s="1"/>
    </row>
    <row r="237" spans="1:15">
      <c r="A237" s="1" t="s">
        <v>266</v>
      </c>
      <c r="B237" s="1" t="s">
        <v>13</v>
      </c>
      <c r="C237" s="5">
        <v>45646</v>
      </c>
      <c r="D237" s="16" t="s">
        <v>14</v>
      </c>
      <c r="E237" s="17" t="s">
        <v>15</v>
      </c>
      <c r="F237" s="9">
        <v>2519</v>
      </c>
      <c r="G237" s="9">
        <v>202</v>
      </c>
      <c r="H237" s="9">
        <v>239</v>
      </c>
      <c r="I237" s="9">
        <v>36245</v>
      </c>
      <c r="J237" s="9">
        <v>48606</v>
      </c>
      <c r="K237" s="9">
        <v>145</v>
      </c>
      <c r="L237" s="16" t="s">
        <v>19</v>
      </c>
      <c r="M237" s="16"/>
      <c r="N237" s="16" t="s">
        <v>20</v>
      </c>
      <c r="O237" s="1"/>
    </row>
    <row r="238" spans="1:15">
      <c r="A238" s="1" t="s">
        <v>267</v>
      </c>
      <c r="B238" s="1" t="s">
        <v>27</v>
      </c>
      <c r="C238" s="5">
        <v>45305</v>
      </c>
      <c r="D238" s="16" t="s">
        <v>14</v>
      </c>
      <c r="E238" s="17" t="s">
        <v>362</v>
      </c>
      <c r="F238" s="9">
        <v>4502</v>
      </c>
      <c r="G238" s="9">
        <v>238</v>
      </c>
      <c r="H238" s="9">
        <v>386</v>
      </c>
      <c r="I238" s="9">
        <v>39198</v>
      </c>
      <c r="J238" s="9">
        <v>25050</v>
      </c>
      <c r="K238" s="9">
        <v>297</v>
      </c>
      <c r="L238" s="16" t="s">
        <v>19</v>
      </c>
      <c r="M238" s="16" t="s">
        <v>365</v>
      </c>
      <c r="N238" s="16" t="s">
        <v>20</v>
      </c>
      <c r="O238" s="1"/>
    </row>
    <row r="239" spans="1:15">
      <c r="A239" s="1" t="s">
        <v>268</v>
      </c>
      <c r="B239" s="1" t="s">
        <v>13</v>
      </c>
      <c r="C239" s="5">
        <v>45823</v>
      </c>
      <c r="D239" s="16" t="s">
        <v>14</v>
      </c>
      <c r="E239" s="17" t="s">
        <v>18</v>
      </c>
      <c r="F239" s="9">
        <v>2478</v>
      </c>
      <c r="G239" s="9">
        <v>427</v>
      </c>
      <c r="H239" s="9">
        <v>242</v>
      </c>
      <c r="I239" s="9">
        <v>59272</v>
      </c>
      <c r="J239" s="9">
        <v>37833</v>
      </c>
      <c r="K239" s="9">
        <v>214</v>
      </c>
      <c r="L239" s="16" t="s">
        <v>37</v>
      </c>
      <c r="M239" s="16" t="s">
        <v>34</v>
      </c>
      <c r="N239" s="16" t="s">
        <v>16</v>
      </c>
      <c r="O239" s="1"/>
    </row>
    <row r="240" spans="1:15">
      <c r="A240" s="1" t="s">
        <v>269</v>
      </c>
      <c r="B240" s="1" t="s">
        <v>22</v>
      </c>
      <c r="C240" s="5">
        <v>45639</v>
      </c>
      <c r="D240" s="16" t="s">
        <v>23</v>
      </c>
      <c r="E240" s="17" t="s">
        <v>24</v>
      </c>
      <c r="F240" s="9">
        <v>4984</v>
      </c>
      <c r="G240" s="9">
        <v>300</v>
      </c>
      <c r="H240" s="9">
        <v>338</v>
      </c>
      <c r="I240" s="9">
        <v>32900</v>
      </c>
      <c r="J240" s="9">
        <v>31691</v>
      </c>
      <c r="K240" s="9">
        <v>160</v>
      </c>
      <c r="L240" s="16" t="s">
        <v>364</v>
      </c>
      <c r="M240" s="16" t="s">
        <v>34</v>
      </c>
      <c r="N240" s="16" t="s">
        <v>16</v>
      </c>
      <c r="O240" s="1"/>
    </row>
    <row r="241" spans="1:15">
      <c r="A241" s="1" t="s">
        <v>270</v>
      </c>
      <c r="B241" s="1" t="s">
        <v>27</v>
      </c>
      <c r="C241" s="5">
        <v>45533</v>
      </c>
      <c r="D241" s="16" t="s">
        <v>14</v>
      </c>
      <c r="E241" s="17" t="s">
        <v>360</v>
      </c>
      <c r="F241" s="9">
        <v>4774</v>
      </c>
      <c r="G241" s="9">
        <v>389</v>
      </c>
      <c r="H241" s="9">
        <v>358</v>
      </c>
      <c r="I241" s="9">
        <v>52346</v>
      </c>
      <c r="J241" s="9">
        <v>30518</v>
      </c>
      <c r="K241" s="9">
        <v>277</v>
      </c>
      <c r="L241" s="16" t="s">
        <v>19</v>
      </c>
      <c r="M241" s="16" t="s">
        <v>365</v>
      </c>
      <c r="N241" s="16" t="s">
        <v>20</v>
      </c>
      <c r="O241" s="1"/>
    </row>
    <row r="242" spans="1:15">
      <c r="A242" s="1" t="s">
        <v>271</v>
      </c>
      <c r="B242" s="1" t="s">
        <v>22</v>
      </c>
      <c r="C242" s="5">
        <v>45550</v>
      </c>
      <c r="D242" s="16" t="s">
        <v>14</v>
      </c>
      <c r="E242" s="17" t="s">
        <v>30</v>
      </c>
      <c r="F242" s="9">
        <v>2145</v>
      </c>
      <c r="G242" s="9">
        <v>340</v>
      </c>
      <c r="H242" s="9">
        <v>85</v>
      </c>
      <c r="I242" s="9">
        <v>53323</v>
      </c>
      <c r="J242" s="9">
        <v>49938</v>
      </c>
      <c r="K242" s="9">
        <v>104</v>
      </c>
      <c r="L242" s="16" t="s">
        <v>34</v>
      </c>
      <c r="M242" s="16"/>
      <c r="N242" s="16" t="s">
        <v>16</v>
      </c>
      <c r="O242" s="1"/>
    </row>
    <row r="243" spans="1:15">
      <c r="A243" s="1" t="s">
        <v>272</v>
      </c>
      <c r="B243" s="1" t="s">
        <v>22</v>
      </c>
      <c r="C243" s="5">
        <v>45759</v>
      </c>
      <c r="D243" s="16" t="s">
        <v>23</v>
      </c>
      <c r="E243" s="17" t="s">
        <v>363</v>
      </c>
      <c r="F243" s="9">
        <v>4315</v>
      </c>
      <c r="G243" s="9">
        <v>208</v>
      </c>
      <c r="H243" s="9">
        <v>273</v>
      </c>
      <c r="I243" s="9">
        <v>35780</v>
      </c>
      <c r="J243" s="9">
        <v>44349</v>
      </c>
      <c r="K243" s="9">
        <v>133</v>
      </c>
      <c r="L243" s="16" t="s">
        <v>19</v>
      </c>
      <c r="M243" s="16" t="s">
        <v>364</v>
      </c>
      <c r="N243" s="16" t="s">
        <v>16</v>
      </c>
      <c r="O243" s="1"/>
    </row>
    <row r="244" spans="1:15">
      <c r="A244" s="1" t="s">
        <v>273</v>
      </c>
      <c r="B244" s="1" t="s">
        <v>22</v>
      </c>
      <c r="C244" s="5">
        <v>45636</v>
      </c>
      <c r="D244" s="16" t="s">
        <v>23</v>
      </c>
      <c r="E244" s="17" t="s">
        <v>360</v>
      </c>
      <c r="F244" s="9">
        <v>2267</v>
      </c>
      <c r="G244" s="9">
        <v>230</v>
      </c>
      <c r="H244" s="9">
        <v>243</v>
      </c>
      <c r="I244" s="9">
        <v>27904</v>
      </c>
      <c r="J244" s="9">
        <v>69771</v>
      </c>
      <c r="K244" s="9">
        <v>255</v>
      </c>
      <c r="L244" s="16" t="s">
        <v>19</v>
      </c>
      <c r="M244" s="16" t="s">
        <v>364</v>
      </c>
      <c r="N244" s="16" t="s">
        <v>16</v>
      </c>
      <c r="O244" s="1"/>
    </row>
    <row r="245" spans="1:15">
      <c r="A245" s="1" t="s">
        <v>274</v>
      </c>
      <c r="B245" s="1" t="s">
        <v>27</v>
      </c>
      <c r="C245" s="5">
        <v>45816</v>
      </c>
      <c r="D245" s="16" t="s">
        <v>14</v>
      </c>
      <c r="E245" s="17" t="s">
        <v>361</v>
      </c>
      <c r="F245" s="9">
        <v>4375</v>
      </c>
      <c r="G245" s="9">
        <v>303</v>
      </c>
      <c r="H245" s="9">
        <v>294</v>
      </c>
      <c r="I245" s="9">
        <v>57468</v>
      </c>
      <c r="J245" s="9">
        <v>53397</v>
      </c>
      <c r="K245" s="9">
        <v>159</v>
      </c>
      <c r="L245" s="16" t="s">
        <v>19</v>
      </c>
      <c r="M245" s="16" t="s">
        <v>365</v>
      </c>
      <c r="N245" s="16" t="s">
        <v>20</v>
      </c>
      <c r="O245" s="1"/>
    </row>
    <row r="246" spans="1:15">
      <c r="A246" s="1" t="s">
        <v>275</v>
      </c>
      <c r="B246" s="1" t="s">
        <v>22</v>
      </c>
      <c r="C246" s="5">
        <v>45666</v>
      </c>
      <c r="D246" s="16" t="s">
        <v>23</v>
      </c>
      <c r="E246" s="17" t="s">
        <v>42</v>
      </c>
      <c r="F246" s="9">
        <v>3817</v>
      </c>
      <c r="G246" s="9">
        <v>284</v>
      </c>
      <c r="H246" s="9">
        <v>204</v>
      </c>
      <c r="I246" s="9">
        <v>46434</v>
      </c>
      <c r="J246" s="9">
        <v>53396</v>
      </c>
      <c r="K246" s="9">
        <v>104</v>
      </c>
      <c r="L246" s="16" t="s">
        <v>364</v>
      </c>
      <c r="M246" s="16" t="s">
        <v>34</v>
      </c>
      <c r="N246" s="16" t="s">
        <v>16</v>
      </c>
      <c r="O246" s="1"/>
    </row>
    <row r="247" spans="1:15">
      <c r="A247" s="1" t="s">
        <v>276</v>
      </c>
      <c r="B247" s="1" t="s">
        <v>22</v>
      </c>
      <c r="C247" s="5">
        <v>45481</v>
      </c>
      <c r="D247" s="16" t="s">
        <v>23</v>
      </c>
      <c r="E247" s="17" t="s">
        <v>33</v>
      </c>
      <c r="F247" s="9">
        <v>2981</v>
      </c>
      <c r="G247" s="9">
        <v>258</v>
      </c>
      <c r="H247" s="9">
        <v>168</v>
      </c>
      <c r="I247" s="9">
        <v>20677</v>
      </c>
      <c r="J247" s="9">
        <v>68290</v>
      </c>
      <c r="K247" s="9">
        <v>130</v>
      </c>
      <c r="L247" s="16" t="s">
        <v>37</v>
      </c>
      <c r="M247" s="16" t="s">
        <v>34</v>
      </c>
      <c r="N247" s="16" t="s">
        <v>16</v>
      </c>
      <c r="O247" s="1"/>
    </row>
    <row r="248" spans="1:15">
      <c r="A248" s="1" t="s">
        <v>277</v>
      </c>
      <c r="B248" s="1" t="s">
        <v>22</v>
      </c>
      <c r="C248" s="5">
        <v>45551</v>
      </c>
      <c r="D248" s="16" t="s">
        <v>23</v>
      </c>
      <c r="E248" s="17" t="s">
        <v>42</v>
      </c>
      <c r="F248" s="9">
        <v>3300</v>
      </c>
      <c r="G248" s="9">
        <v>354</v>
      </c>
      <c r="H248" s="9">
        <v>397</v>
      </c>
      <c r="I248" s="9">
        <v>56773</v>
      </c>
      <c r="J248" s="9">
        <v>72110</v>
      </c>
      <c r="K248" s="9">
        <v>163</v>
      </c>
      <c r="L248" s="16" t="s">
        <v>19</v>
      </c>
      <c r="M248" s="16" t="s">
        <v>364</v>
      </c>
      <c r="N248" s="16" t="s">
        <v>16</v>
      </c>
      <c r="O248" s="1"/>
    </row>
    <row r="249" spans="1:15">
      <c r="A249" s="1" t="s">
        <v>278</v>
      </c>
      <c r="B249" s="1" t="s">
        <v>27</v>
      </c>
      <c r="C249" s="5">
        <v>45457</v>
      </c>
      <c r="D249" s="16" t="s">
        <v>48</v>
      </c>
      <c r="E249" s="17" t="s">
        <v>360</v>
      </c>
      <c r="F249" s="9">
        <v>4722</v>
      </c>
      <c r="G249" s="9">
        <v>310</v>
      </c>
      <c r="H249" s="9">
        <v>344</v>
      </c>
      <c r="I249" s="9">
        <v>27911</v>
      </c>
      <c r="J249" s="9">
        <v>19000</v>
      </c>
      <c r="K249" s="9">
        <v>225</v>
      </c>
      <c r="L249" s="16" t="s">
        <v>19</v>
      </c>
      <c r="M249" s="16" t="s">
        <v>37</v>
      </c>
      <c r="N249" s="16" t="s">
        <v>49</v>
      </c>
      <c r="O249" s="1"/>
    </row>
    <row r="250" spans="1:15">
      <c r="A250" s="1" t="s">
        <v>279</v>
      </c>
      <c r="B250" s="1" t="s">
        <v>13</v>
      </c>
      <c r="C250" s="5">
        <v>45357</v>
      </c>
      <c r="D250" s="16" t="s">
        <v>14</v>
      </c>
      <c r="E250" s="17" t="s">
        <v>362</v>
      </c>
      <c r="F250" s="9">
        <v>3529</v>
      </c>
      <c r="G250" s="9">
        <v>263</v>
      </c>
      <c r="H250" s="9">
        <v>107</v>
      </c>
      <c r="I250" s="9">
        <v>26570</v>
      </c>
      <c r="J250" s="9">
        <v>19367</v>
      </c>
      <c r="K250" s="9">
        <v>96</v>
      </c>
      <c r="L250" s="16" t="s">
        <v>19</v>
      </c>
      <c r="M250" s="16"/>
      <c r="N250" s="16" t="s">
        <v>20</v>
      </c>
      <c r="O250" s="1"/>
    </row>
    <row r="251" spans="1:15">
      <c r="A251" s="1" t="s">
        <v>280</v>
      </c>
      <c r="B251" s="1" t="s">
        <v>22</v>
      </c>
      <c r="C251" s="5">
        <v>45792</v>
      </c>
      <c r="D251" s="16" t="s">
        <v>14</v>
      </c>
      <c r="E251" s="17" t="s">
        <v>42</v>
      </c>
      <c r="F251" s="9">
        <v>4782</v>
      </c>
      <c r="G251" s="9">
        <v>210</v>
      </c>
      <c r="H251" s="9">
        <v>311</v>
      </c>
      <c r="I251" s="9">
        <v>29793</v>
      </c>
      <c r="J251" s="9">
        <v>37543</v>
      </c>
      <c r="K251" s="9">
        <v>145</v>
      </c>
      <c r="L251" s="16" t="s">
        <v>34</v>
      </c>
      <c r="M251" s="16"/>
      <c r="N251" s="16" t="s">
        <v>16</v>
      </c>
      <c r="O251" s="1"/>
    </row>
    <row r="252" spans="1:15">
      <c r="A252" s="1" t="s">
        <v>281</v>
      </c>
      <c r="B252" s="1" t="s">
        <v>22</v>
      </c>
      <c r="C252" s="5">
        <v>45480</v>
      </c>
      <c r="D252" s="16" t="s">
        <v>14</v>
      </c>
      <c r="E252" s="17" t="s">
        <v>362</v>
      </c>
      <c r="F252" s="9">
        <v>1848</v>
      </c>
      <c r="G252" s="9">
        <v>417</v>
      </c>
      <c r="H252" s="9">
        <v>294</v>
      </c>
      <c r="I252" s="9">
        <v>57819</v>
      </c>
      <c r="J252" s="9">
        <v>19798</v>
      </c>
      <c r="K252" s="9">
        <v>262</v>
      </c>
      <c r="L252" s="16" t="s">
        <v>37</v>
      </c>
      <c r="M252" s="16"/>
      <c r="N252" s="16" t="s">
        <v>20</v>
      </c>
      <c r="O252" s="1"/>
    </row>
    <row r="253" spans="1:15">
      <c r="A253" s="1" t="s">
        <v>282</v>
      </c>
      <c r="B253" s="1" t="s">
        <v>27</v>
      </c>
      <c r="C253" s="5">
        <v>45591</v>
      </c>
      <c r="D253" s="16" t="s">
        <v>14</v>
      </c>
      <c r="E253" s="17" t="s">
        <v>24</v>
      </c>
      <c r="F253" s="9">
        <v>4676</v>
      </c>
      <c r="G253" s="9">
        <v>211</v>
      </c>
      <c r="H253" s="9">
        <v>55</v>
      </c>
      <c r="I253" s="9">
        <v>45917</v>
      </c>
      <c r="J253" s="9">
        <v>73503</v>
      </c>
      <c r="K253" s="9">
        <v>248</v>
      </c>
      <c r="L253" s="16" t="s">
        <v>19</v>
      </c>
      <c r="M253" s="16" t="s">
        <v>365</v>
      </c>
      <c r="N253" s="16" t="s">
        <v>20</v>
      </c>
      <c r="O253" s="1"/>
    </row>
    <row r="254" spans="1:15">
      <c r="A254" s="1" t="s">
        <v>283</v>
      </c>
      <c r="B254" s="1" t="s">
        <v>27</v>
      </c>
      <c r="C254" s="5">
        <v>45512</v>
      </c>
      <c r="D254" s="16" t="s">
        <v>14</v>
      </c>
      <c r="E254" s="17" t="s">
        <v>363</v>
      </c>
      <c r="F254" s="9">
        <v>1994</v>
      </c>
      <c r="G254" s="9">
        <v>197</v>
      </c>
      <c r="H254" s="9">
        <v>290</v>
      </c>
      <c r="I254" s="9">
        <v>49500</v>
      </c>
      <c r="J254" s="9">
        <v>23343</v>
      </c>
      <c r="K254" s="9">
        <v>160</v>
      </c>
      <c r="L254" s="16" t="s">
        <v>19</v>
      </c>
      <c r="M254" s="16" t="s">
        <v>365</v>
      </c>
      <c r="N254" s="16" t="s">
        <v>20</v>
      </c>
      <c r="O254" s="1"/>
    </row>
    <row r="255" spans="1:15">
      <c r="A255" s="1" t="s">
        <v>284</v>
      </c>
      <c r="B255" s="1" t="s">
        <v>22</v>
      </c>
      <c r="C255" s="5">
        <v>45691</v>
      </c>
      <c r="D255" s="16" t="s">
        <v>14</v>
      </c>
      <c r="E255" s="17" t="s">
        <v>362</v>
      </c>
      <c r="F255" s="9">
        <v>4995</v>
      </c>
      <c r="G255" s="9">
        <v>231</v>
      </c>
      <c r="H255" s="9">
        <v>94</v>
      </c>
      <c r="I255" s="9">
        <v>34431</v>
      </c>
      <c r="J255" s="9">
        <v>32560</v>
      </c>
      <c r="K255" s="9">
        <v>262</v>
      </c>
      <c r="L255" s="16" t="s">
        <v>34</v>
      </c>
      <c r="M255" s="16"/>
      <c r="N255" s="16" t="s">
        <v>16</v>
      </c>
      <c r="O255" s="1"/>
    </row>
    <row r="256" spans="1:15">
      <c r="A256" s="1" t="s">
        <v>285</v>
      </c>
      <c r="B256" s="1" t="s">
        <v>22</v>
      </c>
      <c r="C256" s="5">
        <v>45385</v>
      </c>
      <c r="D256" s="16" t="s">
        <v>23</v>
      </c>
      <c r="E256" s="17" t="s">
        <v>33</v>
      </c>
      <c r="F256" s="9">
        <v>2291</v>
      </c>
      <c r="G256" s="9">
        <v>146</v>
      </c>
      <c r="H256" s="9">
        <v>399</v>
      </c>
      <c r="I256" s="9">
        <v>49319</v>
      </c>
      <c r="J256" s="9">
        <v>28056</v>
      </c>
      <c r="K256" s="9">
        <v>90</v>
      </c>
      <c r="L256" s="16" t="s">
        <v>19</v>
      </c>
      <c r="M256" s="16" t="s">
        <v>364</v>
      </c>
      <c r="N256" s="16" t="s">
        <v>16</v>
      </c>
      <c r="O256" s="1"/>
    </row>
    <row r="257" spans="1:15">
      <c r="A257" s="1" t="s">
        <v>286</v>
      </c>
      <c r="B257" s="1" t="s">
        <v>22</v>
      </c>
      <c r="C257" s="5">
        <v>45481</v>
      </c>
      <c r="D257" s="16" t="s">
        <v>23</v>
      </c>
      <c r="E257" s="17" t="s">
        <v>360</v>
      </c>
      <c r="F257" s="9">
        <v>2304</v>
      </c>
      <c r="G257" s="9">
        <v>289</v>
      </c>
      <c r="H257" s="9">
        <v>161</v>
      </c>
      <c r="I257" s="9">
        <v>52645</v>
      </c>
      <c r="J257" s="9">
        <v>66262</v>
      </c>
      <c r="K257" s="9">
        <v>146</v>
      </c>
      <c r="L257" s="16" t="s">
        <v>364</v>
      </c>
      <c r="M257" s="16" t="s">
        <v>34</v>
      </c>
      <c r="N257" s="16" t="s">
        <v>16</v>
      </c>
      <c r="O257" s="1"/>
    </row>
    <row r="258" spans="1:15">
      <c r="A258" s="1" t="s">
        <v>287</v>
      </c>
      <c r="B258" s="1" t="s">
        <v>22</v>
      </c>
      <c r="C258" s="5">
        <v>45451</v>
      </c>
      <c r="D258" s="16" t="s">
        <v>23</v>
      </c>
      <c r="E258" s="17" t="s">
        <v>33</v>
      </c>
      <c r="F258" s="9">
        <v>3413</v>
      </c>
      <c r="G258" s="9">
        <v>326</v>
      </c>
      <c r="H258" s="9">
        <v>86</v>
      </c>
      <c r="I258" s="9">
        <v>44680</v>
      </c>
      <c r="J258" s="9">
        <v>52719</v>
      </c>
      <c r="K258" s="9">
        <v>272</v>
      </c>
      <c r="L258" s="16" t="s">
        <v>19</v>
      </c>
      <c r="M258" s="16" t="s">
        <v>364</v>
      </c>
      <c r="N258" s="16" t="s">
        <v>16</v>
      </c>
      <c r="O258" s="1"/>
    </row>
    <row r="259" spans="1:15">
      <c r="A259" s="1" t="s">
        <v>288</v>
      </c>
      <c r="B259" s="1" t="s">
        <v>27</v>
      </c>
      <c r="C259" s="5">
        <v>45736</v>
      </c>
      <c r="D259" s="16" t="s">
        <v>48</v>
      </c>
      <c r="E259" s="17" t="s">
        <v>363</v>
      </c>
      <c r="F259" s="9">
        <v>1453</v>
      </c>
      <c r="G259" s="9">
        <v>156</v>
      </c>
      <c r="H259" s="9">
        <v>178</v>
      </c>
      <c r="I259" s="9">
        <v>52980</v>
      </c>
      <c r="J259" s="9">
        <v>57180</v>
      </c>
      <c r="K259" s="9">
        <v>286</v>
      </c>
      <c r="L259" s="16" t="s">
        <v>19</v>
      </c>
      <c r="M259" s="16" t="s">
        <v>37</v>
      </c>
      <c r="N259" s="16" t="s">
        <v>49</v>
      </c>
      <c r="O259" s="1"/>
    </row>
    <row r="260" spans="1:15">
      <c r="A260" s="1" t="s">
        <v>289</v>
      </c>
      <c r="B260" s="1" t="s">
        <v>22</v>
      </c>
      <c r="C260" s="5">
        <v>45676</v>
      </c>
      <c r="D260" s="16" t="s">
        <v>23</v>
      </c>
      <c r="E260" s="17" t="s">
        <v>361</v>
      </c>
      <c r="F260" s="9">
        <v>1651</v>
      </c>
      <c r="G260" s="9">
        <v>480</v>
      </c>
      <c r="H260" s="9">
        <v>282</v>
      </c>
      <c r="I260" s="9">
        <v>32140</v>
      </c>
      <c r="J260" s="9">
        <v>70560</v>
      </c>
      <c r="K260" s="9">
        <v>138</v>
      </c>
      <c r="L260" s="16" t="s">
        <v>37</v>
      </c>
      <c r="M260" s="16" t="s">
        <v>34</v>
      </c>
      <c r="N260" s="16" t="s">
        <v>16</v>
      </c>
      <c r="O260" s="1"/>
    </row>
    <row r="261" spans="1:15">
      <c r="A261" s="1" t="s">
        <v>290</v>
      </c>
      <c r="B261" s="1" t="s">
        <v>22</v>
      </c>
      <c r="C261" s="5">
        <v>45662</v>
      </c>
      <c r="D261" s="16" t="s">
        <v>23</v>
      </c>
      <c r="E261" s="17" t="s">
        <v>18</v>
      </c>
      <c r="F261" s="9">
        <v>3341</v>
      </c>
      <c r="G261" s="9">
        <v>154</v>
      </c>
      <c r="H261" s="9">
        <v>123</v>
      </c>
      <c r="I261" s="9">
        <v>43369</v>
      </c>
      <c r="J261" s="9">
        <v>49035</v>
      </c>
      <c r="K261" s="9">
        <v>128</v>
      </c>
      <c r="L261" s="16" t="s">
        <v>364</v>
      </c>
      <c r="M261" s="16" t="s">
        <v>34</v>
      </c>
      <c r="N261" s="16" t="s">
        <v>16</v>
      </c>
      <c r="O261" s="1"/>
    </row>
    <row r="262" spans="1:15">
      <c r="A262" s="1" t="s">
        <v>291</v>
      </c>
      <c r="B262" s="1" t="s">
        <v>22</v>
      </c>
      <c r="C262" s="5">
        <v>45612</v>
      </c>
      <c r="D262" s="16" t="s">
        <v>14</v>
      </c>
      <c r="E262" s="17" t="s">
        <v>363</v>
      </c>
      <c r="F262" s="9">
        <v>2972</v>
      </c>
      <c r="G262" s="9">
        <v>263</v>
      </c>
      <c r="H262" s="9">
        <v>308</v>
      </c>
      <c r="I262" s="9">
        <v>51740</v>
      </c>
      <c r="J262" s="9">
        <v>28214</v>
      </c>
      <c r="K262" s="9">
        <v>190</v>
      </c>
      <c r="L262" s="16" t="s">
        <v>37</v>
      </c>
      <c r="M262" s="16"/>
      <c r="N262" s="16" t="s">
        <v>20</v>
      </c>
      <c r="O262" s="1"/>
    </row>
    <row r="263" spans="1:15">
      <c r="A263" s="1" t="s">
        <v>292</v>
      </c>
      <c r="B263" s="1" t="s">
        <v>22</v>
      </c>
      <c r="C263" s="5">
        <v>45626</v>
      </c>
      <c r="D263" s="16" t="s">
        <v>23</v>
      </c>
      <c r="E263" s="17" t="s">
        <v>18</v>
      </c>
      <c r="F263" s="9">
        <v>4963</v>
      </c>
      <c r="G263" s="9">
        <v>255</v>
      </c>
      <c r="H263" s="9">
        <v>193</v>
      </c>
      <c r="I263" s="9">
        <v>44386</v>
      </c>
      <c r="J263" s="9">
        <v>28415</v>
      </c>
      <c r="K263" s="9">
        <v>174</v>
      </c>
      <c r="L263" s="16" t="s">
        <v>364</v>
      </c>
      <c r="M263" s="16" t="s">
        <v>34</v>
      </c>
      <c r="N263" s="16" t="s">
        <v>16</v>
      </c>
      <c r="O263" s="1"/>
    </row>
    <row r="264" spans="1:15">
      <c r="A264" s="1" t="s">
        <v>293</v>
      </c>
      <c r="B264" s="1" t="s">
        <v>27</v>
      </c>
      <c r="C264" s="5">
        <v>45378</v>
      </c>
      <c r="D264" s="16" t="s">
        <v>14</v>
      </c>
      <c r="E264" s="17" t="s">
        <v>361</v>
      </c>
      <c r="F264" s="9">
        <v>2399</v>
      </c>
      <c r="G264" s="9">
        <v>191</v>
      </c>
      <c r="H264" s="9">
        <v>221</v>
      </c>
      <c r="I264" s="9">
        <v>51603</v>
      </c>
      <c r="J264" s="9">
        <v>40033</v>
      </c>
      <c r="K264" s="9">
        <v>173</v>
      </c>
      <c r="L264" s="16" t="s">
        <v>19</v>
      </c>
      <c r="M264" s="16" t="s">
        <v>365</v>
      </c>
      <c r="N264" s="16" t="s">
        <v>20</v>
      </c>
      <c r="O264" s="1"/>
    </row>
    <row r="265" spans="1:15">
      <c r="A265" s="1" t="s">
        <v>294</v>
      </c>
      <c r="B265" s="1" t="s">
        <v>27</v>
      </c>
      <c r="C265" s="5">
        <v>45808</v>
      </c>
      <c r="D265" s="16" t="s">
        <v>48</v>
      </c>
      <c r="E265" s="17" t="s">
        <v>30</v>
      </c>
      <c r="F265" s="9">
        <v>2162</v>
      </c>
      <c r="G265" s="9">
        <v>318</v>
      </c>
      <c r="H265" s="9">
        <v>83</v>
      </c>
      <c r="I265" s="9">
        <v>46719</v>
      </c>
      <c r="J265" s="9">
        <v>20482</v>
      </c>
      <c r="K265" s="9">
        <v>185</v>
      </c>
      <c r="L265" s="16" t="s">
        <v>19</v>
      </c>
      <c r="M265" s="16" t="s">
        <v>37</v>
      </c>
      <c r="N265" s="16" t="s">
        <v>49</v>
      </c>
      <c r="O265" s="1"/>
    </row>
    <row r="266" spans="1:15">
      <c r="A266" s="1" t="s">
        <v>295</v>
      </c>
      <c r="B266" s="1" t="s">
        <v>22</v>
      </c>
      <c r="C266" s="5">
        <v>45825</v>
      </c>
      <c r="D266" s="16" t="s">
        <v>23</v>
      </c>
      <c r="E266" s="17" t="s">
        <v>18</v>
      </c>
      <c r="F266" s="9">
        <v>4341</v>
      </c>
      <c r="G266" s="9">
        <v>141</v>
      </c>
      <c r="H266" s="9">
        <v>63</v>
      </c>
      <c r="I266" s="9">
        <v>50081</v>
      </c>
      <c r="J266" s="9">
        <v>27507</v>
      </c>
      <c r="K266" s="9">
        <v>221</v>
      </c>
      <c r="L266" s="16" t="s">
        <v>19</v>
      </c>
      <c r="M266" s="16" t="s">
        <v>364</v>
      </c>
      <c r="N266" s="16" t="s">
        <v>16</v>
      </c>
      <c r="O266" s="1"/>
    </row>
    <row r="267" spans="1:15">
      <c r="A267" s="1" t="s">
        <v>296</v>
      </c>
      <c r="B267" s="1" t="s">
        <v>13</v>
      </c>
      <c r="C267" s="5">
        <v>45442</v>
      </c>
      <c r="D267" s="16" t="s">
        <v>23</v>
      </c>
      <c r="E267" s="17" t="s">
        <v>30</v>
      </c>
      <c r="F267" s="9">
        <v>2448</v>
      </c>
      <c r="G267" s="9">
        <v>464</v>
      </c>
      <c r="H267" s="9">
        <v>98</v>
      </c>
      <c r="I267" s="9">
        <v>25737</v>
      </c>
      <c r="J267" s="9">
        <v>48545</v>
      </c>
      <c r="K267" s="9">
        <v>246</v>
      </c>
      <c r="L267" s="16" t="s">
        <v>34</v>
      </c>
      <c r="M267" s="16"/>
      <c r="N267" s="16" t="s">
        <v>46</v>
      </c>
      <c r="O267" s="1"/>
    </row>
    <row r="268" spans="1:15">
      <c r="A268" s="1" t="s">
        <v>297</v>
      </c>
      <c r="B268" s="1" t="s">
        <v>27</v>
      </c>
      <c r="C268" s="5">
        <v>45604</v>
      </c>
      <c r="D268" s="16" t="s">
        <v>14</v>
      </c>
      <c r="E268" s="17" t="s">
        <v>33</v>
      </c>
      <c r="F268" s="9">
        <v>2471</v>
      </c>
      <c r="G268" s="9">
        <v>166</v>
      </c>
      <c r="H268" s="9">
        <v>320</v>
      </c>
      <c r="I268" s="9">
        <v>48254</v>
      </c>
      <c r="J268" s="9">
        <v>46900</v>
      </c>
      <c r="K268" s="9">
        <v>111</v>
      </c>
      <c r="L268" s="16" t="s">
        <v>19</v>
      </c>
      <c r="M268" s="16" t="s">
        <v>365</v>
      </c>
      <c r="N268" s="16" t="s">
        <v>20</v>
      </c>
      <c r="O268" s="1"/>
    </row>
    <row r="269" spans="1:15">
      <c r="A269" s="1" t="s">
        <v>298</v>
      </c>
      <c r="B269" s="1" t="s">
        <v>27</v>
      </c>
      <c r="C269" s="5">
        <v>45368</v>
      </c>
      <c r="D269" s="16" t="s">
        <v>48</v>
      </c>
      <c r="E269" s="17" t="s">
        <v>18</v>
      </c>
      <c r="F269" s="9">
        <v>2692</v>
      </c>
      <c r="G269" s="9">
        <v>446</v>
      </c>
      <c r="H269" s="9">
        <v>216</v>
      </c>
      <c r="I269" s="9">
        <v>45818</v>
      </c>
      <c r="J269" s="9">
        <v>62723</v>
      </c>
      <c r="K269" s="9">
        <v>85</v>
      </c>
      <c r="L269" s="16" t="s">
        <v>19</v>
      </c>
      <c r="M269" s="16" t="s">
        <v>37</v>
      </c>
      <c r="N269" s="16" t="s">
        <v>49</v>
      </c>
      <c r="O269" s="1"/>
    </row>
    <row r="270" spans="1:15">
      <c r="A270" s="1" t="s">
        <v>299</v>
      </c>
      <c r="B270" s="1" t="s">
        <v>27</v>
      </c>
      <c r="C270" s="5">
        <v>45464</v>
      </c>
      <c r="D270" s="16" t="s">
        <v>48</v>
      </c>
      <c r="E270" s="17" t="s">
        <v>361</v>
      </c>
      <c r="F270" s="9">
        <v>4621</v>
      </c>
      <c r="G270" s="9">
        <v>374</v>
      </c>
      <c r="H270" s="9">
        <v>298</v>
      </c>
      <c r="I270" s="9">
        <v>56979</v>
      </c>
      <c r="J270" s="9">
        <v>24098</v>
      </c>
      <c r="K270" s="9">
        <v>205</v>
      </c>
      <c r="L270" s="16" t="s">
        <v>19</v>
      </c>
      <c r="M270" s="16" t="s">
        <v>37</v>
      </c>
      <c r="N270" s="16" t="s">
        <v>49</v>
      </c>
      <c r="O270" s="1"/>
    </row>
    <row r="271" spans="1:15">
      <c r="A271" s="1" t="s">
        <v>300</v>
      </c>
      <c r="B271" s="1" t="s">
        <v>22</v>
      </c>
      <c r="C271" s="5">
        <v>45609</v>
      </c>
      <c r="D271" s="16" t="s">
        <v>23</v>
      </c>
      <c r="E271" s="17" t="s">
        <v>24</v>
      </c>
      <c r="F271" s="9">
        <v>1409</v>
      </c>
      <c r="G271" s="9">
        <v>466</v>
      </c>
      <c r="H271" s="9">
        <v>105</v>
      </c>
      <c r="I271" s="9">
        <v>58923</v>
      </c>
      <c r="J271" s="9">
        <v>38753</v>
      </c>
      <c r="K271" s="9">
        <v>265</v>
      </c>
      <c r="L271" s="16" t="s">
        <v>19</v>
      </c>
      <c r="M271" s="16" t="s">
        <v>364</v>
      </c>
      <c r="N271" s="16" t="s">
        <v>16</v>
      </c>
      <c r="O271" s="1"/>
    </row>
    <row r="272" spans="1:15">
      <c r="A272" s="1" t="s">
        <v>301</v>
      </c>
      <c r="B272" s="1" t="s">
        <v>22</v>
      </c>
      <c r="C272" s="5">
        <v>45693</v>
      </c>
      <c r="D272" s="16" t="s">
        <v>23</v>
      </c>
      <c r="E272" s="17" t="s">
        <v>15</v>
      </c>
      <c r="F272" s="9">
        <v>3029</v>
      </c>
      <c r="G272" s="9">
        <v>440</v>
      </c>
      <c r="H272" s="9">
        <v>66</v>
      </c>
      <c r="I272" s="9">
        <v>23815</v>
      </c>
      <c r="J272" s="9">
        <v>47895</v>
      </c>
      <c r="K272" s="9">
        <v>210</v>
      </c>
      <c r="L272" s="16" t="s">
        <v>19</v>
      </c>
      <c r="M272" s="16" t="s">
        <v>364</v>
      </c>
      <c r="N272" s="16" t="s">
        <v>16</v>
      </c>
      <c r="O272" s="1"/>
    </row>
    <row r="273" spans="1:15">
      <c r="A273" s="1" t="s">
        <v>302</v>
      </c>
      <c r="B273" s="1" t="s">
        <v>22</v>
      </c>
      <c r="C273" s="5">
        <v>45603</v>
      </c>
      <c r="D273" s="16" t="s">
        <v>14</v>
      </c>
      <c r="E273" s="17" t="s">
        <v>18</v>
      </c>
      <c r="F273" s="9">
        <v>2229</v>
      </c>
      <c r="G273" s="9">
        <v>395</v>
      </c>
      <c r="H273" s="9">
        <v>328</v>
      </c>
      <c r="I273" s="9">
        <v>56921</v>
      </c>
      <c r="J273" s="9">
        <v>37176</v>
      </c>
      <c r="K273" s="9">
        <v>126</v>
      </c>
      <c r="L273" s="16" t="s">
        <v>37</v>
      </c>
      <c r="M273" s="16"/>
      <c r="N273" s="16" t="s">
        <v>20</v>
      </c>
      <c r="O273" s="1"/>
    </row>
    <row r="274" spans="1:15">
      <c r="A274" s="1" t="s">
        <v>303</v>
      </c>
      <c r="B274" s="1" t="s">
        <v>22</v>
      </c>
      <c r="C274" s="5">
        <v>45334</v>
      </c>
      <c r="D274" s="16" t="s">
        <v>14</v>
      </c>
      <c r="E274" s="17" t="s">
        <v>18</v>
      </c>
      <c r="F274" s="9">
        <v>2691</v>
      </c>
      <c r="G274" s="9">
        <v>486</v>
      </c>
      <c r="H274" s="9">
        <v>206</v>
      </c>
      <c r="I274" s="9">
        <v>51133</v>
      </c>
      <c r="J274" s="9">
        <v>44583</v>
      </c>
      <c r="K274" s="9">
        <v>276</v>
      </c>
      <c r="L274" s="16" t="s">
        <v>34</v>
      </c>
      <c r="M274" s="16"/>
      <c r="N274" s="16" t="s">
        <v>16</v>
      </c>
      <c r="O274" s="1"/>
    </row>
    <row r="275" spans="1:15">
      <c r="A275" s="1" t="s">
        <v>304</v>
      </c>
      <c r="B275" s="1" t="s">
        <v>13</v>
      </c>
      <c r="C275" s="5">
        <v>45573</v>
      </c>
      <c r="D275" s="16" t="s">
        <v>14</v>
      </c>
      <c r="E275" s="17" t="s">
        <v>18</v>
      </c>
      <c r="F275" s="9">
        <v>2110</v>
      </c>
      <c r="G275" s="9">
        <v>384</v>
      </c>
      <c r="H275" s="9">
        <v>236</v>
      </c>
      <c r="I275" s="9">
        <v>49965</v>
      </c>
      <c r="J275" s="9">
        <v>61555</v>
      </c>
      <c r="K275" s="9">
        <v>195</v>
      </c>
      <c r="L275" s="16" t="s">
        <v>19</v>
      </c>
      <c r="M275" s="16"/>
      <c r="N275" s="16" t="s">
        <v>20</v>
      </c>
      <c r="O275" s="1"/>
    </row>
    <row r="276" spans="1:15">
      <c r="A276" s="1" t="s">
        <v>305</v>
      </c>
      <c r="B276" s="1" t="s">
        <v>13</v>
      </c>
      <c r="C276" s="5">
        <v>45341</v>
      </c>
      <c r="D276" s="16" t="s">
        <v>14</v>
      </c>
      <c r="E276" s="17" t="s">
        <v>360</v>
      </c>
      <c r="F276" s="9">
        <v>4752</v>
      </c>
      <c r="G276" s="9">
        <v>449</v>
      </c>
      <c r="H276" s="9">
        <v>309</v>
      </c>
      <c r="I276" s="9">
        <v>58530</v>
      </c>
      <c r="J276" s="9">
        <v>26630</v>
      </c>
      <c r="K276" s="9">
        <v>234</v>
      </c>
      <c r="L276" s="16" t="s">
        <v>19</v>
      </c>
      <c r="M276" s="16"/>
      <c r="N276" s="16" t="s">
        <v>20</v>
      </c>
      <c r="O276" s="1"/>
    </row>
    <row r="277" spans="1:15">
      <c r="A277" s="1" t="s">
        <v>306</v>
      </c>
      <c r="B277" s="1" t="s">
        <v>22</v>
      </c>
      <c r="C277" s="5">
        <v>45720</v>
      </c>
      <c r="D277" s="16" t="s">
        <v>14</v>
      </c>
      <c r="E277" s="17" t="s">
        <v>15</v>
      </c>
      <c r="F277" s="9">
        <v>2177</v>
      </c>
      <c r="G277" s="9">
        <v>258</v>
      </c>
      <c r="H277" s="9">
        <v>292</v>
      </c>
      <c r="I277" s="9">
        <v>47276</v>
      </c>
      <c r="J277" s="9">
        <v>51324</v>
      </c>
      <c r="K277" s="9">
        <v>143</v>
      </c>
      <c r="L277" s="16" t="s">
        <v>34</v>
      </c>
      <c r="M277" s="16"/>
      <c r="N277" s="16" t="s">
        <v>16</v>
      </c>
      <c r="O277" s="1"/>
    </row>
    <row r="278" spans="1:15">
      <c r="A278" s="1" t="s">
        <v>307</v>
      </c>
      <c r="B278" s="1" t="s">
        <v>13</v>
      </c>
      <c r="C278" s="5">
        <v>45691</v>
      </c>
      <c r="D278" s="16" t="s">
        <v>23</v>
      </c>
      <c r="E278" s="17" t="s">
        <v>24</v>
      </c>
      <c r="F278" s="9">
        <v>1205</v>
      </c>
      <c r="G278" s="9">
        <v>486</v>
      </c>
      <c r="H278" s="9">
        <v>269</v>
      </c>
      <c r="I278" s="9">
        <v>23341</v>
      </c>
      <c r="J278" s="9">
        <v>42411</v>
      </c>
      <c r="K278" s="9">
        <v>184</v>
      </c>
      <c r="L278" s="16" t="s">
        <v>34</v>
      </c>
      <c r="M278" s="16"/>
      <c r="N278" s="16" t="s">
        <v>46</v>
      </c>
      <c r="O278" s="1"/>
    </row>
    <row r="279" spans="1:15">
      <c r="A279" s="1" t="s">
        <v>308</v>
      </c>
      <c r="B279" s="1" t="s">
        <v>13</v>
      </c>
      <c r="C279" s="5">
        <v>45628</v>
      </c>
      <c r="D279" s="16" t="s">
        <v>14</v>
      </c>
      <c r="E279" s="17" t="s">
        <v>33</v>
      </c>
      <c r="F279" s="9">
        <v>3194</v>
      </c>
      <c r="G279" s="9">
        <v>292</v>
      </c>
      <c r="H279" s="9">
        <v>245</v>
      </c>
      <c r="I279" s="9">
        <v>56371</v>
      </c>
      <c r="J279" s="9">
        <v>65597</v>
      </c>
      <c r="K279" s="9">
        <v>163</v>
      </c>
      <c r="L279" s="16" t="s">
        <v>37</v>
      </c>
      <c r="M279" s="16" t="s">
        <v>34</v>
      </c>
      <c r="N279" s="16" t="s">
        <v>16</v>
      </c>
      <c r="O279" s="1"/>
    </row>
    <row r="280" spans="1:15">
      <c r="A280" s="1" t="s">
        <v>309</v>
      </c>
      <c r="B280" s="1" t="s">
        <v>22</v>
      </c>
      <c r="C280" s="5">
        <v>45676</v>
      </c>
      <c r="D280" s="16" t="s">
        <v>23</v>
      </c>
      <c r="E280" s="17" t="s">
        <v>24</v>
      </c>
      <c r="F280" s="9">
        <v>3507</v>
      </c>
      <c r="G280" s="9">
        <v>295</v>
      </c>
      <c r="H280" s="9">
        <v>371</v>
      </c>
      <c r="I280" s="9">
        <v>20410</v>
      </c>
      <c r="J280" s="9">
        <v>53965</v>
      </c>
      <c r="K280" s="9">
        <v>212</v>
      </c>
      <c r="L280" s="16" t="s">
        <v>37</v>
      </c>
      <c r="M280" s="16" t="s">
        <v>34</v>
      </c>
      <c r="N280" s="16" t="s">
        <v>16</v>
      </c>
      <c r="O280" s="1"/>
    </row>
    <row r="281" spans="1:15">
      <c r="A281" s="1" t="s">
        <v>310</v>
      </c>
      <c r="B281" s="1" t="s">
        <v>22</v>
      </c>
      <c r="C281" s="5">
        <v>45563</v>
      </c>
      <c r="D281" s="16" t="s">
        <v>23</v>
      </c>
      <c r="E281" s="17" t="s">
        <v>360</v>
      </c>
      <c r="F281" s="9">
        <v>4471</v>
      </c>
      <c r="G281" s="9">
        <v>317</v>
      </c>
      <c r="H281" s="9">
        <v>249</v>
      </c>
      <c r="I281" s="9">
        <v>44862</v>
      </c>
      <c r="J281" s="9">
        <v>33365</v>
      </c>
      <c r="K281" s="9">
        <v>184</v>
      </c>
      <c r="L281" s="16" t="s">
        <v>19</v>
      </c>
      <c r="M281" s="16" t="s">
        <v>364</v>
      </c>
      <c r="N281" s="16" t="s">
        <v>16</v>
      </c>
      <c r="O281" s="1"/>
    </row>
    <row r="282" spans="1:15">
      <c r="A282" s="1" t="s">
        <v>311</v>
      </c>
      <c r="B282" s="1" t="s">
        <v>13</v>
      </c>
      <c r="C282" s="5">
        <v>45298</v>
      </c>
      <c r="D282" s="16" t="s">
        <v>14</v>
      </c>
      <c r="E282" s="17" t="s">
        <v>33</v>
      </c>
      <c r="F282" s="9">
        <v>4931</v>
      </c>
      <c r="G282" s="9">
        <v>469</v>
      </c>
      <c r="H282" s="9">
        <v>193</v>
      </c>
      <c r="I282" s="9">
        <v>56701</v>
      </c>
      <c r="J282" s="9">
        <v>69437</v>
      </c>
      <c r="K282" s="9">
        <v>291</v>
      </c>
      <c r="L282" s="16" t="s">
        <v>37</v>
      </c>
      <c r="M282" s="16" t="s">
        <v>34</v>
      </c>
      <c r="N282" s="16" t="s">
        <v>16</v>
      </c>
      <c r="O282" s="1"/>
    </row>
    <row r="283" spans="1:15">
      <c r="A283" s="1" t="s">
        <v>312</v>
      </c>
      <c r="B283" s="1" t="s">
        <v>22</v>
      </c>
      <c r="C283" s="5">
        <v>45343</v>
      </c>
      <c r="D283" s="16" t="s">
        <v>23</v>
      </c>
      <c r="E283" s="17" t="s">
        <v>30</v>
      </c>
      <c r="F283" s="9">
        <v>2604</v>
      </c>
      <c r="G283" s="9">
        <v>439</v>
      </c>
      <c r="H283" s="9">
        <v>148</v>
      </c>
      <c r="I283" s="9">
        <v>58468</v>
      </c>
      <c r="J283" s="9">
        <v>39629</v>
      </c>
      <c r="K283" s="9">
        <v>163</v>
      </c>
      <c r="L283" s="16" t="s">
        <v>364</v>
      </c>
      <c r="M283" s="16" t="s">
        <v>34</v>
      </c>
      <c r="N283" s="16" t="s">
        <v>16</v>
      </c>
      <c r="O283" s="1"/>
    </row>
    <row r="284" spans="1:15">
      <c r="A284" s="1" t="s">
        <v>313</v>
      </c>
      <c r="B284" s="1" t="s">
        <v>13</v>
      </c>
      <c r="C284" s="5">
        <v>45531</v>
      </c>
      <c r="D284" s="16" t="s">
        <v>14</v>
      </c>
      <c r="E284" s="17" t="s">
        <v>361</v>
      </c>
      <c r="F284" s="9">
        <v>4197</v>
      </c>
      <c r="G284" s="9">
        <v>359</v>
      </c>
      <c r="H284" s="9">
        <v>280</v>
      </c>
      <c r="I284" s="9">
        <v>56048</v>
      </c>
      <c r="J284" s="9">
        <v>70930</v>
      </c>
      <c r="K284" s="9">
        <v>295</v>
      </c>
      <c r="L284" s="16" t="s">
        <v>19</v>
      </c>
      <c r="M284" s="16"/>
      <c r="N284" s="16" t="s">
        <v>20</v>
      </c>
      <c r="O284" s="1"/>
    </row>
    <row r="285" spans="1:15">
      <c r="A285" s="1" t="s">
        <v>314</v>
      </c>
      <c r="B285" s="1" t="s">
        <v>13</v>
      </c>
      <c r="C285" s="5">
        <v>45589</v>
      </c>
      <c r="D285" s="16" t="s">
        <v>23</v>
      </c>
      <c r="E285" s="17" t="s">
        <v>33</v>
      </c>
      <c r="F285" s="9">
        <v>1914</v>
      </c>
      <c r="G285" s="9">
        <v>255</v>
      </c>
      <c r="H285" s="9">
        <v>156</v>
      </c>
      <c r="I285" s="9">
        <v>27660</v>
      </c>
      <c r="J285" s="9">
        <v>47776</v>
      </c>
      <c r="K285" s="9">
        <v>111</v>
      </c>
      <c r="L285" s="16" t="s">
        <v>34</v>
      </c>
      <c r="M285" s="16"/>
      <c r="N285" s="16" t="s">
        <v>46</v>
      </c>
      <c r="O285" s="1"/>
    </row>
    <row r="286" spans="1:15">
      <c r="A286" s="1" t="s">
        <v>315</v>
      </c>
      <c r="B286" s="1" t="s">
        <v>27</v>
      </c>
      <c r="C286" s="5">
        <v>45686</v>
      </c>
      <c r="D286" s="16" t="s">
        <v>14</v>
      </c>
      <c r="E286" s="17" t="s">
        <v>24</v>
      </c>
      <c r="F286" s="9">
        <v>1334</v>
      </c>
      <c r="G286" s="9">
        <v>357</v>
      </c>
      <c r="H286" s="9">
        <v>257</v>
      </c>
      <c r="I286" s="9">
        <v>56910</v>
      </c>
      <c r="J286" s="9">
        <v>70606</v>
      </c>
      <c r="K286" s="9">
        <v>228</v>
      </c>
      <c r="L286" s="16" t="s">
        <v>19</v>
      </c>
      <c r="M286" s="16" t="s">
        <v>365</v>
      </c>
      <c r="N286" s="16" t="s">
        <v>20</v>
      </c>
      <c r="O286" s="1"/>
    </row>
    <row r="287" spans="1:15">
      <c r="A287" s="1" t="s">
        <v>316</v>
      </c>
      <c r="B287" s="1" t="s">
        <v>13</v>
      </c>
      <c r="C287" s="5">
        <v>45413</v>
      </c>
      <c r="D287" s="16" t="s">
        <v>14</v>
      </c>
      <c r="E287" s="17" t="s">
        <v>30</v>
      </c>
      <c r="F287" s="9">
        <v>3359</v>
      </c>
      <c r="G287" s="9">
        <v>137</v>
      </c>
      <c r="H287" s="9">
        <v>387</v>
      </c>
      <c r="I287" s="9">
        <v>33861</v>
      </c>
      <c r="J287" s="9">
        <v>47257</v>
      </c>
      <c r="K287" s="9">
        <v>198</v>
      </c>
      <c r="L287" s="16" t="s">
        <v>19</v>
      </c>
      <c r="M287" s="16"/>
      <c r="N287" s="16" t="s">
        <v>20</v>
      </c>
      <c r="O287" s="1"/>
    </row>
    <row r="288" spans="1:15">
      <c r="A288" s="1" t="s">
        <v>317</v>
      </c>
      <c r="B288" s="1" t="s">
        <v>27</v>
      </c>
      <c r="C288" s="5">
        <v>45468</v>
      </c>
      <c r="D288" s="16" t="s">
        <v>14</v>
      </c>
      <c r="E288" s="17" t="s">
        <v>42</v>
      </c>
      <c r="F288" s="9">
        <v>2172</v>
      </c>
      <c r="G288" s="9">
        <v>338</v>
      </c>
      <c r="H288" s="9">
        <v>70</v>
      </c>
      <c r="I288" s="9">
        <v>30515</v>
      </c>
      <c r="J288" s="9">
        <v>57853</v>
      </c>
      <c r="K288" s="9">
        <v>156</v>
      </c>
      <c r="L288" s="16" t="s">
        <v>19</v>
      </c>
      <c r="M288" s="16" t="s">
        <v>365</v>
      </c>
      <c r="N288" s="16" t="s">
        <v>20</v>
      </c>
      <c r="O288" s="1"/>
    </row>
    <row r="289" spans="1:15">
      <c r="A289" s="1" t="s">
        <v>318</v>
      </c>
      <c r="B289" s="1" t="s">
        <v>22</v>
      </c>
      <c r="C289" s="5">
        <v>45513</v>
      </c>
      <c r="D289" s="16" t="s">
        <v>23</v>
      </c>
      <c r="E289" s="17" t="s">
        <v>363</v>
      </c>
      <c r="F289" s="9">
        <v>4877</v>
      </c>
      <c r="G289" s="9">
        <v>442</v>
      </c>
      <c r="H289" s="9">
        <v>236</v>
      </c>
      <c r="I289" s="9">
        <v>52673</v>
      </c>
      <c r="J289" s="9">
        <v>48241</v>
      </c>
      <c r="K289" s="9">
        <v>114</v>
      </c>
      <c r="L289" s="16" t="s">
        <v>19</v>
      </c>
      <c r="M289" s="16" t="s">
        <v>364</v>
      </c>
      <c r="N289" s="16" t="s">
        <v>16</v>
      </c>
      <c r="O289" s="1"/>
    </row>
    <row r="290" spans="1:15">
      <c r="A290" s="1" t="s">
        <v>319</v>
      </c>
      <c r="B290" s="1" t="s">
        <v>13</v>
      </c>
      <c r="C290" s="5">
        <v>45678</v>
      </c>
      <c r="D290" s="16" t="s">
        <v>23</v>
      </c>
      <c r="E290" s="17" t="s">
        <v>24</v>
      </c>
      <c r="F290" s="9">
        <v>4918</v>
      </c>
      <c r="G290" s="9">
        <v>440</v>
      </c>
      <c r="H290" s="9">
        <v>149</v>
      </c>
      <c r="I290" s="9">
        <v>53269</v>
      </c>
      <c r="J290" s="9">
        <v>64370</v>
      </c>
      <c r="K290" s="9">
        <v>269</v>
      </c>
      <c r="L290" s="16" t="s">
        <v>34</v>
      </c>
      <c r="M290" s="16"/>
      <c r="N290" s="16" t="s">
        <v>46</v>
      </c>
      <c r="O290" s="1"/>
    </row>
    <row r="291" spans="1:15">
      <c r="A291" s="1" t="s">
        <v>320</v>
      </c>
      <c r="B291" s="1" t="s">
        <v>22</v>
      </c>
      <c r="C291" s="5">
        <v>45517</v>
      </c>
      <c r="D291" s="16" t="s">
        <v>14</v>
      </c>
      <c r="E291" s="17" t="s">
        <v>18</v>
      </c>
      <c r="F291" s="9">
        <v>3418</v>
      </c>
      <c r="G291" s="9">
        <v>107</v>
      </c>
      <c r="H291" s="9">
        <v>221</v>
      </c>
      <c r="I291" s="9">
        <v>23927</v>
      </c>
      <c r="J291" s="9">
        <v>26182</v>
      </c>
      <c r="K291" s="9">
        <v>155</v>
      </c>
      <c r="L291" s="16" t="s">
        <v>37</v>
      </c>
      <c r="M291" s="16"/>
      <c r="N291" s="16" t="s">
        <v>20</v>
      </c>
      <c r="O291" s="1"/>
    </row>
    <row r="292" spans="1:15">
      <c r="A292" s="1" t="s">
        <v>321</v>
      </c>
      <c r="B292" s="1" t="s">
        <v>13</v>
      </c>
      <c r="C292" s="5">
        <v>45472</v>
      </c>
      <c r="D292" s="16" t="s">
        <v>14</v>
      </c>
      <c r="E292" s="17" t="s">
        <v>42</v>
      </c>
      <c r="F292" s="9">
        <v>2088</v>
      </c>
      <c r="G292" s="9">
        <v>490</v>
      </c>
      <c r="H292" s="9">
        <v>124</v>
      </c>
      <c r="I292" s="9">
        <v>46544</v>
      </c>
      <c r="J292" s="9">
        <v>69346</v>
      </c>
      <c r="K292" s="9">
        <v>178</v>
      </c>
      <c r="L292" s="16" t="s">
        <v>37</v>
      </c>
      <c r="M292" s="16" t="s">
        <v>34</v>
      </c>
      <c r="N292" s="16" t="s">
        <v>16</v>
      </c>
      <c r="O292" s="1"/>
    </row>
    <row r="293" spans="1:15">
      <c r="A293" s="1" t="s">
        <v>322</v>
      </c>
      <c r="B293" s="1" t="s">
        <v>22</v>
      </c>
      <c r="C293" s="5">
        <v>45599</v>
      </c>
      <c r="D293" s="16" t="s">
        <v>23</v>
      </c>
      <c r="E293" s="17" t="s">
        <v>18</v>
      </c>
      <c r="F293" s="9">
        <v>3061</v>
      </c>
      <c r="G293" s="9">
        <v>320</v>
      </c>
      <c r="H293" s="9">
        <v>76</v>
      </c>
      <c r="I293" s="9">
        <v>26640</v>
      </c>
      <c r="J293" s="9">
        <v>24306</v>
      </c>
      <c r="K293" s="9">
        <v>112</v>
      </c>
      <c r="L293" s="16" t="s">
        <v>364</v>
      </c>
      <c r="M293" s="16" t="s">
        <v>34</v>
      </c>
      <c r="N293" s="16" t="s">
        <v>16</v>
      </c>
      <c r="O293" s="1"/>
    </row>
    <row r="294" spans="1:15">
      <c r="A294" s="1" t="s">
        <v>323</v>
      </c>
      <c r="B294" s="1" t="s">
        <v>27</v>
      </c>
      <c r="C294" s="5">
        <v>45765</v>
      </c>
      <c r="D294" s="16" t="s">
        <v>48</v>
      </c>
      <c r="E294" s="17" t="s">
        <v>42</v>
      </c>
      <c r="F294" s="9">
        <v>1265</v>
      </c>
      <c r="G294" s="9">
        <v>230</v>
      </c>
      <c r="H294" s="9">
        <v>364</v>
      </c>
      <c r="I294" s="9">
        <v>41312</v>
      </c>
      <c r="J294" s="9">
        <v>50382</v>
      </c>
      <c r="K294" s="9">
        <v>106</v>
      </c>
      <c r="L294" s="16" t="s">
        <v>19</v>
      </c>
      <c r="M294" s="16" t="s">
        <v>37</v>
      </c>
      <c r="N294" s="16" t="s">
        <v>49</v>
      </c>
      <c r="O294" s="1"/>
    </row>
    <row r="295" spans="1:15">
      <c r="A295" s="1" t="s">
        <v>324</v>
      </c>
      <c r="B295" s="1" t="s">
        <v>13</v>
      </c>
      <c r="C295" s="5">
        <v>45653</v>
      </c>
      <c r="D295" s="16" t="s">
        <v>14</v>
      </c>
      <c r="E295" s="17" t="s">
        <v>363</v>
      </c>
      <c r="F295" s="9">
        <v>1436</v>
      </c>
      <c r="G295" s="9">
        <v>219</v>
      </c>
      <c r="H295" s="9">
        <v>229</v>
      </c>
      <c r="I295" s="9">
        <v>58488</v>
      </c>
      <c r="J295" s="9">
        <v>24314</v>
      </c>
      <c r="K295" s="9">
        <v>147</v>
      </c>
      <c r="L295" s="16" t="s">
        <v>19</v>
      </c>
      <c r="M295" s="16"/>
      <c r="N295" s="16" t="s">
        <v>20</v>
      </c>
      <c r="O295" s="1"/>
    </row>
    <row r="296" spans="1:15">
      <c r="A296" s="1" t="s">
        <v>325</v>
      </c>
      <c r="B296" s="1" t="s">
        <v>13</v>
      </c>
      <c r="C296" s="5">
        <v>45724</v>
      </c>
      <c r="D296" s="16" t="s">
        <v>23</v>
      </c>
      <c r="E296" s="17" t="s">
        <v>33</v>
      </c>
      <c r="F296" s="9">
        <v>2244</v>
      </c>
      <c r="G296" s="9">
        <v>392</v>
      </c>
      <c r="H296" s="9">
        <v>231</v>
      </c>
      <c r="I296" s="9">
        <v>25834</v>
      </c>
      <c r="J296" s="9">
        <v>50906</v>
      </c>
      <c r="K296" s="9">
        <v>165</v>
      </c>
      <c r="L296" s="16" t="s">
        <v>34</v>
      </c>
      <c r="M296" s="16"/>
      <c r="N296" s="16" t="s">
        <v>46</v>
      </c>
      <c r="O296" s="1"/>
    </row>
    <row r="297" spans="1:15">
      <c r="A297" s="1" t="s">
        <v>326</v>
      </c>
      <c r="B297" s="1" t="s">
        <v>22</v>
      </c>
      <c r="C297" s="5">
        <v>45736</v>
      </c>
      <c r="D297" s="16" t="s">
        <v>23</v>
      </c>
      <c r="E297" s="17" t="s">
        <v>42</v>
      </c>
      <c r="F297" s="9">
        <v>3393</v>
      </c>
      <c r="G297" s="9">
        <v>104</v>
      </c>
      <c r="H297" s="9">
        <v>79</v>
      </c>
      <c r="I297" s="9">
        <v>30025</v>
      </c>
      <c r="J297" s="9">
        <v>21593</v>
      </c>
      <c r="K297" s="9">
        <v>165</v>
      </c>
      <c r="L297" s="16" t="s">
        <v>364</v>
      </c>
      <c r="M297" s="16" t="s">
        <v>34</v>
      </c>
      <c r="N297" s="16" t="s">
        <v>16</v>
      </c>
      <c r="O297" s="1"/>
    </row>
    <row r="298" spans="1:15">
      <c r="A298" s="1" t="s">
        <v>327</v>
      </c>
      <c r="B298" s="1" t="s">
        <v>22</v>
      </c>
      <c r="C298" s="5">
        <v>45612</v>
      </c>
      <c r="D298" s="16" t="s">
        <v>14</v>
      </c>
      <c r="E298" s="17" t="s">
        <v>18</v>
      </c>
      <c r="F298" s="9">
        <v>2901</v>
      </c>
      <c r="G298" s="9">
        <v>108</v>
      </c>
      <c r="H298" s="9">
        <v>86</v>
      </c>
      <c r="I298" s="9">
        <v>51777</v>
      </c>
      <c r="J298" s="9">
        <v>23773</v>
      </c>
      <c r="K298" s="9">
        <v>160</v>
      </c>
      <c r="L298" s="16" t="s">
        <v>37</v>
      </c>
      <c r="M298" s="16"/>
      <c r="N298" s="16" t="s">
        <v>20</v>
      </c>
      <c r="O298" s="1"/>
    </row>
    <row r="299" spans="1:15">
      <c r="A299" s="1" t="s">
        <v>328</v>
      </c>
      <c r="B299" s="1" t="s">
        <v>22</v>
      </c>
      <c r="C299" s="5">
        <v>45838</v>
      </c>
      <c r="D299" s="16" t="s">
        <v>14</v>
      </c>
      <c r="E299" s="17" t="s">
        <v>362</v>
      </c>
      <c r="F299" s="9">
        <v>2275</v>
      </c>
      <c r="G299" s="9">
        <v>285</v>
      </c>
      <c r="H299" s="9">
        <v>125</v>
      </c>
      <c r="I299" s="9">
        <v>43970</v>
      </c>
      <c r="J299" s="9">
        <v>74761</v>
      </c>
      <c r="K299" s="9">
        <v>83</v>
      </c>
      <c r="L299" s="16" t="s">
        <v>34</v>
      </c>
      <c r="M299" s="16"/>
      <c r="N299" s="16" t="s">
        <v>16</v>
      </c>
      <c r="O299" s="1"/>
    </row>
    <row r="300" spans="1:15">
      <c r="A300" s="1" t="s">
        <v>329</v>
      </c>
      <c r="B300" s="1" t="s">
        <v>22</v>
      </c>
      <c r="C300" s="5">
        <v>45303</v>
      </c>
      <c r="D300" s="16" t="s">
        <v>23</v>
      </c>
      <c r="E300" s="17" t="s">
        <v>360</v>
      </c>
      <c r="F300" s="9">
        <v>2227</v>
      </c>
      <c r="G300" s="9">
        <v>494</v>
      </c>
      <c r="H300" s="9">
        <v>161</v>
      </c>
      <c r="I300" s="9">
        <v>51651</v>
      </c>
      <c r="J300" s="9">
        <v>68074</v>
      </c>
      <c r="K300" s="9">
        <v>240</v>
      </c>
      <c r="L300" s="16" t="s">
        <v>19</v>
      </c>
      <c r="M300" s="16" t="s">
        <v>364</v>
      </c>
      <c r="N300" s="16" t="s">
        <v>16</v>
      </c>
      <c r="O300" s="1"/>
    </row>
    <row r="301" spans="1:15">
      <c r="A301" s="1" t="s">
        <v>330</v>
      </c>
      <c r="B301" s="1" t="s">
        <v>13</v>
      </c>
      <c r="C301" s="5">
        <v>45329</v>
      </c>
      <c r="D301" s="16" t="s">
        <v>14</v>
      </c>
      <c r="E301" s="17" t="s">
        <v>361</v>
      </c>
      <c r="F301" s="9">
        <v>1883</v>
      </c>
      <c r="G301" s="9">
        <v>432</v>
      </c>
      <c r="H301" s="9">
        <v>397</v>
      </c>
      <c r="I301" s="9">
        <v>28759</v>
      </c>
      <c r="J301" s="9">
        <v>18691</v>
      </c>
      <c r="K301" s="9">
        <v>270</v>
      </c>
      <c r="L301" s="16" t="s">
        <v>37</v>
      </c>
      <c r="M301" s="16" t="s">
        <v>34</v>
      </c>
      <c r="N301" s="16" t="s">
        <v>16</v>
      </c>
      <c r="O301" s="1"/>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7BA93-873B-4AA9-B735-D0719AA9C37A}">
  <dimension ref="A1:V301"/>
  <sheetViews>
    <sheetView tabSelected="1" topLeftCell="I1" zoomScaleNormal="100" workbookViewId="0">
      <selection activeCell="U12" sqref="U12"/>
    </sheetView>
  </sheetViews>
  <sheetFormatPr defaultColWidth="14.42578125" defaultRowHeight="15.75"/>
  <cols>
    <col min="1" max="1" width="12.85546875" style="2" hidden="1" customWidth="1"/>
    <col min="2" max="2" width="14" style="2" hidden="1" customWidth="1"/>
    <col min="3" max="3" width="11.5703125" style="6" hidden="1" customWidth="1"/>
    <col min="4" max="4" width="19.42578125" style="18" hidden="1" customWidth="1"/>
    <col min="5" max="5" width="41.28515625" style="18" hidden="1" customWidth="1"/>
    <col min="6" max="6" width="11" style="10" bestFit="1" customWidth="1"/>
    <col min="7" max="7" width="12.7109375" style="10" hidden="1" customWidth="1"/>
    <col min="8" max="8" width="16.28515625" style="10" hidden="1" customWidth="1"/>
    <col min="9" max="9" width="18" style="10" bestFit="1" customWidth="1"/>
    <col min="10" max="10" width="12" style="10" hidden="1" customWidth="1"/>
    <col min="11" max="11" width="11.7109375" style="10" bestFit="1" customWidth="1"/>
    <col min="12" max="13" width="19.7109375" style="18" hidden="1" customWidth="1"/>
    <col min="14" max="14" width="22.7109375" style="18" bestFit="1" customWidth="1"/>
    <col min="15" max="15" width="17.5703125" style="2" customWidth="1"/>
    <col min="16" max="16" width="13.42578125" style="15" bestFit="1" customWidth="1"/>
    <col min="17" max="17" width="22.140625" style="15" bestFit="1" customWidth="1"/>
    <col min="18" max="18" width="18.5703125" style="15" bestFit="1" customWidth="1"/>
    <col min="19" max="19" width="15.5703125" style="13" bestFit="1" customWidth="1"/>
    <col min="20" max="20" width="12" style="2" bestFit="1" customWidth="1"/>
    <col min="21" max="21" width="16.140625" style="2" bestFit="1" customWidth="1"/>
    <col min="22" max="22" width="12.5703125" style="2" bestFit="1" customWidth="1"/>
    <col min="23" max="28" width="8.7109375" style="2" customWidth="1"/>
    <col min="29" max="16384" width="14.42578125" style="2"/>
  </cols>
  <sheetData>
    <row r="1" spans="1:22" s="14" customFormat="1">
      <c r="A1" s="19" t="s">
        <v>0</v>
      </c>
      <c r="B1" s="19" t="s">
        <v>1</v>
      </c>
      <c r="C1" s="20" t="s">
        <v>2</v>
      </c>
      <c r="D1" s="19" t="s">
        <v>3</v>
      </c>
      <c r="E1" s="19" t="s">
        <v>4</v>
      </c>
      <c r="F1" s="21" t="s">
        <v>5</v>
      </c>
      <c r="G1" s="21" t="s">
        <v>6</v>
      </c>
      <c r="H1" s="21" t="s">
        <v>7</v>
      </c>
      <c r="I1" s="21" t="s">
        <v>8</v>
      </c>
      <c r="J1" s="21" t="s">
        <v>9</v>
      </c>
      <c r="K1" s="21" t="s">
        <v>10</v>
      </c>
      <c r="L1" s="19" t="s">
        <v>358</v>
      </c>
      <c r="M1" s="19" t="s">
        <v>359</v>
      </c>
      <c r="N1" s="19" t="s">
        <v>11</v>
      </c>
      <c r="O1" s="19"/>
      <c r="P1" s="24"/>
      <c r="Q1" s="24"/>
      <c r="R1" s="24"/>
      <c r="S1" s="22"/>
    </row>
    <row r="2" spans="1:22">
      <c r="A2" s="1" t="s">
        <v>12</v>
      </c>
      <c r="B2" s="1" t="s">
        <v>13</v>
      </c>
      <c r="C2" s="5">
        <v>45781</v>
      </c>
      <c r="D2" s="16" t="s">
        <v>14</v>
      </c>
      <c r="E2" s="17" t="s">
        <v>15</v>
      </c>
      <c r="F2" s="9">
        <v>2414</v>
      </c>
      <c r="G2" s="9">
        <v>245</v>
      </c>
      <c r="H2" s="9">
        <v>137</v>
      </c>
      <c r="I2" s="9">
        <v>21181</v>
      </c>
      <c r="J2" s="9">
        <v>45292</v>
      </c>
      <c r="K2" s="9">
        <v>133</v>
      </c>
      <c r="L2" s="16" t="s">
        <v>37</v>
      </c>
      <c r="M2" s="16" t="s">
        <v>34</v>
      </c>
      <c r="N2" s="16" t="s">
        <v>16</v>
      </c>
      <c r="O2" s="1"/>
      <c r="P2" s="24"/>
      <c r="Q2" s="24"/>
      <c r="R2" s="24"/>
    </row>
    <row r="3" spans="1:22">
      <c r="A3" s="1" t="s">
        <v>17</v>
      </c>
      <c r="B3" s="1" t="s">
        <v>13</v>
      </c>
      <c r="C3" s="5">
        <v>45689</v>
      </c>
      <c r="D3" s="16" t="s">
        <v>14</v>
      </c>
      <c r="E3" s="17" t="s">
        <v>18</v>
      </c>
      <c r="F3" s="9">
        <v>1934</v>
      </c>
      <c r="G3" s="9">
        <v>210</v>
      </c>
      <c r="H3" s="9">
        <v>393</v>
      </c>
      <c r="I3" s="9">
        <v>29129</v>
      </c>
      <c r="J3" s="9">
        <v>73287</v>
      </c>
      <c r="K3" s="9">
        <v>273</v>
      </c>
      <c r="L3" s="16" t="s">
        <v>19</v>
      </c>
      <c r="M3" s="16"/>
      <c r="N3" s="16" t="s">
        <v>20</v>
      </c>
      <c r="O3" s="1"/>
      <c r="P3" s="24"/>
      <c r="Q3" s="24"/>
      <c r="R3" s="24"/>
    </row>
    <row r="4" spans="1:22" ht="15">
      <c r="A4" s="1" t="s">
        <v>21</v>
      </c>
      <c r="B4" s="1" t="s">
        <v>22</v>
      </c>
      <c r="C4" s="5">
        <v>45629</v>
      </c>
      <c r="D4" s="16" t="s">
        <v>23</v>
      </c>
      <c r="E4" s="17" t="s">
        <v>24</v>
      </c>
      <c r="F4" s="9">
        <v>3092</v>
      </c>
      <c r="G4" s="9">
        <v>177</v>
      </c>
      <c r="H4" s="9">
        <v>81</v>
      </c>
      <c r="I4" s="9">
        <v>47533</v>
      </c>
      <c r="J4" s="9">
        <v>29220</v>
      </c>
      <c r="K4" s="9">
        <v>121</v>
      </c>
      <c r="L4" s="16" t="s">
        <v>364</v>
      </c>
      <c r="M4" s="16" t="s">
        <v>34</v>
      </c>
      <c r="N4" s="16" t="s">
        <v>16</v>
      </c>
      <c r="O4" s="1"/>
      <c r="P4" t="s">
        <v>368</v>
      </c>
      <c r="Q4" t="s">
        <v>370</v>
      </c>
      <c r="R4" t="s">
        <v>369</v>
      </c>
      <c r="S4" t="s">
        <v>372</v>
      </c>
      <c r="T4" t="s">
        <v>371</v>
      </c>
      <c r="U4" t="s">
        <v>374</v>
      </c>
      <c r="V4" t="s">
        <v>373</v>
      </c>
    </row>
    <row r="5" spans="1:22" ht="15">
      <c r="A5" s="1" t="s">
        <v>25</v>
      </c>
      <c r="B5" s="1" t="s">
        <v>13</v>
      </c>
      <c r="C5" s="5">
        <v>45629</v>
      </c>
      <c r="D5" s="16" t="s">
        <v>14</v>
      </c>
      <c r="E5" s="17" t="s">
        <v>360</v>
      </c>
      <c r="F5" s="9">
        <v>3173</v>
      </c>
      <c r="G5" s="9">
        <v>229</v>
      </c>
      <c r="H5" s="9">
        <v>197</v>
      </c>
      <c r="I5" s="9">
        <v>29604</v>
      </c>
      <c r="J5" s="9">
        <v>21809</v>
      </c>
      <c r="K5" s="9">
        <v>272</v>
      </c>
      <c r="L5" s="16" t="s">
        <v>37</v>
      </c>
      <c r="M5" s="16" t="s">
        <v>34</v>
      </c>
      <c r="N5" s="16" t="s">
        <v>16</v>
      </c>
      <c r="O5" s="1"/>
      <c r="P5" s="27" t="s">
        <v>16</v>
      </c>
      <c r="Q5" s="26">
        <v>41116.025974025972</v>
      </c>
      <c r="R5" s="25">
        <v>6331868</v>
      </c>
      <c r="S5" s="25">
        <v>3058.6623376623374</v>
      </c>
      <c r="T5" s="25">
        <v>471034</v>
      </c>
      <c r="U5" s="25">
        <v>186.41558441558442</v>
      </c>
      <c r="V5" s="25">
        <v>28708</v>
      </c>
    </row>
    <row r="6" spans="1:22" ht="15">
      <c r="A6" s="1" t="s">
        <v>26</v>
      </c>
      <c r="B6" s="1" t="s">
        <v>27</v>
      </c>
      <c r="C6" s="5">
        <v>45388</v>
      </c>
      <c r="D6" s="16" t="s">
        <v>14</v>
      </c>
      <c r="E6" s="17" t="s">
        <v>361</v>
      </c>
      <c r="F6" s="9">
        <v>2748</v>
      </c>
      <c r="G6" s="9">
        <v>145</v>
      </c>
      <c r="H6" s="9">
        <v>315</v>
      </c>
      <c r="I6" s="9">
        <v>24401</v>
      </c>
      <c r="J6" s="9">
        <v>61182</v>
      </c>
      <c r="K6" s="9">
        <v>200</v>
      </c>
      <c r="L6" s="16" t="s">
        <v>19</v>
      </c>
      <c r="M6" s="16" t="s">
        <v>365</v>
      </c>
      <c r="N6" s="16" t="s">
        <v>20</v>
      </c>
      <c r="O6" s="1"/>
      <c r="P6" s="28" t="s">
        <v>20</v>
      </c>
      <c r="Q6" s="26">
        <v>42971.329787234041</v>
      </c>
      <c r="R6" s="25">
        <v>4039305</v>
      </c>
      <c r="S6" s="25">
        <v>2919.7340425531916</v>
      </c>
      <c r="T6" s="25">
        <v>274455</v>
      </c>
      <c r="U6" s="25">
        <v>199.11702127659575</v>
      </c>
      <c r="V6" s="25">
        <v>18717</v>
      </c>
    </row>
    <row r="7" spans="1:22" ht="15">
      <c r="A7" s="1" t="s">
        <v>28</v>
      </c>
      <c r="B7" s="1" t="s">
        <v>27</v>
      </c>
      <c r="C7" s="5">
        <v>45456</v>
      </c>
      <c r="D7" s="16" t="s">
        <v>14</v>
      </c>
      <c r="E7" s="17" t="s">
        <v>362</v>
      </c>
      <c r="F7" s="9">
        <v>3882</v>
      </c>
      <c r="G7" s="9">
        <v>239</v>
      </c>
      <c r="H7" s="9">
        <v>275</v>
      </c>
      <c r="I7" s="9">
        <v>58748</v>
      </c>
      <c r="J7" s="9">
        <v>44646</v>
      </c>
      <c r="K7" s="9">
        <v>149</v>
      </c>
      <c r="L7" s="16" t="s">
        <v>19</v>
      </c>
      <c r="M7" s="16" t="s">
        <v>365</v>
      </c>
      <c r="N7" s="16" t="s">
        <v>20</v>
      </c>
      <c r="O7" s="1"/>
      <c r="P7" s="28" t="s">
        <v>49</v>
      </c>
      <c r="Q7" s="26">
        <v>42546.65517241379</v>
      </c>
      <c r="R7" s="25">
        <v>1233853</v>
      </c>
      <c r="S7" s="25">
        <v>3099</v>
      </c>
      <c r="T7" s="25">
        <v>89871</v>
      </c>
      <c r="U7" s="25">
        <v>191.62068965517241</v>
      </c>
      <c r="V7" s="25">
        <v>5557</v>
      </c>
    </row>
    <row r="8" spans="1:22" ht="15">
      <c r="A8" s="1" t="s">
        <v>29</v>
      </c>
      <c r="B8" s="1" t="s">
        <v>22</v>
      </c>
      <c r="C8" s="5">
        <v>45645</v>
      </c>
      <c r="D8" s="16" t="s">
        <v>23</v>
      </c>
      <c r="E8" s="17" t="s">
        <v>30</v>
      </c>
      <c r="F8" s="9">
        <v>4674</v>
      </c>
      <c r="G8" s="9">
        <v>409</v>
      </c>
      <c r="H8" s="9">
        <v>327</v>
      </c>
      <c r="I8" s="9">
        <v>20756</v>
      </c>
      <c r="J8" s="9">
        <v>63599</v>
      </c>
      <c r="K8" s="9">
        <v>212</v>
      </c>
      <c r="L8" s="16" t="s">
        <v>37</v>
      </c>
      <c r="M8" s="16" t="s">
        <v>34</v>
      </c>
      <c r="N8" s="16" t="s">
        <v>16</v>
      </c>
      <c r="O8" s="1"/>
      <c r="P8" s="29" t="s">
        <v>46</v>
      </c>
      <c r="Q8" s="26">
        <v>37626.34782608696</v>
      </c>
      <c r="R8" s="25">
        <v>865406</v>
      </c>
      <c r="S8" s="25">
        <v>2687.608695652174</v>
      </c>
      <c r="T8" s="25">
        <v>61815</v>
      </c>
      <c r="U8" s="25">
        <v>200.60869565217391</v>
      </c>
      <c r="V8" s="25">
        <v>4614</v>
      </c>
    </row>
    <row r="9" spans="1:22" ht="15">
      <c r="A9" s="1" t="s">
        <v>31</v>
      </c>
      <c r="B9" s="1" t="s">
        <v>22</v>
      </c>
      <c r="C9" s="5">
        <v>45421</v>
      </c>
      <c r="D9" s="16" t="s">
        <v>23</v>
      </c>
      <c r="E9" s="17" t="s">
        <v>360</v>
      </c>
      <c r="F9" s="9">
        <v>1428</v>
      </c>
      <c r="G9" s="9">
        <v>347</v>
      </c>
      <c r="H9" s="9">
        <v>67</v>
      </c>
      <c r="I9" s="9">
        <v>21148</v>
      </c>
      <c r="J9" s="9">
        <v>19712</v>
      </c>
      <c r="K9" s="9">
        <v>120</v>
      </c>
      <c r="L9" s="16" t="s">
        <v>19</v>
      </c>
      <c r="M9" s="16" t="s">
        <v>364</v>
      </c>
      <c r="N9" s="16" t="s">
        <v>16</v>
      </c>
      <c r="O9" s="1"/>
      <c r="P9"/>
      <c r="Q9"/>
      <c r="R9"/>
      <c r="S9"/>
      <c r="T9"/>
      <c r="U9"/>
      <c r="V9"/>
    </row>
    <row r="10" spans="1:22" ht="15">
      <c r="A10" s="1" t="s">
        <v>32</v>
      </c>
      <c r="B10" s="1" t="s">
        <v>22</v>
      </c>
      <c r="C10" s="5">
        <v>45823</v>
      </c>
      <c r="D10" s="16" t="s">
        <v>14</v>
      </c>
      <c r="E10" s="17" t="s">
        <v>33</v>
      </c>
      <c r="F10" s="9">
        <v>4432</v>
      </c>
      <c r="G10" s="9">
        <v>223</v>
      </c>
      <c r="H10" s="9">
        <v>299</v>
      </c>
      <c r="I10" s="9">
        <v>59016</v>
      </c>
      <c r="J10" s="9">
        <v>21742</v>
      </c>
      <c r="K10" s="9">
        <v>171</v>
      </c>
      <c r="L10" s="16" t="s">
        <v>34</v>
      </c>
      <c r="M10" s="16"/>
      <c r="N10" s="16" t="s">
        <v>16</v>
      </c>
      <c r="O10" s="1"/>
      <c r="P10"/>
      <c r="Q10"/>
      <c r="R10"/>
    </row>
    <row r="11" spans="1:22" ht="15">
      <c r="A11" s="1" t="s">
        <v>35</v>
      </c>
      <c r="B11" s="1" t="s">
        <v>22</v>
      </c>
      <c r="C11" s="5">
        <v>45630</v>
      </c>
      <c r="D11" s="16" t="s">
        <v>14</v>
      </c>
      <c r="E11" s="17" t="s">
        <v>360</v>
      </c>
      <c r="F11" s="9">
        <v>2357</v>
      </c>
      <c r="G11" s="9">
        <v>274</v>
      </c>
      <c r="H11" s="9">
        <v>172</v>
      </c>
      <c r="I11" s="9">
        <v>21566</v>
      </c>
      <c r="J11" s="9">
        <v>66829</v>
      </c>
      <c r="K11" s="9">
        <v>284</v>
      </c>
      <c r="L11" s="16" t="s">
        <v>34</v>
      </c>
      <c r="M11" s="16"/>
      <c r="N11" s="16" t="s">
        <v>16</v>
      </c>
      <c r="O11" s="1"/>
      <c r="P11"/>
      <c r="Q11"/>
      <c r="R11"/>
    </row>
    <row r="12" spans="1:22" ht="15">
      <c r="A12" s="1" t="s">
        <v>36</v>
      </c>
      <c r="B12" s="1" t="s">
        <v>22</v>
      </c>
      <c r="C12" s="5">
        <v>45357</v>
      </c>
      <c r="D12" s="16" t="s">
        <v>14</v>
      </c>
      <c r="E12" s="17" t="s">
        <v>15</v>
      </c>
      <c r="F12" s="9">
        <v>1971</v>
      </c>
      <c r="G12" s="9">
        <v>370</v>
      </c>
      <c r="H12" s="9">
        <v>306</v>
      </c>
      <c r="I12" s="9">
        <v>31316</v>
      </c>
      <c r="J12" s="9">
        <v>27897</v>
      </c>
      <c r="K12" s="9">
        <v>88</v>
      </c>
      <c r="L12" s="16" t="s">
        <v>37</v>
      </c>
      <c r="M12" s="16"/>
      <c r="N12" s="16" t="s">
        <v>20</v>
      </c>
      <c r="O12" s="1"/>
      <c r="P12"/>
      <c r="Q12"/>
      <c r="R12"/>
    </row>
    <row r="13" spans="1:22" ht="15">
      <c r="A13" s="1" t="s">
        <v>38</v>
      </c>
      <c r="B13" s="1" t="s">
        <v>13</v>
      </c>
      <c r="C13" s="5">
        <v>45426</v>
      </c>
      <c r="D13" s="16" t="s">
        <v>14</v>
      </c>
      <c r="E13" s="17" t="s">
        <v>15</v>
      </c>
      <c r="F13" s="9">
        <v>1485</v>
      </c>
      <c r="G13" s="9">
        <v>353</v>
      </c>
      <c r="H13" s="9">
        <v>244</v>
      </c>
      <c r="I13" s="9">
        <v>38419</v>
      </c>
      <c r="J13" s="9">
        <v>38556</v>
      </c>
      <c r="K13" s="9">
        <v>86</v>
      </c>
      <c r="L13" s="16" t="s">
        <v>37</v>
      </c>
      <c r="M13" s="16" t="s">
        <v>34</v>
      </c>
      <c r="N13" s="16" t="s">
        <v>16</v>
      </c>
      <c r="O13" s="1"/>
      <c r="P13"/>
      <c r="Q13"/>
      <c r="R13"/>
    </row>
    <row r="14" spans="1:22" ht="15">
      <c r="A14" s="1" t="s">
        <v>39</v>
      </c>
      <c r="B14" s="1" t="s">
        <v>22</v>
      </c>
      <c r="C14" s="5">
        <v>45826</v>
      </c>
      <c r="D14" s="16" t="s">
        <v>23</v>
      </c>
      <c r="E14" s="17" t="s">
        <v>15</v>
      </c>
      <c r="F14" s="9">
        <v>3956</v>
      </c>
      <c r="G14" s="9">
        <v>319</v>
      </c>
      <c r="H14" s="9">
        <v>61</v>
      </c>
      <c r="I14" s="9">
        <v>58162</v>
      </c>
      <c r="J14" s="9">
        <v>28720</v>
      </c>
      <c r="K14" s="9">
        <v>213</v>
      </c>
      <c r="L14" s="16" t="s">
        <v>364</v>
      </c>
      <c r="M14" s="16" t="s">
        <v>34</v>
      </c>
      <c r="N14" s="16" t="s">
        <v>16</v>
      </c>
      <c r="O14" s="1"/>
      <c r="P14"/>
      <c r="Q14"/>
      <c r="R14"/>
    </row>
    <row r="15" spans="1:22" ht="15">
      <c r="A15" s="1" t="s">
        <v>40</v>
      </c>
      <c r="B15" s="1" t="s">
        <v>22</v>
      </c>
      <c r="C15" s="5">
        <v>45573</v>
      </c>
      <c r="D15" s="16" t="s">
        <v>14</v>
      </c>
      <c r="E15" s="17" t="s">
        <v>363</v>
      </c>
      <c r="F15" s="9">
        <v>2460</v>
      </c>
      <c r="G15" s="9">
        <v>409</v>
      </c>
      <c r="H15" s="9">
        <v>253</v>
      </c>
      <c r="I15" s="9">
        <v>36702</v>
      </c>
      <c r="J15" s="9">
        <v>46122</v>
      </c>
      <c r="K15" s="9">
        <v>264</v>
      </c>
      <c r="L15" s="16" t="s">
        <v>34</v>
      </c>
      <c r="M15" s="16"/>
      <c r="N15" s="16" t="s">
        <v>16</v>
      </c>
      <c r="O15" s="1"/>
      <c r="P15"/>
      <c r="Q15"/>
      <c r="R15"/>
    </row>
    <row r="16" spans="1:22" ht="15">
      <c r="A16" s="1" t="s">
        <v>41</v>
      </c>
      <c r="B16" s="1" t="s">
        <v>22</v>
      </c>
      <c r="C16" s="5">
        <v>45418</v>
      </c>
      <c r="D16" s="16" t="s">
        <v>14</v>
      </c>
      <c r="E16" s="17" t="s">
        <v>42</v>
      </c>
      <c r="F16" s="9">
        <v>3476</v>
      </c>
      <c r="G16" s="9">
        <v>355</v>
      </c>
      <c r="H16" s="9">
        <v>396</v>
      </c>
      <c r="I16" s="9">
        <v>37492</v>
      </c>
      <c r="J16" s="9">
        <v>27285</v>
      </c>
      <c r="K16" s="9">
        <v>179</v>
      </c>
      <c r="L16" s="16" t="s">
        <v>34</v>
      </c>
      <c r="M16" s="16"/>
      <c r="N16" s="16" t="s">
        <v>16</v>
      </c>
      <c r="O16" s="1"/>
      <c r="P16"/>
      <c r="Q16"/>
      <c r="R16"/>
    </row>
    <row r="17" spans="1:18" ht="15">
      <c r="A17" s="1" t="s">
        <v>43</v>
      </c>
      <c r="B17" s="1" t="s">
        <v>22</v>
      </c>
      <c r="C17" s="5">
        <v>45655</v>
      </c>
      <c r="D17" s="16" t="s">
        <v>23</v>
      </c>
      <c r="E17" s="17" t="s">
        <v>24</v>
      </c>
      <c r="F17" s="9">
        <v>4049</v>
      </c>
      <c r="G17" s="9">
        <v>377</v>
      </c>
      <c r="H17" s="9">
        <v>94</v>
      </c>
      <c r="I17" s="9">
        <v>48182</v>
      </c>
      <c r="J17" s="9">
        <v>42875</v>
      </c>
      <c r="K17" s="9">
        <v>172</v>
      </c>
      <c r="L17" s="16" t="s">
        <v>364</v>
      </c>
      <c r="M17" s="16" t="s">
        <v>34</v>
      </c>
      <c r="N17" s="16" t="s">
        <v>16</v>
      </c>
      <c r="O17" s="1"/>
      <c r="P17"/>
      <c r="Q17"/>
      <c r="R17"/>
    </row>
    <row r="18" spans="1:18" ht="15">
      <c r="A18" s="1" t="s">
        <v>44</v>
      </c>
      <c r="B18" s="1" t="s">
        <v>22</v>
      </c>
      <c r="C18" s="5">
        <v>45453</v>
      </c>
      <c r="D18" s="16" t="s">
        <v>14</v>
      </c>
      <c r="E18" s="17" t="s">
        <v>362</v>
      </c>
      <c r="F18" s="9">
        <v>1514</v>
      </c>
      <c r="G18" s="9">
        <v>164</v>
      </c>
      <c r="H18" s="9">
        <v>275</v>
      </c>
      <c r="I18" s="9">
        <v>41364</v>
      </c>
      <c r="J18" s="9">
        <v>44389</v>
      </c>
      <c r="K18" s="9">
        <v>83</v>
      </c>
      <c r="L18" s="16" t="s">
        <v>34</v>
      </c>
      <c r="M18" s="16"/>
      <c r="N18" s="16" t="s">
        <v>16</v>
      </c>
      <c r="O18" s="1"/>
      <c r="P18"/>
      <c r="Q18"/>
      <c r="R18"/>
    </row>
    <row r="19" spans="1:18" ht="15">
      <c r="A19" s="1" t="s">
        <v>45</v>
      </c>
      <c r="B19" s="1" t="s">
        <v>13</v>
      </c>
      <c r="C19" s="5">
        <v>45325</v>
      </c>
      <c r="D19" s="16" t="s">
        <v>23</v>
      </c>
      <c r="E19" s="17" t="s">
        <v>361</v>
      </c>
      <c r="F19" s="9">
        <v>4281</v>
      </c>
      <c r="G19" s="9">
        <v>101</v>
      </c>
      <c r="H19" s="9">
        <v>163</v>
      </c>
      <c r="I19" s="9">
        <v>32278</v>
      </c>
      <c r="J19" s="9">
        <v>53382</v>
      </c>
      <c r="K19" s="9">
        <v>235</v>
      </c>
      <c r="L19" s="16" t="s">
        <v>34</v>
      </c>
      <c r="M19" s="16"/>
      <c r="N19" s="16" t="s">
        <v>46</v>
      </c>
      <c r="O19" s="1"/>
      <c r="P19"/>
      <c r="Q19"/>
      <c r="R19"/>
    </row>
    <row r="20" spans="1:18" ht="15">
      <c r="A20" s="1" t="s">
        <v>47</v>
      </c>
      <c r="B20" s="1" t="s">
        <v>27</v>
      </c>
      <c r="C20" s="5">
        <v>45458</v>
      </c>
      <c r="D20" s="16" t="s">
        <v>48</v>
      </c>
      <c r="E20" s="17" t="s">
        <v>30</v>
      </c>
      <c r="F20" s="9">
        <v>1751</v>
      </c>
      <c r="G20" s="9">
        <v>143</v>
      </c>
      <c r="H20" s="9">
        <v>151</v>
      </c>
      <c r="I20" s="9">
        <v>31826</v>
      </c>
      <c r="J20" s="9">
        <v>47729</v>
      </c>
      <c r="K20" s="9">
        <v>95</v>
      </c>
      <c r="L20" s="16" t="s">
        <v>19</v>
      </c>
      <c r="M20" s="16" t="s">
        <v>37</v>
      </c>
      <c r="N20" s="16" t="s">
        <v>49</v>
      </c>
      <c r="O20" s="1"/>
      <c r="P20"/>
      <c r="Q20"/>
      <c r="R20"/>
    </row>
    <row r="21" spans="1:18" ht="15">
      <c r="A21" s="1" t="s">
        <v>50</v>
      </c>
      <c r="B21" s="1" t="s">
        <v>13</v>
      </c>
      <c r="C21" s="5">
        <v>45478</v>
      </c>
      <c r="D21" s="16" t="s">
        <v>14</v>
      </c>
      <c r="E21" s="17" t="s">
        <v>42</v>
      </c>
      <c r="F21" s="9">
        <v>3753</v>
      </c>
      <c r="G21" s="9">
        <v>411</v>
      </c>
      <c r="H21" s="9">
        <v>308</v>
      </c>
      <c r="I21" s="9">
        <v>29138</v>
      </c>
      <c r="J21" s="9">
        <v>27678</v>
      </c>
      <c r="K21" s="9">
        <v>90</v>
      </c>
      <c r="L21" s="16" t="s">
        <v>19</v>
      </c>
      <c r="M21" s="16"/>
      <c r="N21" s="16" t="s">
        <v>20</v>
      </c>
      <c r="O21" s="1"/>
      <c r="P21"/>
      <c r="Q21"/>
      <c r="R21"/>
    </row>
    <row r="22" spans="1:18">
      <c r="A22" s="1" t="s">
        <v>51</v>
      </c>
      <c r="B22" s="1" t="s">
        <v>13</v>
      </c>
      <c r="C22" s="5">
        <v>45603</v>
      </c>
      <c r="D22" s="16" t="s">
        <v>23</v>
      </c>
      <c r="E22" s="17" t="s">
        <v>360</v>
      </c>
      <c r="F22" s="9">
        <v>1678</v>
      </c>
      <c r="G22" s="9">
        <v>423</v>
      </c>
      <c r="H22" s="9">
        <v>323</v>
      </c>
      <c r="I22" s="9">
        <v>55668</v>
      </c>
      <c r="J22" s="9">
        <v>37945</v>
      </c>
      <c r="K22" s="9">
        <v>230</v>
      </c>
      <c r="L22" s="16" t="s">
        <v>34</v>
      </c>
      <c r="M22" s="16"/>
      <c r="N22" s="16" t="s">
        <v>46</v>
      </c>
      <c r="O22" s="1"/>
    </row>
    <row r="23" spans="1:18">
      <c r="A23" s="1" t="s">
        <v>52</v>
      </c>
      <c r="B23" s="1" t="s">
        <v>13</v>
      </c>
      <c r="C23" s="5">
        <v>45823</v>
      </c>
      <c r="D23" s="16" t="s">
        <v>14</v>
      </c>
      <c r="E23" s="17" t="s">
        <v>362</v>
      </c>
      <c r="F23" s="9">
        <v>4896</v>
      </c>
      <c r="G23" s="9">
        <v>466</v>
      </c>
      <c r="H23" s="9">
        <v>233</v>
      </c>
      <c r="I23" s="9">
        <v>28621</v>
      </c>
      <c r="J23" s="9">
        <v>34270</v>
      </c>
      <c r="K23" s="9">
        <v>84</v>
      </c>
      <c r="L23" s="16" t="s">
        <v>37</v>
      </c>
      <c r="M23" s="16" t="s">
        <v>34</v>
      </c>
      <c r="N23" s="16" t="s">
        <v>16</v>
      </c>
      <c r="O23" s="1"/>
    </row>
    <row r="24" spans="1:18">
      <c r="A24" s="1" t="s">
        <v>53</v>
      </c>
      <c r="B24" s="1" t="s">
        <v>27</v>
      </c>
      <c r="C24" s="5">
        <v>45452</v>
      </c>
      <c r="D24" s="16" t="s">
        <v>48</v>
      </c>
      <c r="E24" s="17" t="s">
        <v>363</v>
      </c>
      <c r="F24" s="9">
        <v>2786</v>
      </c>
      <c r="G24" s="9">
        <v>368</v>
      </c>
      <c r="H24" s="9">
        <v>208</v>
      </c>
      <c r="I24" s="9">
        <v>42000</v>
      </c>
      <c r="J24" s="9">
        <v>39967</v>
      </c>
      <c r="K24" s="9">
        <v>103</v>
      </c>
      <c r="L24" s="16" t="s">
        <v>19</v>
      </c>
      <c r="M24" s="16" t="s">
        <v>37</v>
      </c>
      <c r="N24" s="16" t="s">
        <v>49</v>
      </c>
      <c r="O24" s="1"/>
    </row>
    <row r="25" spans="1:18">
      <c r="A25" s="1" t="s">
        <v>54</v>
      </c>
      <c r="B25" s="1" t="s">
        <v>22</v>
      </c>
      <c r="C25" s="5">
        <v>45583</v>
      </c>
      <c r="D25" s="16" t="s">
        <v>14</v>
      </c>
      <c r="E25" s="17" t="s">
        <v>24</v>
      </c>
      <c r="F25" s="9">
        <v>2607</v>
      </c>
      <c r="G25" s="9">
        <v>379</v>
      </c>
      <c r="H25" s="9">
        <v>180</v>
      </c>
      <c r="I25" s="9">
        <v>28712</v>
      </c>
      <c r="J25" s="9">
        <v>61620</v>
      </c>
      <c r="K25" s="9">
        <v>174</v>
      </c>
      <c r="L25" s="16" t="s">
        <v>37</v>
      </c>
      <c r="M25" s="16"/>
      <c r="N25" s="16" t="s">
        <v>20</v>
      </c>
      <c r="O25" s="1"/>
    </row>
    <row r="26" spans="1:18">
      <c r="A26" s="1" t="s">
        <v>55</v>
      </c>
      <c r="B26" s="1" t="s">
        <v>27</v>
      </c>
      <c r="C26" s="5">
        <v>45575</v>
      </c>
      <c r="D26" s="16" t="s">
        <v>48</v>
      </c>
      <c r="E26" s="17" t="s">
        <v>363</v>
      </c>
      <c r="F26" s="9">
        <v>4013</v>
      </c>
      <c r="G26" s="9">
        <v>320</v>
      </c>
      <c r="H26" s="9">
        <v>92</v>
      </c>
      <c r="I26" s="9">
        <v>54605</v>
      </c>
      <c r="J26" s="9">
        <v>60169</v>
      </c>
      <c r="K26" s="9">
        <v>232</v>
      </c>
      <c r="L26" s="16" t="s">
        <v>19</v>
      </c>
      <c r="M26" s="16" t="s">
        <v>37</v>
      </c>
      <c r="N26" s="16" t="s">
        <v>49</v>
      </c>
      <c r="O26" s="1"/>
    </row>
    <row r="27" spans="1:18">
      <c r="A27" s="1" t="s">
        <v>56</v>
      </c>
      <c r="B27" s="1" t="s">
        <v>22</v>
      </c>
      <c r="C27" s="5">
        <v>45791</v>
      </c>
      <c r="D27" s="16" t="s">
        <v>23</v>
      </c>
      <c r="E27" s="17" t="s">
        <v>363</v>
      </c>
      <c r="F27" s="9">
        <v>2707</v>
      </c>
      <c r="G27" s="9">
        <v>103</v>
      </c>
      <c r="H27" s="9">
        <v>51</v>
      </c>
      <c r="I27" s="9">
        <v>55302</v>
      </c>
      <c r="J27" s="9">
        <v>18801</v>
      </c>
      <c r="K27" s="9">
        <v>147</v>
      </c>
      <c r="L27" s="16" t="s">
        <v>19</v>
      </c>
      <c r="M27" s="16" t="s">
        <v>364</v>
      </c>
      <c r="N27" s="16" t="s">
        <v>16</v>
      </c>
      <c r="O27" s="1"/>
    </row>
    <row r="28" spans="1:18">
      <c r="A28" s="1" t="s">
        <v>57</v>
      </c>
      <c r="B28" s="1" t="s">
        <v>13</v>
      </c>
      <c r="C28" s="5">
        <v>45625</v>
      </c>
      <c r="D28" s="16" t="s">
        <v>14</v>
      </c>
      <c r="E28" s="17" t="s">
        <v>362</v>
      </c>
      <c r="F28" s="9">
        <v>2824</v>
      </c>
      <c r="G28" s="9">
        <v>425</v>
      </c>
      <c r="H28" s="9">
        <v>274</v>
      </c>
      <c r="I28" s="9">
        <v>31004</v>
      </c>
      <c r="J28" s="9">
        <v>53488</v>
      </c>
      <c r="K28" s="9">
        <v>268</v>
      </c>
      <c r="L28" s="16" t="s">
        <v>37</v>
      </c>
      <c r="M28" s="16" t="s">
        <v>34</v>
      </c>
      <c r="N28" s="16" t="s">
        <v>16</v>
      </c>
      <c r="O28" s="1"/>
    </row>
    <row r="29" spans="1:18">
      <c r="A29" s="1" t="s">
        <v>58</v>
      </c>
      <c r="B29" s="1" t="s">
        <v>27</v>
      </c>
      <c r="C29" s="5">
        <v>45356</v>
      </c>
      <c r="D29" s="16" t="s">
        <v>48</v>
      </c>
      <c r="E29" s="17" t="s">
        <v>18</v>
      </c>
      <c r="F29" s="9">
        <v>3558</v>
      </c>
      <c r="G29" s="9">
        <v>314</v>
      </c>
      <c r="H29" s="9">
        <v>199</v>
      </c>
      <c r="I29" s="9">
        <v>49612</v>
      </c>
      <c r="J29" s="9">
        <v>53929</v>
      </c>
      <c r="K29" s="9">
        <v>206</v>
      </c>
      <c r="L29" s="16" t="s">
        <v>19</v>
      </c>
      <c r="M29" s="16" t="s">
        <v>37</v>
      </c>
      <c r="N29" s="16" t="s">
        <v>49</v>
      </c>
      <c r="O29" s="1"/>
    </row>
    <row r="30" spans="1:18">
      <c r="A30" s="1" t="s">
        <v>59</v>
      </c>
      <c r="B30" s="1" t="s">
        <v>22</v>
      </c>
      <c r="C30" s="5">
        <v>45734</v>
      </c>
      <c r="D30" s="16" t="s">
        <v>23</v>
      </c>
      <c r="E30" s="17" t="s">
        <v>18</v>
      </c>
      <c r="F30" s="9">
        <v>3418</v>
      </c>
      <c r="G30" s="9">
        <v>188</v>
      </c>
      <c r="H30" s="9">
        <v>387</v>
      </c>
      <c r="I30" s="9">
        <v>57431</v>
      </c>
      <c r="J30" s="9">
        <v>36933</v>
      </c>
      <c r="K30" s="9">
        <v>202</v>
      </c>
      <c r="L30" s="16" t="s">
        <v>364</v>
      </c>
      <c r="M30" s="16" t="s">
        <v>34</v>
      </c>
      <c r="N30" s="16" t="s">
        <v>16</v>
      </c>
      <c r="O30" s="1"/>
    </row>
    <row r="31" spans="1:18">
      <c r="A31" s="1" t="s">
        <v>60</v>
      </c>
      <c r="B31" s="1" t="s">
        <v>22</v>
      </c>
      <c r="C31" s="5">
        <v>45773</v>
      </c>
      <c r="D31" s="16" t="s">
        <v>14</v>
      </c>
      <c r="E31" s="17" t="s">
        <v>15</v>
      </c>
      <c r="F31" s="9">
        <v>2411</v>
      </c>
      <c r="G31" s="9">
        <v>194</v>
      </c>
      <c r="H31" s="9">
        <v>168</v>
      </c>
      <c r="I31" s="9">
        <v>26665</v>
      </c>
      <c r="J31" s="9">
        <v>71699</v>
      </c>
      <c r="K31" s="9">
        <v>197</v>
      </c>
      <c r="L31" s="16" t="s">
        <v>34</v>
      </c>
      <c r="M31" s="16"/>
      <c r="N31" s="16" t="s">
        <v>16</v>
      </c>
      <c r="O31" s="1"/>
    </row>
    <row r="32" spans="1:18">
      <c r="A32" s="1" t="s">
        <v>61</v>
      </c>
      <c r="B32" s="1" t="s">
        <v>13</v>
      </c>
      <c r="C32" s="5">
        <v>45658</v>
      </c>
      <c r="D32" s="16" t="s">
        <v>14</v>
      </c>
      <c r="E32" s="17" t="s">
        <v>24</v>
      </c>
      <c r="F32" s="9">
        <v>4036</v>
      </c>
      <c r="G32" s="9">
        <v>112</v>
      </c>
      <c r="H32" s="9">
        <v>382</v>
      </c>
      <c r="I32" s="9">
        <v>56284</v>
      </c>
      <c r="J32" s="9">
        <v>29440</v>
      </c>
      <c r="K32" s="9">
        <v>279</v>
      </c>
      <c r="L32" s="16" t="s">
        <v>37</v>
      </c>
      <c r="M32" s="16" t="s">
        <v>34</v>
      </c>
      <c r="N32" s="16" t="s">
        <v>16</v>
      </c>
      <c r="O32" s="1"/>
    </row>
    <row r="33" spans="1:15">
      <c r="A33" s="1" t="s">
        <v>62</v>
      </c>
      <c r="B33" s="1" t="s">
        <v>22</v>
      </c>
      <c r="C33" s="5">
        <v>45419</v>
      </c>
      <c r="D33" s="16" t="s">
        <v>23</v>
      </c>
      <c r="E33" s="17" t="s">
        <v>18</v>
      </c>
      <c r="F33" s="9">
        <v>2776</v>
      </c>
      <c r="G33" s="9">
        <v>307</v>
      </c>
      <c r="H33" s="9">
        <v>178</v>
      </c>
      <c r="I33" s="9">
        <v>43365</v>
      </c>
      <c r="J33" s="9">
        <v>48408</v>
      </c>
      <c r="K33" s="9">
        <v>138</v>
      </c>
      <c r="L33" s="16" t="s">
        <v>37</v>
      </c>
      <c r="M33" s="16" t="s">
        <v>34</v>
      </c>
      <c r="N33" s="16" t="s">
        <v>16</v>
      </c>
      <c r="O33" s="1"/>
    </row>
    <row r="34" spans="1:15">
      <c r="A34" s="1" t="s">
        <v>63</v>
      </c>
      <c r="B34" s="1" t="s">
        <v>22</v>
      </c>
      <c r="C34" s="5">
        <v>45574</v>
      </c>
      <c r="D34" s="16" t="s">
        <v>23</v>
      </c>
      <c r="E34" s="17" t="s">
        <v>15</v>
      </c>
      <c r="F34" s="9">
        <v>4929</v>
      </c>
      <c r="G34" s="9">
        <v>182</v>
      </c>
      <c r="H34" s="9">
        <v>95</v>
      </c>
      <c r="I34" s="9">
        <v>32181</v>
      </c>
      <c r="J34" s="9">
        <v>31084</v>
      </c>
      <c r="K34" s="9">
        <v>289</v>
      </c>
      <c r="L34" s="16" t="s">
        <v>19</v>
      </c>
      <c r="M34" s="16" t="s">
        <v>364</v>
      </c>
      <c r="N34" s="16" t="s">
        <v>16</v>
      </c>
      <c r="O34" s="1"/>
    </row>
    <row r="35" spans="1:15">
      <c r="A35" s="1" t="s">
        <v>64</v>
      </c>
      <c r="B35" s="1" t="s">
        <v>13</v>
      </c>
      <c r="C35" s="5">
        <v>45666</v>
      </c>
      <c r="D35" s="16" t="s">
        <v>14</v>
      </c>
      <c r="E35" s="17" t="s">
        <v>24</v>
      </c>
      <c r="F35" s="9">
        <v>1015</v>
      </c>
      <c r="G35" s="9">
        <v>366</v>
      </c>
      <c r="H35" s="9">
        <v>308</v>
      </c>
      <c r="I35" s="9">
        <v>38127</v>
      </c>
      <c r="J35" s="9">
        <v>63790</v>
      </c>
      <c r="K35" s="9">
        <v>287</v>
      </c>
      <c r="L35" s="16" t="s">
        <v>37</v>
      </c>
      <c r="M35" s="16" t="s">
        <v>34</v>
      </c>
      <c r="N35" s="16" t="s">
        <v>16</v>
      </c>
      <c r="O35" s="1"/>
    </row>
    <row r="36" spans="1:15">
      <c r="A36" s="1" t="s">
        <v>65</v>
      </c>
      <c r="B36" s="1" t="s">
        <v>22</v>
      </c>
      <c r="C36" s="5">
        <v>45785</v>
      </c>
      <c r="D36" s="16" t="s">
        <v>23</v>
      </c>
      <c r="E36" s="17" t="s">
        <v>42</v>
      </c>
      <c r="F36" s="9">
        <v>3316</v>
      </c>
      <c r="G36" s="9">
        <v>332</v>
      </c>
      <c r="H36" s="9">
        <v>268</v>
      </c>
      <c r="I36" s="9">
        <v>40095</v>
      </c>
      <c r="J36" s="9">
        <v>36913</v>
      </c>
      <c r="K36" s="9">
        <v>265</v>
      </c>
      <c r="L36" s="16" t="s">
        <v>364</v>
      </c>
      <c r="M36" s="16" t="s">
        <v>34</v>
      </c>
      <c r="N36" s="16" t="s">
        <v>16</v>
      </c>
      <c r="O36" s="1"/>
    </row>
    <row r="37" spans="1:15">
      <c r="A37" s="1" t="s">
        <v>66</v>
      </c>
      <c r="B37" s="1" t="s">
        <v>13</v>
      </c>
      <c r="C37" s="5">
        <v>45416</v>
      </c>
      <c r="D37" s="16" t="s">
        <v>14</v>
      </c>
      <c r="E37" s="17" t="s">
        <v>360</v>
      </c>
      <c r="F37" s="9">
        <v>2274</v>
      </c>
      <c r="G37" s="9">
        <v>243</v>
      </c>
      <c r="H37" s="9">
        <v>222</v>
      </c>
      <c r="I37" s="9">
        <v>43066</v>
      </c>
      <c r="J37" s="9">
        <v>59174</v>
      </c>
      <c r="K37" s="9">
        <v>80</v>
      </c>
      <c r="L37" s="16" t="s">
        <v>19</v>
      </c>
      <c r="M37" s="16"/>
      <c r="N37" s="16" t="s">
        <v>20</v>
      </c>
      <c r="O37" s="1"/>
    </row>
    <row r="38" spans="1:15">
      <c r="A38" s="1" t="s">
        <v>67</v>
      </c>
      <c r="B38" s="1" t="s">
        <v>22</v>
      </c>
      <c r="C38" s="5">
        <v>45804</v>
      </c>
      <c r="D38" s="16" t="s">
        <v>23</v>
      </c>
      <c r="E38" s="17" t="s">
        <v>18</v>
      </c>
      <c r="F38" s="9">
        <v>4095</v>
      </c>
      <c r="G38" s="9">
        <v>385</v>
      </c>
      <c r="H38" s="9">
        <v>400</v>
      </c>
      <c r="I38" s="9">
        <v>45300</v>
      </c>
      <c r="J38" s="9">
        <v>31795</v>
      </c>
      <c r="K38" s="9">
        <v>80</v>
      </c>
      <c r="L38" s="16" t="s">
        <v>364</v>
      </c>
      <c r="M38" s="16" t="s">
        <v>34</v>
      </c>
      <c r="N38" s="16" t="s">
        <v>16</v>
      </c>
      <c r="O38" s="1"/>
    </row>
    <row r="39" spans="1:15">
      <c r="A39" s="1" t="s">
        <v>68</v>
      </c>
      <c r="B39" s="1" t="s">
        <v>13</v>
      </c>
      <c r="C39" s="5">
        <v>45545</v>
      </c>
      <c r="D39" s="16" t="s">
        <v>23</v>
      </c>
      <c r="E39" s="17" t="s">
        <v>24</v>
      </c>
      <c r="F39" s="9">
        <v>1230</v>
      </c>
      <c r="G39" s="9">
        <v>309</v>
      </c>
      <c r="H39" s="9">
        <v>207</v>
      </c>
      <c r="I39" s="9">
        <v>44629</v>
      </c>
      <c r="J39" s="9">
        <v>40699</v>
      </c>
      <c r="K39" s="9">
        <v>195</v>
      </c>
      <c r="L39" s="16" t="s">
        <v>34</v>
      </c>
      <c r="M39" s="16"/>
      <c r="N39" s="16" t="s">
        <v>46</v>
      </c>
      <c r="O39" s="1"/>
    </row>
    <row r="40" spans="1:15">
      <c r="A40" s="1" t="s">
        <v>69</v>
      </c>
      <c r="B40" s="1" t="s">
        <v>13</v>
      </c>
      <c r="C40" s="5">
        <v>45621</v>
      </c>
      <c r="D40" s="16" t="s">
        <v>14</v>
      </c>
      <c r="E40" s="17" t="s">
        <v>363</v>
      </c>
      <c r="F40" s="9">
        <v>1341</v>
      </c>
      <c r="G40" s="9">
        <v>472</v>
      </c>
      <c r="H40" s="9">
        <v>238</v>
      </c>
      <c r="I40" s="9">
        <v>51386</v>
      </c>
      <c r="J40" s="9">
        <v>51706</v>
      </c>
      <c r="K40" s="9">
        <v>133</v>
      </c>
      <c r="L40" s="16" t="s">
        <v>19</v>
      </c>
      <c r="M40" s="16"/>
      <c r="N40" s="16" t="s">
        <v>20</v>
      </c>
      <c r="O40" s="1"/>
    </row>
    <row r="41" spans="1:15">
      <c r="A41" s="1" t="s">
        <v>70</v>
      </c>
      <c r="B41" s="1" t="s">
        <v>22</v>
      </c>
      <c r="C41" s="5">
        <v>45818</v>
      </c>
      <c r="D41" s="16" t="s">
        <v>14</v>
      </c>
      <c r="E41" s="17" t="s">
        <v>18</v>
      </c>
      <c r="F41" s="9">
        <v>3615</v>
      </c>
      <c r="G41" s="9">
        <v>192</v>
      </c>
      <c r="H41" s="9">
        <v>162</v>
      </c>
      <c r="I41" s="9">
        <v>27492</v>
      </c>
      <c r="J41" s="9">
        <v>35341</v>
      </c>
      <c r="K41" s="9">
        <v>125</v>
      </c>
      <c r="L41" s="16" t="s">
        <v>34</v>
      </c>
      <c r="M41" s="16"/>
      <c r="N41" s="16" t="s">
        <v>16</v>
      </c>
      <c r="O41" s="1"/>
    </row>
    <row r="42" spans="1:15">
      <c r="A42" s="1" t="s">
        <v>71</v>
      </c>
      <c r="B42" s="1" t="s">
        <v>13</v>
      </c>
      <c r="C42" s="5">
        <v>45401</v>
      </c>
      <c r="D42" s="16" t="s">
        <v>14</v>
      </c>
      <c r="E42" s="17" t="s">
        <v>24</v>
      </c>
      <c r="F42" s="9">
        <v>4001</v>
      </c>
      <c r="G42" s="9">
        <v>353</v>
      </c>
      <c r="H42" s="9">
        <v>129</v>
      </c>
      <c r="I42" s="9">
        <v>41265</v>
      </c>
      <c r="J42" s="9">
        <v>37279</v>
      </c>
      <c r="K42" s="9">
        <v>275</v>
      </c>
      <c r="L42" s="16" t="s">
        <v>37</v>
      </c>
      <c r="M42" s="16" t="s">
        <v>34</v>
      </c>
      <c r="N42" s="16" t="s">
        <v>16</v>
      </c>
      <c r="O42" s="1"/>
    </row>
    <row r="43" spans="1:15">
      <c r="A43" s="1" t="s">
        <v>72</v>
      </c>
      <c r="B43" s="1" t="s">
        <v>13</v>
      </c>
      <c r="C43" s="5">
        <v>45683</v>
      </c>
      <c r="D43" s="16" t="s">
        <v>23</v>
      </c>
      <c r="E43" s="17" t="s">
        <v>362</v>
      </c>
      <c r="F43" s="9">
        <v>3451</v>
      </c>
      <c r="G43" s="9">
        <v>363</v>
      </c>
      <c r="H43" s="9">
        <v>393</v>
      </c>
      <c r="I43" s="9">
        <v>44853</v>
      </c>
      <c r="J43" s="9">
        <v>69032</v>
      </c>
      <c r="K43" s="9">
        <v>211</v>
      </c>
      <c r="L43" s="16" t="s">
        <v>34</v>
      </c>
      <c r="M43" s="16"/>
      <c r="N43" s="16" t="s">
        <v>46</v>
      </c>
      <c r="O43" s="1"/>
    </row>
    <row r="44" spans="1:15">
      <c r="A44" s="1" t="s">
        <v>73</v>
      </c>
      <c r="B44" s="1" t="s">
        <v>13</v>
      </c>
      <c r="C44" s="5">
        <v>45702</v>
      </c>
      <c r="D44" s="16" t="s">
        <v>14</v>
      </c>
      <c r="E44" s="17" t="s">
        <v>33</v>
      </c>
      <c r="F44" s="9">
        <v>4891</v>
      </c>
      <c r="G44" s="9">
        <v>450</v>
      </c>
      <c r="H44" s="9">
        <v>387</v>
      </c>
      <c r="I44" s="9">
        <v>48746</v>
      </c>
      <c r="J44" s="9">
        <v>37312</v>
      </c>
      <c r="K44" s="9">
        <v>154</v>
      </c>
      <c r="L44" s="16" t="s">
        <v>37</v>
      </c>
      <c r="M44" s="16" t="s">
        <v>34</v>
      </c>
      <c r="N44" s="16" t="s">
        <v>16</v>
      </c>
      <c r="O44" s="1"/>
    </row>
    <row r="45" spans="1:15">
      <c r="A45" s="1" t="s">
        <v>74</v>
      </c>
      <c r="B45" s="1" t="s">
        <v>13</v>
      </c>
      <c r="C45" s="5">
        <v>45541</v>
      </c>
      <c r="D45" s="16" t="s">
        <v>14</v>
      </c>
      <c r="E45" s="17" t="s">
        <v>24</v>
      </c>
      <c r="F45" s="9">
        <v>1452</v>
      </c>
      <c r="G45" s="9">
        <v>281</v>
      </c>
      <c r="H45" s="9">
        <v>326</v>
      </c>
      <c r="I45" s="9">
        <v>51556</v>
      </c>
      <c r="J45" s="9">
        <v>62599</v>
      </c>
      <c r="K45" s="9">
        <v>290</v>
      </c>
      <c r="L45" s="16" t="s">
        <v>19</v>
      </c>
      <c r="M45" s="16"/>
      <c r="N45" s="16" t="s">
        <v>20</v>
      </c>
      <c r="O45" s="1"/>
    </row>
    <row r="46" spans="1:15">
      <c r="A46" s="1" t="s">
        <v>75</v>
      </c>
      <c r="B46" s="1" t="s">
        <v>27</v>
      </c>
      <c r="C46" s="5">
        <v>45487</v>
      </c>
      <c r="D46" s="16" t="s">
        <v>14</v>
      </c>
      <c r="E46" s="17" t="s">
        <v>42</v>
      </c>
      <c r="F46" s="9">
        <v>3806</v>
      </c>
      <c r="G46" s="9">
        <v>114</v>
      </c>
      <c r="H46" s="9">
        <v>278</v>
      </c>
      <c r="I46" s="9">
        <v>36148</v>
      </c>
      <c r="J46" s="9">
        <v>24209</v>
      </c>
      <c r="K46" s="9">
        <v>201</v>
      </c>
      <c r="L46" s="16" t="s">
        <v>19</v>
      </c>
      <c r="M46" s="16" t="s">
        <v>365</v>
      </c>
      <c r="N46" s="16" t="s">
        <v>20</v>
      </c>
      <c r="O46" s="1"/>
    </row>
    <row r="47" spans="1:15">
      <c r="A47" s="1" t="s">
        <v>76</v>
      </c>
      <c r="B47" s="1" t="s">
        <v>13</v>
      </c>
      <c r="C47" s="5">
        <v>45334</v>
      </c>
      <c r="D47" s="16" t="s">
        <v>14</v>
      </c>
      <c r="E47" s="17" t="s">
        <v>18</v>
      </c>
      <c r="F47" s="9">
        <v>2923</v>
      </c>
      <c r="G47" s="9">
        <v>330</v>
      </c>
      <c r="H47" s="9">
        <v>250</v>
      </c>
      <c r="I47" s="9">
        <v>23993</v>
      </c>
      <c r="J47" s="9">
        <v>74590</v>
      </c>
      <c r="K47" s="9">
        <v>92</v>
      </c>
      <c r="L47" s="16" t="s">
        <v>19</v>
      </c>
      <c r="M47" s="16"/>
      <c r="N47" s="16" t="s">
        <v>20</v>
      </c>
      <c r="O47" s="1"/>
    </row>
    <row r="48" spans="1:15">
      <c r="A48" s="1" t="s">
        <v>77</v>
      </c>
      <c r="B48" s="1" t="s">
        <v>27</v>
      </c>
      <c r="C48" s="5">
        <v>45365</v>
      </c>
      <c r="D48" s="16" t="s">
        <v>48</v>
      </c>
      <c r="E48" s="17" t="s">
        <v>363</v>
      </c>
      <c r="F48" s="9">
        <v>3361</v>
      </c>
      <c r="G48" s="9">
        <v>188</v>
      </c>
      <c r="H48" s="9">
        <v>358</v>
      </c>
      <c r="I48" s="9">
        <v>39838</v>
      </c>
      <c r="J48" s="9">
        <v>24536</v>
      </c>
      <c r="K48" s="9">
        <v>120</v>
      </c>
      <c r="L48" s="16" t="s">
        <v>19</v>
      </c>
      <c r="M48" s="16" t="s">
        <v>37</v>
      </c>
      <c r="N48" s="16" t="s">
        <v>49</v>
      </c>
      <c r="O48" s="1"/>
    </row>
    <row r="49" spans="1:15">
      <c r="A49" s="1" t="s">
        <v>78</v>
      </c>
      <c r="B49" s="1" t="s">
        <v>13</v>
      </c>
      <c r="C49" s="5">
        <v>45693</v>
      </c>
      <c r="D49" s="16" t="s">
        <v>23</v>
      </c>
      <c r="E49" s="17" t="s">
        <v>361</v>
      </c>
      <c r="F49" s="9">
        <v>3074</v>
      </c>
      <c r="G49" s="9">
        <v>371</v>
      </c>
      <c r="H49" s="9">
        <v>348</v>
      </c>
      <c r="I49" s="9">
        <v>24104</v>
      </c>
      <c r="J49" s="9">
        <v>57803</v>
      </c>
      <c r="K49" s="9">
        <v>213</v>
      </c>
      <c r="L49" s="16" t="s">
        <v>34</v>
      </c>
      <c r="M49" s="16"/>
      <c r="N49" s="16" t="s">
        <v>46</v>
      </c>
      <c r="O49" s="1"/>
    </row>
    <row r="50" spans="1:15">
      <c r="A50" s="1" t="s">
        <v>79</v>
      </c>
      <c r="B50" s="1" t="s">
        <v>22</v>
      </c>
      <c r="C50" s="5">
        <v>45533</v>
      </c>
      <c r="D50" s="16" t="s">
        <v>23</v>
      </c>
      <c r="E50" s="17" t="s">
        <v>30</v>
      </c>
      <c r="F50" s="9">
        <v>4276</v>
      </c>
      <c r="G50" s="9">
        <v>227</v>
      </c>
      <c r="H50" s="9">
        <v>223</v>
      </c>
      <c r="I50" s="9">
        <v>43443</v>
      </c>
      <c r="J50" s="9">
        <v>41005</v>
      </c>
      <c r="K50" s="9">
        <v>191</v>
      </c>
      <c r="L50" s="16" t="s">
        <v>19</v>
      </c>
      <c r="M50" s="16" t="s">
        <v>364</v>
      </c>
      <c r="N50" s="16" t="s">
        <v>16</v>
      </c>
      <c r="O50" s="1"/>
    </row>
    <row r="51" spans="1:15">
      <c r="A51" s="1" t="s">
        <v>80</v>
      </c>
      <c r="B51" s="1" t="s">
        <v>22</v>
      </c>
      <c r="C51" s="5">
        <v>45769</v>
      </c>
      <c r="D51" s="16" t="s">
        <v>14</v>
      </c>
      <c r="E51" s="17" t="s">
        <v>15</v>
      </c>
      <c r="F51" s="9">
        <v>4401</v>
      </c>
      <c r="G51" s="9">
        <v>421</v>
      </c>
      <c r="H51" s="9">
        <v>216</v>
      </c>
      <c r="I51" s="9">
        <v>24890</v>
      </c>
      <c r="J51" s="9">
        <v>54361</v>
      </c>
      <c r="K51" s="9">
        <v>148</v>
      </c>
      <c r="L51" s="16" t="s">
        <v>34</v>
      </c>
      <c r="M51" s="16"/>
      <c r="N51" s="16" t="s">
        <v>16</v>
      </c>
      <c r="O51" s="1"/>
    </row>
    <row r="52" spans="1:15">
      <c r="A52" s="1" t="s">
        <v>81</v>
      </c>
      <c r="B52" s="1" t="s">
        <v>27</v>
      </c>
      <c r="C52" s="5">
        <v>45425</v>
      </c>
      <c r="D52" s="16" t="s">
        <v>48</v>
      </c>
      <c r="E52" s="17" t="s">
        <v>18</v>
      </c>
      <c r="F52" s="9">
        <v>4161</v>
      </c>
      <c r="G52" s="9">
        <v>481</v>
      </c>
      <c r="H52" s="9">
        <v>61</v>
      </c>
      <c r="I52" s="9">
        <v>45884</v>
      </c>
      <c r="J52" s="9">
        <v>48955</v>
      </c>
      <c r="K52" s="9">
        <v>215</v>
      </c>
      <c r="L52" s="16" t="s">
        <v>19</v>
      </c>
      <c r="M52" s="16" t="s">
        <v>37</v>
      </c>
      <c r="N52" s="16" t="s">
        <v>49</v>
      </c>
      <c r="O52" s="1"/>
    </row>
    <row r="53" spans="1:15">
      <c r="A53" s="1" t="s">
        <v>82</v>
      </c>
      <c r="B53" s="1" t="s">
        <v>22</v>
      </c>
      <c r="C53" s="5">
        <v>45539</v>
      </c>
      <c r="D53" s="16" t="s">
        <v>23</v>
      </c>
      <c r="E53" s="17" t="s">
        <v>24</v>
      </c>
      <c r="F53" s="9">
        <v>2613</v>
      </c>
      <c r="G53" s="9">
        <v>455</v>
      </c>
      <c r="H53" s="9">
        <v>228</v>
      </c>
      <c r="I53" s="9">
        <v>21645</v>
      </c>
      <c r="J53" s="9">
        <v>61334</v>
      </c>
      <c r="K53" s="9">
        <v>261</v>
      </c>
      <c r="L53" s="16" t="s">
        <v>19</v>
      </c>
      <c r="M53" s="16" t="s">
        <v>364</v>
      </c>
      <c r="N53" s="16" t="s">
        <v>16</v>
      </c>
      <c r="O53" s="1"/>
    </row>
    <row r="54" spans="1:15">
      <c r="A54" s="1" t="s">
        <v>83</v>
      </c>
      <c r="B54" s="1" t="s">
        <v>22</v>
      </c>
      <c r="C54" s="5">
        <v>45516</v>
      </c>
      <c r="D54" s="16" t="s">
        <v>23</v>
      </c>
      <c r="E54" s="17" t="s">
        <v>362</v>
      </c>
      <c r="F54" s="9">
        <v>2842</v>
      </c>
      <c r="G54" s="9">
        <v>213</v>
      </c>
      <c r="H54" s="9">
        <v>331</v>
      </c>
      <c r="I54" s="9">
        <v>57660</v>
      </c>
      <c r="J54" s="9">
        <v>68606</v>
      </c>
      <c r="K54" s="9">
        <v>87</v>
      </c>
      <c r="L54" s="16" t="s">
        <v>364</v>
      </c>
      <c r="M54" s="16" t="s">
        <v>34</v>
      </c>
      <c r="N54" s="16" t="s">
        <v>16</v>
      </c>
      <c r="O54" s="1"/>
    </row>
    <row r="55" spans="1:15">
      <c r="A55" s="1" t="s">
        <v>84</v>
      </c>
      <c r="B55" s="1" t="s">
        <v>13</v>
      </c>
      <c r="C55" s="5">
        <v>45722</v>
      </c>
      <c r="D55" s="16" t="s">
        <v>14</v>
      </c>
      <c r="E55" s="17" t="s">
        <v>30</v>
      </c>
      <c r="F55" s="9">
        <v>4851</v>
      </c>
      <c r="G55" s="9">
        <v>460</v>
      </c>
      <c r="H55" s="9">
        <v>212</v>
      </c>
      <c r="I55" s="9">
        <v>58075</v>
      </c>
      <c r="J55" s="9">
        <v>59574</v>
      </c>
      <c r="K55" s="9">
        <v>239</v>
      </c>
      <c r="L55" s="16" t="s">
        <v>19</v>
      </c>
      <c r="M55" s="16"/>
      <c r="N55" s="16" t="s">
        <v>20</v>
      </c>
      <c r="O55" s="1"/>
    </row>
    <row r="56" spans="1:15">
      <c r="A56" s="1" t="s">
        <v>85</v>
      </c>
      <c r="B56" s="1" t="s">
        <v>22</v>
      </c>
      <c r="C56" s="5">
        <v>45420</v>
      </c>
      <c r="D56" s="16" t="s">
        <v>14</v>
      </c>
      <c r="E56" s="17" t="s">
        <v>18</v>
      </c>
      <c r="F56" s="9">
        <v>1828</v>
      </c>
      <c r="G56" s="9">
        <v>450</v>
      </c>
      <c r="H56" s="9">
        <v>214</v>
      </c>
      <c r="I56" s="9">
        <v>52115</v>
      </c>
      <c r="J56" s="9">
        <v>19166</v>
      </c>
      <c r="K56" s="9">
        <v>190</v>
      </c>
      <c r="L56" s="16" t="s">
        <v>34</v>
      </c>
      <c r="M56" s="16"/>
      <c r="N56" s="16" t="s">
        <v>16</v>
      </c>
      <c r="O56" s="1"/>
    </row>
    <row r="57" spans="1:15">
      <c r="A57" s="1" t="s">
        <v>86</v>
      </c>
      <c r="B57" s="1" t="s">
        <v>13</v>
      </c>
      <c r="C57" s="5">
        <v>45707</v>
      </c>
      <c r="D57" s="16" t="s">
        <v>23</v>
      </c>
      <c r="E57" s="17" t="s">
        <v>363</v>
      </c>
      <c r="F57" s="9">
        <v>2422</v>
      </c>
      <c r="G57" s="9">
        <v>455</v>
      </c>
      <c r="H57" s="9">
        <v>376</v>
      </c>
      <c r="I57" s="9">
        <v>23428</v>
      </c>
      <c r="J57" s="9">
        <v>46775</v>
      </c>
      <c r="K57" s="9">
        <v>259</v>
      </c>
      <c r="L57" s="16" t="s">
        <v>34</v>
      </c>
      <c r="M57" s="16"/>
      <c r="N57" s="16" t="s">
        <v>46</v>
      </c>
      <c r="O57" s="1"/>
    </row>
    <row r="58" spans="1:15">
      <c r="A58" s="1" t="s">
        <v>87</v>
      </c>
      <c r="B58" s="1" t="s">
        <v>13</v>
      </c>
      <c r="C58" s="5">
        <v>45299</v>
      </c>
      <c r="D58" s="16" t="s">
        <v>14</v>
      </c>
      <c r="E58" s="17" t="s">
        <v>33</v>
      </c>
      <c r="F58" s="9">
        <v>2683</v>
      </c>
      <c r="G58" s="9">
        <v>405</v>
      </c>
      <c r="H58" s="9">
        <v>223</v>
      </c>
      <c r="I58" s="9">
        <v>31233</v>
      </c>
      <c r="J58" s="9">
        <v>58106</v>
      </c>
      <c r="K58" s="9">
        <v>291</v>
      </c>
      <c r="L58" s="16" t="s">
        <v>19</v>
      </c>
      <c r="M58" s="16"/>
      <c r="N58" s="16" t="s">
        <v>20</v>
      </c>
      <c r="O58" s="1"/>
    </row>
    <row r="59" spans="1:15">
      <c r="A59" s="1" t="s">
        <v>88</v>
      </c>
      <c r="B59" s="1" t="s">
        <v>27</v>
      </c>
      <c r="C59" s="5">
        <v>45490</v>
      </c>
      <c r="D59" s="16" t="s">
        <v>14</v>
      </c>
      <c r="E59" s="17" t="s">
        <v>33</v>
      </c>
      <c r="F59" s="9">
        <v>3135</v>
      </c>
      <c r="G59" s="9">
        <v>110</v>
      </c>
      <c r="H59" s="9">
        <v>215</v>
      </c>
      <c r="I59" s="9">
        <v>39192</v>
      </c>
      <c r="J59" s="9">
        <v>24744</v>
      </c>
      <c r="K59" s="9">
        <v>177</v>
      </c>
      <c r="L59" s="16" t="s">
        <v>19</v>
      </c>
      <c r="M59" s="16" t="s">
        <v>365</v>
      </c>
      <c r="N59" s="16" t="s">
        <v>20</v>
      </c>
      <c r="O59" s="1"/>
    </row>
    <row r="60" spans="1:15">
      <c r="A60" s="1" t="s">
        <v>89</v>
      </c>
      <c r="B60" s="1" t="s">
        <v>27</v>
      </c>
      <c r="C60" s="5">
        <v>45514</v>
      </c>
      <c r="D60" s="16" t="s">
        <v>14</v>
      </c>
      <c r="E60" s="17" t="s">
        <v>363</v>
      </c>
      <c r="F60" s="9">
        <v>1105</v>
      </c>
      <c r="G60" s="9">
        <v>181</v>
      </c>
      <c r="H60" s="9">
        <v>55</v>
      </c>
      <c r="I60" s="9">
        <v>53581</v>
      </c>
      <c r="J60" s="9">
        <v>74048</v>
      </c>
      <c r="K60" s="9">
        <v>220</v>
      </c>
      <c r="L60" s="16" t="s">
        <v>19</v>
      </c>
      <c r="M60" s="16" t="s">
        <v>365</v>
      </c>
      <c r="N60" s="16" t="s">
        <v>20</v>
      </c>
      <c r="O60" s="1"/>
    </row>
    <row r="61" spans="1:15">
      <c r="A61" s="1" t="s">
        <v>90</v>
      </c>
      <c r="B61" s="1" t="s">
        <v>27</v>
      </c>
      <c r="C61" s="5">
        <v>45398</v>
      </c>
      <c r="D61" s="16" t="s">
        <v>14</v>
      </c>
      <c r="E61" s="17" t="s">
        <v>15</v>
      </c>
      <c r="F61" s="9">
        <v>4674</v>
      </c>
      <c r="G61" s="9">
        <v>326</v>
      </c>
      <c r="H61" s="9">
        <v>62</v>
      </c>
      <c r="I61" s="9">
        <v>45503</v>
      </c>
      <c r="J61" s="9">
        <v>46814</v>
      </c>
      <c r="K61" s="9">
        <v>116</v>
      </c>
      <c r="L61" s="16" t="s">
        <v>19</v>
      </c>
      <c r="M61" s="16" t="s">
        <v>365</v>
      </c>
      <c r="N61" s="16" t="s">
        <v>20</v>
      </c>
      <c r="O61" s="1"/>
    </row>
    <row r="62" spans="1:15">
      <c r="A62" s="1" t="s">
        <v>91</v>
      </c>
      <c r="B62" s="1" t="s">
        <v>27</v>
      </c>
      <c r="C62" s="5">
        <v>45292</v>
      </c>
      <c r="D62" s="16" t="s">
        <v>48</v>
      </c>
      <c r="E62" s="17" t="s">
        <v>18</v>
      </c>
      <c r="F62" s="9">
        <v>3437</v>
      </c>
      <c r="G62" s="9">
        <v>129</v>
      </c>
      <c r="H62" s="9">
        <v>359</v>
      </c>
      <c r="I62" s="9">
        <v>44558</v>
      </c>
      <c r="J62" s="9">
        <v>30854</v>
      </c>
      <c r="K62" s="9">
        <v>171</v>
      </c>
      <c r="L62" s="16" t="s">
        <v>19</v>
      </c>
      <c r="M62" s="16" t="s">
        <v>37</v>
      </c>
      <c r="N62" s="16" t="s">
        <v>49</v>
      </c>
      <c r="O62" s="1"/>
    </row>
    <row r="63" spans="1:15">
      <c r="A63" s="1" t="s">
        <v>92</v>
      </c>
      <c r="B63" s="1" t="s">
        <v>22</v>
      </c>
      <c r="C63" s="5">
        <v>45599</v>
      </c>
      <c r="D63" s="16" t="s">
        <v>23</v>
      </c>
      <c r="E63" s="17" t="s">
        <v>360</v>
      </c>
      <c r="F63" s="9">
        <v>1959</v>
      </c>
      <c r="G63" s="9">
        <v>316</v>
      </c>
      <c r="H63" s="9">
        <v>82</v>
      </c>
      <c r="I63" s="9">
        <v>54036</v>
      </c>
      <c r="J63" s="9">
        <v>69015</v>
      </c>
      <c r="K63" s="9">
        <v>182</v>
      </c>
      <c r="L63" s="16" t="s">
        <v>364</v>
      </c>
      <c r="M63" s="16" t="s">
        <v>34</v>
      </c>
      <c r="N63" s="16" t="s">
        <v>16</v>
      </c>
      <c r="O63" s="1"/>
    </row>
    <row r="64" spans="1:15">
      <c r="A64" s="1" t="s">
        <v>93</v>
      </c>
      <c r="B64" s="1" t="s">
        <v>22</v>
      </c>
      <c r="C64" s="5">
        <v>45480</v>
      </c>
      <c r="D64" s="16" t="s">
        <v>14</v>
      </c>
      <c r="E64" s="17" t="s">
        <v>24</v>
      </c>
      <c r="F64" s="9">
        <v>1035</v>
      </c>
      <c r="G64" s="9">
        <v>137</v>
      </c>
      <c r="H64" s="9">
        <v>184</v>
      </c>
      <c r="I64" s="9">
        <v>37302</v>
      </c>
      <c r="J64" s="9">
        <v>68953</v>
      </c>
      <c r="K64" s="9">
        <v>237</v>
      </c>
      <c r="L64" s="16" t="s">
        <v>37</v>
      </c>
      <c r="M64" s="16"/>
      <c r="N64" s="16" t="s">
        <v>20</v>
      </c>
      <c r="O64" s="1"/>
    </row>
    <row r="65" spans="1:15">
      <c r="A65" s="1" t="s">
        <v>94</v>
      </c>
      <c r="B65" s="1" t="s">
        <v>22</v>
      </c>
      <c r="C65" s="5">
        <v>45679</v>
      </c>
      <c r="D65" s="16" t="s">
        <v>23</v>
      </c>
      <c r="E65" s="17" t="s">
        <v>24</v>
      </c>
      <c r="F65" s="9">
        <v>4478</v>
      </c>
      <c r="G65" s="9">
        <v>101</v>
      </c>
      <c r="H65" s="9">
        <v>121</v>
      </c>
      <c r="I65" s="9">
        <v>51035</v>
      </c>
      <c r="J65" s="9">
        <v>58207</v>
      </c>
      <c r="K65" s="9">
        <v>205</v>
      </c>
      <c r="L65" s="16" t="s">
        <v>364</v>
      </c>
      <c r="M65" s="16" t="s">
        <v>34</v>
      </c>
      <c r="N65" s="16" t="s">
        <v>16</v>
      </c>
      <c r="O65" s="1"/>
    </row>
    <row r="66" spans="1:15">
      <c r="A66" s="1" t="s">
        <v>95</v>
      </c>
      <c r="B66" s="1" t="s">
        <v>27</v>
      </c>
      <c r="C66" s="5">
        <v>45438</v>
      </c>
      <c r="D66" s="16" t="s">
        <v>14</v>
      </c>
      <c r="E66" s="17" t="s">
        <v>363</v>
      </c>
      <c r="F66" s="9">
        <v>1488</v>
      </c>
      <c r="G66" s="9">
        <v>327</v>
      </c>
      <c r="H66" s="9">
        <v>110</v>
      </c>
      <c r="I66" s="9">
        <v>53805</v>
      </c>
      <c r="J66" s="9">
        <v>30239</v>
      </c>
      <c r="K66" s="9">
        <v>109</v>
      </c>
      <c r="L66" s="16" t="s">
        <v>19</v>
      </c>
      <c r="M66" s="16" t="s">
        <v>365</v>
      </c>
      <c r="N66" s="16" t="s">
        <v>20</v>
      </c>
      <c r="O66" s="1"/>
    </row>
    <row r="67" spans="1:15">
      <c r="A67" s="1" t="s">
        <v>96</v>
      </c>
      <c r="B67" s="1" t="s">
        <v>13</v>
      </c>
      <c r="C67" s="5">
        <v>45763</v>
      </c>
      <c r="D67" s="16" t="s">
        <v>14</v>
      </c>
      <c r="E67" s="17" t="s">
        <v>360</v>
      </c>
      <c r="F67" s="9">
        <v>4836</v>
      </c>
      <c r="G67" s="9">
        <v>331</v>
      </c>
      <c r="H67" s="9">
        <v>140</v>
      </c>
      <c r="I67" s="9">
        <v>58792</v>
      </c>
      <c r="J67" s="9">
        <v>47711</v>
      </c>
      <c r="K67" s="9">
        <v>227</v>
      </c>
      <c r="L67" s="16" t="s">
        <v>37</v>
      </c>
      <c r="M67" s="16" t="s">
        <v>34</v>
      </c>
      <c r="N67" s="16" t="s">
        <v>16</v>
      </c>
      <c r="O67" s="1"/>
    </row>
    <row r="68" spans="1:15">
      <c r="A68" s="1" t="s">
        <v>97</v>
      </c>
      <c r="B68" s="1" t="s">
        <v>27</v>
      </c>
      <c r="C68" s="5">
        <v>45384</v>
      </c>
      <c r="D68" s="16" t="s">
        <v>48</v>
      </c>
      <c r="E68" s="17" t="s">
        <v>42</v>
      </c>
      <c r="F68" s="9">
        <v>4563</v>
      </c>
      <c r="G68" s="9">
        <v>488</v>
      </c>
      <c r="H68" s="9">
        <v>356</v>
      </c>
      <c r="I68" s="9">
        <v>30619</v>
      </c>
      <c r="J68" s="9">
        <v>23328</v>
      </c>
      <c r="K68" s="9">
        <v>267</v>
      </c>
      <c r="L68" s="16" t="s">
        <v>19</v>
      </c>
      <c r="M68" s="16" t="s">
        <v>37</v>
      </c>
      <c r="N68" s="16" t="s">
        <v>49</v>
      </c>
      <c r="O68" s="1"/>
    </row>
    <row r="69" spans="1:15">
      <c r="A69" s="1" t="s">
        <v>98</v>
      </c>
      <c r="B69" s="1" t="s">
        <v>22</v>
      </c>
      <c r="C69" s="5">
        <v>45379</v>
      </c>
      <c r="D69" s="16" t="s">
        <v>14</v>
      </c>
      <c r="E69" s="17" t="s">
        <v>361</v>
      </c>
      <c r="F69" s="9">
        <v>3276</v>
      </c>
      <c r="G69" s="9">
        <v>421</v>
      </c>
      <c r="H69" s="9">
        <v>114</v>
      </c>
      <c r="I69" s="9">
        <v>20580</v>
      </c>
      <c r="J69" s="9">
        <v>30324</v>
      </c>
      <c r="K69" s="9">
        <v>221</v>
      </c>
      <c r="L69" s="16" t="s">
        <v>37</v>
      </c>
      <c r="M69" s="16"/>
      <c r="N69" s="16" t="s">
        <v>20</v>
      </c>
      <c r="O69" s="1"/>
    </row>
    <row r="70" spans="1:15">
      <c r="A70" s="1" t="s">
        <v>99</v>
      </c>
      <c r="B70" s="1" t="s">
        <v>22</v>
      </c>
      <c r="C70" s="5">
        <v>45643</v>
      </c>
      <c r="D70" s="16" t="s">
        <v>23</v>
      </c>
      <c r="E70" s="17" t="s">
        <v>361</v>
      </c>
      <c r="F70" s="9">
        <v>1316</v>
      </c>
      <c r="G70" s="9">
        <v>472</v>
      </c>
      <c r="H70" s="9">
        <v>286</v>
      </c>
      <c r="I70" s="9">
        <v>44692</v>
      </c>
      <c r="J70" s="9">
        <v>53343</v>
      </c>
      <c r="K70" s="9">
        <v>227</v>
      </c>
      <c r="L70" s="16" t="s">
        <v>19</v>
      </c>
      <c r="M70" s="16" t="s">
        <v>364</v>
      </c>
      <c r="N70" s="16" t="s">
        <v>16</v>
      </c>
      <c r="O70" s="1"/>
    </row>
    <row r="71" spans="1:15">
      <c r="A71" s="1" t="s">
        <v>100</v>
      </c>
      <c r="B71" s="1" t="s">
        <v>22</v>
      </c>
      <c r="C71" s="5">
        <v>45662</v>
      </c>
      <c r="D71" s="16" t="s">
        <v>14</v>
      </c>
      <c r="E71" s="17" t="s">
        <v>360</v>
      </c>
      <c r="F71" s="9">
        <v>4811</v>
      </c>
      <c r="G71" s="9">
        <v>473</v>
      </c>
      <c r="H71" s="9">
        <v>254</v>
      </c>
      <c r="I71" s="9">
        <v>51964</v>
      </c>
      <c r="J71" s="9">
        <v>68795</v>
      </c>
      <c r="K71" s="9">
        <v>107</v>
      </c>
      <c r="L71" s="16" t="s">
        <v>34</v>
      </c>
      <c r="M71" s="16"/>
      <c r="N71" s="16" t="s">
        <v>16</v>
      </c>
      <c r="O71" s="1"/>
    </row>
    <row r="72" spans="1:15">
      <c r="A72" s="1" t="s">
        <v>101</v>
      </c>
      <c r="B72" s="1" t="s">
        <v>22</v>
      </c>
      <c r="C72" s="5">
        <v>45302</v>
      </c>
      <c r="D72" s="16" t="s">
        <v>14</v>
      </c>
      <c r="E72" s="17" t="s">
        <v>362</v>
      </c>
      <c r="F72" s="9">
        <v>4218</v>
      </c>
      <c r="G72" s="9">
        <v>247</v>
      </c>
      <c r="H72" s="9">
        <v>183</v>
      </c>
      <c r="I72" s="9">
        <v>28914</v>
      </c>
      <c r="J72" s="9">
        <v>18310</v>
      </c>
      <c r="K72" s="9">
        <v>135</v>
      </c>
      <c r="L72" s="16" t="s">
        <v>37</v>
      </c>
      <c r="M72" s="16"/>
      <c r="N72" s="16" t="s">
        <v>20</v>
      </c>
      <c r="O72" s="1"/>
    </row>
    <row r="73" spans="1:15">
      <c r="A73" s="1" t="s">
        <v>102</v>
      </c>
      <c r="B73" s="1" t="s">
        <v>13</v>
      </c>
      <c r="C73" s="5">
        <v>45576</v>
      </c>
      <c r="D73" s="16" t="s">
        <v>14</v>
      </c>
      <c r="E73" s="17" t="s">
        <v>363</v>
      </c>
      <c r="F73" s="9">
        <v>1360</v>
      </c>
      <c r="G73" s="9">
        <v>249</v>
      </c>
      <c r="H73" s="9">
        <v>52</v>
      </c>
      <c r="I73" s="9">
        <v>20368</v>
      </c>
      <c r="J73" s="9">
        <v>42152</v>
      </c>
      <c r="K73" s="9">
        <v>193</v>
      </c>
      <c r="L73" s="16" t="s">
        <v>19</v>
      </c>
      <c r="M73" s="16"/>
      <c r="N73" s="16" t="s">
        <v>20</v>
      </c>
      <c r="O73" s="1"/>
    </row>
    <row r="74" spans="1:15">
      <c r="A74" s="1" t="s">
        <v>103</v>
      </c>
      <c r="B74" s="1" t="s">
        <v>27</v>
      </c>
      <c r="C74" s="5">
        <v>45783</v>
      </c>
      <c r="D74" s="16" t="s">
        <v>48</v>
      </c>
      <c r="E74" s="17" t="s">
        <v>15</v>
      </c>
      <c r="F74" s="9">
        <v>1085</v>
      </c>
      <c r="G74" s="9">
        <v>496</v>
      </c>
      <c r="H74" s="9">
        <v>320</v>
      </c>
      <c r="I74" s="9">
        <v>36528</v>
      </c>
      <c r="J74" s="9">
        <v>38599</v>
      </c>
      <c r="K74" s="9">
        <v>270</v>
      </c>
      <c r="L74" s="16" t="s">
        <v>19</v>
      </c>
      <c r="M74" s="16" t="s">
        <v>37</v>
      </c>
      <c r="N74" s="16" t="s">
        <v>49</v>
      </c>
      <c r="O74" s="1"/>
    </row>
    <row r="75" spans="1:15">
      <c r="A75" s="1" t="s">
        <v>104</v>
      </c>
      <c r="B75" s="1" t="s">
        <v>22</v>
      </c>
      <c r="C75" s="5">
        <v>45431</v>
      </c>
      <c r="D75" s="16" t="s">
        <v>23</v>
      </c>
      <c r="E75" s="17" t="s">
        <v>30</v>
      </c>
      <c r="F75" s="9">
        <v>1763</v>
      </c>
      <c r="G75" s="9">
        <v>206</v>
      </c>
      <c r="H75" s="9">
        <v>187</v>
      </c>
      <c r="I75" s="9">
        <v>53342</v>
      </c>
      <c r="J75" s="9">
        <v>25095</v>
      </c>
      <c r="K75" s="9">
        <v>88</v>
      </c>
      <c r="L75" s="16" t="s">
        <v>19</v>
      </c>
      <c r="M75" s="16" t="s">
        <v>364</v>
      </c>
      <c r="N75" s="16" t="s">
        <v>16</v>
      </c>
      <c r="O75" s="1"/>
    </row>
    <row r="76" spans="1:15">
      <c r="A76" s="1" t="s">
        <v>105</v>
      </c>
      <c r="B76" s="1" t="s">
        <v>22</v>
      </c>
      <c r="C76" s="5">
        <v>45313</v>
      </c>
      <c r="D76" s="16" t="s">
        <v>23</v>
      </c>
      <c r="E76" s="17" t="s">
        <v>363</v>
      </c>
      <c r="F76" s="9">
        <v>1554</v>
      </c>
      <c r="G76" s="9">
        <v>455</v>
      </c>
      <c r="H76" s="9">
        <v>158</v>
      </c>
      <c r="I76" s="9">
        <v>41947</v>
      </c>
      <c r="J76" s="9">
        <v>48578</v>
      </c>
      <c r="K76" s="9">
        <v>101</v>
      </c>
      <c r="L76" s="16" t="s">
        <v>37</v>
      </c>
      <c r="M76" s="16" t="s">
        <v>34</v>
      </c>
      <c r="N76" s="16" t="s">
        <v>16</v>
      </c>
      <c r="O76" s="1"/>
    </row>
    <row r="77" spans="1:15">
      <c r="A77" s="1" t="s">
        <v>106</v>
      </c>
      <c r="B77" s="1" t="s">
        <v>13</v>
      </c>
      <c r="C77" s="5">
        <v>45487</v>
      </c>
      <c r="D77" s="16" t="s">
        <v>14</v>
      </c>
      <c r="E77" s="17" t="s">
        <v>360</v>
      </c>
      <c r="F77" s="9">
        <v>2464</v>
      </c>
      <c r="G77" s="9">
        <v>401</v>
      </c>
      <c r="H77" s="9">
        <v>78</v>
      </c>
      <c r="I77" s="9">
        <v>38665</v>
      </c>
      <c r="J77" s="9">
        <v>73593</v>
      </c>
      <c r="K77" s="9">
        <v>207</v>
      </c>
      <c r="L77" s="16" t="s">
        <v>19</v>
      </c>
      <c r="M77" s="16"/>
      <c r="N77" s="16" t="s">
        <v>20</v>
      </c>
      <c r="O77" s="1"/>
    </row>
    <row r="78" spans="1:15">
      <c r="A78" s="1" t="s">
        <v>107</v>
      </c>
      <c r="B78" s="1" t="s">
        <v>22</v>
      </c>
      <c r="C78" s="5">
        <v>45805</v>
      </c>
      <c r="D78" s="16" t="s">
        <v>14</v>
      </c>
      <c r="E78" s="17" t="s">
        <v>363</v>
      </c>
      <c r="F78" s="9">
        <v>2418</v>
      </c>
      <c r="G78" s="9">
        <v>161</v>
      </c>
      <c r="H78" s="9">
        <v>360</v>
      </c>
      <c r="I78" s="9">
        <v>30589</v>
      </c>
      <c r="J78" s="9">
        <v>41383</v>
      </c>
      <c r="K78" s="9">
        <v>88</v>
      </c>
      <c r="L78" s="16" t="s">
        <v>34</v>
      </c>
      <c r="M78" s="16"/>
      <c r="N78" s="16" t="s">
        <v>16</v>
      </c>
      <c r="O78" s="1"/>
    </row>
    <row r="79" spans="1:15">
      <c r="A79" s="1" t="s">
        <v>108</v>
      </c>
      <c r="B79" s="1" t="s">
        <v>22</v>
      </c>
      <c r="C79" s="5">
        <v>45678</v>
      </c>
      <c r="D79" s="16" t="s">
        <v>23</v>
      </c>
      <c r="E79" s="17" t="s">
        <v>15</v>
      </c>
      <c r="F79" s="9">
        <v>2494</v>
      </c>
      <c r="G79" s="9">
        <v>494</v>
      </c>
      <c r="H79" s="9">
        <v>55</v>
      </c>
      <c r="I79" s="9">
        <v>22580</v>
      </c>
      <c r="J79" s="9">
        <v>22214</v>
      </c>
      <c r="K79" s="9">
        <v>109</v>
      </c>
      <c r="L79" s="16" t="s">
        <v>364</v>
      </c>
      <c r="M79" s="16" t="s">
        <v>34</v>
      </c>
      <c r="N79" s="16" t="s">
        <v>16</v>
      </c>
      <c r="O79" s="1"/>
    </row>
    <row r="80" spans="1:15">
      <c r="A80" s="1" t="s">
        <v>109</v>
      </c>
      <c r="B80" s="1" t="s">
        <v>27</v>
      </c>
      <c r="C80" s="5">
        <v>45304</v>
      </c>
      <c r="D80" s="16" t="s">
        <v>48</v>
      </c>
      <c r="E80" s="17" t="s">
        <v>24</v>
      </c>
      <c r="F80" s="9">
        <v>4781</v>
      </c>
      <c r="G80" s="9">
        <v>191</v>
      </c>
      <c r="H80" s="9">
        <v>122</v>
      </c>
      <c r="I80" s="9">
        <v>35535</v>
      </c>
      <c r="J80" s="9">
        <v>50777</v>
      </c>
      <c r="K80" s="9">
        <v>128</v>
      </c>
      <c r="L80" s="16" t="s">
        <v>19</v>
      </c>
      <c r="M80" s="16" t="s">
        <v>37</v>
      </c>
      <c r="N80" s="16" t="s">
        <v>49</v>
      </c>
      <c r="O80" s="1"/>
    </row>
    <row r="81" spans="1:15">
      <c r="A81" s="1" t="s">
        <v>110</v>
      </c>
      <c r="B81" s="1" t="s">
        <v>13</v>
      </c>
      <c r="C81" s="5">
        <v>45825</v>
      </c>
      <c r="D81" s="16" t="s">
        <v>14</v>
      </c>
      <c r="E81" s="17" t="s">
        <v>361</v>
      </c>
      <c r="F81" s="9">
        <v>2284</v>
      </c>
      <c r="G81" s="9">
        <v>187</v>
      </c>
      <c r="H81" s="9">
        <v>260</v>
      </c>
      <c r="I81" s="9">
        <v>37400</v>
      </c>
      <c r="J81" s="9">
        <v>65014</v>
      </c>
      <c r="K81" s="9">
        <v>157</v>
      </c>
      <c r="L81" s="16" t="s">
        <v>37</v>
      </c>
      <c r="M81" s="16" t="s">
        <v>34</v>
      </c>
      <c r="N81" s="16" t="s">
        <v>16</v>
      </c>
      <c r="O81" s="1"/>
    </row>
    <row r="82" spans="1:15">
      <c r="A82" s="1" t="s">
        <v>111</v>
      </c>
      <c r="B82" s="1" t="s">
        <v>22</v>
      </c>
      <c r="C82" s="5">
        <v>45723</v>
      </c>
      <c r="D82" s="16" t="s">
        <v>14</v>
      </c>
      <c r="E82" s="17" t="s">
        <v>30</v>
      </c>
      <c r="F82" s="9">
        <v>4234</v>
      </c>
      <c r="G82" s="9">
        <v>486</v>
      </c>
      <c r="H82" s="9">
        <v>276</v>
      </c>
      <c r="I82" s="9">
        <v>56623</v>
      </c>
      <c r="J82" s="9">
        <v>41343</v>
      </c>
      <c r="K82" s="9">
        <v>184</v>
      </c>
      <c r="L82" s="16" t="s">
        <v>37</v>
      </c>
      <c r="M82" s="16"/>
      <c r="N82" s="16" t="s">
        <v>20</v>
      </c>
      <c r="O82" s="1"/>
    </row>
    <row r="83" spans="1:15">
      <c r="A83" s="1" t="s">
        <v>112</v>
      </c>
      <c r="B83" s="1" t="s">
        <v>13</v>
      </c>
      <c r="C83" s="5">
        <v>45530</v>
      </c>
      <c r="D83" s="16" t="s">
        <v>14</v>
      </c>
      <c r="E83" s="17" t="s">
        <v>42</v>
      </c>
      <c r="F83" s="9">
        <v>2102</v>
      </c>
      <c r="G83" s="9">
        <v>181</v>
      </c>
      <c r="H83" s="9">
        <v>306</v>
      </c>
      <c r="I83" s="9">
        <v>43650</v>
      </c>
      <c r="J83" s="9">
        <v>50079</v>
      </c>
      <c r="K83" s="9">
        <v>182</v>
      </c>
      <c r="L83" s="16" t="s">
        <v>19</v>
      </c>
      <c r="M83" s="16"/>
      <c r="N83" s="16" t="s">
        <v>20</v>
      </c>
      <c r="O83" s="1"/>
    </row>
    <row r="84" spans="1:15">
      <c r="A84" s="1" t="s">
        <v>113</v>
      </c>
      <c r="B84" s="1" t="s">
        <v>22</v>
      </c>
      <c r="C84" s="5">
        <v>45660</v>
      </c>
      <c r="D84" s="16" t="s">
        <v>23</v>
      </c>
      <c r="E84" s="17" t="s">
        <v>30</v>
      </c>
      <c r="F84" s="9">
        <v>4845</v>
      </c>
      <c r="G84" s="9">
        <v>158</v>
      </c>
      <c r="H84" s="9">
        <v>84</v>
      </c>
      <c r="I84" s="9">
        <v>34578</v>
      </c>
      <c r="J84" s="9">
        <v>51480</v>
      </c>
      <c r="K84" s="9">
        <v>180</v>
      </c>
      <c r="L84" s="16" t="s">
        <v>37</v>
      </c>
      <c r="M84" s="16" t="s">
        <v>34</v>
      </c>
      <c r="N84" s="16" t="s">
        <v>16</v>
      </c>
      <c r="O84" s="1"/>
    </row>
    <row r="85" spans="1:15">
      <c r="A85" s="1" t="s">
        <v>114</v>
      </c>
      <c r="B85" s="1" t="s">
        <v>22</v>
      </c>
      <c r="C85" s="5">
        <v>45507</v>
      </c>
      <c r="D85" s="16" t="s">
        <v>14</v>
      </c>
      <c r="E85" s="17" t="s">
        <v>42</v>
      </c>
      <c r="F85" s="9">
        <v>4247</v>
      </c>
      <c r="G85" s="9">
        <v>390</v>
      </c>
      <c r="H85" s="9">
        <v>213</v>
      </c>
      <c r="I85" s="9">
        <v>29785</v>
      </c>
      <c r="J85" s="9">
        <v>57768</v>
      </c>
      <c r="K85" s="9">
        <v>122</v>
      </c>
      <c r="L85" s="16" t="s">
        <v>34</v>
      </c>
      <c r="M85" s="16"/>
      <c r="N85" s="16" t="s">
        <v>16</v>
      </c>
      <c r="O85" s="1"/>
    </row>
    <row r="86" spans="1:15">
      <c r="A86" s="1" t="s">
        <v>115</v>
      </c>
      <c r="B86" s="1" t="s">
        <v>13</v>
      </c>
      <c r="C86" s="5">
        <v>45522</v>
      </c>
      <c r="D86" s="16" t="s">
        <v>14</v>
      </c>
      <c r="E86" s="17" t="s">
        <v>18</v>
      </c>
      <c r="F86" s="9">
        <v>2965</v>
      </c>
      <c r="G86" s="9">
        <v>328</v>
      </c>
      <c r="H86" s="9">
        <v>171</v>
      </c>
      <c r="I86" s="9">
        <v>57685</v>
      </c>
      <c r="J86" s="9">
        <v>67536</v>
      </c>
      <c r="K86" s="9">
        <v>264</v>
      </c>
      <c r="L86" s="16" t="s">
        <v>37</v>
      </c>
      <c r="M86" s="16" t="s">
        <v>34</v>
      </c>
      <c r="N86" s="16" t="s">
        <v>16</v>
      </c>
      <c r="O86" s="1"/>
    </row>
    <row r="87" spans="1:15">
      <c r="A87" s="1" t="s">
        <v>116</v>
      </c>
      <c r="B87" s="1" t="s">
        <v>22</v>
      </c>
      <c r="C87" s="5">
        <v>45791</v>
      </c>
      <c r="D87" s="16" t="s">
        <v>23</v>
      </c>
      <c r="E87" s="17" t="s">
        <v>360</v>
      </c>
      <c r="F87" s="9">
        <v>1371</v>
      </c>
      <c r="G87" s="9">
        <v>139</v>
      </c>
      <c r="H87" s="9">
        <v>96</v>
      </c>
      <c r="I87" s="9">
        <v>36140</v>
      </c>
      <c r="J87" s="9">
        <v>39395</v>
      </c>
      <c r="K87" s="9">
        <v>169</v>
      </c>
      <c r="L87" s="16" t="s">
        <v>37</v>
      </c>
      <c r="M87" s="16" t="s">
        <v>34</v>
      </c>
      <c r="N87" s="16" t="s">
        <v>16</v>
      </c>
      <c r="O87" s="1"/>
    </row>
    <row r="88" spans="1:15">
      <c r="A88" s="1" t="s">
        <v>117</v>
      </c>
      <c r="B88" s="1" t="s">
        <v>22</v>
      </c>
      <c r="C88" s="5">
        <v>45405</v>
      </c>
      <c r="D88" s="16" t="s">
        <v>23</v>
      </c>
      <c r="E88" s="17" t="s">
        <v>15</v>
      </c>
      <c r="F88" s="9">
        <v>2683</v>
      </c>
      <c r="G88" s="9">
        <v>496</v>
      </c>
      <c r="H88" s="9">
        <v>89</v>
      </c>
      <c r="I88" s="9">
        <v>53435</v>
      </c>
      <c r="J88" s="9">
        <v>30334</v>
      </c>
      <c r="K88" s="9">
        <v>160</v>
      </c>
      <c r="L88" s="16" t="s">
        <v>37</v>
      </c>
      <c r="M88" s="16" t="s">
        <v>34</v>
      </c>
      <c r="N88" s="16" t="s">
        <v>16</v>
      </c>
      <c r="O88" s="1"/>
    </row>
    <row r="89" spans="1:15">
      <c r="A89" s="1" t="s">
        <v>118</v>
      </c>
      <c r="B89" s="1" t="s">
        <v>22</v>
      </c>
      <c r="C89" s="5">
        <v>45705</v>
      </c>
      <c r="D89" s="16" t="s">
        <v>23</v>
      </c>
      <c r="E89" s="17" t="s">
        <v>362</v>
      </c>
      <c r="F89" s="9">
        <v>4796</v>
      </c>
      <c r="G89" s="9">
        <v>427</v>
      </c>
      <c r="H89" s="9">
        <v>339</v>
      </c>
      <c r="I89" s="9">
        <v>30752</v>
      </c>
      <c r="J89" s="9">
        <v>33870</v>
      </c>
      <c r="K89" s="9">
        <v>298</v>
      </c>
      <c r="L89" s="16" t="s">
        <v>37</v>
      </c>
      <c r="M89" s="16" t="s">
        <v>34</v>
      </c>
      <c r="N89" s="16" t="s">
        <v>16</v>
      </c>
      <c r="O89" s="1"/>
    </row>
    <row r="90" spans="1:15">
      <c r="A90" s="1" t="s">
        <v>119</v>
      </c>
      <c r="B90" s="1" t="s">
        <v>13</v>
      </c>
      <c r="C90" s="5">
        <v>45630</v>
      </c>
      <c r="D90" s="16" t="s">
        <v>14</v>
      </c>
      <c r="E90" s="17" t="s">
        <v>360</v>
      </c>
      <c r="F90" s="9">
        <v>2601</v>
      </c>
      <c r="G90" s="9">
        <v>336</v>
      </c>
      <c r="H90" s="9">
        <v>260</v>
      </c>
      <c r="I90" s="9">
        <v>32368</v>
      </c>
      <c r="J90" s="9">
        <v>49028</v>
      </c>
      <c r="K90" s="9">
        <v>120</v>
      </c>
      <c r="L90" s="16" t="s">
        <v>37</v>
      </c>
      <c r="M90" s="16" t="s">
        <v>34</v>
      </c>
      <c r="N90" s="16" t="s">
        <v>16</v>
      </c>
      <c r="O90" s="1"/>
    </row>
    <row r="91" spans="1:15">
      <c r="A91" s="1" t="s">
        <v>120</v>
      </c>
      <c r="B91" s="1" t="s">
        <v>22</v>
      </c>
      <c r="C91" s="5">
        <v>45495</v>
      </c>
      <c r="D91" s="16" t="s">
        <v>23</v>
      </c>
      <c r="E91" s="17" t="s">
        <v>360</v>
      </c>
      <c r="F91" s="9">
        <v>3336</v>
      </c>
      <c r="G91" s="9">
        <v>229</v>
      </c>
      <c r="H91" s="9">
        <v>337</v>
      </c>
      <c r="I91" s="9">
        <v>22117</v>
      </c>
      <c r="J91" s="9">
        <v>26205</v>
      </c>
      <c r="K91" s="9">
        <v>160</v>
      </c>
      <c r="L91" s="16" t="s">
        <v>364</v>
      </c>
      <c r="M91" s="16" t="s">
        <v>34</v>
      </c>
      <c r="N91" s="16" t="s">
        <v>16</v>
      </c>
      <c r="O91" s="1"/>
    </row>
    <row r="92" spans="1:15">
      <c r="A92" s="1" t="s">
        <v>121</v>
      </c>
      <c r="B92" s="1" t="s">
        <v>22</v>
      </c>
      <c r="C92" s="5">
        <v>45774</v>
      </c>
      <c r="D92" s="16" t="s">
        <v>14</v>
      </c>
      <c r="E92" s="17" t="s">
        <v>18</v>
      </c>
      <c r="F92" s="9">
        <v>1165</v>
      </c>
      <c r="G92" s="9">
        <v>294</v>
      </c>
      <c r="H92" s="9">
        <v>163</v>
      </c>
      <c r="I92" s="9">
        <v>20659</v>
      </c>
      <c r="J92" s="9">
        <v>45926</v>
      </c>
      <c r="K92" s="9">
        <v>111</v>
      </c>
      <c r="L92" s="16" t="s">
        <v>37</v>
      </c>
      <c r="M92" s="16"/>
      <c r="N92" s="16" t="s">
        <v>20</v>
      </c>
      <c r="O92" s="1"/>
    </row>
    <row r="93" spans="1:15">
      <c r="A93" s="1" t="s">
        <v>122</v>
      </c>
      <c r="B93" s="1" t="s">
        <v>27</v>
      </c>
      <c r="C93" s="5">
        <v>45376</v>
      </c>
      <c r="D93" s="16" t="s">
        <v>48</v>
      </c>
      <c r="E93" s="17" t="s">
        <v>18</v>
      </c>
      <c r="F93" s="9">
        <v>1948</v>
      </c>
      <c r="G93" s="9">
        <v>155</v>
      </c>
      <c r="H93" s="9">
        <v>315</v>
      </c>
      <c r="I93" s="9">
        <v>30321</v>
      </c>
      <c r="J93" s="9">
        <v>57121</v>
      </c>
      <c r="K93" s="9">
        <v>82</v>
      </c>
      <c r="L93" s="16" t="s">
        <v>19</v>
      </c>
      <c r="M93" s="16" t="s">
        <v>37</v>
      </c>
      <c r="N93" s="16" t="s">
        <v>49</v>
      </c>
      <c r="O93" s="1"/>
    </row>
    <row r="94" spans="1:15">
      <c r="A94" s="1" t="s">
        <v>123</v>
      </c>
      <c r="B94" s="1" t="s">
        <v>13</v>
      </c>
      <c r="C94" s="5">
        <v>45351</v>
      </c>
      <c r="D94" s="16" t="s">
        <v>14</v>
      </c>
      <c r="E94" s="17" t="s">
        <v>363</v>
      </c>
      <c r="F94" s="9">
        <v>1100</v>
      </c>
      <c r="G94" s="9">
        <v>229</v>
      </c>
      <c r="H94" s="9">
        <v>312</v>
      </c>
      <c r="I94" s="9">
        <v>25641</v>
      </c>
      <c r="J94" s="9">
        <v>34601</v>
      </c>
      <c r="K94" s="9">
        <v>169</v>
      </c>
      <c r="L94" s="16" t="s">
        <v>19</v>
      </c>
      <c r="M94" s="16"/>
      <c r="N94" s="16" t="s">
        <v>20</v>
      </c>
      <c r="O94" s="1"/>
    </row>
    <row r="95" spans="1:15">
      <c r="A95" s="1" t="s">
        <v>124</v>
      </c>
      <c r="B95" s="1" t="s">
        <v>22</v>
      </c>
      <c r="C95" s="5">
        <v>45609</v>
      </c>
      <c r="D95" s="16" t="s">
        <v>23</v>
      </c>
      <c r="E95" s="17" t="s">
        <v>33</v>
      </c>
      <c r="F95" s="9">
        <v>4628</v>
      </c>
      <c r="G95" s="9">
        <v>257</v>
      </c>
      <c r="H95" s="9">
        <v>397</v>
      </c>
      <c r="I95" s="9">
        <v>36686</v>
      </c>
      <c r="J95" s="9">
        <v>54683</v>
      </c>
      <c r="K95" s="9">
        <v>98</v>
      </c>
      <c r="L95" s="16" t="s">
        <v>37</v>
      </c>
      <c r="M95" s="16" t="s">
        <v>34</v>
      </c>
      <c r="N95" s="16" t="s">
        <v>16</v>
      </c>
      <c r="O95" s="1"/>
    </row>
    <row r="96" spans="1:15">
      <c r="A96" s="1" t="s">
        <v>125</v>
      </c>
      <c r="B96" s="1" t="s">
        <v>13</v>
      </c>
      <c r="C96" s="5">
        <v>45373</v>
      </c>
      <c r="D96" s="16" t="s">
        <v>23</v>
      </c>
      <c r="E96" s="17" t="s">
        <v>15</v>
      </c>
      <c r="F96" s="9">
        <v>2319</v>
      </c>
      <c r="G96" s="9">
        <v>484</v>
      </c>
      <c r="H96" s="9">
        <v>193</v>
      </c>
      <c r="I96" s="9">
        <v>21202</v>
      </c>
      <c r="J96" s="9">
        <v>18091</v>
      </c>
      <c r="K96" s="9">
        <v>241</v>
      </c>
      <c r="L96" s="16" t="s">
        <v>34</v>
      </c>
      <c r="M96" s="16"/>
      <c r="N96" s="16" t="s">
        <v>46</v>
      </c>
      <c r="O96" s="1"/>
    </row>
    <row r="97" spans="1:15">
      <c r="A97" s="1" t="s">
        <v>126</v>
      </c>
      <c r="B97" s="1" t="s">
        <v>22</v>
      </c>
      <c r="C97" s="5">
        <v>45367</v>
      </c>
      <c r="D97" s="16" t="s">
        <v>23</v>
      </c>
      <c r="E97" s="17" t="s">
        <v>360</v>
      </c>
      <c r="F97" s="9">
        <v>2895</v>
      </c>
      <c r="G97" s="9">
        <v>292</v>
      </c>
      <c r="H97" s="9">
        <v>90</v>
      </c>
      <c r="I97" s="9">
        <v>24223</v>
      </c>
      <c r="J97" s="9">
        <v>54626</v>
      </c>
      <c r="K97" s="9">
        <v>114</v>
      </c>
      <c r="L97" s="16" t="s">
        <v>37</v>
      </c>
      <c r="M97" s="16" t="s">
        <v>34</v>
      </c>
      <c r="N97" s="16" t="s">
        <v>16</v>
      </c>
      <c r="O97" s="1"/>
    </row>
    <row r="98" spans="1:15">
      <c r="A98" s="1" t="s">
        <v>127</v>
      </c>
      <c r="B98" s="1" t="s">
        <v>13</v>
      </c>
      <c r="C98" s="5">
        <v>45317</v>
      </c>
      <c r="D98" s="16" t="s">
        <v>14</v>
      </c>
      <c r="E98" s="17" t="s">
        <v>362</v>
      </c>
      <c r="F98" s="9">
        <v>3878</v>
      </c>
      <c r="G98" s="9">
        <v>431</v>
      </c>
      <c r="H98" s="9">
        <v>97</v>
      </c>
      <c r="I98" s="9">
        <v>41763</v>
      </c>
      <c r="J98" s="9">
        <v>29729</v>
      </c>
      <c r="K98" s="9">
        <v>191</v>
      </c>
      <c r="L98" s="16" t="s">
        <v>19</v>
      </c>
      <c r="M98" s="16"/>
      <c r="N98" s="16" t="s">
        <v>20</v>
      </c>
      <c r="O98" s="1"/>
    </row>
    <row r="99" spans="1:15">
      <c r="A99" s="1" t="s">
        <v>128</v>
      </c>
      <c r="B99" s="1" t="s">
        <v>22</v>
      </c>
      <c r="C99" s="5">
        <v>45366</v>
      </c>
      <c r="D99" s="16" t="s">
        <v>23</v>
      </c>
      <c r="E99" s="17" t="s">
        <v>30</v>
      </c>
      <c r="F99" s="9">
        <v>4969</v>
      </c>
      <c r="G99" s="9">
        <v>433</v>
      </c>
      <c r="H99" s="9">
        <v>237</v>
      </c>
      <c r="I99" s="9">
        <v>59552</v>
      </c>
      <c r="J99" s="9">
        <v>23885</v>
      </c>
      <c r="K99" s="9">
        <v>157</v>
      </c>
      <c r="L99" s="16" t="s">
        <v>19</v>
      </c>
      <c r="M99" s="16" t="s">
        <v>364</v>
      </c>
      <c r="N99" s="16" t="s">
        <v>16</v>
      </c>
      <c r="O99" s="1"/>
    </row>
    <row r="100" spans="1:15">
      <c r="A100" s="1" t="s">
        <v>129</v>
      </c>
      <c r="B100" s="1" t="s">
        <v>22</v>
      </c>
      <c r="C100" s="5">
        <v>45580</v>
      </c>
      <c r="D100" s="16" t="s">
        <v>14</v>
      </c>
      <c r="E100" s="17" t="s">
        <v>360</v>
      </c>
      <c r="F100" s="9">
        <v>1984</v>
      </c>
      <c r="G100" s="9">
        <v>481</v>
      </c>
      <c r="H100" s="9">
        <v>356</v>
      </c>
      <c r="I100" s="9">
        <v>40681</v>
      </c>
      <c r="J100" s="9">
        <v>63111</v>
      </c>
      <c r="K100" s="9">
        <v>258</v>
      </c>
      <c r="L100" s="16" t="s">
        <v>34</v>
      </c>
      <c r="M100" s="16"/>
      <c r="N100" s="16" t="s">
        <v>16</v>
      </c>
      <c r="O100" s="1"/>
    </row>
    <row r="101" spans="1:15">
      <c r="A101" s="1" t="s">
        <v>130</v>
      </c>
      <c r="B101" s="1" t="s">
        <v>13</v>
      </c>
      <c r="C101" s="5">
        <v>45494</v>
      </c>
      <c r="D101" s="16" t="s">
        <v>14</v>
      </c>
      <c r="E101" s="17" t="s">
        <v>15</v>
      </c>
      <c r="F101" s="9">
        <v>3004</v>
      </c>
      <c r="G101" s="9">
        <v>415</v>
      </c>
      <c r="H101" s="9">
        <v>218</v>
      </c>
      <c r="I101" s="9">
        <v>36090</v>
      </c>
      <c r="J101" s="9">
        <v>37073</v>
      </c>
      <c r="K101" s="9">
        <v>181</v>
      </c>
      <c r="L101" s="16" t="s">
        <v>19</v>
      </c>
      <c r="M101" s="16"/>
      <c r="N101" s="16" t="s">
        <v>20</v>
      </c>
      <c r="O101" s="1"/>
    </row>
    <row r="102" spans="1:15">
      <c r="A102" s="1" t="s">
        <v>131</v>
      </c>
      <c r="B102" s="1" t="s">
        <v>22</v>
      </c>
      <c r="C102" s="5">
        <v>45577</v>
      </c>
      <c r="D102" s="16" t="s">
        <v>14</v>
      </c>
      <c r="E102" s="17" t="s">
        <v>30</v>
      </c>
      <c r="F102" s="9">
        <v>3169</v>
      </c>
      <c r="G102" s="9">
        <v>386</v>
      </c>
      <c r="H102" s="9">
        <v>175</v>
      </c>
      <c r="I102" s="9">
        <v>45012</v>
      </c>
      <c r="J102" s="9">
        <v>38508</v>
      </c>
      <c r="K102" s="9">
        <v>218</v>
      </c>
      <c r="L102" s="16" t="s">
        <v>34</v>
      </c>
      <c r="M102" s="16"/>
      <c r="N102" s="16" t="s">
        <v>16</v>
      </c>
      <c r="O102" s="1"/>
    </row>
    <row r="103" spans="1:15">
      <c r="A103" s="1" t="s">
        <v>132</v>
      </c>
      <c r="B103" s="1" t="s">
        <v>22</v>
      </c>
      <c r="C103" s="5">
        <v>45591</v>
      </c>
      <c r="D103" s="16" t="s">
        <v>14</v>
      </c>
      <c r="E103" s="17" t="s">
        <v>15</v>
      </c>
      <c r="F103" s="9">
        <v>3036</v>
      </c>
      <c r="G103" s="9">
        <v>293</v>
      </c>
      <c r="H103" s="9">
        <v>115</v>
      </c>
      <c r="I103" s="9">
        <v>23776</v>
      </c>
      <c r="J103" s="9">
        <v>46386</v>
      </c>
      <c r="K103" s="9">
        <v>282</v>
      </c>
      <c r="L103" s="16" t="s">
        <v>34</v>
      </c>
      <c r="M103" s="16"/>
      <c r="N103" s="16" t="s">
        <v>16</v>
      </c>
      <c r="O103" s="1"/>
    </row>
    <row r="104" spans="1:15">
      <c r="A104" s="1" t="s">
        <v>133</v>
      </c>
      <c r="B104" s="1" t="s">
        <v>13</v>
      </c>
      <c r="C104" s="5">
        <v>45336</v>
      </c>
      <c r="D104" s="16" t="s">
        <v>14</v>
      </c>
      <c r="E104" s="17" t="s">
        <v>361</v>
      </c>
      <c r="F104" s="9">
        <v>1830</v>
      </c>
      <c r="G104" s="9">
        <v>112</v>
      </c>
      <c r="H104" s="9">
        <v>181</v>
      </c>
      <c r="I104" s="9">
        <v>31870</v>
      </c>
      <c r="J104" s="9">
        <v>55742</v>
      </c>
      <c r="K104" s="9">
        <v>263</v>
      </c>
      <c r="L104" s="16" t="s">
        <v>37</v>
      </c>
      <c r="M104" s="16" t="s">
        <v>34</v>
      </c>
      <c r="N104" s="16" t="s">
        <v>16</v>
      </c>
      <c r="O104" s="1"/>
    </row>
    <row r="105" spans="1:15">
      <c r="A105" s="1" t="s">
        <v>134</v>
      </c>
      <c r="B105" s="1" t="s">
        <v>22</v>
      </c>
      <c r="C105" s="5">
        <v>45413</v>
      </c>
      <c r="D105" s="16" t="s">
        <v>23</v>
      </c>
      <c r="E105" s="17" t="s">
        <v>362</v>
      </c>
      <c r="F105" s="9">
        <v>2587</v>
      </c>
      <c r="G105" s="9">
        <v>447</v>
      </c>
      <c r="H105" s="9">
        <v>183</v>
      </c>
      <c r="I105" s="9">
        <v>36266</v>
      </c>
      <c r="J105" s="9">
        <v>32877</v>
      </c>
      <c r="K105" s="9">
        <v>132</v>
      </c>
      <c r="L105" s="16" t="s">
        <v>19</v>
      </c>
      <c r="M105" s="16" t="s">
        <v>364</v>
      </c>
      <c r="N105" s="16" t="s">
        <v>16</v>
      </c>
      <c r="O105" s="1"/>
    </row>
    <row r="106" spans="1:15">
      <c r="A106" s="1" t="s">
        <v>135</v>
      </c>
      <c r="B106" s="1" t="s">
        <v>22</v>
      </c>
      <c r="C106" s="5">
        <v>45553</v>
      </c>
      <c r="D106" s="16" t="s">
        <v>14</v>
      </c>
      <c r="E106" s="17" t="s">
        <v>15</v>
      </c>
      <c r="F106" s="9">
        <v>2878</v>
      </c>
      <c r="G106" s="9">
        <v>265</v>
      </c>
      <c r="H106" s="9">
        <v>91</v>
      </c>
      <c r="I106" s="9">
        <v>52090</v>
      </c>
      <c r="J106" s="9">
        <v>28924</v>
      </c>
      <c r="K106" s="9">
        <v>133</v>
      </c>
      <c r="L106" s="16" t="s">
        <v>34</v>
      </c>
      <c r="M106" s="16"/>
      <c r="N106" s="16" t="s">
        <v>16</v>
      </c>
      <c r="O106" s="1"/>
    </row>
    <row r="107" spans="1:15">
      <c r="A107" s="1" t="s">
        <v>136</v>
      </c>
      <c r="B107" s="1" t="s">
        <v>22</v>
      </c>
      <c r="C107" s="5">
        <v>45677</v>
      </c>
      <c r="D107" s="16" t="s">
        <v>23</v>
      </c>
      <c r="E107" s="17" t="s">
        <v>24</v>
      </c>
      <c r="F107" s="9">
        <v>4619</v>
      </c>
      <c r="G107" s="9">
        <v>272</v>
      </c>
      <c r="H107" s="9">
        <v>57</v>
      </c>
      <c r="I107" s="9">
        <v>21334</v>
      </c>
      <c r="J107" s="9">
        <v>46292</v>
      </c>
      <c r="K107" s="9">
        <v>91</v>
      </c>
      <c r="L107" s="16" t="s">
        <v>37</v>
      </c>
      <c r="M107" s="16" t="s">
        <v>34</v>
      </c>
      <c r="N107" s="16" t="s">
        <v>16</v>
      </c>
      <c r="O107" s="1"/>
    </row>
    <row r="108" spans="1:15">
      <c r="A108" s="1" t="s">
        <v>137</v>
      </c>
      <c r="B108" s="1" t="s">
        <v>22</v>
      </c>
      <c r="C108" s="5">
        <v>45670</v>
      </c>
      <c r="D108" s="16" t="s">
        <v>14</v>
      </c>
      <c r="E108" s="17" t="s">
        <v>361</v>
      </c>
      <c r="F108" s="9">
        <v>4090</v>
      </c>
      <c r="G108" s="9">
        <v>209</v>
      </c>
      <c r="H108" s="9">
        <v>278</v>
      </c>
      <c r="I108" s="9">
        <v>52853</v>
      </c>
      <c r="J108" s="9">
        <v>57084</v>
      </c>
      <c r="K108" s="9">
        <v>102</v>
      </c>
      <c r="L108" s="16" t="s">
        <v>37</v>
      </c>
      <c r="M108" s="16"/>
      <c r="N108" s="16" t="s">
        <v>20</v>
      </c>
      <c r="O108" s="1"/>
    </row>
    <row r="109" spans="1:15">
      <c r="A109" s="1" t="s">
        <v>138</v>
      </c>
      <c r="B109" s="1" t="s">
        <v>27</v>
      </c>
      <c r="C109" s="5">
        <v>45542</v>
      </c>
      <c r="D109" s="16" t="s">
        <v>48</v>
      </c>
      <c r="E109" s="17" t="s">
        <v>361</v>
      </c>
      <c r="F109" s="9">
        <v>3882</v>
      </c>
      <c r="G109" s="9">
        <v>342</v>
      </c>
      <c r="H109" s="9">
        <v>374</v>
      </c>
      <c r="I109" s="9">
        <v>41991</v>
      </c>
      <c r="J109" s="9">
        <v>48554</v>
      </c>
      <c r="K109" s="9">
        <v>118</v>
      </c>
      <c r="L109" s="16" t="s">
        <v>19</v>
      </c>
      <c r="M109" s="16" t="s">
        <v>37</v>
      </c>
      <c r="N109" s="16" t="s">
        <v>49</v>
      </c>
      <c r="O109" s="1"/>
    </row>
    <row r="110" spans="1:15">
      <c r="A110" s="1" t="s">
        <v>139</v>
      </c>
      <c r="B110" s="1" t="s">
        <v>13</v>
      </c>
      <c r="C110" s="5">
        <v>45617</v>
      </c>
      <c r="D110" s="16" t="s">
        <v>14</v>
      </c>
      <c r="E110" s="17" t="s">
        <v>361</v>
      </c>
      <c r="F110" s="9">
        <v>4581</v>
      </c>
      <c r="G110" s="9">
        <v>181</v>
      </c>
      <c r="H110" s="9">
        <v>112</v>
      </c>
      <c r="I110" s="9">
        <v>35221</v>
      </c>
      <c r="J110" s="9">
        <v>28797</v>
      </c>
      <c r="K110" s="9">
        <v>164</v>
      </c>
      <c r="L110" s="16" t="s">
        <v>37</v>
      </c>
      <c r="M110" s="16" t="s">
        <v>34</v>
      </c>
      <c r="N110" s="16" t="s">
        <v>16</v>
      </c>
      <c r="O110" s="1"/>
    </row>
    <row r="111" spans="1:15">
      <c r="A111" s="1" t="s">
        <v>140</v>
      </c>
      <c r="B111" s="1" t="s">
        <v>13</v>
      </c>
      <c r="C111" s="5">
        <v>45469</v>
      </c>
      <c r="D111" s="16" t="s">
        <v>14</v>
      </c>
      <c r="E111" s="17" t="s">
        <v>24</v>
      </c>
      <c r="F111" s="9">
        <v>3253</v>
      </c>
      <c r="G111" s="9">
        <v>483</v>
      </c>
      <c r="H111" s="9">
        <v>336</v>
      </c>
      <c r="I111" s="9">
        <v>25397</v>
      </c>
      <c r="J111" s="9">
        <v>51485</v>
      </c>
      <c r="K111" s="9">
        <v>131</v>
      </c>
      <c r="L111" s="16" t="s">
        <v>19</v>
      </c>
      <c r="M111" s="16"/>
      <c r="N111" s="16" t="s">
        <v>20</v>
      </c>
      <c r="O111" s="1"/>
    </row>
    <row r="112" spans="1:15">
      <c r="A112" s="1" t="s">
        <v>141</v>
      </c>
      <c r="B112" s="1" t="s">
        <v>27</v>
      </c>
      <c r="C112" s="5">
        <v>45493</v>
      </c>
      <c r="D112" s="16" t="s">
        <v>48</v>
      </c>
      <c r="E112" s="17" t="s">
        <v>361</v>
      </c>
      <c r="F112" s="9">
        <v>4955</v>
      </c>
      <c r="G112" s="9">
        <v>299</v>
      </c>
      <c r="H112" s="9">
        <v>345</v>
      </c>
      <c r="I112" s="9">
        <v>33644</v>
      </c>
      <c r="J112" s="9">
        <v>43547</v>
      </c>
      <c r="K112" s="9">
        <v>194</v>
      </c>
      <c r="L112" s="16" t="s">
        <v>19</v>
      </c>
      <c r="M112" s="16" t="s">
        <v>37</v>
      </c>
      <c r="N112" s="16" t="s">
        <v>49</v>
      </c>
      <c r="O112" s="1"/>
    </row>
    <row r="113" spans="1:15">
      <c r="A113" s="1" t="s">
        <v>142</v>
      </c>
      <c r="B113" s="1" t="s">
        <v>13</v>
      </c>
      <c r="C113" s="5">
        <v>45704</v>
      </c>
      <c r="D113" s="16" t="s">
        <v>14</v>
      </c>
      <c r="E113" s="17" t="s">
        <v>42</v>
      </c>
      <c r="F113" s="9">
        <v>1333</v>
      </c>
      <c r="G113" s="9">
        <v>286</v>
      </c>
      <c r="H113" s="9">
        <v>298</v>
      </c>
      <c r="I113" s="9">
        <v>36174</v>
      </c>
      <c r="J113" s="9">
        <v>34517</v>
      </c>
      <c r="K113" s="9">
        <v>170</v>
      </c>
      <c r="L113" s="16" t="s">
        <v>37</v>
      </c>
      <c r="M113" s="16" t="s">
        <v>34</v>
      </c>
      <c r="N113" s="16" t="s">
        <v>16</v>
      </c>
      <c r="O113" s="1"/>
    </row>
    <row r="114" spans="1:15">
      <c r="A114" s="1" t="s">
        <v>143</v>
      </c>
      <c r="B114" s="1" t="s">
        <v>13</v>
      </c>
      <c r="C114" s="5">
        <v>45544</v>
      </c>
      <c r="D114" s="16" t="s">
        <v>14</v>
      </c>
      <c r="E114" s="17" t="s">
        <v>24</v>
      </c>
      <c r="F114" s="9">
        <v>1616</v>
      </c>
      <c r="G114" s="9">
        <v>360</v>
      </c>
      <c r="H114" s="9">
        <v>180</v>
      </c>
      <c r="I114" s="9">
        <v>54342</v>
      </c>
      <c r="J114" s="9">
        <v>18796</v>
      </c>
      <c r="K114" s="9">
        <v>282</v>
      </c>
      <c r="L114" s="16" t="s">
        <v>37</v>
      </c>
      <c r="M114" s="16" t="s">
        <v>34</v>
      </c>
      <c r="N114" s="16" t="s">
        <v>16</v>
      </c>
      <c r="O114" s="1"/>
    </row>
    <row r="115" spans="1:15">
      <c r="A115" s="1" t="s">
        <v>144</v>
      </c>
      <c r="B115" s="1" t="s">
        <v>22</v>
      </c>
      <c r="C115" s="5">
        <v>45489</v>
      </c>
      <c r="D115" s="16" t="s">
        <v>14</v>
      </c>
      <c r="E115" s="17" t="s">
        <v>33</v>
      </c>
      <c r="F115" s="9">
        <v>1803</v>
      </c>
      <c r="G115" s="9">
        <v>273</v>
      </c>
      <c r="H115" s="9">
        <v>287</v>
      </c>
      <c r="I115" s="9">
        <v>46176</v>
      </c>
      <c r="J115" s="9">
        <v>25488</v>
      </c>
      <c r="K115" s="9">
        <v>141</v>
      </c>
      <c r="L115" s="16" t="s">
        <v>34</v>
      </c>
      <c r="M115" s="16"/>
      <c r="N115" s="16" t="s">
        <v>16</v>
      </c>
      <c r="O115" s="1"/>
    </row>
    <row r="116" spans="1:15">
      <c r="A116" s="1" t="s">
        <v>145</v>
      </c>
      <c r="B116" s="1" t="s">
        <v>13</v>
      </c>
      <c r="C116" s="5">
        <v>45762</v>
      </c>
      <c r="D116" s="16" t="s">
        <v>14</v>
      </c>
      <c r="E116" s="17" t="s">
        <v>18</v>
      </c>
      <c r="F116" s="9">
        <v>4177</v>
      </c>
      <c r="G116" s="9">
        <v>489</v>
      </c>
      <c r="H116" s="9">
        <v>331</v>
      </c>
      <c r="I116" s="9">
        <v>57451</v>
      </c>
      <c r="J116" s="9">
        <v>73793</v>
      </c>
      <c r="K116" s="9">
        <v>251</v>
      </c>
      <c r="L116" s="16" t="s">
        <v>19</v>
      </c>
      <c r="M116" s="16"/>
      <c r="N116" s="16" t="s">
        <v>20</v>
      </c>
      <c r="O116" s="1"/>
    </row>
    <row r="117" spans="1:15">
      <c r="A117" s="1" t="s">
        <v>146</v>
      </c>
      <c r="B117" s="1" t="s">
        <v>13</v>
      </c>
      <c r="C117" s="5">
        <v>45781</v>
      </c>
      <c r="D117" s="16" t="s">
        <v>23</v>
      </c>
      <c r="E117" s="17" t="s">
        <v>24</v>
      </c>
      <c r="F117" s="9">
        <v>1311</v>
      </c>
      <c r="G117" s="9">
        <v>181</v>
      </c>
      <c r="H117" s="9">
        <v>361</v>
      </c>
      <c r="I117" s="9">
        <v>37148</v>
      </c>
      <c r="J117" s="9">
        <v>44875</v>
      </c>
      <c r="K117" s="9">
        <v>245</v>
      </c>
      <c r="L117" s="16" t="s">
        <v>34</v>
      </c>
      <c r="M117" s="16"/>
      <c r="N117" s="16" t="s">
        <v>46</v>
      </c>
      <c r="O117" s="1"/>
    </row>
    <row r="118" spans="1:15">
      <c r="A118" s="1" t="s">
        <v>147</v>
      </c>
      <c r="B118" s="1" t="s">
        <v>13</v>
      </c>
      <c r="C118" s="5">
        <v>45340</v>
      </c>
      <c r="D118" s="16" t="s">
        <v>23</v>
      </c>
      <c r="E118" s="17" t="s">
        <v>363</v>
      </c>
      <c r="F118" s="9">
        <v>1516</v>
      </c>
      <c r="G118" s="9">
        <v>215</v>
      </c>
      <c r="H118" s="9">
        <v>332</v>
      </c>
      <c r="I118" s="9">
        <v>58981</v>
      </c>
      <c r="J118" s="9">
        <v>36118</v>
      </c>
      <c r="K118" s="9">
        <v>211</v>
      </c>
      <c r="L118" s="16" t="s">
        <v>34</v>
      </c>
      <c r="M118" s="16"/>
      <c r="N118" s="16" t="s">
        <v>46</v>
      </c>
      <c r="O118" s="1"/>
    </row>
    <row r="119" spans="1:15">
      <c r="A119" s="1" t="s">
        <v>148</v>
      </c>
      <c r="B119" s="1" t="s">
        <v>22</v>
      </c>
      <c r="C119" s="5">
        <v>45428</v>
      </c>
      <c r="D119" s="16" t="s">
        <v>23</v>
      </c>
      <c r="E119" s="17" t="s">
        <v>361</v>
      </c>
      <c r="F119" s="9">
        <v>2023</v>
      </c>
      <c r="G119" s="9">
        <v>124</v>
      </c>
      <c r="H119" s="9">
        <v>99</v>
      </c>
      <c r="I119" s="9">
        <v>54524</v>
      </c>
      <c r="J119" s="9">
        <v>34790</v>
      </c>
      <c r="K119" s="9">
        <v>195</v>
      </c>
      <c r="L119" s="16" t="s">
        <v>19</v>
      </c>
      <c r="M119" s="16" t="s">
        <v>364</v>
      </c>
      <c r="N119" s="16" t="s">
        <v>16</v>
      </c>
      <c r="O119" s="1"/>
    </row>
    <row r="120" spans="1:15">
      <c r="A120" s="1" t="s">
        <v>149</v>
      </c>
      <c r="B120" s="1" t="s">
        <v>22</v>
      </c>
      <c r="C120" s="5">
        <v>45806</v>
      </c>
      <c r="D120" s="16" t="s">
        <v>23</v>
      </c>
      <c r="E120" s="17" t="s">
        <v>361</v>
      </c>
      <c r="F120" s="9">
        <v>2134</v>
      </c>
      <c r="G120" s="9">
        <v>322</v>
      </c>
      <c r="H120" s="9">
        <v>114</v>
      </c>
      <c r="I120" s="9">
        <v>44338</v>
      </c>
      <c r="J120" s="9">
        <v>52165</v>
      </c>
      <c r="K120" s="9">
        <v>176</v>
      </c>
      <c r="L120" s="16" t="s">
        <v>364</v>
      </c>
      <c r="M120" s="16" t="s">
        <v>34</v>
      </c>
      <c r="N120" s="16" t="s">
        <v>16</v>
      </c>
      <c r="O120" s="1"/>
    </row>
    <row r="121" spans="1:15">
      <c r="A121" s="1" t="s">
        <v>150</v>
      </c>
      <c r="B121" s="1" t="s">
        <v>13</v>
      </c>
      <c r="C121" s="5">
        <v>45674</v>
      </c>
      <c r="D121" s="16" t="s">
        <v>14</v>
      </c>
      <c r="E121" s="17" t="s">
        <v>33</v>
      </c>
      <c r="F121" s="9">
        <v>2266</v>
      </c>
      <c r="G121" s="9">
        <v>126</v>
      </c>
      <c r="H121" s="9">
        <v>140</v>
      </c>
      <c r="I121" s="9">
        <v>53759</v>
      </c>
      <c r="J121" s="9">
        <v>46834</v>
      </c>
      <c r="K121" s="9">
        <v>277</v>
      </c>
      <c r="L121" s="16" t="s">
        <v>19</v>
      </c>
      <c r="M121" s="16"/>
      <c r="N121" s="16" t="s">
        <v>20</v>
      </c>
      <c r="O121" s="1"/>
    </row>
    <row r="122" spans="1:15">
      <c r="A122" s="1" t="s">
        <v>151</v>
      </c>
      <c r="B122" s="1" t="s">
        <v>13</v>
      </c>
      <c r="C122" s="5">
        <v>45777</v>
      </c>
      <c r="D122" s="16" t="s">
        <v>23</v>
      </c>
      <c r="E122" s="17" t="s">
        <v>24</v>
      </c>
      <c r="F122" s="9">
        <v>3916</v>
      </c>
      <c r="G122" s="9">
        <v>459</v>
      </c>
      <c r="H122" s="9">
        <v>229</v>
      </c>
      <c r="I122" s="9">
        <v>48989</v>
      </c>
      <c r="J122" s="9">
        <v>39768</v>
      </c>
      <c r="K122" s="9">
        <v>200</v>
      </c>
      <c r="L122" s="16" t="s">
        <v>34</v>
      </c>
      <c r="M122" s="16"/>
      <c r="N122" s="16" t="s">
        <v>46</v>
      </c>
      <c r="O122" s="1"/>
    </row>
    <row r="123" spans="1:15">
      <c r="A123" s="1" t="s">
        <v>152</v>
      </c>
      <c r="B123" s="1" t="s">
        <v>22</v>
      </c>
      <c r="C123" s="5">
        <v>45346</v>
      </c>
      <c r="D123" s="16" t="s">
        <v>23</v>
      </c>
      <c r="E123" s="17" t="s">
        <v>361</v>
      </c>
      <c r="F123" s="9">
        <v>1022</v>
      </c>
      <c r="G123" s="9">
        <v>463</v>
      </c>
      <c r="H123" s="9">
        <v>360</v>
      </c>
      <c r="I123" s="9">
        <v>51468</v>
      </c>
      <c r="J123" s="9">
        <v>24279</v>
      </c>
      <c r="K123" s="9">
        <v>230</v>
      </c>
      <c r="L123" s="16" t="s">
        <v>19</v>
      </c>
      <c r="M123" s="16" t="s">
        <v>364</v>
      </c>
      <c r="N123" s="16" t="s">
        <v>16</v>
      </c>
      <c r="O123" s="1"/>
    </row>
    <row r="124" spans="1:15">
      <c r="A124" s="1" t="s">
        <v>153</v>
      </c>
      <c r="B124" s="1" t="s">
        <v>27</v>
      </c>
      <c r="C124" s="5">
        <v>45424</v>
      </c>
      <c r="D124" s="16" t="s">
        <v>14</v>
      </c>
      <c r="E124" s="17" t="s">
        <v>363</v>
      </c>
      <c r="F124" s="9">
        <v>2911</v>
      </c>
      <c r="G124" s="9">
        <v>467</v>
      </c>
      <c r="H124" s="9">
        <v>94</v>
      </c>
      <c r="I124" s="9">
        <v>59083</v>
      </c>
      <c r="J124" s="9">
        <v>49762</v>
      </c>
      <c r="K124" s="9">
        <v>236</v>
      </c>
      <c r="L124" s="16" t="s">
        <v>19</v>
      </c>
      <c r="M124" s="16" t="s">
        <v>365</v>
      </c>
      <c r="N124" s="16" t="s">
        <v>20</v>
      </c>
      <c r="O124" s="1"/>
    </row>
    <row r="125" spans="1:15">
      <c r="A125" s="1" t="s">
        <v>154</v>
      </c>
      <c r="B125" s="1" t="s">
        <v>22</v>
      </c>
      <c r="C125" s="5">
        <v>45421</v>
      </c>
      <c r="D125" s="16" t="s">
        <v>23</v>
      </c>
      <c r="E125" s="17" t="s">
        <v>24</v>
      </c>
      <c r="F125" s="9">
        <v>3277</v>
      </c>
      <c r="G125" s="9">
        <v>423</v>
      </c>
      <c r="H125" s="9">
        <v>259</v>
      </c>
      <c r="I125" s="9">
        <v>46328</v>
      </c>
      <c r="J125" s="9">
        <v>44293</v>
      </c>
      <c r="K125" s="9">
        <v>299</v>
      </c>
      <c r="L125" s="16" t="s">
        <v>37</v>
      </c>
      <c r="M125" s="16" t="s">
        <v>34</v>
      </c>
      <c r="N125" s="16" t="s">
        <v>16</v>
      </c>
      <c r="O125" s="1"/>
    </row>
    <row r="126" spans="1:15">
      <c r="A126" s="1" t="s">
        <v>155</v>
      </c>
      <c r="B126" s="1" t="s">
        <v>22</v>
      </c>
      <c r="C126" s="5">
        <v>45602</v>
      </c>
      <c r="D126" s="16" t="s">
        <v>14</v>
      </c>
      <c r="E126" s="17" t="s">
        <v>363</v>
      </c>
      <c r="F126" s="9">
        <v>2956</v>
      </c>
      <c r="G126" s="9">
        <v>381</v>
      </c>
      <c r="H126" s="9">
        <v>345</v>
      </c>
      <c r="I126" s="9">
        <v>33347</v>
      </c>
      <c r="J126" s="9">
        <v>22558</v>
      </c>
      <c r="K126" s="9">
        <v>173</v>
      </c>
      <c r="L126" s="16" t="s">
        <v>34</v>
      </c>
      <c r="M126" s="16"/>
      <c r="N126" s="16" t="s">
        <v>16</v>
      </c>
      <c r="O126" s="1"/>
    </row>
    <row r="127" spans="1:15">
      <c r="A127" s="1" t="s">
        <v>156</v>
      </c>
      <c r="B127" s="1" t="s">
        <v>22</v>
      </c>
      <c r="C127" s="5">
        <v>45295</v>
      </c>
      <c r="D127" s="16" t="s">
        <v>23</v>
      </c>
      <c r="E127" s="17" t="s">
        <v>362</v>
      </c>
      <c r="F127" s="9">
        <v>3208</v>
      </c>
      <c r="G127" s="9">
        <v>476</v>
      </c>
      <c r="H127" s="9">
        <v>277</v>
      </c>
      <c r="I127" s="9">
        <v>56072</v>
      </c>
      <c r="J127" s="9">
        <v>21061</v>
      </c>
      <c r="K127" s="9">
        <v>113</v>
      </c>
      <c r="L127" s="16" t="s">
        <v>364</v>
      </c>
      <c r="M127" s="16" t="s">
        <v>34</v>
      </c>
      <c r="N127" s="16" t="s">
        <v>16</v>
      </c>
      <c r="O127" s="1"/>
    </row>
    <row r="128" spans="1:15">
      <c r="A128" s="1" t="s">
        <v>157</v>
      </c>
      <c r="B128" s="1" t="s">
        <v>22</v>
      </c>
      <c r="C128" s="5">
        <v>45319</v>
      </c>
      <c r="D128" s="16" t="s">
        <v>14</v>
      </c>
      <c r="E128" s="17" t="s">
        <v>361</v>
      </c>
      <c r="F128" s="9">
        <v>1456</v>
      </c>
      <c r="G128" s="9">
        <v>265</v>
      </c>
      <c r="H128" s="9">
        <v>137</v>
      </c>
      <c r="I128" s="9">
        <v>53485</v>
      </c>
      <c r="J128" s="9">
        <v>59729</v>
      </c>
      <c r="K128" s="9">
        <v>145</v>
      </c>
      <c r="L128" s="16" t="s">
        <v>37</v>
      </c>
      <c r="M128" s="16"/>
      <c r="N128" s="16" t="s">
        <v>20</v>
      </c>
      <c r="O128" s="1"/>
    </row>
    <row r="129" spans="1:15">
      <c r="A129" s="1" t="s">
        <v>158</v>
      </c>
      <c r="B129" s="1" t="s">
        <v>13</v>
      </c>
      <c r="C129" s="5">
        <v>45344</v>
      </c>
      <c r="D129" s="16" t="s">
        <v>14</v>
      </c>
      <c r="E129" s="17" t="s">
        <v>24</v>
      </c>
      <c r="F129" s="9">
        <v>1902</v>
      </c>
      <c r="G129" s="9">
        <v>394</v>
      </c>
      <c r="H129" s="9">
        <v>279</v>
      </c>
      <c r="I129" s="9">
        <v>24615</v>
      </c>
      <c r="J129" s="9">
        <v>51330</v>
      </c>
      <c r="K129" s="9">
        <v>176</v>
      </c>
      <c r="L129" s="16" t="s">
        <v>37</v>
      </c>
      <c r="M129" s="16" t="s">
        <v>34</v>
      </c>
      <c r="N129" s="16" t="s">
        <v>16</v>
      </c>
      <c r="O129" s="1"/>
    </row>
    <row r="130" spans="1:15">
      <c r="A130" s="1" t="s">
        <v>159</v>
      </c>
      <c r="B130" s="1" t="s">
        <v>22</v>
      </c>
      <c r="C130" s="5">
        <v>45839</v>
      </c>
      <c r="D130" s="16" t="s">
        <v>23</v>
      </c>
      <c r="E130" s="17" t="s">
        <v>18</v>
      </c>
      <c r="F130" s="9">
        <v>3219</v>
      </c>
      <c r="G130" s="9">
        <v>424</v>
      </c>
      <c r="H130" s="9">
        <v>267</v>
      </c>
      <c r="I130" s="9">
        <v>48879</v>
      </c>
      <c r="J130" s="9">
        <v>37691</v>
      </c>
      <c r="K130" s="9">
        <v>224</v>
      </c>
      <c r="L130" s="16" t="s">
        <v>19</v>
      </c>
      <c r="M130" s="16" t="s">
        <v>364</v>
      </c>
      <c r="N130" s="16" t="s">
        <v>16</v>
      </c>
      <c r="O130" s="1"/>
    </row>
    <row r="131" spans="1:15">
      <c r="A131" s="1" t="s">
        <v>160</v>
      </c>
      <c r="B131" s="1" t="s">
        <v>27</v>
      </c>
      <c r="C131" s="5">
        <v>45301</v>
      </c>
      <c r="D131" s="16" t="s">
        <v>14</v>
      </c>
      <c r="E131" s="17" t="s">
        <v>18</v>
      </c>
      <c r="F131" s="9">
        <v>1261</v>
      </c>
      <c r="G131" s="9">
        <v>190</v>
      </c>
      <c r="H131" s="9">
        <v>233</v>
      </c>
      <c r="I131" s="9">
        <v>59888</v>
      </c>
      <c r="J131" s="9">
        <v>51449</v>
      </c>
      <c r="K131" s="9">
        <v>205</v>
      </c>
      <c r="L131" s="16" t="s">
        <v>19</v>
      </c>
      <c r="M131" s="16" t="s">
        <v>365</v>
      </c>
      <c r="N131" s="16" t="s">
        <v>20</v>
      </c>
      <c r="O131" s="1"/>
    </row>
    <row r="132" spans="1:15">
      <c r="A132" s="1" t="s">
        <v>161</v>
      </c>
      <c r="B132" s="1" t="s">
        <v>22</v>
      </c>
      <c r="C132" s="5">
        <v>45736</v>
      </c>
      <c r="D132" s="16" t="s">
        <v>14</v>
      </c>
      <c r="E132" s="17" t="s">
        <v>42</v>
      </c>
      <c r="F132" s="9">
        <v>1564</v>
      </c>
      <c r="G132" s="9">
        <v>362</v>
      </c>
      <c r="H132" s="9">
        <v>371</v>
      </c>
      <c r="I132" s="9">
        <v>42075</v>
      </c>
      <c r="J132" s="9">
        <v>66659</v>
      </c>
      <c r="K132" s="9">
        <v>205</v>
      </c>
      <c r="L132" s="16" t="s">
        <v>37</v>
      </c>
      <c r="M132" s="16"/>
      <c r="N132" s="16" t="s">
        <v>20</v>
      </c>
      <c r="O132" s="1"/>
    </row>
    <row r="133" spans="1:15">
      <c r="A133" s="1" t="s">
        <v>162</v>
      </c>
      <c r="B133" s="1" t="s">
        <v>22</v>
      </c>
      <c r="C133" s="5">
        <v>45563</v>
      </c>
      <c r="D133" s="16" t="s">
        <v>14</v>
      </c>
      <c r="E133" s="17" t="s">
        <v>362</v>
      </c>
      <c r="F133" s="9">
        <v>4006</v>
      </c>
      <c r="G133" s="9">
        <v>420</v>
      </c>
      <c r="H133" s="9">
        <v>194</v>
      </c>
      <c r="I133" s="9">
        <v>49964</v>
      </c>
      <c r="J133" s="9">
        <v>20685</v>
      </c>
      <c r="K133" s="9">
        <v>148</v>
      </c>
      <c r="L133" s="16" t="s">
        <v>34</v>
      </c>
      <c r="M133" s="16"/>
      <c r="N133" s="16" t="s">
        <v>16</v>
      </c>
      <c r="O133" s="1"/>
    </row>
    <row r="134" spans="1:15">
      <c r="A134" s="1" t="s">
        <v>163</v>
      </c>
      <c r="B134" s="1" t="s">
        <v>27</v>
      </c>
      <c r="C134" s="5">
        <v>45318</v>
      </c>
      <c r="D134" s="16" t="s">
        <v>14</v>
      </c>
      <c r="E134" s="17" t="s">
        <v>42</v>
      </c>
      <c r="F134" s="9">
        <v>1976</v>
      </c>
      <c r="G134" s="9">
        <v>262</v>
      </c>
      <c r="H134" s="9">
        <v>218</v>
      </c>
      <c r="I134" s="9">
        <v>51696</v>
      </c>
      <c r="J134" s="9">
        <v>44846</v>
      </c>
      <c r="K134" s="9">
        <v>139</v>
      </c>
      <c r="L134" s="16" t="s">
        <v>19</v>
      </c>
      <c r="M134" s="16" t="s">
        <v>365</v>
      </c>
      <c r="N134" s="16" t="s">
        <v>20</v>
      </c>
      <c r="O134" s="1"/>
    </row>
    <row r="135" spans="1:15">
      <c r="A135" s="1" t="s">
        <v>164</v>
      </c>
      <c r="B135" s="1" t="s">
        <v>22</v>
      </c>
      <c r="C135" s="5">
        <v>45792</v>
      </c>
      <c r="D135" s="16" t="s">
        <v>14</v>
      </c>
      <c r="E135" s="17" t="s">
        <v>24</v>
      </c>
      <c r="F135" s="9">
        <v>1583</v>
      </c>
      <c r="G135" s="9">
        <v>433</v>
      </c>
      <c r="H135" s="9">
        <v>249</v>
      </c>
      <c r="I135" s="9">
        <v>30256</v>
      </c>
      <c r="J135" s="9">
        <v>47066</v>
      </c>
      <c r="K135" s="9">
        <v>196</v>
      </c>
      <c r="L135" s="16" t="s">
        <v>34</v>
      </c>
      <c r="M135" s="16"/>
      <c r="N135" s="16" t="s">
        <v>16</v>
      </c>
      <c r="O135" s="1"/>
    </row>
    <row r="136" spans="1:15">
      <c r="A136" s="1" t="s">
        <v>165</v>
      </c>
      <c r="B136" s="1" t="s">
        <v>22</v>
      </c>
      <c r="C136" s="5">
        <v>45569</v>
      </c>
      <c r="D136" s="16" t="s">
        <v>23</v>
      </c>
      <c r="E136" s="17" t="s">
        <v>18</v>
      </c>
      <c r="F136" s="9">
        <v>2870</v>
      </c>
      <c r="G136" s="9">
        <v>380</v>
      </c>
      <c r="H136" s="9">
        <v>393</v>
      </c>
      <c r="I136" s="9">
        <v>37621</v>
      </c>
      <c r="J136" s="9">
        <v>71794</v>
      </c>
      <c r="K136" s="9">
        <v>127</v>
      </c>
      <c r="L136" s="16" t="s">
        <v>364</v>
      </c>
      <c r="M136" s="16" t="s">
        <v>34</v>
      </c>
      <c r="N136" s="16" t="s">
        <v>16</v>
      </c>
      <c r="O136" s="1"/>
    </row>
    <row r="137" spans="1:15">
      <c r="A137" s="1" t="s">
        <v>166</v>
      </c>
      <c r="B137" s="1" t="s">
        <v>22</v>
      </c>
      <c r="C137" s="5">
        <v>45615</v>
      </c>
      <c r="D137" s="16" t="s">
        <v>14</v>
      </c>
      <c r="E137" s="17" t="s">
        <v>33</v>
      </c>
      <c r="F137" s="9">
        <v>3728</v>
      </c>
      <c r="G137" s="9">
        <v>271</v>
      </c>
      <c r="H137" s="9">
        <v>275</v>
      </c>
      <c r="I137" s="9">
        <v>22827</v>
      </c>
      <c r="J137" s="9">
        <v>37034</v>
      </c>
      <c r="K137" s="9">
        <v>199</v>
      </c>
      <c r="L137" s="16" t="s">
        <v>34</v>
      </c>
      <c r="M137" s="16"/>
      <c r="N137" s="16" t="s">
        <v>16</v>
      </c>
      <c r="O137" s="1"/>
    </row>
    <row r="138" spans="1:15">
      <c r="A138" s="1" t="s">
        <v>167</v>
      </c>
      <c r="B138" s="1" t="s">
        <v>22</v>
      </c>
      <c r="C138" s="5">
        <v>45387</v>
      </c>
      <c r="D138" s="16" t="s">
        <v>23</v>
      </c>
      <c r="E138" s="17" t="s">
        <v>24</v>
      </c>
      <c r="F138" s="9">
        <v>4965</v>
      </c>
      <c r="G138" s="9">
        <v>175</v>
      </c>
      <c r="H138" s="9">
        <v>307</v>
      </c>
      <c r="I138" s="9">
        <v>32793</v>
      </c>
      <c r="J138" s="9">
        <v>43412</v>
      </c>
      <c r="K138" s="9">
        <v>296</v>
      </c>
      <c r="L138" s="16" t="s">
        <v>37</v>
      </c>
      <c r="M138" s="16" t="s">
        <v>34</v>
      </c>
      <c r="N138" s="16" t="s">
        <v>16</v>
      </c>
      <c r="O138" s="1"/>
    </row>
    <row r="139" spans="1:15">
      <c r="A139" s="1" t="s">
        <v>168</v>
      </c>
      <c r="B139" s="1" t="s">
        <v>22</v>
      </c>
      <c r="C139" s="5">
        <v>45624</v>
      </c>
      <c r="D139" s="16" t="s">
        <v>23</v>
      </c>
      <c r="E139" s="17" t="s">
        <v>24</v>
      </c>
      <c r="F139" s="9">
        <v>1131</v>
      </c>
      <c r="G139" s="9">
        <v>100</v>
      </c>
      <c r="H139" s="9">
        <v>116</v>
      </c>
      <c r="I139" s="9">
        <v>48437</v>
      </c>
      <c r="J139" s="9">
        <v>72704</v>
      </c>
      <c r="K139" s="9">
        <v>236</v>
      </c>
      <c r="L139" s="16" t="s">
        <v>19</v>
      </c>
      <c r="M139" s="16" t="s">
        <v>364</v>
      </c>
      <c r="N139" s="16" t="s">
        <v>16</v>
      </c>
      <c r="O139" s="1"/>
    </row>
    <row r="140" spans="1:15">
      <c r="A140" s="1" t="s">
        <v>169</v>
      </c>
      <c r="B140" s="1" t="s">
        <v>22</v>
      </c>
      <c r="C140" s="5">
        <v>45725</v>
      </c>
      <c r="D140" s="16" t="s">
        <v>14</v>
      </c>
      <c r="E140" s="17" t="s">
        <v>42</v>
      </c>
      <c r="F140" s="9">
        <v>2754</v>
      </c>
      <c r="G140" s="9">
        <v>215</v>
      </c>
      <c r="H140" s="9">
        <v>264</v>
      </c>
      <c r="I140" s="9">
        <v>27762</v>
      </c>
      <c r="J140" s="9">
        <v>70203</v>
      </c>
      <c r="K140" s="9">
        <v>289</v>
      </c>
      <c r="L140" s="16" t="s">
        <v>34</v>
      </c>
      <c r="M140" s="16"/>
      <c r="N140" s="16" t="s">
        <v>16</v>
      </c>
      <c r="O140" s="1"/>
    </row>
    <row r="141" spans="1:15">
      <c r="A141" s="1" t="s">
        <v>170</v>
      </c>
      <c r="B141" s="1" t="s">
        <v>22</v>
      </c>
      <c r="C141" s="5">
        <v>45531</v>
      </c>
      <c r="D141" s="16" t="s">
        <v>23</v>
      </c>
      <c r="E141" s="17" t="s">
        <v>24</v>
      </c>
      <c r="F141" s="9">
        <v>1856</v>
      </c>
      <c r="G141" s="9">
        <v>357</v>
      </c>
      <c r="H141" s="9">
        <v>348</v>
      </c>
      <c r="I141" s="9">
        <v>29428</v>
      </c>
      <c r="J141" s="9">
        <v>70206</v>
      </c>
      <c r="K141" s="9">
        <v>236</v>
      </c>
      <c r="L141" s="16" t="s">
        <v>364</v>
      </c>
      <c r="M141" s="16" t="s">
        <v>34</v>
      </c>
      <c r="N141" s="16" t="s">
        <v>16</v>
      </c>
      <c r="O141" s="1"/>
    </row>
    <row r="142" spans="1:15">
      <c r="A142" s="1" t="s">
        <v>171</v>
      </c>
      <c r="B142" s="1" t="s">
        <v>27</v>
      </c>
      <c r="C142" s="5">
        <v>45566</v>
      </c>
      <c r="D142" s="16" t="s">
        <v>48</v>
      </c>
      <c r="E142" s="17" t="s">
        <v>18</v>
      </c>
      <c r="F142" s="9">
        <v>3543</v>
      </c>
      <c r="G142" s="9">
        <v>334</v>
      </c>
      <c r="H142" s="9">
        <v>218</v>
      </c>
      <c r="I142" s="9">
        <v>58007</v>
      </c>
      <c r="J142" s="9">
        <v>24792</v>
      </c>
      <c r="K142" s="9">
        <v>273</v>
      </c>
      <c r="L142" s="16" t="s">
        <v>19</v>
      </c>
      <c r="M142" s="16" t="s">
        <v>37</v>
      </c>
      <c r="N142" s="16" t="s">
        <v>49</v>
      </c>
      <c r="O142" s="1"/>
    </row>
    <row r="143" spans="1:15">
      <c r="A143" s="1" t="s">
        <v>172</v>
      </c>
      <c r="B143" s="1" t="s">
        <v>13</v>
      </c>
      <c r="C143" s="5">
        <v>45647</v>
      </c>
      <c r="D143" s="16" t="s">
        <v>23</v>
      </c>
      <c r="E143" s="17" t="s">
        <v>24</v>
      </c>
      <c r="F143" s="9">
        <v>4563</v>
      </c>
      <c r="G143" s="9">
        <v>398</v>
      </c>
      <c r="H143" s="9">
        <v>163</v>
      </c>
      <c r="I143" s="9">
        <v>43679</v>
      </c>
      <c r="J143" s="9">
        <v>48760</v>
      </c>
      <c r="K143" s="9">
        <v>92</v>
      </c>
      <c r="L143" s="16" t="s">
        <v>34</v>
      </c>
      <c r="M143" s="16"/>
      <c r="N143" s="16" t="s">
        <v>46</v>
      </c>
      <c r="O143" s="1"/>
    </row>
    <row r="144" spans="1:15">
      <c r="A144" s="1" t="s">
        <v>173</v>
      </c>
      <c r="B144" s="1" t="s">
        <v>13</v>
      </c>
      <c r="C144" s="5">
        <v>45460</v>
      </c>
      <c r="D144" s="16" t="s">
        <v>14</v>
      </c>
      <c r="E144" s="17" t="s">
        <v>15</v>
      </c>
      <c r="F144" s="9">
        <v>4283</v>
      </c>
      <c r="G144" s="9">
        <v>471</v>
      </c>
      <c r="H144" s="9">
        <v>156</v>
      </c>
      <c r="I144" s="9">
        <v>53004</v>
      </c>
      <c r="J144" s="9">
        <v>25678</v>
      </c>
      <c r="K144" s="9">
        <v>105</v>
      </c>
      <c r="L144" s="16" t="s">
        <v>19</v>
      </c>
      <c r="M144" s="16"/>
      <c r="N144" s="16" t="s">
        <v>20</v>
      </c>
      <c r="O144" s="1"/>
    </row>
    <row r="145" spans="1:15">
      <c r="A145" s="1" t="s">
        <v>174</v>
      </c>
      <c r="B145" s="1" t="s">
        <v>13</v>
      </c>
      <c r="C145" s="5">
        <v>45702</v>
      </c>
      <c r="D145" s="16" t="s">
        <v>14</v>
      </c>
      <c r="E145" s="17" t="s">
        <v>15</v>
      </c>
      <c r="F145" s="9">
        <v>2329</v>
      </c>
      <c r="G145" s="9">
        <v>373</v>
      </c>
      <c r="H145" s="9">
        <v>291</v>
      </c>
      <c r="I145" s="9">
        <v>49577</v>
      </c>
      <c r="J145" s="9">
        <v>28002</v>
      </c>
      <c r="K145" s="9">
        <v>82</v>
      </c>
      <c r="L145" s="16" t="s">
        <v>37</v>
      </c>
      <c r="M145" s="16" t="s">
        <v>34</v>
      </c>
      <c r="N145" s="16" t="s">
        <v>16</v>
      </c>
      <c r="O145" s="1"/>
    </row>
    <row r="146" spans="1:15">
      <c r="A146" s="1" t="s">
        <v>175</v>
      </c>
      <c r="B146" s="1" t="s">
        <v>22</v>
      </c>
      <c r="C146" s="5">
        <v>45805</v>
      </c>
      <c r="D146" s="16" t="s">
        <v>23</v>
      </c>
      <c r="E146" s="17" t="s">
        <v>33</v>
      </c>
      <c r="F146" s="9">
        <v>4287</v>
      </c>
      <c r="G146" s="9">
        <v>273</v>
      </c>
      <c r="H146" s="9">
        <v>122</v>
      </c>
      <c r="I146" s="9">
        <v>40792</v>
      </c>
      <c r="J146" s="9">
        <v>23878</v>
      </c>
      <c r="K146" s="9">
        <v>277</v>
      </c>
      <c r="L146" s="16" t="s">
        <v>364</v>
      </c>
      <c r="M146" s="16" t="s">
        <v>34</v>
      </c>
      <c r="N146" s="16" t="s">
        <v>16</v>
      </c>
      <c r="O146" s="1"/>
    </row>
    <row r="147" spans="1:15">
      <c r="A147" s="1" t="s">
        <v>176</v>
      </c>
      <c r="B147" s="1" t="s">
        <v>13</v>
      </c>
      <c r="C147" s="5">
        <v>45799</v>
      </c>
      <c r="D147" s="16" t="s">
        <v>14</v>
      </c>
      <c r="E147" s="17" t="s">
        <v>15</v>
      </c>
      <c r="F147" s="9">
        <v>2633</v>
      </c>
      <c r="G147" s="9">
        <v>318</v>
      </c>
      <c r="H147" s="9">
        <v>380</v>
      </c>
      <c r="I147" s="9">
        <v>40869</v>
      </c>
      <c r="J147" s="9">
        <v>64474</v>
      </c>
      <c r="K147" s="9">
        <v>245</v>
      </c>
      <c r="L147" s="16" t="s">
        <v>19</v>
      </c>
      <c r="M147" s="16"/>
      <c r="N147" s="16" t="s">
        <v>20</v>
      </c>
      <c r="O147" s="1"/>
    </row>
    <row r="148" spans="1:15">
      <c r="A148" s="1" t="s">
        <v>177</v>
      </c>
      <c r="B148" s="1" t="s">
        <v>22</v>
      </c>
      <c r="C148" s="5">
        <v>45312</v>
      </c>
      <c r="D148" s="16" t="s">
        <v>23</v>
      </c>
      <c r="E148" s="17" t="s">
        <v>15</v>
      </c>
      <c r="F148" s="9">
        <v>2383</v>
      </c>
      <c r="G148" s="9">
        <v>136</v>
      </c>
      <c r="H148" s="9">
        <v>302</v>
      </c>
      <c r="I148" s="9">
        <v>39187</v>
      </c>
      <c r="J148" s="9">
        <v>22133</v>
      </c>
      <c r="K148" s="9">
        <v>208</v>
      </c>
      <c r="L148" s="16" t="s">
        <v>364</v>
      </c>
      <c r="M148" s="16" t="s">
        <v>34</v>
      </c>
      <c r="N148" s="16" t="s">
        <v>16</v>
      </c>
      <c r="O148" s="1"/>
    </row>
    <row r="149" spans="1:15">
      <c r="A149" s="1" t="s">
        <v>178</v>
      </c>
      <c r="B149" s="1" t="s">
        <v>22</v>
      </c>
      <c r="C149" s="5">
        <v>45696</v>
      </c>
      <c r="D149" s="16" t="s">
        <v>23</v>
      </c>
      <c r="E149" s="17" t="s">
        <v>42</v>
      </c>
      <c r="F149" s="9">
        <v>4752</v>
      </c>
      <c r="G149" s="9">
        <v>334</v>
      </c>
      <c r="H149" s="9">
        <v>56</v>
      </c>
      <c r="I149" s="9">
        <v>48017</v>
      </c>
      <c r="J149" s="9">
        <v>55534</v>
      </c>
      <c r="K149" s="9">
        <v>270</v>
      </c>
      <c r="L149" s="16" t="s">
        <v>19</v>
      </c>
      <c r="M149" s="16" t="s">
        <v>364</v>
      </c>
      <c r="N149" s="16" t="s">
        <v>16</v>
      </c>
      <c r="O149" s="1"/>
    </row>
    <row r="150" spans="1:15">
      <c r="A150" s="1" t="s">
        <v>179</v>
      </c>
      <c r="B150" s="1" t="s">
        <v>22</v>
      </c>
      <c r="C150" s="5">
        <v>45760</v>
      </c>
      <c r="D150" s="16" t="s">
        <v>14</v>
      </c>
      <c r="E150" s="17" t="s">
        <v>363</v>
      </c>
      <c r="F150" s="9">
        <v>3890</v>
      </c>
      <c r="G150" s="9">
        <v>408</v>
      </c>
      <c r="H150" s="9">
        <v>338</v>
      </c>
      <c r="I150" s="9">
        <v>56994</v>
      </c>
      <c r="J150" s="9">
        <v>32621</v>
      </c>
      <c r="K150" s="9">
        <v>286</v>
      </c>
      <c r="L150" s="16" t="s">
        <v>37</v>
      </c>
      <c r="M150" s="16"/>
      <c r="N150" s="16" t="s">
        <v>20</v>
      </c>
      <c r="O150" s="1"/>
    </row>
    <row r="151" spans="1:15">
      <c r="A151" s="1" t="s">
        <v>180</v>
      </c>
      <c r="B151" s="1" t="s">
        <v>22</v>
      </c>
      <c r="C151" s="5">
        <v>45442</v>
      </c>
      <c r="D151" s="16" t="s">
        <v>23</v>
      </c>
      <c r="E151" s="17" t="s">
        <v>42</v>
      </c>
      <c r="F151" s="9">
        <v>2311</v>
      </c>
      <c r="G151" s="9">
        <v>207</v>
      </c>
      <c r="H151" s="9">
        <v>363</v>
      </c>
      <c r="I151" s="9">
        <v>30349</v>
      </c>
      <c r="J151" s="9">
        <v>32925</v>
      </c>
      <c r="K151" s="9">
        <v>88</v>
      </c>
      <c r="L151" s="16" t="s">
        <v>364</v>
      </c>
      <c r="M151" s="16" t="s">
        <v>34</v>
      </c>
      <c r="N151" s="16" t="s">
        <v>16</v>
      </c>
      <c r="O151" s="1"/>
    </row>
    <row r="152" spans="1:15">
      <c r="A152" s="1" t="s">
        <v>181</v>
      </c>
      <c r="B152" s="1" t="s">
        <v>13</v>
      </c>
      <c r="C152" s="5">
        <v>45516</v>
      </c>
      <c r="D152" s="16" t="s">
        <v>23</v>
      </c>
      <c r="E152" s="17" t="s">
        <v>15</v>
      </c>
      <c r="F152" s="9">
        <v>2962</v>
      </c>
      <c r="G152" s="9">
        <v>400</v>
      </c>
      <c r="H152" s="9">
        <v>280</v>
      </c>
      <c r="I152" s="9">
        <v>52508</v>
      </c>
      <c r="J152" s="9">
        <v>58329</v>
      </c>
      <c r="K152" s="9">
        <v>219</v>
      </c>
      <c r="L152" s="16" t="s">
        <v>34</v>
      </c>
      <c r="M152" s="16"/>
      <c r="N152" s="16" t="s">
        <v>46</v>
      </c>
      <c r="O152" s="1"/>
    </row>
    <row r="153" spans="1:15">
      <c r="A153" s="1" t="s">
        <v>182</v>
      </c>
      <c r="B153" s="1" t="s">
        <v>13</v>
      </c>
      <c r="C153" s="5">
        <v>45562</v>
      </c>
      <c r="D153" s="16" t="s">
        <v>14</v>
      </c>
      <c r="E153" s="17" t="s">
        <v>15</v>
      </c>
      <c r="F153" s="9">
        <v>3118</v>
      </c>
      <c r="G153" s="9">
        <v>116</v>
      </c>
      <c r="H153" s="9">
        <v>195</v>
      </c>
      <c r="I153" s="9">
        <v>37100</v>
      </c>
      <c r="J153" s="9">
        <v>62629</v>
      </c>
      <c r="K153" s="9">
        <v>272</v>
      </c>
      <c r="L153" s="16" t="s">
        <v>19</v>
      </c>
      <c r="M153" s="16"/>
      <c r="N153" s="16" t="s">
        <v>20</v>
      </c>
      <c r="O153" s="1"/>
    </row>
    <row r="154" spans="1:15">
      <c r="A154" s="1" t="s">
        <v>183</v>
      </c>
      <c r="B154" s="1" t="s">
        <v>22</v>
      </c>
      <c r="C154" s="5">
        <v>45819</v>
      </c>
      <c r="D154" s="16" t="s">
        <v>23</v>
      </c>
      <c r="E154" s="17" t="s">
        <v>18</v>
      </c>
      <c r="F154" s="9">
        <v>3805</v>
      </c>
      <c r="G154" s="9">
        <v>453</v>
      </c>
      <c r="H154" s="9">
        <v>63</v>
      </c>
      <c r="I154" s="9">
        <v>52395</v>
      </c>
      <c r="J154" s="9">
        <v>72934</v>
      </c>
      <c r="K154" s="9">
        <v>87</v>
      </c>
      <c r="L154" s="16" t="s">
        <v>19</v>
      </c>
      <c r="M154" s="16" t="s">
        <v>364</v>
      </c>
      <c r="N154" s="16" t="s">
        <v>16</v>
      </c>
      <c r="O154" s="1"/>
    </row>
    <row r="155" spans="1:15">
      <c r="A155" s="1" t="s">
        <v>184</v>
      </c>
      <c r="B155" s="1" t="s">
        <v>13</v>
      </c>
      <c r="C155" s="5">
        <v>45615</v>
      </c>
      <c r="D155" s="16" t="s">
        <v>14</v>
      </c>
      <c r="E155" s="17" t="s">
        <v>362</v>
      </c>
      <c r="F155" s="9">
        <v>2525</v>
      </c>
      <c r="G155" s="9">
        <v>272</v>
      </c>
      <c r="H155" s="9">
        <v>294</v>
      </c>
      <c r="I155" s="9">
        <v>51875</v>
      </c>
      <c r="J155" s="9">
        <v>24732</v>
      </c>
      <c r="K155" s="9">
        <v>92</v>
      </c>
      <c r="L155" s="16" t="s">
        <v>19</v>
      </c>
      <c r="M155" s="16"/>
      <c r="N155" s="16" t="s">
        <v>20</v>
      </c>
      <c r="O155" s="1"/>
    </row>
    <row r="156" spans="1:15">
      <c r="A156" s="1" t="s">
        <v>185</v>
      </c>
      <c r="B156" s="1" t="s">
        <v>13</v>
      </c>
      <c r="C156" s="5">
        <v>45407</v>
      </c>
      <c r="D156" s="16" t="s">
        <v>14</v>
      </c>
      <c r="E156" s="17" t="s">
        <v>361</v>
      </c>
      <c r="F156" s="9">
        <v>3563</v>
      </c>
      <c r="G156" s="9">
        <v>483</v>
      </c>
      <c r="H156" s="9">
        <v>227</v>
      </c>
      <c r="I156" s="9">
        <v>41085</v>
      </c>
      <c r="J156" s="9">
        <v>26393</v>
      </c>
      <c r="K156" s="9">
        <v>236</v>
      </c>
      <c r="L156" s="16" t="s">
        <v>37</v>
      </c>
      <c r="M156" s="16" t="s">
        <v>34</v>
      </c>
      <c r="N156" s="16" t="s">
        <v>16</v>
      </c>
      <c r="O156" s="1"/>
    </row>
    <row r="157" spans="1:15">
      <c r="A157" s="1" t="s">
        <v>186</v>
      </c>
      <c r="B157" s="1" t="s">
        <v>27</v>
      </c>
      <c r="C157" s="5">
        <v>45538</v>
      </c>
      <c r="D157" s="16" t="s">
        <v>48</v>
      </c>
      <c r="E157" s="17" t="s">
        <v>362</v>
      </c>
      <c r="F157" s="9">
        <v>1437</v>
      </c>
      <c r="G157" s="9">
        <v>494</v>
      </c>
      <c r="H157" s="9">
        <v>129</v>
      </c>
      <c r="I157" s="9">
        <v>53048</v>
      </c>
      <c r="J157" s="9">
        <v>44090</v>
      </c>
      <c r="K157" s="9">
        <v>230</v>
      </c>
      <c r="L157" s="16" t="s">
        <v>19</v>
      </c>
      <c r="M157" s="16" t="s">
        <v>37</v>
      </c>
      <c r="N157" s="16" t="s">
        <v>49</v>
      </c>
      <c r="O157" s="1"/>
    </row>
    <row r="158" spans="1:15">
      <c r="A158" s="1" t="s">
        <v>187</v>
      </c>
      <c r="B158" s="1" t="s">
        <v>27</v>
      </c>
      <c r="C158" s="5">
        <v>45718</v>
      </c>
      <c r="D158" s="16" t="s">
        <v>14</v>
      </c>
      <c r="E158" s="17" t="s">
        <v>363</v>
      </c>
      <c r="F158" s="9">
        <v>4425</v>
      </c>
      <c r="G158" s="9">
        <v>185</v>
      </c>
      <c r="H158" s="9">
        <v>162</v>
      </c>
      <c r="I158" s="9">
        <v>24610</v>
      </c>
      <c r="J158" s="9">
        <v>21342</v>
      </c>
      <c r="K158" s="9">
        <v>158</v>
      </c>
      <c r="L158" s="16" t="s">
        <v>19</v>
      </c>
      <c r="M158" s="16" t="s">
        <v>365</v>
      </c>
      <c r="N158" s="16" t="s">
        <v>20</v>
      </c>
      <c r="O158" s="1"/>
    </row>
    <row r="159" spans="1:15">
      <c r="A159" s="1" t="s">
        <v>188</v>
      </c>
      <c r="B159" s="1" t="s">
        <v>22</v>
      </c>
      <c r="C159" s="5">
        <v>45737</v>
      </c>
      <c r="D159" s="16" t="s">
        <v>23</v>
      </c>
      <c r="E159" s="17" t="s">
        <v>24</v>
      </c>
      <c r="F159" s="9">
        <v>4609</v>
      </c>
      <c r="G159" s="9">
        <v>427</v>
      </c>
      <c r="H159" s="9">
        <v>395</v>
      </c>
      <c r="I159" s="9">
        <v>33698</v>
      </c>
      <c r="J159" s="9">
        <v>29259</v>
      </c>
      <c r="K159" s="9">
        <v>216</v>
      </c>
      <c r="L159" s="16" t="s">
        <v>19</v>
      </c>
      <c r="M159" s="16" t="s">
        <v>364</v>
      </c>
      <c r="N159" s="16" t="s">
        <v>16</v>
      </c>
      <c r="O159" s="1"/>
    </row>
    <row r="160" spans="1:15">
      <c r="A160" s="1" t="s">
        <v>189</v>
      </c>
      <c r="B160" s="1" t="s">
        <v>13</v>
      </c>
      <c r="C160" s="5">
        <v>45394</v>
      </c>
      <c r="D160" s="16" t="s">
        <v>23</v>
      </c>
      <c r="E160" s="17" t="s">
        <v>30</v>
      </c>
      <c r="F160" s="9">
        <v>1558</v>
      </c>
      <c r="G160" s="9">
        <v>352</v>
      </c>
      <c r="H160" s="9">
        <v>202</v>
      </c>
      <c r="I160" s="9">
        <v>25405</v>
      </c>
      <c r="J160" s="9">
        <v>69941</v>
      </c>
      <c r="K160" s="9">
        <v>219</v>
      </c>
      <c r="L160" s="16" t="s">
        <v>34</v>
      </c>
      <c r="M160" s="16"/>
      <c r="N160" s="16" t="s">
        <v>46</v>
      </c>
      <c r="O160" s="1"/>
    </row>
    <row r="161" spans="1:15">
      <c r="A161" s="1" t="s">
        <v>190</v>
      </c>
      <c r="B161" s="1" t="s">
        <v>27</v>
      </c>
      <c r="C161" s="5">
        <v>45330</v>
      </c>
      <c r="D161" s="16" t="s">
        <v>48</v>
      </c>
      <c r="E161" s="17" t="s">
        <v>33</v>
      </c>
      <c r="F161" s="9">
        <v>1889</v>
      </c>
      <c r="G161" s="9">
        <v>298</v>
      </c>
      <c r="H161" s="9">
        <v>122</v>
      </c>
      <c r="I161" s="9">
        <v>46225</v>
      </c>
      <c r="J161" s="9">
        <v>74305</v>
      </c>
      <c r="K161" s="9">
        <v>293</v>
      </c>
      <c r="L161" s="16" t="s">
        <v>19</v>
      </c>
      <c r="M161" s="16" t="s">
        <v>37</v>
      </c>
      <c r="N161" s="16" t="s">
        <v>49</v>
      </c>
      <c r="O161" s="1"/>
    </row>
    <row r="162" spans="1:15">
      <c r="A162" s="1" t="s">
        <v>191</v>
      </c>
      <c r="B162" s="1" t="s">
        <v>13</v>
      </c>
      <c r="C162" s="5">
        <v>45803</v>
      </c>
      <c r="D162" s="16" t="s">
        <v>14</v>
      </c>
      <c r="E162" s="17" t="s">
        <v>15</v>
      </c>
      <c r="F162" s="9">
        <v>3086</v>
      </c>
      <c r="G162" s="9">
        <v>148</v>
      </c>
      <c r="H162" s="9">
        <v>310</v>
      </c>
      <c r="I162" s="9">
        <v>22824</v>
      </c>
      <c r="J162" s="9">
        <v>58103</v>
      </c>
      <c r="K162" s="9">
        <v>275</v>
      </c>
      <c r="L162" s="16" t="s">
        <v>19</v>
      </c>
      <c r="M162" s="16"/>
      <c r="N162" s="16" t="s">
        <v>20</v>
      </c>
      <c r="O162" s="1"/>
    </row>
    <row r="163" spans="1:15">
      <c r="A163" s="1" t="s">
        <v>192</v>
      </c>
      <c r="B163" s="1" t="s">
        <v>13</v>
      </c>
      <c r="C163" s="5">
        <v>45610</v>
      </c>
      <c r="D163" s="16" t="s">
        <v>14</v>
      </c>
      <c r="E163" s="17" t="s">
        <v>361</v>
      </c>
      <c r="F163" s="9">
        <v>2422</v>
      </c>
      <c r="G163" s="9">
        <v>318</v>
      </c>
      <c r="H163" s="9">
        <v>118</v>
      </c>
      <c r="I163" s="9">
        <v>25386</v>
      </c>
      <c r="J163" s="9">
        <v>20873</v>
      </c>
      <c r="K163" s="9">
        <v>100</v>
      </c>
      <c r="L163" s="16" t="s">
        <v>37</v>
      </c>
      <c r="M163" s="16" t="s">
        <v>34</v>
      </c>
      <c r="N163" s="16" t="s">
        <v>16</v>
      </c>
      <c r="O163" s="1"/>
    </row>
    <row r="164" spans="1:15">
      <c r="A164" s="1" t="s">
        <v>193</v>
      </c>
      <c r="B164" s="1" t="s">
        <v>27</v>
      </c>
      <c r="C164" s="5">
        <v>45513</v>
      </c>
      <c r="D164" s="16" t="s">
        <v>48</v>
      </c>
      <c r="E164" s="17" t="s">
        <v>363</v>
      </c>
      <c r="F164" s="9">
        <v>3414</v>
      </c>
      <c r="G164" s="9">
        <v>154</v>
      </c>
      <c r="H164" s="9">
        <v>204</v>
      </c>
      <c r="I164" s="9">
        <v>34146</v>
      </c>
      <c r="J164" s="9">
        <v>44633</v>
      </c>
      <c r="K164" s="9">
        <v>256</v>
      </c>
      <c r="L164" s="16" t="s">
        <v>19</v>
      </c>
      <c r="M164" s="16" t="s">
        <v>37</v>
      </c>
      <c r="N164" s="16" t="s">
        <v>49</v>
      </c>
      <c r="O164" s="1"/>
    </row>
    <row r="165" spans="1:15">
      <c r="A165" s="1" t="s">
        <v>194</v>
      </c>
      <c r="B165" s="1" t="s">
        <v>13</v>
      </c>
      <c r="C165" s="5">
        <v>45835</v>
      </c>
      <c r="D165" s="16" t="s">
        <v>23</v>
      </c>
      <c r="E165" s="17" t="s">
        <v>362</v>
      </c>
      <c r="F165" s="9">
        <v>1342</v>
      </c>
      <c r="G165" s="9">
        <v>332</v>
      </c>
      <c r="H165" s="9">
        <v>163</v>
      </c>
      <c r="I165" s="9">
        <v>51712</v>
      </c>
      <c r="J165" s="9">
        <v>57922</v>
      </c>
      <c r="K165" s="9">
        <v>168</v>
      </c>
      <c r="L165" s="16" t="s">
        <v>34</v>
      </c>
      <c r="M165" s="16"/>
      <c r="N165" s="16" t="s">
        <v>46</v>
      </c>
      <c r="O165" s="1"/>
    </row>
    <row r="166" spans="1:15">
      <c r="A166" s="1" t="s">
        <v>195</v>
      </c>
      <c r="B166" s="1" t="s">
        <v>13</v>
      </c>
      <c r="C166" s="5">
        <v>45420</v>
      </c>
      <c r="D166" s="16" t="s">
        <v>23</v>
      </c>
      <c r="E166" s="17" t="s">
        <v>361</v>
      </c>
      <c r="F166" s="9">
        <v>2414</v>
      </c>
      <c r="G166" s="9">
        <v>220</v>
      </c>
      <c r="H166" s="9">
        <v>280</v>
      </c>
      <c r="I166" s="9">
        <v>27355</v>
      </c>
      <c r="J166" s="9">
        <v>50562</v>
      </c>
      <c r="K166" s="9">
        <v>258</v>
      </c>
      <c r="L166" s="16" t="s">
        <v>34</v>
      </c>
      <c r="M166" s="16"/>
      <c r="N166" s="16" t="s">
        <v>46</v>
      </c>
      <c r="O166" s="1"/>
    </row>
    <row r="167" spans="1:15">
      <c r="A167" s="1" t="s">
        <v>196</v>
      </c>
      <c r="B167" s="1" t="s">
        <v>13</v>
      </c>
      <c r="C167" s="5">
        <v>45387</v>
      </c>
      <c r="D167" s="16" t="s">
        <v>14</v>
      </c>
      <c r="E167" s="17" t="s">
        <v>24</v>
      </c>
      <c r="F167" s="9">
        <v>4383</v>
      </c>
      <c r="G167" s="9">
        <v>352</v>
      </c>
      <c r="H167" s="9">
        <v>176</v>
      </c>
      <c r="I167" s="9">
        <v>53239</v>
      </c>
      <c r="J167" s="9">
        <v>34168</v>
      </c>
      <c r="K167" s="9">
        <v>288</v>
      </c>
      <c r="L167" s="16" t="s">
        <v>19</v>
      </c>
      <c r="M167" s="16"/>
      <c r="N167" s="16" t="s">
        <v>20</v>
      </c>
      <c r="O167" s="1"/>
    </row>
    <row r="168" spans="1:15">
      <c r="A168" s="1" t="s">
        <v>197</v>
      </c>
      <c r="B168" s="1" t="s">
        <v>27</v>
      </c>
      <c r="C168" s="5">
        <v>45684</v>
      </c>
      <c r="D168" s="16" t="s">
        <v>14</v>
      </c>
      <c r="E168" s="17" t="s">
        <v>360</v>
      </c>
      <c r="F168" s="9">
        <v>4294</v>
      </c>
      <c r="G168" s="9">
        <v>423</v>
      </c>
      <c r="H168" s="9">
        <v>93</v>
      </c>
      <c r="I168" s="9">
        <v>29828</v>
      </c>
      <c r="J168" s="9">
        <v>73144</v>
      </c>
      <c r="K168" s="9">
        <v>298</v>
      </c>
      <c r="L168" s="16" t="s">
        <v>19</v>
      </c>
      <c r="M168" s="16" t="s">
        <v>365</v>
      </c>
      <c r="N168" s="16" t="s">
        <v>20</v>
      </c>
      <c r="O168" s="1"/>
    </row>
    <row r="169" spans="1:15">
      <c r="A169" s="1" t="s">
        <v>198</v>
      </c>
      <c r="B169" s="1" t="s">
        <v>13</v>
      </c>
      <c r="C169" s="5">
        <v>45385</v>
      </c>
      <c r="D169" s="16" t="s">
        <v>14</v>
      </c>
      <c r="E169" s="17" t="s">
        <v>33</v>
      </c>
      <c r="F169" s="9">
        <v>2762</v>
      </c>
      <c r="G169" s="9">
        <v>339</v>
      </c>
      <c r="H169" s="9">
        <v>323</v>
      </c>
      <c r="I169" s="9">
        <v>33757</v>
      </c>
      <c r="J169" s="9">
        <v>68511</v>
      </c>
      <c r="K169" s="9">
        <v>121</v>
      </c>
      <c r="L169" s="16" t="s">
        <v>37</v>
      </c>
      <c r="M169" s="16" t="s">
        <v>34</v>
      </c>
      <c r="N169" s="16" t="s">
        <v>16</v>
      </c>
      <c r="O169" s="1"/>
    </row>
    <row r="170" spans="1:15">
      <c r="A170" s="1" t="s">
        <v>199</v>
      </c>
      <c r="B170" s="1" t="s">
        <v>27</v>
      </c>
      <c r="C170" s="5">
        <v>45660</v>
      </c>
      <c r="D170" s="16" t="s">
        <v>14</v>
      </c>
      <c r="E170" s="17" t="s">
        <v>24</v>
      </c>
      <c r="F170" s="9">
        <v>3782</v>
      </c>
      <c r="G170" s="9">
        <v>484</v>
      </c>
      <c r="H170" s="9">
        <v>144</v>
      </c>
      <c r="I170" s="9">
        <v>52172</v>
      </c>
      <c r="J170" s="9">
        <v>59386</v>
      </c>
      <c r="K170" s="9">
        <v>175</v>
      </c>
      <c r="L170" s="16" t="s">
        <v>19</v>
      </c>
      <c r="M170" s="16" t="s">
        <v>365</v>
      </c>
      <c r="N170" s="16" t="s">
        <v>20</v>
      </c>
      <c r="O170" s="1"/>
    </row>
    <row r="171" spans="1:15">
      <c r="A171" s="1" t="s">
        <v>200</v>
      </c>
      <c r="B171" s="1" t="s">
        <v>22</v>
      </c>
      <c r="C171" s="5">
        <v>45619</v>
      </c>
      <c r="D171" s="16" t="s">
        <v>14</v>
      </c>
      <c r="E171" s="17" t="s">
        <v>24</v>
      </c>
      <c r="F171" s="9">
        <v>4318</v>
      </c>
      <c r="G171" s="9">
        <v>371</v>
      </c>
      <c r="H171" s="9">
        <v>329</v>
      </c>
      <c r="I171" s="9">
        <v>32347</v>
      </c>
      <c r="J171" s="9">
        <v>68956</v>
      </c>
      <c r="K171" s="9">
        <v>259</v>
      </c>
      <c r="L171" s="16" t="s">
        <v>37</v>
      </c>
      <c r="M171" s="16"/>
      <c r="N171" s="16" t="s">
        <v>20</v>
      </c>
      <c r="O171" s="1"/>
    </row>
    <row r="172" spans="1:15">
      <c r="A172" s="1" t="s">
        <v>201</v>
      </c>
      <c r="B172" s="1" t="s">
        <v>13</v>
      </c>
      <c r="C172" s="5">
        <v>45536</v>
      </c>
      <c r="D172" s="16" t="s">
        <v>23</v>
      </c>
      <c r="E172" s="17" t="s">
        <v>360</v>
      </c>
      <c r="F172" s="9">
        <v>2335</v>
      </c>
      <c r="G172" s="9">
        <v>150</v>
      </c>
      <c r="H172" s="9">
        <v>75</v>
      </c>
      <c r="I172" s="9">
        <v>26114</v>
      </c>
      <c r="J172" s="9">
        <v>57549</v>
      </c>
      <c r="K172" s="9">
        <v>135</v>
      </c>
      <c r="L172" s="16" t="s">
        <v>34</v>
      </c>
      <c r="M172" s="16"/>
      <c r="N172" s="16" t="s">
        <v>46</v>
      </c>
      <c r="O172" s="1"/>
    </row>
    <row r="173" spans="1:15">
      <c r="A173" s="1" t="s">
        <v>202</v>
      </c>
      <c r="B173" s="1" t="s">
        <v>27</v>
      </c>
      <c r="C173" s="5">
        <v>45400</v>
      </c>
      <c r="D173" s="16" t="s">
        <v>14</v>
      </c>
      <c r="E173" s="17" t="s">
        <v>18</v>
      </c>
      <c r="F173" s="9">
        <v>4023</v>
      </c>
      <c r="G173" s="9">
        <v>293</v>
      </c>
      <c r="H173" s="9">
        <v>91</v>
      </c>
      <c r="I173" s="9">
        <v>26795</v>
      </c>
      <c r="J173" s="9">
        <v>28924</v>
      </c>
      <c r="K173" s="9">
        <v>278</v>
      </c>
      <c r="L173" s="16" t="s">
        <v>19</v>
      </c>
      <c r="M173" s="16" t="s">
        <v>365</v>
      </c>
      <c r="N173" s="16" t="s">
        <v>20</v>
      </c>
      <c r="O173" s="1"/>
    </row>
    <row r="174" spans="1:15">
      <c r="A174" s="1" t="s">
        <v>203</v>
      </c>
      <c r="B174" s="1" t="s">
        <v>13</v>
      </c>
      <c r="C174" s="5">
        <v>45447</v>
      </c>
      <c r="D174" s="16" t="s">
        <v>14</v>
      </c>
      <c r="E174" s="17" t="s">
        <v>30</v>
      </c>
      <c r="F174" s="9">
        <v>3948</v>
      </c>
      <c r="G174" s="9">
        <v>151</v>
      </c>
      <c r="H174" s="9">
        <v>249</v>
      </c>
      <c r="I174" s="9">
        <v>43147</v>
      </c>
      <c r="J174" s="9">
        <v>63136</v>
      </c>
      <c r="K174" s="9">
        <v>230</v>
      </c>
      <c r="L174" s="16" t="s">
        <v>19</v>
      </c>
      <c r="M174" s="16"/>
      <c r="N174" s="16" t="s">
        <v>20</v>
      </c>
      <c r="O174" s="1"/>
    </row>
    <row r="175" spans="1:15">
      <c r="A175" s="1" t="s">
        <v>204</v>
      </c>
      <c r="B175" s="1" t="s">
        <v>27</v>
      </c>
      <c r="C175" s="5">
        <v>45749</v>
      </c>
      <c r="D175" s="16" t="s">
        <v>14</v>
      </c>
      <c r="E175" s="17" t="s">
        <v>360</v>
      </c>
      <c r="F175" s="9">
        <v>4598</v>
      </c>
      <c r="G175" s="9">
        <v>455</v>
      </c>
      <c r="H175" s="9">
        <v>378</v>
      </c>
      <c r="I175" s="9">
        <v>52952</v>
      </c>
      <c r="J175" s="9">
        <v>58504</v>
      </c>
      <c r="K175" s="9">
        <v>269</v>
      </c>
      <c r="L175" s="16" t="s">
        <v>19</v>
      </c>
      <c r="M175" s="16" t="s">
        <v>365</v>
      </c>
      <c r="N175" s="16" t="s">
        <v>20</v>
      </c>
      <c r="O175" s="1"/>
    </row>
    <row r="176" spans="1:15">
      <c r="A176" s="1" t="s">
        <v>205</v>
      </c>
      <c r="B176" s="1" t="s">
        <v>22</v>
      </c>
      <c r="C176" s="5">
        <v>45748</v>
      </c>
      <c r="D176" s="16" t="s">
        <v>23</v>
      </c>
      <c r="E176" s="17" t="s">
        <v>361</v>
      </c>
      <c r="F176" s="9">
        <v>2665</v>
      </c>
      <c r="G176" s="9">
        <v>143</v>
      </c>
      <c r="H176" s="9">
        <v>315</v>
      </c>
      <c r="I176" s="9">
        <v>54808</v>
      </c>
      <c r="J176" s="9">
        <v>29818</v>
      </c>
      <c r="K176" s="9">
        <v>98</v>
      </c>
      <c r="L176" s="16" t="s">
        <v>19</v>
      </c>
      <c r="M176" s="16" t="s">
        <v>364</v>
      </c>
      <c r="N176" s="16" t="s">
        <v>16</v>
      </c>
      <c r="O176" s="1"/>
    </row>
    <row r="177" spans="1:15">
      <c r="A177" s="1" t="s">
        <v>206</v>
      </c>
      <c r="B177" s="1" t="s">
        <v>13</v>
      </c>
      <c r="C177" s="5">
        <v>45475</v>
      </c>
      <c r="D177" s="16" t="s">
        <v>14</v>
      </c>
      <c r="E177" s="17" t="s">
        <v>33</v>
      </c>
      <c r="F177" s="9">
        <v>3469</v>
      </c>
      <c r="G177" s="9">
        <v>371</v>
      </c>
      <c r="H177" s="9">
        <v>76</v>
      </c>
      <c r="I177" s="9">
        <v>46493</v>
      </c>
      <c r="J177" s="9">
        <v>26906</v>
      </c>
      <c r="K177" s="9">
        <v>150</v>
      </c>
      <c r="L177" s="16" t="s">
        <v>37</v>
      </c>
      <c r="M177" s="16" t="s">
        <v>34</v>
      </c>
      <c r="N177" s="16" t="s">
        <v>16</v>
      </c>
      <c r="O177" s="1"/>
    </row>
    <row r="178" spans="1:15">
      <c r="A178" s="1" t="s">
        <v>207</v>
      </c>
      <c r="B178" s="1" t="s">
        <v>22</v>
      </c>
      <c r="C178" s="5">
        <v>45606</v>
      </c>
      <c r="D178" s="16" t="s">
        <v>14</v>
      </c>
      <c r="E178" s="17" t="s">
        <v>18</v>
      </c>
      <c r="F178" s="9">
        <v>4823</v>
      </c>
      <c r="G178" s="9">
        <v>489</v>
      </c>
      <c r="H178" s="9">
        <v>302</v>
      </c>
      <c r="I178" s="9">
        <v>32470</v>
      </c>
      <c r="J178" s="9">
        <v>31861</v>
      </c>
      <c r="K178" s="9">
        <v>178</v>
      </c>
      <c r="L178" s="16" t="s">
        <v>37</v>
      </c>
      <c r="M178" s="16"/>
      <c r="N178" s="16" t="s">
        <v>20</v>
      </c>
      <c r="O178" s="1"/>
    </row>
    <row r="179" spans="1:15">
      <c r="A179" s="1" t="s">
        <v>208</v>
      </c>
      <c r="B179" s="1" t="s">
        <v>13</v>
      </c>
      <c r="C179" s="5">
        <v>45640</v>
      </c>
      <c r="D179" s="16" t="s">
        <v>23</v>
      </c>
      <c r="E179" s="17" t="s">
        <v>363</v>
      </c>
      <c r="F179" s="9">
        <v>3812</v>
      </c>
      <c r="G179" s="9">
        <v>321</v>
      </c>
      <c r="H179" s="9">
        <v>289</v>
      </c>
      <c r="I179" s="9">
        <v>59838</v>
      </c>
      <c r="J179" s="9">
        <v>36337</v>
      </c>
      <c r="K179" s="9">
        <v>161</v>
      </c>
      <c r="L179" s="16" t="s">
        <v>34</v>
      </c>
      <c r="M179" s="16"/>
      <c r="N179" s="16" t="s">
        <v>46</v>
      </c>
      <c r="O179" s="1"/>
    </row>
    <row r="180" spans="1:15">
      <c r="A180" s="1" t="s">
        <v>209</v>
      </c>
      <c r="B180" s="1" t="s">
        <v>22</v>
      </c>
      <c r="C180" s="5">
        <v>45615</v>
      </c>
      <c r="D180" s="16" t="s">
        <v>14</v>
      </c>
      <c r="E180" s="17" t="s">
        <v>18</v>
      </c>
      <c r="F180" s="9">
        <v>2387</v>
      </c>
      <c r="G180" s="9">
        <v>353</v>
      </c>
      <c r="H180" s="9">
        <v>78</v>
      </c>
      <c r="I180" s="9">
        <v>39745</v>
      </c>
      <c r="J180" s="9">
        <v>69226</v>
      </c>
      <c r="K180" s="9">
        <v>208</v>
      </c>
      <c r="L180" s="16" t="s">
        <v>37</v>
      </c>
      <c r="M180" s="16"/>
      <c r="N180" s="16" t="s">
        <v>20</v>
      </c>
      <c r="O180" s="1"/>
    </row>
    <row r="181" spans="1:15">
      <c r="A181" s="1" t="s">
        <v>210</v>
      </c>
      <c r="B181" s="1" t="s">
        <v>22</v>
      </c>
      <c r="C181" s="5">
        <v>45777</v>
      </c>
      <c r="D181" s="16" t="s">
        <v>23</v>
      </c>
      <c r="E181" s="17" t="s">
        <v>360</v>
      </c>
      <c r="F181" s="9">
        <v>3929</v>
      </c>
      <c r="G181" s="9">
        <v>275</v>
      </c>
      <c r="H181" s="9">
        <v>330</v>
      </c>
      <c r="I181" s="9">
        <v>58329</v>
      </c>
      <c r="J181" s="9">
        <v>33196</v>
      </c>
      <c r="K181" s="9">
        <v>85</v>
      </c>
      <c r="L181" s="16" t="s">
        <v>364</v>
      </c>
      <c r="M181" s="16" t="s">
        <v>34</v>
      </c>
      <c r="N181" s="16" t="s">
        <v>16</v>
      </c>
      <c r="O181" s="1"/>
    </row>
    <row r="182" spans="1:15">
      <c r="A182" s="1" t="s">
        <v>211</v>
      </c>
      <c r="B182" s="1" t="s">
        <v>22</v>
      </c>
      <c r="C182" s="5">
        <v>45370</v>
      </c>
      <c r="D182" s="16" t="s">
        <v>14</v>
      </c>
      <c r="E182" s="17" t="s">
        <v>363</v>
      </c>
      <c r="F182" s="9">
        <v>2191</v>
      </c>
      <c r="G182" s="9">
        <v>288</v>
      </c>
      <c r="H182" s="9">
        <v>83</v>
      </c>
      <c r="I182" s="9">
        <v>59606</v>
      </c>
      <c r="J182" s="9">
        <v>24765</v>
      </c>
      <c r="K182" s="9">
        <v>281</v>
      </c>
      <c r="L182" s="16" t="s">
        <v>37</v>
      </c>
      <c r="M182" s="16"/>
      <c r="N182" s="16" t="s">
        <v>20</v>
      </c>
      <c r="O182" s="1"/>
    </row>
    <row r="183" spans="1:15">
      <c r="A183" s="1" t="s">
        <v>212</v>
      </c>
      <c r="B183" s="1" t="s">
        <v>13</v>
      </c>
      <c r="C183" s="5">
        <v>45370</v>
      </c>
      <c r="D183" s="16" t="s">
        <v>14</v>
      </c>
      <c r="E183" s="17" t="s">
        <v>363</v>
      </c>
      <c r="F183" s="9">
        <v>2878</v>
      </c>
      <c r="G183" s="9">
        <v>278</v>
      </c>
      <c r="H183" s="9">
        <v>255</v>
      </c>
      <c r="I183" s="9">
        <v>47235</v>
      </c>
      <c r="J183" s="9">
        <v>57922</v>
      </c>
      <c r="K183" s="9">
        <v>112</v>
      </c>
      <c r="L183" s="16" t="s">
        <v>37</v>
      </c>
      <c r="M183" s="16" t="s">
        <v>34</v>
      </c>
      <c r="N183" s="16" t="s">
        <v>16</v>
      </c>
      <c r="O183" s="1"/>
    </row>
    <row r="184" spans="1:15">
      <c r="A184" s="1" t="s">
        <v>213</v>
      </c>
      <c r="B184" s="1" t="s">
        <v>22</v>
      </c>
      <c r="C184" s="5">
        <v>45496</v>
      </c>
      <c r="D184" s="16" t="s">
        <v>14</v>
      </c>
      <c r="E184" s="17" t="s">
        <v>33</v>
      </c>
      <c r="F184" s="9">
        <v>3204</v>
      </c>
      <c r="G184" s="9">
        <v>398</v>
      </c>
      <c r="H184" s="9">
        <v>85</v>
      </c>
      <c r="I184" s="9">
        <v>22020</v>
      </c>
      <c r="J184" s="9">
        <v>58353</v>
      </c>
      <c r="K184" s="9">
        <v>286</v>
      </c>
      <c r="L184" s="16" t="s">
        <v>37</v>
      </c>
      <c r="M184" s="16"/>
      <c r="N184" s="16" t="s">
        <v>20</v>
      </c>
      <c r="O184" s="1"/>
    </row>
    <row r="185" spans="1:15">
      <c r="A185" s="1" t="s">
        <v>214</v>
      </c>
      <c r="B185" s="1" t="s">
        <v>22</v>
      </c>
      <c r="C185" s="5">
        <v>45486</v>
      </c>
      <c r="D185" s="16" t="s">
        <v>23</v>
      </c>
      <c r="E185" s="17" t="s">
        <v>30</v>
      </c>
      <c r="F185" s="9">
        <v>2408</v>
      </c>
      <c r="G185" s="9">
        <v>323</v>
      </c>
      <c r="H185" s="9">
        <v>251</v>
      </c>
      <c r="I185" s="9">
        <v>47599</v>
      </c>
      <c r="J185" s="9">
        <v>35543</v>
      </c>
      <c r="K185" s="9">
        <v>287</v>
      </c>
      <c r="L185" s="16" t="s">
        <v>364</v>
      </c>
      <c r="M185" s="16" t="s">
        <v>34</v>
      </c>
      <c r="N185" s="16" t="s">
        <v>16</v>
      </c>
      <c r="O185" s="1"/>
    </row>
    <row r="186" spans="1:15">
      <c r="A186" s="1" t="s">
        <v>215</v>
      </c>
      <c r="B186" s="1" t="s">
        <v>27</v>
      </c>
      <c r="C186" s="5">
        <v>45769</v>
      </c>
      <c r="D186" s="16" t="s">
        <v>48</v>
      </c>
      <c r="E186" s="17" t="s">
        <v>24</v>
      </c>
      <c r="F186" s="9">
        <v>2733</v>
      </c>
      <c r="G186" s="9">
        <v>297</v>
      </c>
      <c r="H186" s="9">
        <v>235</v>
      </c>
      <c r="I186" s="9">
        <v>37980</v>
      </c>
      <c r="J186" s="9">
        <v>33058</v>
      </c>
      <c r="K186" s="9">
        <v>219</v>
      </c>
      <c r="L186" s="16" t="s">
        <v>19</v>
      </c>
      <c r="M186" s="16" t="s">
        <v>37</v>
      </c>
      <c r="N186" s="16" t="s">
        <v>49</v>
      </c>
      <c r="O186" s="1"/>
    </row>
    <row r="187" spans="1:15">
      <c r="A187" s="1" t="s">
        <v>216</v>
      </c>
      <c r="B187" s="1" t="s">
        <v>22</v>
      </c>
      <c r="C187" s="5">
        <v>45459</v>
      </c>
      <c r="D187" s="16" t="s">
        <v>23</v>
      </c>
      <c r="E187" s="17" t="s">
        <v>18</v>
      </c>
      <c r="F187" s="9">
        <v>4618</v>
      </c>
      <c r="G187" s="9">
        <v>312</v>
      </c>
      <c r="H187" s="9">
        <v>254</v>
      </c>
      <c r="I187" s="9">
        <v>22571</v>
      </c>
      <c r="J187" s="9">
        <v>29453</v>
      </c>
      <c r="K187" s="9">
        <v>197</v>
      </c>
      <c r="L187" s="16" t="s">
        <v>364</v>
      </c>
      <c r="M187" s="16" t="s">
        <v>34</v>
      </c>
      <c r="N187" s="16" t="s">
        <v>16</v>
      </c>
      <c r="O187" s="1"/>
    </row>
    <row r="188" spans="1:15">
      <c r="A188" s="1" t="s">
        <v>217</v>
      </c>
      <c r="B188" s="1" t="s">
        <v>27</v>
      </c>
      <c r="C188" s="5">
        <v>45795</v>
      </c>
      <c r="D188" s="16" t="s">
        <v>48</v>
      </c>
      <c r="E188" s="17" t="s">
        <v>360</v>
      </c>
      <c r="F188" s="9">
        <v>4210</v>
      </c>
      <c r="G188" s="9">
        <v>319</v>
      </c>
      <c r="H188" s="9">
        <v>350</v>
      </c>
      <c r="I188" s="9">
        <v>37762</v>
      </c>
      <c r="J188" s="9">
        <v>55162</v>
      </c>
      <c r="K188" s="9">
        <v>204</v>
      </c>
      <c r="L188" s="16" t="s">
        <v>19</v>
      </c>
      <c r="M188" s="16" t="s">
        <v>37</v>
      </c>
      <c r="N188" s="16" t="s">
        <v>49</v>
      </c>
      <c r="O188" s="1"/>
    </row>
    <row r="189" spans="1:15">
      <c r="A189" s="1" t="s">
        <v>218</v>
      </c>
      <c r="B189" s="1" t="s">
        <v>13</v>
      </c>
      <c r="C189" s="5">
        <v>45814</v>
      </c>
      <c r="D189" s="16" t="s">
        <v>14</v>
      </c>
      <c r="E189" s="17" t="s">
        <v>360</v>
      </c>
      <c r="F189" s="9">
        <v>3987</v>
      </c>
      <c r="G189" s="9">
        <v>171</v>
      </c>
      <c r="H189" s="9">
        <v>274</v>
      </c>
      <c r="I189" s="9">
        <v>45122</v>
      </c>
      <c r="J189" s="9">
        <v>65431</v>
      </c>
      <c r="K189" s="9">
        <v>168</v>
      </c>
      <c r="L189" s="16" t="s">
        <v>19</v>
      </c>
      <c r="M189" s="16"/>
      <c r="N189" s="16" t="s">
        <v>20</v>
      </c>
      <c r="O189" s="1"/>
    </row>
    <row r="190" spans="1:15">
      <c r="A190" s="1" t="s">
        <v>219</v>
      </c>
      <c r="B190" s="1" t="s">
        <v>27</v>
      </c>
      <c r="C190" s="5">
        <v>45708</v>
      </c>
      <c r="D190" s="16" t="s">
        <v>48</v>
      </c>
      <c r="E190" s="17" t="s">
        <v>30</v>
      </c>
      <c r="F190" s="9">
        <v>4957</v>
      </c>
      <c r="G190" s="9">
        <v>262</v>
      </c>
      <c r="H190" s="9">
        <v>365</v>
      </c>
      <c r="I190" s="9">
        <v>49199</v>
      </c>
      <c r="J190" s="9">
        <v>40314</v>
      </c>
      <c r="K190" s="9">
        <v>216</v>
      </c>
      <c r="L190" s="16" t="s">
        <v>19</v>
      </c>
      <c r="M190" s="16" t="s">
        <v>37</v>
      </c>
      <c r="N190" s="16" t="s">
        <v>49</v>
      </c>
      <c r="O190" s="1"/>
    </row>
    <row r="191" spans="1:15">
      <c r="A191" s="1" t="s">
        <v>220</v>
      </c>
      <c r="B191" s="1" t="s">
        <v>13</v>
      </c>
      <c r="C191" s="5">
        <v>45673</v>
      </c>
      <c r="D191" s="16" t="s">
        <v>14</v>
      </c>
      <c r="E191" s="17" t="s">
        <v>361</v>
      </c>
      <c r="F191" s="9">
        <v>2605</v>
      </c>
      <c r="G191" s="9">
        <v>282</v>
      </c>
      <c r="H191" s="9">
        <v>148</v>
      </c>
      <c r="I191" s="9">
        <v>32201</v>
      </c>
      <c r="J191" s="9">
        <v>49583</v>
      </c>
      <c r="K191" s="9">
        <v>241</v>
      </c>
      <c r="L191" s="16" t="s">
        <v>37</v>
      </c>
      <c r="M191" s="16" t="s">
        <v>34</v>
      </c>
      <c r="N191" s="16" t="s">
        <v>16</v>
      </c>
      <c r="O191" s="1"/>
    </row>
    <row r="192" spans="1:15">
      <c r="A192" s="1" t="s">
        <v>221</v>
      </c>
      <c r="B192" s="1" t="s">
        <v>27</v>
      </c>
      <c r="C192" s="5">
        <v>45346</v>
      </c>
      <c r="D192" s="16" t="s">
        <v>48</v>
      </c>
      <c r="E192" s="17" t="s">
        <v>15</v>
      </c>
      <c r="F192" s="9">
        <v>4221</v>
      </c>
      <c r="G192" s="9">
        <v>307</v>
      </c>
      <c r="H192" s="9">
        <v>58</v>
      </c>
      <c r="I192" s="9">
        <v>45080</v>
      </c>
      <c r="J192" s="9">
        <v>37214</v>
      </c>
      <c r="K192" s="9">
        <v>240</v>
      </c>
      <c r="L192" s="16" t="s">
        <v>19</v>
      </c>
      <c r="M192" s="16" t="s">
        <v>37</v>
      </c>
      <c r="N192" s="16" t="s">
        <v>49</v>
      </c>
      <c r="O192" s="1"/>
    </row>
    <row r="193" spans="1:15">
      <c r="A193" s="1" t="s">
        <v>222</v>
      </c>
      <c r="B193" s="1" t="s">
        <v>22</v>
      </c>
      <c r="C193" s="5">
        <v>45551</v>
      </c>
      <c r="D193" s="16" t="s">
        <v>23</v>
      </c>
      <c r="E193" s="17" t="s">
        <v>362</v>
      </c>
      <c r="F193" s="9">
        <v>4422</v>
      </c>
      <c r="G193" s="9">
        <v>434</v>
      </c>
      <c r="H193" s="9">
        <v>156</v>
      </c>
      <c r="I193" s="9">
        <v>56165</v>
      </c>
      <c r="J193" s="9">
        <v>52431</v>
      </c>
      <c r="K193" s="9">
        <v>173</v>
      </c>
      <c r="L193" s="16" t="s">
        <v>19</v>
      </c>
      <c r="M193" s="16" t="s">
        <v>364</v>
      </c>
      <c r="N193" s="16" t="s">
        <v>16</v>
      </c>
      <c r="O193" s="1"/>
    </row>
    <row r="194" spans="1:15">
      <c r="A194" s="1" t="s">
        <v>223</v>
      </c>
      <c r="B194" s="1" t="s">
        <v>27</v>
      </c>
      <c r="C194" s="5">
        <v>45447</v>
      </c>
      <c r="D194" s="16" t="s">
        <v>48</v>
      </c>
      <c r="E194" s="17" t="s">
        <v>360</v>
      </c>
      <c r="F194" s="9">
        <v>1211</v>
      </c>
      <c r="G194" s="9">
        <v>431</v>
      </c>
      <c r="H194" s="9">
        <v>83</v>
      </c>
      <c r="I194" s="9">
        <v>26532</v>
      </c>
      <c r="J194" s="9">
        <v>47305</v>
      </c>
      <c r="K194" s="9">
        <v>232</v>
      </c>
      <c r="L194" s="16" t="s">
        <v>19</v>
      </c>
      <c r="M194" s="16" t="s">
        <v>37</v>
      </c>
      <c r="N194" s="16" t="s">
        <v>49</v>
      </c>
      <c r="O194" s="1"/>
    </row>
    <row r="195" spans="1:15">
      <c r="A195" s="1" t="s">
        <v>224</v>
      </c>
      <c r="B195" s="1" t="s">
        <v>22</v>
      </c>
      <c r="C195" s="5">
        <v>45422</v>
      </c>
      <c r="D195" s="16" t="s">
        <v>23</v>
      </c>
      <c r="E195" s="17" t="s">
        <v>18</v>
      </c>
      <c r="F195" s="9">
        <v>2784</v>
      </c>
      <c r="G195" s="9">
        <v>111</v>
      </c>
      <c r="H195" s="9">
        <v>399</v>
      </c>
      <c r="I195" s="9">
        <v>58366</v>
      </c>
      <c r="J195" s="9">
        <v>69512</v>
      </c>
      <c r="K195" s="9">
        <v>269</v>
      </c>
      <c r="L195" s="16" t="s">
        <v>364</v>
      </c>
      <c r="M195" s="16" t="s">
        <v>34</v>
      </c>
      <c r="N195" s="16" t="s">
        <v>16</v>
      </c>
      <c r="O195" s="1"/>
    </row>
    <row r="196" spans="1:15">
      <c r="A196" s="1" t="s">
        <v>225</v>
      </c>
      <c r="B196" s="1" t="s">
        <v>27</v>
      </c>
      <c r="C196" s="5">
        <v>45305</v>
      </c>
      <c r="D196" s="16" t="s">
        <v>14</v>
      </c>
      <c r="E196" s="17" t="s">
        <v>24</v>
      </c>
      <c r="F196" s="9">
        <v>3634</v>
      </c>
      <c r="G196" s="9">
        <v>280</v>
      </c>
      <c r="H196" s="9">
        <v>399</v>
      </c>
      <c r="I196" s="9">
        <v>40256</v>
      </c>
      <c r="J196" s="9">
        <v>52605</v>
      </c>
      <c r="K196" s="9">
        <v>213</v>
      </c>
      <c r="L196" s="16" t="s">
        <v>19</v>
      </c>
      <c r="M196" s="16" t="s">
        <v>365</v>
      </c>
      <c r="N196" s="16" t="s">
        <v>20</v>
      </c>
      <c r="O196" s="1"/>
    </row>
    <row r="197" spans="1:15">
      <c r="A197" s="1" t="s">
        <v>226</v>
      </c>
      <c r="B197" s="1" t="s">
        <v>13</v>
      </c>
      <c r="C197" s="5">
        <v>45669</v>
      </c>
      <c r="D197" s="16" t="s">
        <v>14</v>
      </c>
      <c r="E197" s="17" t="s">
        <v>363</v>
      </c>
      <c r="F197" s="9">
        <v>1771</v>
      </c>
      <c r="G197" s="9">
        <v>487</v>
      </c>
      <c r="H197" s="9">
        <v>272</v>
      </c>
      <c r="I197" s="9">
        <v>48810</v>
      </c>
      <c r="J197" s="9">
        <v>48084</v>
      </c>
      <c r="K197" s="9">
        <v>272</v>
      </c>
      <c r="L197" s="16" t="s">
        <v>37</v>
      </c>
      <c r="M197" s="16" t="s">
        <v>34</v>
      </c>
      <c r="N197" s="16" t="s">
        <v>16</v>
      </c>
      <c r="O197" s="1"/>
    </row>
    <row r="198" spans="1:15">
      <c r="A198" s="1" t="s">
        <v>227</v>
      </c>
      <c r="B198" s="1" t="s">
        <v>27</v>
      </c>
      <c r="C198" s="5">
        <v>45634</v>
      </c>
      <c r="D198" s="16" t="s">
        <v>14</v>
      </c>
      <c r="E198" s="17" t="s">
        <v>33</v>
      </c>
      <c r="F198" s="9">
        <v>1424</v>
      </c>
      <c r="G198" s="9">
        <v>396</v>
      </c>
      <c r="H198" s="9">
        <v>312</v>
      </c>
      <c r="I198" s="9">
        <v>59517</v>
      </c>
      <c r="J198" s="9">
        <v>46102</v>
      </c>
      <c r="K198" s="9">
        <v>239</v>
      </c>
      <c r="L198" s="16" t="s">
        <v>19</v>
      </c>
      <c r="M198" s="16" t="s">
        <v>365</v>
      </c>
      <c r="N198" s="16" t="s">
        <v>20</v>
      </c>
      <c r="O198" s="1"/>
    </row>
    <row r="199" spans="1:15">
      <c r="A199" s="1" t="s">
        <v>228</v>
      </c>
      <c r="B199" s="1" t="s">
        <v>22</v>
      </c>
      <c r="C199" s="5">
        <v>45689</v>
      </c>
      <c r="D199" s="16" t="s">
        <v>23</v>
      </c>
      <c r="E199" s="17" t="s">
        <v>33</v>
      </c>
      <c r="F199" s="9">
        <v>1079</v>
      </c>
      <c r="G199" s="9">
        <v>265</v>
      </c>
      <c r="H199" s="9">
        <v>190</v>
      </c>
      <c r="I199" s="9">
        <v>43786</v>
      </c>
      <c r="J199" s="9">
        <v>72428</v>
      </c>
      <c r="K199" s="9">
        <v>222</v>
      </c>
      <c r="L199" s="16" t="s">
        <v>37</v>
      </c>
      <c r="M199" s="16" t="s">
        <v>34</v>
      </c>
      <c r="N199" s="16" t="s">
        <v>16</v>
      </c>
      <c r="O199" s="1"/>
    </row>
    <row r="200" spans="1:15">
      <c r="A200" s="1" t="s">
        <v>229</v>
      </c>
      <c r="B200" s="1" t="s">
        <v>22</v>
      </c>
      <c r="C200" s="5">
        <v>45484</v>
      </c>
      <c r="D200" s="16" t="s">
        <v>23</v>
      </c>
      <c r="E200" s="17" t="s">
        <v>30</v>
      </c>
      <c r="F200" s="9">
        <v>4247</v>
      </c>
      <c r="G200" s="9">
        <v>179</v>
      </c>
      <c r="H200" s="9">
        <v>175</v>
      </c>
      <c r="I200" s="9">
        <v>32991</v>
      </c>
      <c r="J200" s="9">
        <v>70120</v>
      </c>
      <c r="K200" s="9">
        <v>276</v>
      </c>
      <c r="L200" s="16" t="s">
        <v>37</v>
      </c>
      <c r="M200" s="16" t="s">
        <v>34</v>
      </c>
      <c r="N200" s="16" t="s">
        <v>16</v>
      </c>
      <c r="O200" s="1"/>
    </row>
    <row r="201" spans="1:15">
      <c r="A201" s="1" t="s">
        <v>230</v>
      </c>
      <c r="B201" s="1" t="s">
        <v>22</v>
      </c>
      <c r="C201" s="5">
        <v>45369</v>
      </c>
      <c r="D201" s="16" t="s">
        <v>14</v>
      </c>
      <c r="E201" s="17" t="s">
        <v>24</v>
      </c>
      <c r="F201" s="9">
        <v>2033</v>
      </c>
      <c r="G201" s="9">
        <v>420</v>
      </c>
      <c r="H201" s="9">
        <v>94</v>
      </c>
      <c r="I201" s="9">
        <v>56290</v>
      </c>
      <c r="J201" s="9">
        <v>57391</v>
      </c>
      <c r="K201" s="9">
        <v>196</v>
      </c>
      <c r="L201" s="16" t="s">
        <v>34</v>
      </c>
      <c r="M201" s="16"/>
      <c r="N201" s="16" t="s">
        <v>16</v>
      </c>
      <c r="O201" s="1"/>
    </row>
    <row r="202" spans="1:15">
      <c r="A202" s="1" t="s">
        <v>231</v>
      </c>
      <c r="B202" s="1" t="s">
        <v>22</v>
      </c>
      <c r="C202" s="5">
        <v>45547</v>
      </c>
      <c r="D202" s="16" t="s">
        <v>23</v>
      </c>
      <c r="E202" s="17" t="s">
        <v>360</v>
      </c>
      <c r="F202" s="9">
        <v>1839</v>
      </c>
      <c r="G202" s="9">
        <v>223</v>
      </c>
      <c r="H202" s="9">
        <v>171</v>
      </c>
      <c r="I202" s="9">
        <v>35459</v>
      </c>
      <c r="J202" s="9">
        <v>69988</v>
      </c>
      <c r="K202" s="9">
        <v>114</v>
      </c>
      <c r="L202" s="16" t="s">
        <v>364</v>
      </c>
      <c r="M202" s="16" t="s">
        <v>34</v>
      </c>
      <c r="N202" s="16" t="s">
        <v>16</v>
      </c>
      <c r="O202" s="1"/>
    </row>
    <row r="203" spans="1:15">
      <c r="A203" s="1" t="s">
        <v>232</v>
      </c>
      <c r="B203" s="1" t="s">
        <v>22</v>
      </c>
      <c r="C203" s="5">
        <v>45302</v>
      </c>
      <c r="D203" s="16" t="s">
        <v>23</v>
      </c>
      <c r="E203" s="17" t="s">
        <v>360</v>
      </c>
      <c r="F203" s="9">
        <v>2340</v>
      </c>
      <c r="G203" s="9">
        <v>141</v>
      </c>
      <c r="H203" s="9">
        <v>206</v>
      </c>
      <c r="I203" s="9">
        <v>24916</v>
      </c>
      <c r="J203" s="9">
        <v>30582</v>
      </c>
      <c r="K203" s="9">
        <v>157</v>
      </c>
      <c r="L203" s="16" t="s">
        <v>37</v>
      </c>
      <c r="M203" s="16" t="s">
        <v>34</v>
      </c>
      <c r="N203" s="16" t="s">
        <v>16</v>
      </c>
      <c r="O203" s="1"/>
    </row>
    <row r="204" spans="1:15">
      <c r="A204" s="1" t="s">
        <v>233</v>
      </c>
      <c r="B204" s="1" t="s">
        <v>13</v>
      </c>
      <c r="C204" s="5">
        <v>45571</v>
      </c>
      <c r="D204" s="16" t="s">
        <v>14</v>
      </c>
      <c r="E204" s="17" t="s">
        <v>33</v>
      </c>
      <c r="F204" s="9">
        <v>2080</v>
      </c>
      <c r="G204" s="9">
        <v>389</v>
      </c>
      <c r="H204" s="9">
        <v>92</v>
      </c>
      <c r="I204" s="9">
        <v>30971</v>
      </c>
      <c r="J204" s="9">
        <v>25347</v>
      </c>
      <c r="K204" s="9">
        <v>111</v>
      </c>
      <c r="L204" s="16" t="s">
        <v>19</v>
      </c>
      <c r="M204" s="16"/>
      <c r="N204" s="16" t="s">
        <v>20</v>
      </c>
      <c r="O204" s="1"/>
    </row>
    <row r="205" spans="1:15">
      <c r="A205" s="1" t="s">
        <v>234</v>
      </c>
      <c r="B205" s="1" t="s">
        <v>22</v>
      </c>
      <c r="C205" s="5">
        <v>45656</v>
      </c>
      <c r="D205" s="16" t="s">
        <v>14</v>
      </c>
      <c r="E205" s="17" t="s">
        <v>30</v>
      </c>
      <c r="F205" s="9">
        <v>4214</v>
      </c>
      <c r="G205" s="9">
        <v>286</v>
      </c>
      <c r="H205" s="9">
        <v>127</v>
      </c>
      <c r="I205" s="9">
        <v>47293</v>
      </c>
      <c r="J205" s="9">
        <v>27184</v>
      </c>
      <c r="K205" s="9">
        <v>232</v>
      </c>
      <c r="L205" s="16" t="s">
        <v>34</v>
      </c>
      <c r="M205" s="16"/>
      <c r="N205" s="16" t="s">
        <v>16</v>
      </c>
      <c r="O205" s="1"/>
    </row>
    <row r="206" spans="1:15">
      <c r="A206" s="1" t="s">
        <v>235</v>
      </c>
      <c r="B206" s="1" t="s">
        <v>22</v>
      </c>
      <c r="C206" s="5">
        <v>45763</v>
      </c>
      <c r="D206" s="16" t="s">
        <v>14</v>
      </c>
      <c r="E206" s="17" t="s">
        <v>360</v>
      </c>
      <c r="F206" s="9">
        <v>3792</v>
      </c>
      <c r="G206" s="9">
        <v>315</v>
      </c>
      <c r="H206" s="9">
        <v>120</v>
      </c>
      <c r="I206" s="9">
        <v>54592</v>
      </c>
      <c r="J206" s="9">
        <v>67886</v>
      </c>
      <c r="K206" s="9">
        <v>117</v>
      </c>
      <c r="L206" s="16" t="s">
        <v>37</v>
      </c>
      <c r="M206" s="16"/>
      <c r="N206" s="16" t="s">
        <v>20</v>
      </c>
      <c r="O206" s="1"/>
    </row>
    <row r="207" spans="1:15">
      <c r="A207" s="1" t="s">
        <v>236</v>
      </c>
      <c r="B207" s="1" t="s">
        <v>22</v>
      </c>
      <c r="C207" s="5">
        <v>45525</v>
      </c>
      <c r="D207" s="16" t="s">
        <v>23</v>
      </c>
      <c r="E207" s="17" t="s">
        <v>18</v>
      </c>
      <c r="F207" s="9">
        <v>3989</v>
      </c>
      <c r="G207" s="9">
        <v>476</v>
      </c>
      <c r="H207" s="9">
        <v>128</v>
      </c>
      <c r="I207" s="9">
        <v>57569</v>
      </c>
      <c r="J207" s="9">
        <v>40193</v>
      </c>
      <c r="K207" s="9">
        <v>222</v>
      </c>
      <c r="L207" s="16" t="s">
        <v>19</v>
      </c>
      <c r="M207" s="16" t="s">
        <v>364</v>
      </c>
      <c r="N207" s="16" t="s">
        <v>16</v>
      </c>
      <c r="O207" s="1"/>
    </row>
    <row r="208" spans="1:15">
      <c r="A208" s="1" t="s">
        <v>237</v>
      </c>
      <c r="B208" s="1" t="s">
        <v>22</v>
      </c>
      <c r="C208" s="5">
        <v>45387</v>
      </c>
      <c r="D208" s="16" t="s">
        <v>23</v>
      </c>
      <c r="E208" s="17" t="s">
        <v>360</v>
      </c>
      <c r="F208" s="9">
        <v>2857</v>
      </c>
      <c r="G208" s="9">
        <v>443</v>
      </c>
      <c r="H208" s="9">
        <v>359</v>
      </c>
      <c r="I208" s="9">
        <v>51519</v>
      </c>
      <c r="J208" s="9">
        <v>28256</v>
      </c>
      <c r="K208" s="9">
        <v>155</v>
      </c>
      <c r="L208" s="16" t="s">
        <v>37</v>
      </c>
      <c r="M208" s="16" t="s">
        <v>34</v>
      </c>
      <c r="N208" s="16" t="s">
        <v>16</v>
      </c>
      <c r="O208" s="1"/>
    </row>
    <row r="209" spans="1:15">
      <c r="A209" s="1" t="s">
        <v>238</v>
      </c>
      <c r="B209" s="1" t="s">
        <v>22</v>
      </c>
      <c r="C209" s="5">
        <v>45754</v>
      </c>
      <c r="D209" s="16" t="s">
        <v>14</v>
      </c>
      <c r="E209" s="17" t="s">
        <v>363</v>
      </c>
      <c r="F209" s="9">
        <v>1403</v>
      </c>
      <c r="G209" s="9">
        <v>385</v>
      </c>
      <c r="H209" s="9">
        <v>344</v>
      </c>
      <c r="I209" s="9">
        <v>54223</v>
      </c>
      <c r="J209" s="9">
        <v>72595</v>
      </c>
      <c r="K209" s="9">
        <v>239</v>
      </c>
      <c r="L209" s="16" t="s">
        <v>37</v>
      </c>
      <c r="M209" s="16"/>
      <c r="N209" s="16" t="s">
        <v>20</v>
      </c>
      <c r="O209" s="1"/>
    </row>
    <row r="210" spans="1:15">
      <c r="A210" s="1" t="s">
        <v>239</v>
      </c>
      <c r="B210" s="1" t="s">
        <v>22</v>
      </c>
      <c r="C210" s="5">
        <v>45492</v>
      </c>
      <c r="D210" s="16" t="s">
        <v>23</v>
      </c>
      <c r="E210" s="17" t="s">
        <v>362</v>
      </c>
      <c r="F210" s="9">
        <v>3071</v>
      </c>
      <c r="G210" s="9">
        <v>126</v>
      </c>
      <c r="H210" s="9">
        <v>200</v>
      </c>
      <c r="I210" s="9">
        <v>44013</v>
      </c>
      <c r="J210" s="9">
        <v>44679</v>
      </c>
      <c r="K210" s="9">
        <v>118</v>
      </c>
      <c r="L210" s="16" t="s">
        <v>19</v>
      </c>
      <c r="M210" s="16" t="s">
        <v>364</v>
      </c>
      <c r="N210" s="16" t="s">
        <v>16</v>
      </c>
      <c r="O210" s="1"/>
    </row>
    <row r="211" spans="1:15">
      <c r="A211" s="1" t="s">
        <v>240</v>
      </c>
      <c r="B211" s="1" t="s">
        <v>22</v>
      </c>
      <c r="C211" s="5">
        <v>45780</v>
      </c>
      <c r="D211" s="16" t="s">
        <v>23</v>
      </c>
      <c r="E211" s="17" t="s">
        <v>33</v>
      </c>
      <c r="F211" s="9">
        <v>1010</v>
      </c>
      <c r="G211" s="9">
        <v>361</v>
      </c>
      <c r="H211" s="9">
        <v>240</v>
      </c>
      <c r="I211" s="9">
        <v>47229</v>
      </c>
      <c r="J211" s="9">
        <v>72573</v>
      </c>
      <c r="K211" s="9">
        <v>275</v>
      </c>
      <c r="L211" s="16" t="s">
        <v>37</v>
      </c>
      <c r="M211" s="16" t="s">
        <v>34</v>
      </c>
      <c r="N211" s="16" t="s">
        <v>16</v>
      </c>
      <c r="O211" s="1"/>
    </row>
    <row r="212" spans="1:15">
      <c r="A212" s="1" t="s">
        <v>241</v>
      </c>
      <c r="B212" s="1" t="s">
        <v>22</v>
      </c>
      <c r="C212" s="5">
        <v>45396</v>
      </c>
      <c r="D212" s="16" t="s">
        <v>23</v>
      </c>
      <c r="E212" s="17" t="s">
        <v>15</v>
      </c>
      <c r="F212" s="9">
        <v>1295</v>
      </c>
      <c r="G212" s="9">
        <v>153</v>
      </c>
      <c r="H212" s="9">
        <v>81</v>
      </c>
      <c r="I212" s="9">
        <v>48350</v>
      </c>
      <c r="J212" s="9">
        <v>61033</v>
      </c>
      <c r="K212" s="9">
        <v>232</v>
      </c>
      <c r="L212" s="16" t="s">
        <v>19</v>
      </c>
      <c r="M212" s="16" t="s">
        <v>364</v>
      </c>
      <c r="N212" s="16" t="s">
        <v>16</v>
      </c>
      <c r="O212" s="1"/>
    </row>
    <row r="213" spans="1:15">
      <c r="A213" s="1" t="s">
        <v>242</v>
      </c>
      <c r="B213" s="1" t="s">
        <v>22</v>
      </c>
      <c r="C213" s="5">
        <v>45827</v>
      </c>
      <c r="D213" s="16" t="s">
        <v>23</v>
      </c>
      <c r="E213" s="17" t="s">
        <v>362</v>
      </c>
      <c r="F213" s="9">
        <v>1433</v>
      </c>
      <c r="G213" s="9">
        <v>452</v>
      </c>
      <c r="H213" s="9">
        <v>305</v>
      </c>
      <c r="I213" s="9">
        <v>54541</v>
      </c>
      <c r="J213" s="9">
        <v>63700</v>
      </c>
      <c r="K213" s="9">
        <v>296</v>
      </c>
      <c r="L213" s="16" t="s">
        <v>19</v>
      </c>
      <c r="M213" s="16" t="s">
        <v>364</v>
      </c>
      <c r="N213" s="16" t="s">
        <v>16</v>
      </c>
      <c r="O213" s="1"/>
    </row>
    <row r="214" spans="1:15">
      <c r="A214" s="1" t="s">
        <v>243</v>
      </c>
      <c r="B214" s="1" t="s">
        <v>13</v>
      </c>
      <c r="C214" s="5">
        <v>45832</v>
      </c>
      <c r="D214" s="16" t="s">
        <v>23</v>
      </c>
      <c r="E214" s="17" t="s">
        <v>30</v>
      </c>
      <c r="F214" s="9">
        <v>4902</v>
      </c>
      <c r="G214" s="9">
        <v>422</v>
      </c>
      <c r="H214" s="9">
        <v>376</v>
      </c>
      <c r="I214" s="9">
        <v>31674</v>
      </c>
      <c r="J214" s="9">
        <v>53225</v>
      </c>
      <c r="K214" s="9">
        <v>147</v>
      </c>
      <c r="L214" s="16" t="s">
        <v>34</v>
      </c>
      <c r="M214" s="16"/>
      <c r="N214" s="16" t="s">
        <v>46</v>
      </c>
      <c r="O214" s="1"/>
    </row>
    <row r="215" spans="1:15">
      <c r="A215" s="1" t="s">
        <v>244</v>
      </c>
      <c r="B215" s="1" t="s">
        <v>22</v>
      </c>
      <c r="C215" s="5">
        <v>45574</v>
      </c>
      <c r="D215" s="16" t="s">
        <v>14</v>
      </c>
      <c r="E215" s="17" t="s">
        <v>360</v>
      </c>
      <c r="F215" s="9">
        <v>2659</v>
      </c>
      <c r="G215" s="9">
        <v>167</v>
      </c>
      <c r="H215" s="9">
        <v>73</v>
      </c>
      <c r="I215" s="9">
        <v>23090</v>
      </c>
      <c r="J215" s="9">
        <v>25872</v>
      </c>
      <c r="K215" s="9">
        <v>293</v>
      </c>
      <c r="L215" s="16" t="s">
        <v>37</v>
      </c>
      <c r="M215" s="16"/>
      <c r="N215" s="16" t="s">
        <v>20</v>
      </c>
      <c r="O215" s="1"/>
    </row>
    <row r="216" spans="1:15">
      <c r="A216" s="1" t="s">
        <v>245</v>
      </c>
      <c r="B216" s="1" t="s">
        <v>27</v>
      </c>
      <c r="C216" s="5">
        <v>45672</v>
      </c>
      <c r="D216" s="16" t="s">
        <v>14</v>
      </c>
      <c r="E216" s="17" t="s">
        <v>42</v>
      </c>
      <c r="F216" s="9">
        <v>2599</v>
      </c>
      <c r="G216" s="9">
        <v>324</v>
      </c>
      <c r="H216" s="9">
        <v>182</v>
      </c>
      <c r="I216" s="9">
        <v>37525</v>
      </c>
      <c r="J216" s="9">
        <v>37216</v>
      </c>
      <c r="K216" s="9">
        <v>186</v>
      </c>
      <c r="L216" s="16" t="s">
        <v>19</v>
      </c>
      <c r="M216" s="16" t="s">
        <v>365</v>
      </c>
      <c r="N216" s="16" t="s">
        <v>20</v>
      </c>
      <c r="O216" s="1"/>
    </row>
    <row r="217" spans="1:15">
      <c r="A217" s="1" t="s">
        <v>246</v>
      </c>
      <c r="B217" s="1" t="s">
        <v>22</v>
      </c>
      <c r="C217" s="5">
        <v>45669</v>
      </c>
      <c r="D217" s="16" t="s">
        <v>14</v>
      </c>
      <c r="E217" s="17" t="s">
        <v>361</v>
      </c>
      <c r="F217" s="9">
        <v>1765</v>
      </c>
      <c r="G217" s="9">
        <v>285</v>
      </c>
      <c r="H217" s="9">
        <v>100</v>
      </c>
      <c r="I217" s="9">
        <v>41313</v>
      </c>
      <c r="J217" s="9">
        <v>56575</v>
      </c>
      <c r="K217" s="9">
        <v>174</v>
      </c>
      <c r="L217" s="16" t="s">
        <v>37</v>
      </c>
      <c r="M217" s="16"/>
      <c r="N217" s="16" t="s">
        <v>20</v>
      </c>
      <c r="O217" s="1"/>
    </row>
    <row r="218" spans="1:15">
      <c r="A218" s="1" t="s">
        <v>247</v>
      </c>
      <c r="B218" s="1" t="s">
        <v>13</v>
      </c>
      <c r="C218" s="5">
        <v>45808</v>
      </c>
      <c r="D218" s="16" t="s">
        <v>14</v>
      </c>
      <c r="E218" s="17" t="s">
        <v>362</v>
      </c>
      <c r="F218" s="9">
        <v>2169</v>
      </c>
      <c r="G218" s="9">
        <v>240</v>
      </c>
      <c r="H218" s="9">
        <v>57</v>
      </c>
      <c r="I218" s="9">
        <v>26109</v>
      </c>
      <c r="J218" s="9">
        <v>46667</v>
      </c>
      <c r="K218" s="9">
        <v>133</v>
      </c>
      <c r="L218" s="16" t="s">
        <v>37</v>
      </c>
      <c r="M218" s="16" t="s">
        <v>34</v>
      </c>
      <c r="N218" s="16" t="s">
        <v>16</v>
      </c>
      <c r="O218" s="1"/>
    </row>
    <row r="219" spans="1:15">
      <c r="A219" s="1" t="s">
        <v>248</v>
      </c>
      <c r="B219" s="1" t="s">
        <v>22</v>
      </c>
      <c r="C219" s="5">
        <v>45579</v>
      </c>
      <c r="D219" s="16" t="s">
        <v>23</v>
      </c>
      <c r="E219" s="17" t="s">
        <v>18</v>
      </c>
      <c r="F219" s="9">
        <v>4303</v>
      </c>
      <c r="G219" s="9">
        <v>306</v>
      </c>
      <c r="H219" s="9">
        <v>302</v>
      </c>
      <c r="I219" s="9">
        <v>39575</v>
      </c>
      <c r="J219" s="9">
        <v>33762</v>
      </c>
      <c r="K219" s="9">
        <v>265</v>
      </c>
      <c r="L219" s="16" t="s">
        <v>19</v>
      </c>
      <c r="M219" s="16" t="s">
        <v>364</v>
      </c>
      <c r="N219" s="16" t="s">
        <v>16</v>
      </c>
      <c r="O219" s="1"/>
    </row>
    <row r="220" spans="1:15">
      <c r="A220" s="1" t="s">
        <v>249</v>
      </c>
      <c r="B220" s="1" t="s">
        <v>22</v>
      </c>
      <c r="C220" s="5">
        <v>45332</v>
      </c>
      <c r="D220" s="16" t="s">
        <v>14</v>
      </c>
      <c r="E220" s="17" t="s">
        <v>363</v>
      </c>
      <c r="F220" s="9">
        <v>1519</v>
      </c>
      <c r="G220" s="9">
        <v>456</v>
      </c>
      <c r="H220" s="9">
        <v>379</v>
      </c>
      <c r="I220" s="9">
        <v>51611</v>
      </c>
      <c r="J220" s="9">
        <v>45880</v>
      </c>
      <c r="K220" s="9">
        <v>176</v>
      </c>
      <c r="L220" s="16" t="s">
        <v>37</v>
      </c>
      <c r="M220" s="16"/>
      <c r="N220" s="16" t="s">
        <v>20</v>
      </c>
      <c r="O220" s="1"/>
    </row>
    <row r="221" spans="1:15">
      <c r="A221" s="1" t="s">
        <v>250</v>
      </c>
      <c r="B221" s="1" t="s">
        <v>27</v>
      </c>
      <c r="C221" s="5">
        <v>45636</v>
      </c>
      <c r="D221" s="16" t="s">
        <v>14</v>
      </c>
      <c r="E221" s="17" t="s">
        <v>362</v>
      </c>
      <c r="F221" s="9">
        <v>2569</v>
      </c>
      <c r="G221" s="9">
        <v>140</v>
      </c>
      <c r="H221" s="9">
        <v>375</v>
      </c>
      <c r="I221" s="9">
        <v>38372</v>
      </c>
      <c r="J221" s="9">
        <v>22102</v>
      </c>
      <c r="K221" s="9">
        <v>255</v>
      </c>
      <c r="L221" s="16" t="s">
        <v>19</v>
      </c>
      <c r="M221" s="16" t="s">
        <v>365</v>
      </c>
      <c r="N221" s="16" t="s">
        <v>20</v>
      </c>
      <c r="O221" s="1"/>
    </row>
    <row r="222" spans="1:15">
      <c r="A222" s="1" t="s">
        <v>251</v>
      </c>
      <c r="B222" s="1" t="s">
        <v>22</v>
      </c>
      <c r="C222" s="5">
        <v>45786</v>
      </c>
      <c r="D222" s="16" t="s">
        <v>23</v>
      </c>
      <c r="E222" s="17" t="s">
        <v>361</v>
      </c>
      <c r="F222" s="9">
        <v>2778</v>
      </c>
      <c r="G222" s="9">
        <v>241</v>
      </c>
      <c r="H222" s="9">
        <v>317</v>
      </c>
      <c r="I222" s="9">
        <v>26247</v>
      </c>
      <c r="J222" s="9">
        <v>20677</v>
      </c>
      <c r="K222" s="9">
        <v>282</v>
      </c>
      <c r="L222" s="16" t="s">
        <v>364</v>
      </c>
      <c r="M222" s="16" t="s">
        <v>34</v>
      </c>
      <c r="N222" s="16" t="s">
        <v>16</v>
      </c>
      <c r="O222" s="1"/>
    </row>
    <row r="223" spans="1:15">
      <c r="A223" s="1" t="s">
        <v>252</v>
      </c>
      <c r="B223" s="1" t="s">
        <v>22</v>
      </c>
      <c r="C223" s="5">
        <v>45829</v>
      </c>
      <c r="D223" s="16" t="s">
        <v>14</v>
      </c>
      <c r="E223" s="17" t="s">
        <v>18</v>
      </c>
      <c r="F223" s="9">
        <v>3611</v>
      </c>
      <c r="G223" s="9">
        <v>127</v>
      </c>
      <c r="H223" s="9">
        <v>139</v>
      </c>
      <c r="I223" s="9">
        <v>44768</v>
      </c>
      <c r="J223" s="9">
        <v>29435</v>
      </c>
      <c r="K223" s="9">
        <v>178</v>
      </c>
      <c r="L223" s="16" t="s">
        <v>34</v>
      </c>
      <c r="M223" s="16"/>
      <c r="N223" s="16" t="s">
        <v>16</v>
      </c>
      <c r="O223" s="1"/>
    </row>
    <row r="224" spans="1:15">
      <c r="A224" s="1" t="s">
        <v>253</v>
      </c>
      <c r="B224" s="1" t="s">
        <v>22</v>
      </c>
      <c r="C224" s="5">
        <v>45462</v>
      </c>
      <c r="D224" s="16" t="s">
        <v>14</v>
      </c>
      <c r="E224" s="17" t="s">
        <v>362</v>
      </c>
      <c r="F224" s="9">
        <v>1224</v>
      </c>
      <c r="G224" s="9">
        <v>168</v>
      </c>
      <c r="H224" s="9">
        <v>199</v>
      </c>
      <c r="I224" s="9">
        <v>54232</v>
      </c>
      <c r="J224" s="9">
        <v>52844</v>
      </c>
      <c r="K224" s="9">
        <v>271</v>
      </c>
      <c r="L224" s="16" t="s">
        <v>37</v>
      </c>
      <c r="M224" s="16"/>
      <c r="N224" s="16" t="s">
        <v>20</v>
      </c>
      <c r="O224" s="1"/>
    </row>
    <row r="225" spans="1:15">
      <c r="A225" s="1" t="s">
        <v>254</v>
      </c>
      <c r="B225" s="1" t="s">
        <v>22</v>
      </c>
      <c r="C225" s="5">
        <v>45636</v>
      </c>
      <c r="D225" s="16" t="s">
        <v>14</v>
      </c>
      <c r="E225" s="17" t="s">
        <v>363</v>
      </c>
      <c r="F225" s="9">
        <v>4673</v>
      </c>
      <c r="G225" s="9">
        <v>270</v>
      </c>
      <c r="H225" s="9">
        <v>93</v>
      </c>
      <c r="I225" s="9">
        <v>45260</v>
      </c>
      <c r="J225" s="9">
        <v>57513</v>
      </c>
      <c r="K225" s="9">
        <v>103</v>
      </c>
      <c r="L225" s="16" t="s">
        <v>34</v>
      </c>
      <c r="M225" s="16"/>
      <c r="N225" s="16" t="s">
        <v>16</v>
      </c>
      <c r="O225" s="1"/>
    </row>
    <row r="226" spans="1:15">
      <c r="A226" s="1" t="s">
        <v>255</v>
      </c>
      <c r="B226" s="1" t="s">
        <v>27</v>
      </c>
      <c r="C226" s="5">
        <v>45323</v>
      </c>
      <c r="D226" s="16" t="s">
        <v>14</v>
      </c>
      <c r="E226" s="17" t="s">
        <v>360</v>
      </c>
      <c r="F226" s="9">
        <v>1432</v>
      </c>
      <c r="G226" s="9">
        <v>437</v>
      </c>
      <c r="H226" s="9">
        <v>267</v>
      </c>
      <c r="I226" s="9">
        <v>40634</v>
      </c>
      <c r="J226" s="9">
        <v>54511</v>
      </c>
      <c r="K226" s="9">
        <v>197</v>
      </c>
      <c r="L226" s="16" t="s">
        <v>19</v>
      </c>
      <c r="M226" s="16" t="s">
        <v>365</v>
      </c>
      <c r="N226" s="16" t="s">
        <v>20</v>
      </c>
      <c r="O226" s="1"/>
    </row>
    <row r="227" spans="1:15">
      <c r="A227" s="1" t="s">
        <v>256</v>
      </c>
      <c r="B227" s="1" t="s">
        <v>22</v>
      </c>
      <c r="C227" s="5">
        <v>45308</v>
      </c>
      <c r="D227" s="16" t="s">
        <v>23</v>
      </c>
      <c r="E227" s="17" t="s">
        <v>24</v>
      </c>
      <c r="F227" s="9">
        <v>2174</v>
      </c>
      <c r="G227" s="9">
        <v>499</v>
      </c>
      <c r="H227" s="9">
        <v>212</v>
      </c>
      <c r="I227" s="9">
        <v>54938</v>
      </c>
      <c r="J227" s="9">
        <v>27190</v>
      </c>
      <c r="K227" s="9">
        <v>265</v>
      </c>
      <c r="L227" s="16" t="s">
        <v>364</v>
      </c>
      <c r="M227" s="16" t="s">
        <v>34</v>
      </c>
      <c r="N227" s="16" t="s">
        <v>16</v>
      </c>
      <c r="O227" s="1"/>
    </row>
    <row r="228" spans="1:15">
      <c r="A228" s="1" t="s">
        <v>257</v>
      </c>
      <c r="B228" s="1" t="s">
        <v>27</v>
      </c>
      <c r="C228" s="5">
        <v>45738</v>
      </c>
      <c r="D228" s="16" t="s">
        <v>14</v>
      </c>
      <c r="E228" s="17" t="s">
        <v>361</v>
      </c>
      <c r="F228" s="9">
        <v>4308</v>
      </c>
      <c r="G228" s="9">
        <v>171</v>
      </c>
      <c r="H228" s="9">
        <v>106</v>
      </c>
      <c r="I228" s="9">
        <v>36955</v>
      </c>
      <c r="J228" s="9">
        <v>23949</v>
      </c>
      <c r="K228" s="9">
        <v>294</v>
      </c>
      <c r="L228" s="16" t="s">
        <v>19</v>
      </c>
      <c r="M228" s="16" t="s">
        <v>365</v>
      </c>
      <c r="N228" s="16" t="s">
        <v>20</v>
      </c>
      <c r="O228" s="1"/>
    </row>
    <row r="229" spans="1:15">
      <c r="A229" s="1" t="s">
        <v>258</v>
      </c>
      <c r="B229" s="1" t="s">
        <v>27</v>
      </c>
      <c r="C229" s="5">
        <v>45442</v>
      </c>
      <c r="D229" s="16" t="s">
        <v>48</v>
      </c>
      <c r="E229" s="17" t="s">
        <v>362</v>
      </c>
      <c r="F229" s="9">
        <v>1060</v>
      </c>
      <c r="G229" s="9">
        <v>442</v>
      </c>
      <c r="H229" s="9">
        <v>319</v>
      </c>
      <c r="I229" s="9">
        <v>57194</v>
      </c>
      <c r="J229" s="9">
        <v>24258</v>
      </c>
      <c r="K229" s="9">
        <v>101</v>
      </c>
      <c r="L229" s="16" t="s">
        <v>19</v>
      </c>
      <c r="M229" s="16" t="s">
        <v>37</v>
      </c>
      <c r="N229" s="16" t="s">
        <v>49</v>
      </c>
      <c r="O229" s="1"/>
    </row>
    <row r="230" spans="1:15">
      <c r="A230" s="1" t="s">
        <v>259</v>
      </c>
      <c r="B230" s="1" t="s">
        <v>27</v>
      </c>
      <c r="C230" s="5">
        <v>45346</v>
      </c>
      <c r="D230" s="16" t="s">
        <v>14</v>
      </c>
      <c r="E230" s="17" t="s">
        <v>361</v>
      </c>
      <c r="F230" s="9">
        <v>4653</v>
      </c>
      <c r="G230" s="9">
        <v>226</v>
      </c>
      <c r="H230" s="9">
        <v>349</v>
      </c>
      <c r="I230" s="9">
        <v>56876</v>
      </c>
      <c r="J230" s="9">
        <v>28452</v>
      </c>
      <c r="K230" s="9">
        <v>257</v>
      </c>
      <c r="L230" s="16" t="s">
        <v>19</v>
      </c>
      <c r="M230" s="16" t="s">
        <v>365</v>
      </c>
      <c r="N230" s="16" t="s">
        <v>20</v>
      </c>
      <c r="O230" s="1"/>
    </row>
    <row r="231" spans="1:15">
      <c r="A231" s="1" t="s">
        <v>260</v>
      </c>
      <c r="B231" s="1" t="s">
        <v>27</v>
      </c>
      <c r="C231" s="5">
        <v>45791</v>
      </c>
      <c r="D231" s="16" t="s">
        <v>14</v>
      </c>
      <c r="E231" s="17" t="s">
        <v>15</v>
      </c>
      <c r="F231" s="9">
        <v>1701</v>
      </c>
      <c r="G231" s="9">
        <v>272</v>
      </c>
      <c r="H231" s="9">
        <v>385</v>
      </c>
      <c r="I231" s="9">
        <v>47496</v>
      </c>
      <c r="J231" s="9">
        <v>40832</v>
      </c>
      <c r="K231" s="9">
        <v>246</v>
      </c>
      <c r="L231" s="16" t="s">
        <v>19</v>
      </c>
      <c r="M231" s="16" t="s">
        <v>365</v>
      </c>
      <c r="N231" s="16" t="s">
        <v>20</v>
      </c>
      <c r="O231" s="1"/>
    </row>
    <row r="232" spans="1:15">
      <c r="A232" s="1" t="s">
        <v>261</v>
      </c>
      <c r="B232" s="1" t="s">
        <v>13</v>
      </c>
      <c r="C232" s="5">
        <v>45379</v>
      </c>
      <c r="D232" s="16" t="s">
        <v>14</v>
      </c>
      <c r="E232" s="17" t="s">
        <v>362</v>
      </c>
      <c r="F232" s="9">
        <v>1673</v>
      </c>
      <c r="G232" s="9">
        <v>280</v>
      </c>
      <c r="H232" s="9">
        <v>67</v>
      </c>
      <c r="I232" s="9">
        <v>29847</v>
      </c>
      <c r="J232" s="9">
        <v>48016</v>
      </c>
      <c r="K232" s="9">
        <v>213</v>
      </c>
      <c r="L232" s="16" t="s">
        <v>37</v>
      </c>
      <c r="M232" s="16" t="s">
        <v>34</v>
      </c>
      <c r="N232" s="16" t="s">
        <v>16</v>
      </c>
      <c r="O232" s="1"/>
    </row>
    <row r="233" spans="1:15">
      <c r="A233" s="1" t="s">
        <v>262</v>
      </c>
      <c r="B233" s="1" t="s">
        <v>27</v>
      </c>
      <c r="C233" s="5">
        <v>45723</v>
      </c>
      <c r="D233" s="16" t="s">
        <v>14</v>
      </c>
      <c r="E233" s="17" t="s">
        <v>33</v>
      </c>
      <c r="F233" s="9">
        <v>4310</v>
      </c>
      <c r="G233" s="9">
        <v>284</v>
      </c>
      <c r="H233" s="9">
        <v>306</v>
      </c>
      <c r="I233" s="9">
        <v>44606</v>
      </c>
      <c r="J233" s="9">
        <v>42604</v>
      </c>
      <c r="K233" s="9">
        <v>290</v>
      </c>
      <c r="L233" s="16" t="s">
        <v>19</v>
      </c>
      <c r="M233" s="16" t="s">
        <v>365</v>
      </c>
      <c r="N233" s="16" t="s">
        <v>20</v>
      </c>
      <c r="O233" s="1"/>
    </row>
    <row r="234" spans="1:15">
      <c r="A234" s="1" t="s">
        <v>263</v>
      </c>
      <c r="B234" s="1" t="s">
        <v>22</v>
      </c>
      <c r="C234" s="5">
        <v>45585</v>
      </c>
      <c r="D234" s="16" t="s">
        <v>14</v>
      </c>
      <c r="E234" s="17" t="s">
        <v>363</v>
      </c>
      <c r="F234" s="9">
        <v>2752</v>
      </c>
      <c r="G234" s="9">
        <v>309</v>
      </c>
      <c r="H234" s="9">
        <v>91</v>
      </c>
      <c r="I234" s="9">
        <v>39038</v>
      </c>
      <c r="J234" s="9">
        <v>28095</v>
      </c>
      <c r="K234" s="9">
        <v>277</v>
      </c>
      <c r="L234" s="16" t="s">
        <v>34</v>
      </c>
      <c r="M234" s="16"/>
      <c r="N234" s="16" t="s">
        <v>16</v>
      </c>
      <c r="O234" s="1"/>
    </row>
    <row r="235" spans="1:15">
      <c r="A235" s="1" t="s">
        <v>264</v>
      </c>
      <c r="B235" s="1" t="s">
        <v>22</v>
      </c>
      <c r="C235" s="5">
        <v>45324</v>
      </c>
      <c r="D235" s="16" t="s">
        <v>14</v>
      </c>
      <c r="E235" s="17" t="s">
        <v>363</v>
      </c>
      <c r="F235" s="9">
        <v>3818</v>
      </c>
      <c r="G235" s="9">
        <v>115</v>
      </c>
      <c r="H235" s="9">
        <v>286</v>
      </c>
      <c r="I235" s="9">
        <v>25127</v>
      </c>
      <c r="J235" s="9">
        <v>22277</v>
      </c>
      <c r="K235" s="9">
        <v>263</v>
      </c>
      <c r="L235" s="16" t="s">
        <v>34</v>
      </c>
      <c r="M235" s="16"/>
      <c r="N235" s="16" t="s">
        <v>16</v>
      </c>
      <c r="O235" s="1"/>
    </row>
    <row r="236" spans="1:15">
      <c r="A236" s="1" t="s">
        <v>265</v>
      </c>
      <c r="B236" s="1" t="s">
        <v>27</v>
      </c>
      <c r="C236" s="5">
        <v>45542</v>
      </c>
      <c r="D236" s="16" t="s">
        <v>14</v>
      </c>
      <c r="E236" s="17" t="s">
        <v>42</v>
      </c>
      <c r="F236" s="9">
        <v>2101</v>
      </c>
      <c r="G236" s="9">
        <v>411</v>
      </c>
      <c r="H236" s="9">
        <v>190</v>
      </c>
      <c r="I236" s="9">
        <v>41791</v>
      </c>
      <c r="J236" s="9">
        <v>57090</v>
      </c>
      <c r="K236" s="9">
        <v>172</v>
      </c>
      <c r="L236" s="16" t="s">
        <v>19</v>
      </c>
      <c r="M236" s="16" t="s">
        <v>365</v>
      </c>
      <c r="N236" s="16" t="s">
        <v>20</v>
      </c>
      <c r="O236" s="1"/>
    </row>
    <row r="237" spans="1:15">
      <c r="A237" s="1" t="s">
        <v>266</v>
      </c>
      <c r="B237" s="1" t="s">
        <v>13</v>
      </c>
      <c r="C237" s="5">
        <v>45646</v>
      </c>
      <c r="D237" s="16" t="s">
        <v>14</v>
      </c>
      <c r="E237" s="17" t="s">
        <v>15</v>
      </c>
      <c r="F237" s="9">
        <v>2519</v>
      </c>
      <c r="G237" s="9">
        <v>202</v>
      </c>
      <c r="H237" s="9">
        <v>239</v>
      </c>
      <c r="I237" s="9">
        <v>36245</v>
      </c>
      <c r="J237" s="9">
        <v>48606</v>
      </c>
      <c r="K237" s="9">
        <v>145</v>
      </c>
      <c r="L237" s="16" t="s">
        <v>19</v>
      </c>
      <c r="M237" s="16"/>
      <c r="N237" s="16" t="s">
        <v>20</v>
      </c>
      <c r="O237" s="1"/>
    </row>
    <row r="238" spans="1:15">
      <c r="A238" s="1" t="s">
        <v>267</v>
      </c>
      <c r="B238" s="1" t="s">
        <v>27</v>
      </c>
      <c r="C238" s="5">
        <v>45305</v>
      </c>
      <c r="D238" s="16" t="s">
        <v>14</v>
      </c>
      <c r="E238" s="17" t="s">
        <v>362</v>
      </c>
      <c r="F238" s="9">
        <v>4502</v>
      </c>
      <c r="G238" s="9">
        <v>238</v>
      </c>
      <c r="H238" s="9">
        <v>386</v>
      </c>
      <c r="I238" s="9">
        <v>39198</v>
      </c>
      <c r="J238" s="9">
        <v>25050</v>
      </c>
      <c r="K238" s="9">
        <v>297</v>
      </c>
      <c r="L238" s="16" t="s">
        <v>19</v>
      </c>
      <c r="M238" s="16" t="s">
        <v>365</v>
      </c>
      <c r="N238" s="16" t="s">
        <v>20</v>
      </c>
      <c r="O238" s="1"/>
    </row>
    <row r="239" spans="1:15">
      <c r="A239" s="1" t="s">
        <v>268</v>
      </c>
      <c r="B239" s="1" t="s">
        <v>13</v>
      </c>
      <c r="C239" s="5">
        <v>45823</v>
      </c>
      <c r="D239" s="16" t="s">
        <v>14</v>
      </c>
      <c r="E239" s="17" t="s">
        <v>18</v>
      </c>
      <c r="F239" s="9">
        <v>2478</v>
      </c>
      <c r="G239" s="9">
        <v>427</v>
      </c>
      <c r="H239" s="9">
        <v>242</v>
      </c>
      <c r="I239" s="9">
        <v>59272</v>
      </c>
      <c r="J239" s="9">
        <v>37833</v>
      </c>
      <c r="K239" s="9">
        <v>214</v>
      </c>
      <c r="L239" s="16" t="s">
        <v>37</v>
      </c>
      <c r="M239" s="16" t="s">
        <v>34</v>
      </c>
      <c r="N239" s="16" t="s">
        <v>16</v>
      </c>
      <c r="O239" s="1"/>
    </row>
    <row r="240" spans="1:15">
      <c r="A240" s="1" t="s">
        <v>269</v>
      </c>
      <c r="B240" s="1" t="s">
        <v>22</v>
      </c>
      <c r="C240" s="5">
        <v>45639</v>
      </c>
      <c r="D240" s="16" t="s">
        <v>23</v>
      </c>
      <c r="E240" s="17" t="s">
        <v>24</v>
      </c>
      <c r="F240" s="9">
        <v>4984</v>
      </c>
      <c r="G240" s="9">
        <v>300</v>
      </c>
      <c r="H240" s="9">
        <v>338</v>
      </c>
      <c r="I240" s="9">
        <v>32900</v>
      </c>
      <c r="J240" s="9">
        <v>31691</v>
      </c>
      <c r="K240" s="9">
        <v>160</v>
      </c>
      <c r="L240" s="16" t="s">
        <v>364</v>
      </c>
      <c r="M240" s="16" t="s">
        <v>34</v>
      </c>
      <c r="N240" s="16" t="s">
        <v>16</v>
      </c>
      <c r="O240" s="1"/>
    </row>
    <row r="241" spans="1:15">
      <c r="A241" s="1" t="s">
        <v>270</v>
      </c>
      <c r="B241" s="1" t="s">
        <v>27</v>
      </c>
      <c r="C241" s="5">
        <v>45533</v>
      </c>
      <c r="D241" s="16" t="s">
        <v>14</v>
      </c>
      <c r="E241" s="17" t="s">
        <v>360</v>
      </c>
      <c r="F241" s="9">
        <v>4774</v>
      </c>
      <c r="G241" s="9">
        <v>389</v>
      </c>
      <c r="H241" s="9">
        <v>358</v>
      </c>
      <c r="I241" s="9">
        <v>52346</v>
      </c>
      <c r="J241" s="9">
        <v>30518</v>
      </c>
      <c r="K241" s="9">
        <v>277</v>
      </c>
      <c r="L241" s="16" t="s">
        <v>19</v>
      </c>
      <c r="M241" s="16" t="s">
        <v>365</v>
      </c>
      <c r="N241" s="16" t="s">
        <v>20</v>
      </c>
      <c r="O241" s="1"/>
    </row>
    <row r="242" spans="1:15">
      <c r="A242" s="1" t="s">
        <v>271</v>
      </c>
      <c r="B242" s="1" t="s">
        <v>22</v>
      </c>
      <c r="C242" s="5">
        <v>45550</v>
      </c>
      <c r="D242" s="16" t="s">
        <v>14</v>
      </c>
      <c r="E242" s="17" t="s">
        <v>30</v>
      </c>
      <c r="F242" s="9">
        <v>2145</v>
      </c>
      <c r="G242" s="9">
        <v>340</v>
      </c>
      <c r="H242" s="9">
        <v>85</v>
      </c>
      <c r="I242" s="9">
        <v>53323</v>
      </c>
      <c r="J242" s="9">
        <v>49938</v>
      </c>
      <c r="K242" s="9">
        <v>104</v>
      </c>
      <c r="L242" s="16" t="s">
        <v>34</v>
      </c>
      <c r="M242" s="16"/>
      <c r="N242" s="16" t="s">
        <v>16</v>
      </c>
      <c r="O242" s="1"/>
    </row>
    <row r="243" spans="1:15">
      <c r="A243" s="1" t="s">
        <v>272</v>
      </c>
      <c r="B243" s="1" t="s">
        <v>22</v>
      </c>
      <c r="C243" s="5">
        <v>45759</v>
      </c>
      <c r="D243" s="16" t="s">
        <v>23</v>
      </c>
      <c r="E243" s="17" t="s">
        <v>363</v>
      </c>
      <c r="F243" s="9">
        <v>4315</v>
      </c>
      <c r="G243" s="9">
        <v>208</v>
      </c>
      <c r="H243" s="9">
        <v>273</v>
      </c>
      <c r="I243" s="9">
        <v>35780</v>
      </c>
      <c r="J243" s="9">
        <v>44349</v>
      </c>
      <c r="K243" s="9">
        <v>133</v>
      </c>
      <c r="L243" s="16" t="s">
        <v>19</v>
      </c>
      <c r="M243" s="16" t="s">
        <v>364</v>
      </c>
      <c r="N243" s="16" t="s">
        <v>16</v>
      </c>
      <c r="O243" s="1"/>
    </row>
    <row r="244" spans="1:15">
      <c r="A244" s="1" t="s">
        <v>273</v>
      </c>
      <c r="B244" s="1" t="s">
        <v>22</v>
      </c>
      <c r="C244" s="5">
        <v>45636</v>
      </c>
      <c r="D244" s="16" t="s">
        <v>23</v>
      </c>
      <c r="E244" s="17" t="s">
        <v>360</v>
      </c>
      <c r="F244" s="9">
        <v>2267</v>
      </c>
      <c r="G244" s="9">
        <v>230</v>
      </c>
      <c r="H244" s="9">
        <v>243</v>
      </c>
      <c r="I244" s="9">
        <v>27904</v>
      </c>
      <c r="J244" s="9">
        <v>69771</v>
      </c>
      <c r="K244" s="9">
        <v>255</v>
      </c>
      <c r="L244" s="16" t="s">
        <v>19</v>
      </c>
      <c r="M244" s="16" t="s">
        <v>364</v>
      </c>
      <c r="N244" s="16" t="s">
        <v>16</v>
      </c>
      <c r="O244" s="1"/>
    </row>
    <row r="245" spans="1:15">
      <c r="A245" s="1" t="s">
        <v>274</v>
      </c>
      <c r="B245" s="1" t="s">
        <v>27</v>
      </c>
      <c r="C245" s="5">
        <v>45816</v>
      </c>
      <c r="D245" s="16" t="s">
        <v>14</v>
      </c>
      <c r="E245" s="17" t="s">
        <v>361</v>
      </c>
      <c r="F245" s="9">
        <v>4375</v>
      </c>
      <c r="G245" s="9">
        <v>303</v>
      </c>
      <c r="H245" s="9">
        <v>294</v>
      </c>
      <c r="I245" s="9">
        <v>57468</v>
      </c>
      <c r="J245" s="9">
        <v>53397</v>
      </c>
      <c r="K245" s="9">
        <v>159</v>
      </c>
      <c r="L245" s="16" t="s">
        <v>19</v>
      </c>
      <c r="M245" s="16" t="s">
        <v>365</v>
      </c>
      <c r="N245" s="16" t="s">
        <v>20</v>
      </c>
      <c r="O245" s="1"/>
    </row>
    <row r="246" spans="1:15">
      <c r="A246" s="1" t="s">
        <v>275</v>
      </c>
      <c r="B246" s="1" t="s">
        <v>22</v>
      </c>
      <c r="C246" s="5">
        <v>45666</v>
      </c>
      <c r="D246" s="16" t="s">
        <v>23</v>
      </c>
      <c r="E246" s="17" t="s">
        <v>42</v>
      </c>
      <c r="F246" s="9">
        <v>3817</v>
      </c>
      <c r="G246" s="9">
        <v>284</v>
      </c>
      <c r="H246" s="9">
        <v>204</v>
      </c>
      <c r="I246" s="9">
        <v>46434</v>
      </c>
      <c r="J246" s="9">
        <v>53396</v>
      </c>
      <c r="K246" s="9">
        <v>104</v>
      </c>
      <c r="L246" s="16" t="s">
        <v>364</v>
      </c>
      <c r="M246" s="16" t="s">
        <v>34</v>
      </c>
      <c r="N246" s="16" t="s">
        <v>16</v>
      </c>
      <c r="O246" s="1"/>
    </row>
    <row r="247" spans="1:15">
      <c r="A247" s="1" t="s">
        <v>276</v>
      </c>
      <c r="B247" s="1" t="s">
        <v>22</v>
      </c>
      <c r="C247" s="5">
        <v>45481</v>
      </c>
      <c r="D247" s="16" t="s">
        <v>23</v>
      </c>
      <c r="E247" s="17" t="s">
        <v>33</v>
      </c>
      <c r="F247" s="9">
        <v>2981</v>
      </c>
      <c r="G247" s="9">
        <v>258</v>
      </c>
      <c r="H247" s="9">
        <v>168</v>
      </c>
      <c r="I247" s="9">
        <v>20677</v>
      </c>
      <c r="J247" s="9">
        <v>68290</v>
      </c>
      <c r="K247" s="9">
        <v>130</v>
      </c>
      <c r="L247" s="16" t="s">
        <v>37</v>
      </c>
      <c r="M247" s="16" t="s">
        <v>34</v>
      </c>
      <c r="N247" s="16" t="s">
        <v>16</v>
      </c>
      <c r="O247" s="1"/>
    </row>
    <row r="248" spans="1:15">
      <c r="A248" s="1" t="s">
        <v>277</v>
      </c>
      <c r="B248" s="1" t="s">
        <v>22</v>
      </c>
      <c r="C248" s="5">
        <v>45551</v>
      </c>
      <c r="D248" s="16" t="s">
        <v>23</v>
      </c>
      <c r="E248" s="17" t="s">
        <v>42</v>
      </c>
      <c r="F248" s="9">
        <v>3300</v>
      </c>
      <c r="G248" s="9">
        <v>354</v>
      </c>
      <c r="H248" s="9">
        <v>397</v>
      </c>
      <c r="I248" s="9">
        <v>56773</v>
      </c>
      <c r="J248" s="9">
        <v>72110</v>
      </c>
      <c r="K248" s="9">
        <v>163</v>
      </c>
      <c r="L248" s="16" t="s">
        <v>19</v>
      </c>
      <c r="M248" s="16" t="s">
        <v>364</v>
      </c>
      <c r="N248" s="16" t="s">
        <v>16</v>
      </c>
      <c r="O248" s="1"/>
    </row>
    <row r="249" spans="1:15">
      <c r="A249" s="1" t="s">
        <v>278</v>
      </c>
      <c r="B249" s="1" t="s">
        <v>27</v>
      </c>
      <c r="C249" s="5">
        <v>45457</v>
      </c>
      <c r="D249" s="16" t="s">
        <v>48</v>
      </c>
      <c r="E249" s="17" t="s">
        <v>360</v>
      </c>
      <c r="F249" s="9">
        <v>4722</v>
      </c>
      <c r="G249" s="9">
        <v>310</v>
      </c>
      <c r="H249" s="9">
        <v>344</v>
      </c>
      <c r="I249" s="9">
        <v>27911</v>
      </c>
      <c r="J249" s="9">
        <v>19000</v>
      </c>
      <c r="K249" s="9">
        <v>225</v>
      </c>
      <c r="L249" s="16" t="s">
        <v>19</v>
      </c>
      <c r="M249" s="16" t="s">
        <v>37</v>
      </c>
      <c r="N249" s="16" t="s">
        <v>49</v>
      </c>
      <c r="O249" s="1"/>
    </row>
    <row r="250" spans="1:15">
      <c r="A250" s="1" t="s">
        <v>279</v>
      </c>
      <c r="B250" s="1" t="s">
        <v>13</v>
      </c>
      <c r="C250" s="5">
        <v>45357</v>
      </c>
      <c r="D250" s="16" t="s">
        <v>14</v>
      </c>
      <c r="E250" s="17" t="s">
        <v>362</v>
      </c>
      <c r="F250" s="9">
        <v>3529</v>
      </c>
      <c r="G250" s="9">
        <v>263</v>
      </c>
      <c r="H250" s="9">
        <v>107</v>
      </c>
      <c r="I250" s="9">
        <v>26570</v>
      </c>
      <c r="J250" s="9">
        <v>19367</v>
      </c>
      <c r="K250" s="9">
        <v>96</v>
      </c>
      <c r="L250" s="16" t="s">
        <v>19</v>
      </c>
      <c r="M250" s="16"/>
      <c r="N250" s="16" t="s">
        <v>20</v>
      </c>
      <c r="O250" s="1"/>
    </row>
    <row r="251" spans="1:15">
      <c r="A251" s="1" t="s">
        <v>280</v>
      </c>
      <c r="B251" s="1" t="s">
        <v>22</v>
      </c>
      <c r="C251" s="5">
        <v>45792</v>
      </c>
      <c r="D251" s="16" t="s">
        <v>14</v>
      </c>
      <c r="E251" s="17" t="s">
        <v>42</v>
      </c>
      <c r="F251" s="9">
        <v>4782</v>
      </c>
      <c r="G251" s="9">
        <v>210</v>
      </c>
      <c r="H251" s="9">
        <v>311</v>
      </c>
      <c r="I251" s="9">
        <v>29793</v>
      </c>
      <c r="J251" s="9">
        <v>37543</v>
      </c>
      <c r="K251" s="9">
        <v>145</v>
      </c>
      <c r="L251" s="16" t="s">
        <v>34</v>
      </c>
      <c r="M251" s="16"/>
      <c r="N251" s="16" t="s">
        <v>16</v>
      </c>
      <c r="O251" s="1"/>
    </row>
    <row r="252" spans="1:15">
      <c r="A252" s="1" t="s">
        <v>281</v>
      </c>
      <c r="B252" s="1" t="s">
        <v>22</v>
      </c>
      <c r="C252" s="5">
        <v>45480</v>
      </c>
      <c r="D252" s="16" t="s">
        <v>14</v>
      </c>
      <c r="E252" s="17" t="s">
        <v>362</v>
      </c>
      <c r="F252" s="9">
        <v>1848</v>
      </c>
      <c r="G252" s="9">
        <v>417</v>
      </c>
      <c r="H252" s="9">
        <v>294</v>
      </c>
      <c r="I252" s="9">
        <v>57819</v>
      </c>
      <c r="J252" s="9">
        <v>19798</v>
      </c>
      <c r="K252" s="9">
        <v>262</v>
      </c>
      <c r="L252" s="16" t="s">
        <v>37</v>
      </c>
      <c r="M252" s="16"/>
      <c r="N252" s="16" t="s">
        <v>20</v>
      </c>
      <c r="O252" s="1"/>
    </row>
    <row r="253" spans="1:15">
      <c r="A253" s="1" t="s">
        <v>282</v>
      </c>
      <c r="B253" s="1" t="s">
        <v>27</v>
      </c>
      <c r="C253" s="5">
        <v>45591</v>
      </c>
      <c r="D253" s="16" t="s">
        <v>14</v>
      </c>
      <c r="E253" s="17" t="s">
        <v>24</v>
      </c>
      <c r="F253" s="9">
        <v>4676</v>
      </c>
      <c r="G253" s="9">
        <v>211</v>
      </c>
      <c r="H253" s="9">
        <v>55</v>
      </c>
      <c r="I253" s="9">
        <v>45917</v>
      </c>
      <c r="J253" s="9">
        <v>73503</v>
      </c>
      <c r="K253" s="9">
        <v>248</v>
      </c>
      <c r="L253" s="16" t="s">
        <v>19</v>
      </c>
      <c r="M253" s="16" t="s">
        <v>365</v>
      </c>
      <c r="N253" s="16" t="s">
        <v>20</v>
      </c>
      <c r="O253" s="1"/>
    </row>
    <row r="254" spans="1:15">
      <c r="A254" s="1" t="s">
        <v>283</v>
      </c>
      <c r="B254" s="1" t="s">
        <v>27</v>
      </c>
      <c r="C254" s="5">
        <v>45512</v>
      </c>
      <c r="D254" s="16" t="s">
        <v>14</v>
      </c>
      <c r="E254" s="17" t="s">
        <v>363</v>
      </c>
      <c r="F254" s="9">
        <v>1994</v>
      </c>
      <c r="G254" s="9">
        <v>197</v>
      </c>
      <c r="H254" s="9">
        <v>290</v>
      </c>
      <c r="I254" s="9">
        <v>49500</v>
      </c>
      <c r="J254" s="9">
        <v>23343</v>
      </c>
      <c r="K254" s="9">
        <v>160</v>
      </c>
      <c r="L254" s="16" t="s">
        <v>19</v>
      </c>
      <c r="M254" s="16" t="s">
        <v>365</v>
      </c>
      <c r="N254" s="16" t="s">
        <v>20</v>
      </c>
      <c r="O254" s="1"/>
    </row>
    <row r="255" spans="1:15">
      <c r="A255" s="1" t="s">
        <v>284</v>
      </c>
      <c r="B255" s="1" t="s">
        <v>22</v>
      </c>
      <c r="C255" s="5">
        <v>45691</v>
      </c>
      <c r="D255" s="16" t="s">
        <v>14</v>
      </c>
      <c r="E255" s="17" t="s">
        <v>362</v>
      </c>
      <c r="F255" s="9">
        <v>4995</v>
      </c>
      <c r="G255" s="9">
        <v>231</v>
      </c>
      <c r="H255" s="9">
        <v>94</v>
      </c>
      <c r="I255" s="9">
        <v>34431</v>
      </c>
      <c r="J255" s="9">
        <v>32560</v>
      </c>
      <c r="K255" s="9">
        <v>262</v>
      </c>
      <c r="L255" s="16" t="s">
        <v>34</v>
      </c>
      <c r="M255" s="16"/>
      <c r="N255" s="16" t="s">
        <v>16</v>
      </c>
      <c r="O255" s="1"/>
    </row>
    <row r="256" spans="1:15">
      <c r="A256" s="1" t="s">
        <v>285</v>
      </c>
      <c r="B256" s="1" t="s">
        <v>22</v>
      </c>
      <c r="C256" s="5">
        <v>45385</v>
      </c>
      <c r="D256" s="16" t="s">
        <v>23</v>
      </c>
      <c r="E256" s="17" t="s">
        <v>33</v>
      </c>
      <c r="F256" s="9">
        <v>2291</v>
      </c>
      <c r="G256" s="9">
        <v>146</v>
      </c>
      <c r="H256" s="9">
        <v>399</v>
      </c>
      <c r="I256" s="9">
        <v>49319</v>
      </c>
      <c r="J256" s="9">
        <v>28056</v>
      </c>
      <c r="K256" s="9">
        <v>90</v>
      </c>
      <c r="L256" s="16" t="s">
        <v>19</v>
      </c>
      <c r="M256" s="16" t="s">
        <v>364</v>
      </c>
      <c r="N256" s="16" t="s">
        <v>16</v>
      </c>
      <c r="O256" s="1"/>
    </row>
    <row r="257" spans="1:15">
      <c r="A257" s="1" t="s">
        <v>286</v>
      </c>
      <c r="B257" s="1" t="s">
        <v>22</v>
      </c>
      <c r="C257" s="5">
        <v>45481</v>
      </c>
      <c r="D257" s="16" t="s">
        <v>23</v>
      </c>
      <c r="E257" s="17" t="s">
        <v>360</v>
      </c>
      <c r="F257" s="9">
        <v>2304</v>
      </c>
      <c r="G257" s="9">
        <v>289</v>
      </c>
      <c r="H257" s="9">
        <v>161</v>
      </c>
      <c r="I257" s="9">
        <v>52645</v>
      </c>
      <c r="J257" s="9">
        <v>66262</v>
      </c>
      <c r="K257" s="9">
        <v>146</v>
      </c>
      <c r="L257" s="16" t="s">
        <v>364</v>
      </c>
      <c r="M257" s="16" t="s">
        <v>34</v>
      </c>
      <c r="N257" s="16" t="s">
        <v>16</v>
      </c>
      <c r="O257" s="1"/>
    </row>
    <row r="258" spans="1:15">
      <c r="A258" s="1" t="s">
        <v>287</v>
      </c>
      <c r="B258" s="1" t="s">
        <v>22</v>
      </c>
      <c r="C258" s="5">
        <v>45451</v>
      </c>
      <c r="D258" s="16" t="s">
        <v>23</v>
      </c>
      <c r="E258" s="17" t="s">
        <v>33</v>
      </c>
      <c r="F258" s="9">
        <v>3413</v>
      </c>
      <c r="G258" s="9">
        <v>326</v>
      </c>
      <c r="H258" s="9">
        <v>86</v>
      </c>
      <c r="I258" s="9">
        <v>44680</v>
      </c>
      <c r="J258" s="9">
        <v>52719</v>
      </c>
      <c r="K258" s="9">
        <v>272</v>
      </c>
      <c r="L258" s="16" t="s">
        <v>19</v>
      </c>
      <c r="M258" s="16" t="s">
        <v>364</v>
      </c>
      <c r="N258" s="16" t="s">
        <v>16</v>
      </c>
      <c r="O258" s="1"/>
    </row>
    <row r="259" spans="1:15">
      <c r="A259" s="1" t="s">
        <v>288</v>
      </c>
      <c r="B259" s="1" t="s">
        <v>27</v>
      </c>
      <c r="C259" s="5">
        <v>45736</v>
      </c>
      <c r="D259" s="16" t="s">
        <v>48</v>
      </c>
      <c r="E259" s="17" t="s">
        <v>363</v>
      </c>
      <c r="F259" s="9">
        <v>1453</v>
      </c>
      <c r="G259" s="9">
        <v>156</v>
      </c>
      <c r="H259" s="9">
        <v>178</v>
      </c>
      <c r="I259" s="9">
        <v>52980</v>
      </c>
      <c r="J259" s="9">
        <v>57180</v>
      </c>
      <c r="K259" s="9">
        <v>286</v>
      </c>
      <c r="L259" s="16" t="s">
        <v>19</v>
      </c>
      <c r="M259" s="16" t="s">
        <v>37</v>
      </c>
      <c r="N259" s="16" t="s">
        <v>49</v>
      </c>
      <c r="O259" s="1"/>
    </row>
    <row r="260" spans="1:15">
      <c r="A260" s="1" t="s">
        <v>289</v>
      </c>
      <c r="B260" s="1" t="s">
        <v>22</v>
      </c>
      <c r="C260" s="5">
        <v>45676</v>
      </c>
      <c r="D260" s="16" t="s">
        <v>23</v>
      </c>
      <c r="E260" s="17" t="s">
        <v>361</v>
      </c>
      <c r="F260" s="9">
        <v>1651</v>
      </c>
      <c r="G260" s="9">
        <v>480</v>
      </c>
      <c r="H260" s="9">
        <v>282</v>
      </c>
      <c r="I260" s="9">
        <v>32140</v>
      </c>
      <c r="J260" s="9">
        <v>70560</v>
      </c>
      <c r="K260" s="9">
        <v>138</v>
      </c>
      <c r="L260" s="16" t="s">
        <v>37</v>
      </c>
      <c r="M260" s="16" t="s">
        <v>34</v>
      </c>
      <c r="N260" s="16" t="s">
        <v>16</v>
      </c>
      <c r="O260" s="1"/>
    </row>
    <row r="261" spans="1:15">
      <c r="A261" s="1" t="s">
        <v>290</v>
      </c>
      <c r="B261" s="1" t="s">
        <v>22</v>
      </c>
      <c r="C261" s="5">
        <v>45662</v>
      </c>
      <c r="D261" s="16" t="s">
        <v>23</v>
      </c>
      <c r="E261" s="17" t="s">
        <v>18</v>
      </c>
      <c r="F261" s="9">
        <v>3341</v>
      </c>
      <c r="G261" s="9">
        <v>154</v>
      </c>
      <c r="H261" s="9">
        <v>123</v>
      </c>
      <c r="I261" s="9">
        <v>43369</v>
      </c>
      <c r="J261" s="9">
        <v>49035</v>
      </c>
      <c r="K261" s="9">
        <v>128</v>
      </c>
      <c r="L261" s="16" t="s">
        <v>364</v>
      </c>
      <c r="M261" s="16" t="s">
        <v>34</v>
      </c>
      <c r="N261" s="16" t="s">
        <v>16</v>
      </c>
      <c r="O261" s="1"/>
    </row>
    <row r="262" spans="1:15">
      <c r="A262" s="1" t="s">
        <v>291</v>
      </c>
      <c r="B262" s="1" t="s">
        <v>22</v>
      </c>
      <c r="C262" s="5">
        <v>45612</v>
      </c>
      <c r="D262" s="16" t="s">
        <v>14</v>
      </c>
      <c r="E262" s="17" t="s">
        <v>363</v>
      </c>
      <c r="F262" s="9">
        <v>2972</v>
      </c>
      <c r="G262" s="9">
        <v>263</v>
      </c>
      <c r="H262" s="9">
        <v>308</v>
      </c>
      <c r="I262" s="9">
        <v>51740</v>
      </c>
      <c r="J262" s="9">
        <v>28214</v>
      </c>
      <c r="K262" s="9">
        <v>190</v>
      </c>
      <c r="L262" s="16" t="s">
        <v>37</v>
      </c>
      <c r="M262" s="16"/>
      <c r="N262" s="16" t="s">
        <v>20</v>
      </c>
      <c r="O262" s="1"/>
    </row>
    <row r="263" spans="1:15">
      <c r="A263" s="1" t="s">
        <v>292</v>
      </c>
      <c r="B263" s="1" t="s">
        <v>22</v>
      </c>
      <c r="C263" s="5">
        <v>45626</v>
      </c>
      <c r="D263" s="16" t="s">
        <v>23</v>
      </c>
      <c r="E263" s="17" t="s">
        <v>18</v>
      </c>
      <c r="F263" s="9">
        <v>4963</v>
      </c>
      <c r="G263" s="9">
        <v>255</v>
      </c>
      <c r="H263" s="9">
        <v>193</v>
      </c>
      <c r="I263" s="9">
        <v>44386</v>
      </c>
      <c r="J263" s="9">
        <v>28415</v>
      </c>
      <c r="K263" s="9">
        <v>174</v>
      </c>
      <c r="L263" s="16" t="s">
        <v>364</v>
      </c>
      <c r="M263" s="16" t="s">
        <v>34</v>
      </c>
      <c r="N263" s="16" t="s">
        <v>16</v>
      </c>
      <c r="O263" s="1"/>
    </row>
    <row r="264" spans="1:15">
      <c r="A264" s="1" t="s">
        <v>293</v>
      </c>
      <c r="B264" s="1" t="s">
        <v>27</v>
      </c>
      <c r="C264" s="5">
        <v>45378</v>
      </c>
      <c r="D264" s="16" t="s">
        <v>14</v>
      </c>
      <c r="E264" s="17" t="s">
        <v>361</v>
      </c>
      <c r="F264" s="9">
        <v>2399</v>
      </c>
      <c r="G264" s="9">
        <v>191</v>
      </c>
      <c r="H264" s="9">
        <v>221</v>
      </c>
      <c r="I264" s="9">
        <v>51603</v>
      </c>
      <c r="J264" s="9">
        <v>40033</v>
      </c>
      <c r="K264" s="9">
        <v>173</v>
      </c>
      <c r="L264" s="16" t="s">
        <v>19</v>
      </c>
      <c r="M264" s="16" t="s">
        <v>365</v>
      </c>
      <c r="N264" s="16" t="s">
        <v>20</v>
      </c>
      <c r="O264" s="1"/>
    </row>
    <row r="265" spans="1:15">
      <c r="A265" s="1" t="s">
        <v>294</v>
      </c>
      <c r="B265" s="1" t="s">
        <v>27</v>
      </c>
      <c r="C265" s="5">
        <v>45808</v>
      </c>
      <c r="D265" s="16" t="s">
        <v>48</v>
      </c>
      <c r="E265" s="17" t="s">
        <v>30</v>
      </c>
      <c r="F265" s="9">
        <v>2162</v>
      </c>
      <c r="G265" s="9">
        <v>318</v>
      </c>
      <c r="H265" s="9">
        <v>83</v>
      </c>
      <c r="I265" s="9">
        <v>46719</v>
      </c>
      <c r="J265" s="9">
        <v>20482</v>
      </c>
      <c r="K265" s="9">
        <v>185</v>
      </c>
      <c r="L265" s="16" t="s">
        <v>19</v>
      </c>
      <c r="M265" s="16" t="s">
        <v>37</v>
      </c>
      <c r="N265" s="16" t="s">
        <v>49</v>
      </c>
      <c r="O265" s="1"/>
    </row>
    <row r="266" spans="1:15">
      <c r="A266" s="1" t="s">
        <v>295</v>
      </c>
      <c r="B266" s="1" t="s">
        <v>22</v>
      </c>
      <c r="C266" s="5">
        <v>45825</v>
      </c>
      <c r="D266" s="16" t="s">
        <v>23</v>
      </c>
      <c r="E266" s="17" t="s">
        <v>18</v>
      </c>
      <c r="F266" s="9">
        <v>4341</v>
      </c>
      <c r="G266" s="9">
        <v>141</v>
      </c>
      <c r="H266" s="9">
        <v>63</v>
      </c>
      <c r="I266" s="9">
        <v>50081</v>
      </c>
      <c r="J266" s="9">
        <v>27507</v>
      </c>
      <c r="K266" s="9">
        <v>221</v>
      </c>
      <c r="L266" s="16" t="s">
        <v>19</v>
      </c>
      <c r="M266" s="16" t="s">
        <v>364</v>
      </c>
      <c r="N266" s="16" t="s">
        <v>16</v>
      </c>
      <c r="O266" s="1"/>
    </row>
    <row r="267" spans="1:15">
      <c r="A267" s="1" t="s">
        <v>296</v>
      </c>
      <c r="B267" s="1" t="s">
        <v>13</v>
      </c>
      <c r="C267" s="5">
        <v>45442</v>
      </c>
      <c r="D267" s="16" t="s">
        <v>23</v>
      </c>
      <c r="E267" s="17" t="s">
        <v>30</v>
      </c>
      <c r="F267" s="9">
        <v>2448</v>
      </c>
      <c r="G267" s="9">
        <v>464</v>
      </c>
      <c r="H267" s="9">
        <v>98</v>
      </c>
      <c r="I267" s="9">
        <v>25737</v>
      </c>
      <c r="J267" s="9">
        <v>48545</v>
      </c>
      <c r="K267" s="9">
        <v>246</v>
      </c>
      <c r="L267" s="16" t="s">
        <v>34</v>
      </c>
      <c r="M267" s="16"/>
      <c r="N267" s="16" t="s">
        <v>46</v>
      </c>
      <c r="O267" s="1"/>
    </row>
    <row r="268" spans="1:15">
      <c r="A268" s="1" t="s">
        <v>297</v>
      </c>
      <c r="B268" s="1" t="s">
        <v>27</v>
      </c>
      <c r="C268" s="5">
        <v>45604</v>
      </c>
      <c r="D268" s="16" t="s">
        <v>14</v>
      </c>
      <c r="E268" s="17" t="s">
        <v>33</v>
      </c>
      <c r="F268" s="9">
        <v>2471</v>
      </c>
      <c r="G268" s="9">
        <v>166</v>
      </c>
      <c r="H268" s="9">
        <v>320</v>
      </c>
      <c r="I268" s="9">
        <v>48254</v>
      </c>
      <c r="J268" s="9">
        <v>46900</v>
      </c>
      <c r="K268" s="9">
        <v>111</v>
      </c>
      <c r="L268" s="16" t="s">
        <v>19</v>
      </c>
      <c r="M268" s="16" t="s">
        <v>365</v>
      </c>
      <c r="N268" s="16" t="s">
        <v>20</v>
      </c>
      <c r="O268" s="1"/>
    </row>
    <row r="269" spans="1:15">
      <c r="A269" s="1" t="s">
        <v>298</v>
      </c>
      <c r="B269" s="1" t="s">
        <v>27</v>
      </c>
      <c r="C269" s="5">
        <v>45368</v>
      </c>
      <c r="D269" s="16" t="s">
        <v>48</v>
      </c>
      <c r="E269" s="17" t="s">
        <v>18</v>
      </c>
      <c r="F269" s="9">
        <v>2692</v>
      </c>
      <c r="G269" s="9">
        <v>446</v>
      </c>
      <c r="H269" s="9">
        <v>216</v>
      </c>
      <c r="I269" s="9">
        <v>45818</v>
      </c>
      <c r="J269" s="9">
        <v>62723</v>
      </c>
      <c r="K269" s="9">
        <v>85</v>
      </c>
      <c r="L269" s="16" t="s">
        <v>19</v>
      </c>
      <c r="M269" s="16" t="s">
        <v>37</v>
      </c>
      <c r="N269" s="16" t="s">
        <v>49</v>
      </c>
      <c r="O269" s="1"/>
    </row>
    <row r="270" spans="1:15">
      <c r="A270" s="1" t="s">
        <v>299</v>
      </c>
      <c r="B270" s="1" t="s">
        <v>27</v>
      </c>
      <c r="C270" s="5">
        <v>45464</v>
      </c>
      <c r="D270" s="16" t="s">
        <v>48</v>
      </c>
      <c r="E270" s="17" t="s">
        <v>361</v>
      </c>
      <c r="F270" s="9">
        <v>4621</v>
      </c>
      <c r="G270" s="9">
        <v>374</v>
      </c>
      <c r="H270" s="9">
        <v>298</v>
      </c>
      <c r="I270" s="9">
        <v>56979</v>
      </c>
      <c r="J270" s="9">
        <v>24098</v>
      </c>
      <c r="K270" s="9">
        <v>205</v>
      </c>
      <c r="L270" s="16" t="s">
        <v>19</v>
      </c>
      <c r="M270" s="16" t="s">
        <v>37</v>
      </c>
      <c r="N270" s="16" t="s">
        <v>49</v>
      </c>
      <c r="O270" s="1"/>
    </row>
    <row r="271" spans="1:15">
      <c r="A271" s="1" t="s">
        <v>300</v>
      </c>
      <c r="B271" s="1" t="s">
        <v>22</v>
      </c>
      <c r="C271" s="5">
        <v>45609</v>
      </c>
      <c r="D271" s="16" t="s">
        <v>23</v>
      </c>
      <c r="E271" s="17" t="s">
        <v>24</v>
      </c>
      <c r="F271" s="9">
        <v>1409</v>
      </c>
      <c r="G271" s="9">
        <v>466</v>
      </c>
      <c r="H271" s="9">
        <v>105</v>
      </c>
      <c r="I271" s="9">
        <v>58923</v>
      </c>
      <c r="J271" s="9">
        <v>38753</v>
      </c>
      <c r="K271" s="9">
        <v>265</v>
      </c>
      <c r="L271" s="16" t="s">
        <v>19</v>
      </c>
      <c r="M271" s="16" t="s">
        <v>364</v>
      </c>
      <c r="N271" s="16" t="s">
        <v>16</v>
      </c>
      <c r="O271" s="1"/>
    </row>
    <row r="272" spans="1:15">
      <c r="A272" s="1" t="s">
        <v>301</v>
      </c>
      <c r="B272" s="1" t="s">
        <v>22</v>
      </c>
      <c r="C272" s="5">
        <v>45693</v>
      </c>
      <c r="D272" s="16" t="s">
        <v>23</v>
      </c>
      <c r="E272" s="17" t="s">
        <v>15</v>
      </c>
      <c r="F272" s="9">
        <v>3029</v>
      </c>
      <c r="G272" s="9">
        <v>440</v>
      </c>
      <c r="H272" s="9">
        <v>66</v>
      </c>
      <c r="I272" s="9">
        <v>23815</v>
      </c>
      <c r="J272" s="9">
        <v>47895</v>
      </c>
      <c r="K272" s="9">
        <v>210</v>
      </c>
      <c r="L272" s="16" t="s">
        <v>19</v>
      </c>
      <c r="M272" s="16" t="s">
        <v>364</v>
      </c>
      <c r="N272" s="16" t="s">
        <v>16</v>
      </c>
      <c r="O272" s="1"/>
    </row>
    <row r="273" spans="1:15">
      <c r="A273" s="1" t="s">
        <v>302</v>
      </c>
      <c r="B273" s="1" t="s">
        <v>22</v>
      </c>
      <c r="C273" s="5">
        <v>45603</v>
      </c>
      <c r="D273" s="16" t="s">
        <v>14</v>
      </c>
      <c r="E273" s="17" t="s">
        <v>18</v>
      </c>
      <c r="F273" s="9">
        <v>2229</v>
      </c>
      <c r="G273" s="9">
        <v>395</v>
      </c>
      <c r="H273" s="9">
        <v>328</v>
      </c>
      <c r="I273" s="9">
        <v>56921</v>
      </c>
      <c r="J273" s="9">
        <v>37176</v>
      </c>
      <c r="K273" s="9">
        <v>126</v>
      </c>
      <c r="L273" s="16" t="s">
        <v>37</v>
      </c>
      <c r="M273" s="16"/>
      <c r="N273" s="16" t="s">
        <v>20</v>
      </c>
      <c r="O273" s="1"/>
    </row>
    <row r="274" spans="1:15">
      <c r="A274" s="1" t="s">
        <v>303</v>
      </c>
      <c r="B274" s="1" t="s">
        <v>22</v>
      </c>
      <c r="C274" s="5">
        <v>45334</v>
      </c>
      <c r="D274" s="16" t="s">
        <v>14</v>
      </c>
      <c r="E274" s="17" t="s">
        <v>18</v>
      </c>
      <c r="F274" s="9">
        <v>2691</v>
      </c>
      <c r="G274" s="9">
        <v>486</v>
      </c>
      <c r="H274" s="9">
        <v>206</v>
      </c>
      <c r="I274" s="9">
        <v>51133</v>
      </c>
      <c r="J274" s="9">
        <v>44583</v>
      </c>
      <c r="K274" s="9">
        <v>276</v>
      </c>
      <c r="L274" s="16" t="s">
        <v>34</v>
      </c>
      <c r="M274" s="16"/>
      <c r="N274" s="16" t="s">
        <v>16</v>
      </c>
      <c r="O274" s="1"/>
    </row>
    <row r="275" spans="1:15">
      <c r="A275" s="1" t="s">
        <v>304</v>
      </c>
      <c r="B275" s="1" t="s">
        <v>13</v>
      </c>
      <c r="C275" s="5">
        <v>45573</v>
      </c>
      <c r="D275" s="16" t="s">
        <v>14</v>
      </c>
      <c r="E275" s="17" t="s">
        <v>18</v>
      </c>
      <c r="F275" s="9">
        <v>2110</v>
      </c>
      <c r="G275" s="9">
        <v>384</v>
      </c>
      <c r="H275" s="9">
        <v>236</v>
      </c>
      <c r="I275" s="9">
        <v>49965</v>
      </c>
      <c r="J275" s="9">
        <v>61555</v>
      </c>
      <c r="K275" s="9">
        <v>195</v>
      </c>
      <c r="L275" s="16" t="s">
        <v>19</v>
      </c>
      <c r="M275" s="16"/>
      <c r="N275" s="16" t="s">
        <v>20</v>
      </c>
      <c r="O275" s="1"/>
    </row>
    <row r="276" spans="1:15">
      <c r="A276" s="1" t="s">
        <v>305</v>
      </c>
      <c r="B276" s="1" t="s">
        <v>13</v>
      </c>
      <c r="C276" s="5">
        <v>45341</v>
      </c>
      <c r="D276" s="16" t="s">
        <v>14</v>
      </c>
      <c r="E276" s="17" t="s">
        <v>360</v>
      </c>
      <c r="F276" s="9">
        <v>4752</v>
      </c>
      <c r="G276" s="9">
        <v>449</v>
      </c>
      <c r="H276" s="9">
        <v>309</v>
      </c>
      <c r="I276" s="9">
        <v>58530</v>
      </c>
      <c r="J276" s="9">
        <v>26630</v>
      </c>
      <c r="K276" s="9">
        <v>234</v>
      </c>
      <c r="L276" s="16" t="s">
        <v>19</v>
      </c>
      <c r="M276" s="16"/>
      <c r="N276" s="16" t="s">
        <v>20</v>
      </c>
      <c r="O276" s="1"/>
    </row>
    <row r="277" spans="1:15">
      <c r="A277" s="1" t="s">
        <v>306</v>
      </c>
      <c r="B277" s="1" t="s">
        <v>22</v>
      </c>
      <c r="C277" s="5">
        <v>45720</v>
      </c>
      <c r="D277" s="16" t="s">
        <v>14</v>
      </c>
      <c r="E277" s="17" t="s">
        <v>15</v>
      </c>
      <c r="F277" s="9">
        <v>2177</v>
      </c>
      <c r="G277" s="9">
        <v>258</v>
      </c>
      <c r="H277" s="9">
        <v>292</v>
      </c>
      <c r="I277" s="9">
        <v>47276</v>
      </c>
      <c r="J277" s="9">
        <v>51324</v>
      </c>
      <c r="K277" s="9">
        <v>143</v>
      </c>
      <c r="L277" s="16" t="s">
        <v>34</v>
      </c>
      <c r="M277" s="16"/>
      <c r="N277" s="16" t="s">
        <v>16</v>
      </c>
      <c r="O277" s="1"/>
    </row>
    <row r="278" spans="1:15">
      <c r="A278" s="1" t="s">
        <v>307</v>
      </c>
      <c r="B278" s="1" t="s">
        <v>13</v>
      </c>
      <c r="C278" s="5">
        <v>45691</v>
      </c>
      <c r="D278" s="16" t="s">
        <v>23</v>
      </c>
      <c r="E278" s="17" t="s">
        <v>24</v>
      </c>
      <c r="F278" s="9">
        <v>1205</v>
      </c>
      <c r="G278" s="9">
        <v>486</v>
      </c>
      <c r="H278" s="9">
        <v>269</v>
      </c>
      <c r="I278" s="9">
        <v>23341</v>
      </c>
      <c r="J278" s="9">
        <v>42411</v>
      </c>
      <c r="K278" s="9">
        <v>184</v>
      </c>
      <c r="L278" s="16" t="s">
        <v>34</v>
      </c>
      <c r="M278" s="16"/>
      <c r="N278" s="16" t="s">
        <v>46</v>
      </c>
      <c r="O278" s="1"/>
    </row>
    <row r="279" spans="1:15">
      <c r="A279" s="1" t="s">
        <v>308</v>
      </c>
      <c r="B279" s="1" t="s">
        <v>13</v>
      </c>
      <c r="C279" s="5">
        <v>45628</v>
      </c>
      <c r="D279" s="16" t="s">
        <v>14</v>
      </c>
      <c r="E279" s="17" t="s">
        <v>33</v>
      </c>
      <c r="F279" s="9">
        <v>3194</v>
      </c>
      <c r="G279" s="9">
        <v>292</v>
      </c>
      <c r="H279" s="9">
        <v>245</v>
      </c>
      <c r="I279" s="9">
        <v>56371</v>
      </c>
      <c r="J279" s="9">
        <v>65597</v>
      </c>
      <c r="K279" s="9">
        <v>163</v>
      </c>
      <c r="L279" s="16" t="s">
        <v>37</v>
      </c>
      <c r="M279" s="16" t="s">
        <v>34</v>
      </c>
      <c r="N279" s="16" t="s">
        <v>16</v>
      </c>
      <c r="O279" s="1"/>
    </row>
    <row r="280" spans="1:15">
      <c r="A280" s="1" t="s">
        <v>309</v>
      </c>
      <c r="B280" s="1" t="s">
        <v>22</v>
      </c>
      <c r="C280" s="5">
        <v>45676</v>
      </c>
      <c r="D280" s="16" t="s">
        <v>23</v>
      </c>
      <c r="E280" s="17" t="s">
        <v>24</v>
      </c>
      <c r="F280" s="9">
        <v>3507</v>
      </c>
      <c r="G280" s="9">
        <v>295</v>
      </c>
      <c r="H280" s="9">
        <v>371</v>
      </c>
      <c r="I280" s="9">
        <v>20410</v>
      </c>
      <c r="J280" s="9">
        <v>53965</v>
      </c>
      <c r="K280" s="9">
        <v>212</v>
      </c>
      <c r="L280" s="16" t="s">
        <v>37</v>
      </c>
      <c r="M280" s="16" t="s">
        <v>34</v>
      </c>
      <c r="N280" s="16" t="s">
        <v>16</v>
      </c>
      <c r="O280" s="1"/>
    </row>
    <row r="281" spans="1:15">
      <c r="A281" s="1" t="s">
        <v>310</v>
      </c>
      <c r="B281" s="1" t="s">
        <v>22</v>
      </c>
      <c r="C281" s="5">
        <v>45563</v>
      </c>
      <c r="D281" s="16" t="s">
        <v>23</v>
      </c>
      <c r="E281" s="17" t="s">
        <v>360</v>
      </c>
      <c r="F281" s="9">
        <v>4471</v>
      </c>
      <c r="G281" s="9">
        <v>317</v>
      </c>
      <c r="H281" s="9">
        <v>249</v>
      </c>
      <c r="I281" s="9">
        <v>44862</v>
      </c>
      <c r="J281" s="9">
        <v>33365</v>
      </c>
      <c r="K281" s="9">
        <v>184</v>
      </c>
      <c r="L281" s="16" t="s">
        <v>19</v>
      </c>
      <c r="M281" s="16" t="s">
        <v>364</v>
      </c>
      <c r="N281" s="16" t="s">
        <v>16</v>
      </c>
      <c r="O281" s="1"/>
    </row>
    <row r="282" spans="1:15">
      <c r="A282" s="1" t="s">
        <v>311</v>
      </c>
      <c r="B282" s="1" t="s">
        <v>13</v>
      </c>
      <c r="C282" s="5">
        <v>45298</v>
      </c>
      <c r="D282" s="16" t="s">
        <v>14</v>
      </c>
      <c r="E282" s="17" t="s">
        <v>33</v>
      </c>
      <c r="F282" s="9">
        <v>4931</v>
      </c>
      <c r="G282" s="9">
        <v>469</v>
      </c>
      <c r="H282" s="9">
        <v>193</v>
      </c>
      <c r="I282" s="9">
        <v>56701</v>
      </c>
      <c r="J282" s="9">
        <v>69437</v>
      </c>
      <c r="K282" s="9">
        <v>291</v>
      </c>
      <c r="L282" s="16" t="s">
        <v>37</v>
      </c>
      <c r="M282" s="16" t="s">
        <v>34</v>
      </c>
      <c r="N282" s="16" t="s">
        <v>16</v>
      </c>
      <c r="O282" s="1"/>
    </row>
    <row r="283" spans="1:15">
      <c r="A283" s="1" t="s">
        <v>312</v>
      </c>
      <c r="B283" s="1" t="s">
        <v>22</v>
      </c>
      <c r="C283" s="5">
        <v>45343</v>
      </c>
      <c r="D283" s="16" t="s">
        <v>23</v>
      </c>
      <c r="E283" s="17" t="s">
        <v>30</v>
      </c>
      <c r="F283" s="9">
        <v>2604</v>
      </c>
      <c r="G283" s="9">
        <v>439</v>
      </c>
      <c r="H283" s="9">
        <v>148</v>
      </c>
      <c r="I283" s="9">
        <v>58468</v>
      </c>
      <c r="J283" s="9">
        <v>39629</v>
      </c>
      <c r="K283" s="9">
        <v>163</v>
      </c>
      <c r="L283" s="16" t="s">
        <v>364</v>
      </c>
      <c r="M283" s="16" t="s">
        <v>34</v>
      </c>
      <c r="N283" s="16" t="s">
        <v>16</v>
      </c>
      <c r="O283" s="1"/>
    </row>
    <row r="284" spans="1:15">
      <c r="A284" s="1" t="s">
        <v>313</v>
      </c>
      <c r="B284" s="1" t="s">
        <v>13</v>
      </c>
      <c r="C284" s="5">
        <v>45531</v>
      </c>
      <c r="D284" s="16" t="s">
        <v>14</v>
      </c>
      <c r="E284" s="17" t="s">
        <v>361</v>
      </c>
      <c r="F284" s="9">
        <v>4197</v>
      </c>
      <c r="G284" s="9">
        <v>359</v>
      </c>
      <c r="H284" s="9">
        <v>280</v>
      </c>
      <c r="I284" s="9">
        <v>56048</v>
      </c>
      <c r="J284" s="9">
        <v>70930</v>
      </c>
      <c r="K284" s="9">
        <v>295</v>
      </c>
      <c r="L284" s="16" t="s">
        <v>19</v>
      </c>
      <c r="M284" s="16"/>
      <c r="N284" s="16" t="s">
        <v>20</v>
      </c>
      <c r="O284" s="1"/>
    </row>
    <row r="285" spans="1:15">
      <c r="A285" s="1" t="s">
        <v>314</v>
      </c>
      <c r="B285" s="1" t="s">
        <v>13</v>
      </c>
      <c r="C285" s="5">
        <v>45589</v>
      </c>
      <c r="D285" s="16" t="s">
        <v>23</v>
      </c>
      <c r="E285" s="17" t="s">
        <v>33</v>
      </c>
      <c r="F285" s="9">
        <v>1914</v>
      </c>
      <c r="G285" s="9">
        <v>255</v>
      </c>
      <c r="H285" s="9">
        <v>156</v>
      </c>
      <c r="I285" s="9">
        <v>27660</v>
      </c>
      <c r="J285" s="9">
        <v>47776</v>
      </c>
      <c r="K285" s="9">
        <v>111</v>
      </c>
      <c r="L285" s="16" t="s">
        <v>34</v>
      </c>
      <c r="M285" s="16"/>
      <c r="N285" s="16" t="s">
        <v>46</v>
      </c>
      <c r="O285" s="1"/>
    </row>
    <row r="286" spans="1:15">
      <c r="A286" s="1" t="s">
        <v>315</v>
      </c>
      <c r="B286" s="1" t="s">
        <v>27</v>
      </c>
      <c r="C286" s="5">
        <v>45686</v>
      </c>
      <c r="D286" s="16" t="s">
        <v>14</v>
      </c>
      <c r="E286" s="17" t="s">
        <v>24</v>
      </c>
      <c r="F286" s="9">
        <v>1334</v>
      </c>
      <c r="G286" s="9">
        <v>357</v>
      </c>
      <c r="H286" s="9">
        <v>257</v>
      </c>
      <c r="I286" s="9">
        <v>56910</v>
      </c>
      <c r="J286" s="9">
        <v>70606</v>
      </c>
      <c r="K286" s="9">
        <v>228</v>
      </c>
      <c r="L286" s="16" t="s">
        <v>19</v>
      </c>
      <c r="M286" s="16" t="s">
        <v>365</v>
      </c>
      <c r="N286" s="16" t="s">
        <v>20</v>
      </c>
      <c r="O286" s="1"/>
    </row>
    <row r="287" spans="1:15">
      <c r="A287" s="1" t="s">
        <v>316</v>
      </c>
      <c r="B287" s="1" t="s">
        <v>13</v>
      </c>
      <c r="C287" s="5">
        <v>45413</v>
      </c>
      <c r="D287" s="16" t="s">
        <v>14</v>
      </c>
      <c r="E287" s="17" t="s">
        <v>30</v>
      </c>
      <c r="F287" s="9">
        <v>3359</v>
      </c>
      <c r="G287" s="9">
        <v>137</v>
      </c>
      <c r="H287" s="9">
        <v>387</v>
      </c>
      <c r="I287" s="9">
        <v>33861</v>
      </c>
      <c r="J287" s="9">
        <v>47257</v>
      </c>
      <c r="K287" s="9">
        <v>198</v>
      </c>
      <c r="L287" s="16" t="s">
        <v>19</v>
      </c>
      <c r="M287" s="16"/>
      <c r="N287" s="16" t="s">
        <v>20</v>
      </c>
      <c r="O287" s="1"/>
    </row>
    <row r="288" spans="1:15">
      <c r="A288" s="1" t="s">
        <v>317</v>
      </c>
      <c r="B288" s="1" t="s">
        <v>27</v>
      </c>
      <c r="C288" s="5">
        <v>45468</v>
      </c>
      <c r="D288" s="16" t="s">
        <v>14</v>
      </c>
      <c r="E288" s="17" t="s">
        <v>42</v>
      </c>
      <c r="F288" s="9">
        <v>2172</v>
      </c>
      <c r="G288" s="9">
        <v>338</v>
      </c>
      <c r="H288" s="9">
        <v>70</v>
      </c>
      <c r="I288" s="9">
        <v>30515</v>
      </c>
      <c r="J288" s="9">
        <v>57853</v>
      </c>
      <c r="K288" s="9">
        <v>156</v>
      </c>
      <c r="L288" s="16" t="s">
        <v>19</v>
      </c>
      <c r="M288" s="16" t="s">
        <v>365</v>
      </c>
      <c r="N288" s="16" t="s">
        <v>20</v>
      </c>
      <c r="O288" s="1"/>
    </row>
    <row r="289" spans="1:15">
      <c r="A289" s="1" t="s">
        <v>318</v>
      </c>
      <c r="B289" s="1" t="s">
        <v>22</v>
      </c>
      <c r="C289" s="5">
        <v>45513</v>
      </c>
      <c r="D289" s="16" t="s">
        <v>23</v>
      </c>
      <c r="E289" s="17" t="s">
        <v>363</v>
      </c>
      <c r="F289" s="9">
        <v>4877</v>
      </c>
      <c r="G289" s="9">
        <v>442</v>
      </c>
      <c r="H289" s="9">
        <v>236</v>
      </c>
      <c r="I289" s="9">
        <v>52673</v>
      </c>
      <c r="J289" s="9">
        <v>48241</v>
      </c>
      <c r="K289" s="9">
        <v>114</v>
      </c>
      <c r="L289" s="16" t="s">
        <v>19</v>
      </c>
      <c r="M289" s="16" t="s">
        <v>364</v>
      </c>
      <c r="N289" s="16" t="s">
        <v>16</v>
      </c>
      <c r="O289" s="1"/>
    </row>
    <row r="290" spans="1:15">
      <c r="A290" s="1" t="s">
        <v>319</v>
      </c>
      <c r="B290" s="1" t="s">
        <v>13</v>
      </c>
      <c r="C290" s="5">
        <v>45678</v>
      </c>
      <c r="D290" s="16" t="s">
        <v>23</v>
      </c>
      <c r="E290" s="17" t="s">
        <v>24</v>
      </c>
      <c r="F290" s="9">
        <v>4918</v>
      </c>
      <c r="G290" s="9">
        <v>440</v>
      </c>
      <c r="H290" s="9">
        <v>149</v>
      </c>
      <c r="I290" s="9">
        <v>53269</v>
      </c>
      <c r="J290" s="9">
        <v>64370</v>
      </c>
      <c r="K290" s="9">
        <v>269</v>
      </c>
      <c r="L290" s="16" t="s">
        <v>34</v>
      </c>
      <c r="M290" s="16"/>
      <c r="N290" s="16" t="s">
        <v>46</v>
      </c>
      <c r="O290" s="1"/>
    </row>
    <row r="291" spans="1:15">
      <c r="A291" s="1" t="s">
        <v>320</v>
      </c>
      <c r="B291" s="1" t="s">
        <v>22</v>
      </c>
      <c r="C291" s="5">
        <v>45517</v>
      </c>
      <c r="D291" s="16" t="s">
        <v>14</v>
      </c>
      <c r="E291" s="17" t="s">
        <v>18</v>
      </c>
      <c r="F291" s="9">
        <v>3418</v>
      </c>
      <c r="G291" s="9">
        <v>107</v>
      </c>
      <c r="H291" s="9">
        <v>221</v>
      </c>
      <c r="I291" s="9">
        <v>23927</v>
      </c>
      <c r="J291" s="9">
        <v>26182</v>
      </c>
      <c r="K291" s="9">
        <v>155</v>
      </c>
      <c r="L291" s="16" t="s">
        <v>37</v>
      </c>
      <c r="M291" s="16"/>
      <c r="N291" s="16" t="s">
        <v>20</v>
      </c>
      <c r="O291" s="1"/>
    </row>
    <row r="292" spans="1:15">
      <c r="A292" s="1" t="s">
        <v>321</v>
      </c>
      <c r="B292" s="1" t="s">
        <v>13</v>
      </c>
      <c r="C292" s="5">
        <v>45472</v>
      </c>
      <c r="D292" s="16" t="s">
        <v>14</v>
      </c>
      <c r="E292" s="17" t="s">
        <v>42</v>
      </c>
      <c r="F292" s="9">
        <v>2088</v>
      </c>
      <c r="G292" s="9">
        <v>490</v>
      </c>
      <c r="H292" s="9">
        <v>124</v>
      </c>
      <c r="I292" s="9">
        <v>46544</v>
      </c>
      <c r="J292" s="9">
        <v>69346</v>
      </c>
      <c r="K292" s="9">
        <v>178</v>
      </c>
      <c r="L292" s="16" t="s">
        <v>37</v>
      </c>
      <c r="M292" s="16" t="s">
        <v>34</v>
      </c>
      <c r="N292" s="16" t="s">
        <v>16</v>
      </c>
      <c r="O292" s="1"/>
    </row>
    <row r="293" spans="1:15">
      <c r="A293" s="1" t="s">
        <v>322</v>
      </c>
      <c r="B293" s="1" t="s">
        <v>22</v>
      </c>
      <c r="C293" s="5">
        <v>45599</v>
      </c>
      <c r="D293" s="16" t="s">
        <v>23</v>
      </c>
      <c r="E293" s="17" t="s">
        <v>18</v>
      </c>
      <c r="F293" s="9">
        <v>3061</v>
      </c>
      <c r="G293" s="9">
        <v>320</v>
      </c>
      <c r="H293" s="9">
        <v>76</v>
      </c>
      <c r="I293" s="9">
        <v>26640</v>
      </c>
      <c r="J293" s="9">
        <v>24306</v>
      </c>
      <c r="K293" s="9">
        <v>112</v>
      </c>
      <c r="L293" s="16" t="s">
        <v>364</v>
      </c>
      <c r="M293" s="16" t="s">
        <v>34</v>
      </c>
      <c r="N293" s="16" t="s">
        <v>16</v>
      </c>
      <c r="O293" s="1"/>
    </row>
    <row r="294" spans="1:15">
      <c r="A294" s="1" t="s">
        <v>323</v>
      </c>
      <c r="B294" s="1" t="s">
        <v>27</v>
      </c>
      <c r="C294" s="5">
        <v>45765</v>
      </c>
      <c r="D294" s="16" t="s">
        <v>48</v>
      </c>
      <c r="E294" s="17" t="s">
        <v>42</v>
      </c>
      <c r="F294" s="9">
        <v>1265</v>
      </c>
      <c r="G294" s="9">
        <v>230</v>
      </c>
      <c r="H294" s="9">
        <v>364</v>
      </c>
      <c r="I294" s="9">
        <v>41312</v>
      </c>
      <c r="J294" s="9">
        <v>50382</v>
      </c>
      <c r="K294" s="9">
        <v>106</v>
      </c>
      <c r="L294" s="16" t="s">
        <v>19</v>
      </c>
      <c r="M294" s="16" t="s">
        <v>37</v>
      </c>
      <c r="N294" s="16" t="s">
        <v>49</v>
      </c>
      <c r="O294" s="1"/>
    </row>
    <row r="295" spans="1:15">
      <c r="A295" s="1" t="s">
        <v>324</v>
      </c>
      <c r="B295" s="1" t="s">
        <v>13</v>
      </c>
      <c r="C295" s="5">
        <v>45653</v>
      </c>
      <c r="D295" s="16" t="s">
        <v>14</v>
      </c>
      <c r="E295" s="17" t="s">
        <v>363</v>
      </c>
      <c r="F295" s="9">
        <v>1436</v>
      </c>
      <c r="G295" s="9">
        <v>219</v>
      </c>
      <c r="H295" s="9">
        <v>229</v>
      </c>
      <c r="I295" s="9">
        <v>58488</v>
      </c>
      <c r="J295" s="9">
        <v>24314</v>
      </c>
      <c r="K295" s="9">
        <v>147</v>
      </c>
      <c r="L295" s="16" t="s">
        <v>19</v>
      </c>
      <c r="M295" s="16"/>
      <c r="N295" s="16" t="s">
        <v>20</v>
      </c>
      <c r="O295" s="1"/>
    </row>
    <row r="296" spans="1:15">
      <c r="A296" s="1" t="s">
        <v>325</v>
      </c>
      <c r="B296" s="1" t="s">
        <v>13</v>
      </c>
      <c r="C296" s="5">
        <v>45724</v>
      </c>
      <c r="D296" s="16" t="s">
        <v>23</v>
      </c>
      <c r="E296" s="17" t="s">
        <v>33</v>
      </c>
      <c r="F296" s="9">
        <v>2244</v>
      </c>
      <c r="G296" s="9">
        <v>392</v>
      </c>
      <c r="H296" s="9">
        <v>231</v>
      </c>
      <c r="I296" s="9">
        <v>25834</v>
      </c>
      <c r="J296" s="9">
        <v>50906</v>
      </c>
      <c r="K296" s="9">
        <v>165</v>
      </c>
      <c r="L296" s="16" t="s">
        <v>34</v>
      </c>
      <c r="M296" s="16"/>
      <c r="N296" s="16" t="s">
        <v>46</v>
      </c>
      <c r="O296" s="1"/>
    </row>
    <row r="297" spans="1:15">
      <c r="A297" s="1" t="s">
        <v>326</v>
      </c>
      <c r="B297" s="1" t="s">
        <v>22</v>
      </c>
      <c r="C297" s="5">
        <v>45736</v>
      </c>
      <c r="D297" s="16" t="s">
        <v>23</v>
      </c>
      <c r="E297" s="17" t="s">
        <v>42</v>
      </c>
      <c r="F297" s="9">
        <v>3393</v>
      </c>
      <c r="G297" s="9">
        <v>104</v>
      </c>
      <c r="H297" s="9">
        <v>79</v>
      </c>
      <c r="I297" s="9">
        <v>30025</v>
      </c>
      <c r="J297" s="9">
        <v>21593</v>
      </c>
      <c r="K297" s="9">
        <v>165</v>
      </c>
      <c r="L297" s="16" t="s">
        <v>364</v>
      </c>
      <c r="M297" s="16" t="s">
        <v>34</v>
      </c>
      <c r="N297" s="16" t="s">
        <v>16</v>
      </c>
      <c r="O297" s="1"/>
    </row>
    <row r="298" spans="1:15">
      <c r="A298" s="1" t="s">
        <v>327</v>
      </c>
      <c r="B298" s="1" t="s">
        <v>22</v>
      </c>
      <c r="C298" s="5">
        <v>45612</v>
      </c>
      <c r="D298" s="16" t="s">
        <v>14</v>
      </c>
      <c r="E298" s="17" t="s">
        <v>18</v>
      </c>
      <c r="F298" s="9">
        <v>2901</v>
      </c>
      <c r="G298" s="9">
        <v>108</v>
      </c>
      <c r="H298" s="9">
        <v>86</v>
      </c>
      <c r="I298" s="9">
        <v>51777</v>
      </c>
      <c r="J298" s="9">
        <v>23773</v>
      </c>
      <c r="K298" s="9">
        <v>160</v>
      </c>
      <c r="L298" s="16" t="s">
        <v>37</v>
      </c>
      <c r="M298" s="16"/>
      <c r="N298" s="16" t="s">
        <v>20</v>
      </c>
      <c r="O298" s="1"/>
    </row>
    <row r="299" spans="1:15">
      <c r="A299" s="1" t="s">
        <v>328</v>
      </c>
      <c r="B299" s="1" t="s">
        <v>22</v>
      </c>
      <c r="C299" s="5">
        <v>45838</v>
      </c>
      <c r="D299" s="16" t="s">
        <v>14</v>
      </c>
      <c r="E299" s="17" t="s">
        <v>362</v>
      </c>
      <c r="F299" s="9">
        <v>2275</v>
      </c>
      <c r="G299" s="9">
        <v>285</v>
      </c>
      <c r="H299" s="9">
        <v>125</v>
      </c>
      <c r="I299" s="9">
        <v>43970</v>
      </c>
      <c r="J299" s="9">
        <v>74761</v>
      </c>
      <c r="K299" s="9">
        <v>83</v>
      </c>
      <c r="L299" s="16" t="s">
        <v>34</v>
      </c>
      <c r="M299" s="16"/>
      <c r="N299" s="16" t="s">
        <v>16</v>
      </c>
      <c r="O299" s="1"/>
    </row>
    <row r="300" spans="1:15">
      <c r="A300" s="1" t="s">
        <v>329</v>
      </c>
      <c r="B300" s="1" t="s">
        <v>22</v>
      </c>
      <c r="C300" s="5">
        <v>45303</v>
      </c>
      <c r="D300" s="16" t="s">
        <v>23</v>
      </c>
      <c r="E300" s="17" t="s">
        <v>360</v>
      </c>
      <c r="F300" s="9">
        <v>2227</v>
      </c>
      <c r="G300" s="9">
        <v>494</v>
      </c>
      <c r="H300" s="9">
        <v>161</v>
      </c>
      <c r="I300" s="9">
        <v>51651</v>
      </c>
      <c r="J300" s="9">
        <v>68074</v>
      </c>
      <c r="K300" s="9">
        <v>240</v>
      </c>
      <c r="L300" s="16" t="s">
        <v>19</v>
      </c>
      <c r="M300" s="16" t="s">
        <v>364</v>
      </c>
      <c r="N300" s="16" t="s">
        <v>16</v>
      </c>
      <c r="O300" s="1"/>
    </row>
    <row r="301" spans="1:15">
      <c r="A301" s="1" t="s">
        <v>330</v>
      </c>
      <c r="B301" s="1" t="s">
        <v>13</v>
      </c>
      <c r="C301" s="5">
        <v>45329</v>
      </c>
      <c r="D301" s="16" t="s">
        <v>14</v>
      </c>
      <c r="E301" s="17" t="s">
        <v>361</v>
      </c>
      <c r="F301" s="9">
        <v>1883</v>
      </c>
      <c r="G301" s="9">
        <v>432</v>
      </c>
      <c r="H301" s="9">
        <v>397</v>
      </c>
      <c r="I301" s="9">
        <v>28759</v>
      </c>
      <c r="J301" s="9">
        <v>18691</v>
      </c>
      <c r="K301" s="9">
        <v>270</v>
      </c>
      <c r="L301" s="16" t="s">
        <v>37</v>
      </c>
      <c r="M301" s="16" t="s">
        <v>34</v>
      </c>
      <c r="N301" s="16" t="s">
        <v>16</v>
      </c>
      <c r="O301" s="1"/>
    </row>
  </sheetData>
  <pageMargins left="0.7" right="0.7" top="0.75" bottom="0.75" header="0" footer="0"/>
  <pageSetup orientation="landscape"/>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E4623-DB42-4B3C-9BEA-8B2CBA038912}">
  <dimension ref="A1:X302"/>
  <sheetViews>
    <sheetView topLeftCell="P2" zoomScale="70" zoomScaleNormal="70" workbookViewId="0">
      <selection activeCell="X4" sqref="X4"/>
    </sheetView>
  </sheetViews>
  <sheetFormatPr defaultColWidth="14.42578125" defaultRowHeight="15.75"/>
  <cols>
    <col min="1" max="1" width="12.85546875" style="2" hidden="1" customWidth="1"/>
    <col min="2" max="2" width="14" style="2" bestFit="1" customWidth="1"/>
    <col min="3" max="3" width="13.5703125" style="6" bestFit="1" customWidth="1"/>
    <col min="4" max="4" width="19.42578125" style="18" hidden="1" customWidth="1"/>
    <col min="5" max="5" width="41.28515625" style="18" hidden="1" customWidth="1"/>
    <col min="6" max="6" width="11" style="10" hidden="1" customWidth="1"/>
    <col min="7" max="7" width="12.7109375" style="10" hidden="1" customWidth="1"/>
    <col min="8" max="8" width="16.28515625" style="10" hidden="1" customWidth="1"/>
    <col min="9" max="9" width="18" style="10" hidden="1" customWidth="1"/>
    <col min="10" max="10" width="12" style="10" hidden="1" customWidth="1"/>
    <col min="11" max="11" width="11.7109375" style="10" hidden="1" customWidth="1"/>
    <col min="12" max="13" width="19.7109375" style="18" hidden="1" customWidth="1"/>
    <col min="14" max="14" width="22.7109375" style="18" bestFit="1" customWidth="1"/>
    <col min="15" max="15" width="30.28515625" style="2" bestFit="1" customWidth="1"/>
    <col min="16" max="16" width="23.85546875" style="15" bestFit="1" customWidth="1"/>
    <col min="17" max="17" width="15.42578125" style="15" bestFit="1" customWidth="1"/>
    <col min="18" max="18" width="19.5703125" style="15" bestFit="1" customWidth="1"/>
    <col min="19" max="19" width="22.140625" style="15" bestFit="1" customWidth="1"/>
    <col min="20" max="20" width="25.85546875" style="13" bestFit="1" customWidth="1"/>
    <col min="21" max="21" width="28.28515625" style="2" bestFit="1" customWidth="1"/>
    <col min="22" max="22" width="22.7109375" style="2" bestFit="1" customWidth="1"/>
    <col min="23" max="23" width="16.140625" style="2" bestFit="1" customWidth="1"/>
    <col min="24" max="24" width="22" style="2" bestFit="1" customWidth="1"/>
    <col min="25" max="25" width="22.7109375" style="2" bestFit="1" customWidth="1"/>
    <col min="26" max="26" width="11.28515625" style="2" bestFit="1" customWidth="1"/>
    <col min="27" max="27" width="13.7109375" style="2" bestFit="1" customWidth="1"/>
    <col min="28" max="29" width="8.7109375" style="2" customWidth="1"/>
    <col min="30" max="16384" width="14.42578125" style="2"/>
  </cols>
  <sheetData>
    <row r="1" spans="1:24" s="14" customFormat="1">
      <c r="A1" s="19" t="s">
        <v>0</v>
      </c>
      <c r="B1" s="19" t="s">
        <v>1</v>
      </c>
      <c r="C1" s="20" t="s">
        <v>2</v>
      </c>
      <c r="D1" s="19" t="s">
        <v>3</v>
      </c>
      <c r="E1" s="19" t="s">
        <v>4</v>
      </c>
      <c r="F1" s="21" t="s">
        <v>5</v>
      </c>
      <c r="G1" s="21" t="s">
        <v>6</v>
      </c>
      <c r="H1" s="21" t="s">
        <v>7</v>
      </c>
      <c r="I1" s="21" t="s">
        <v>8</v>
      </c>
      <c r="J1" s="21" t="s">
        <v>9</v>
      </c>
      <c r="K1" s="21" t="s">
        <v>10</v>
      </c>
      <c r="L1" s="19" t="s">
        <v>358</v>
      </c>
      <c r="M1" s="19" t="s">
        <v>359</v>
      </c>
      <c r="N1" s="19" t="s">
        <v>11</v>
      </c>
      <c r="O1" s="19" t="s">
        <v>375</v>
      </c>
      <c r="P1" s="24"/>
      <c r="Q1" s="24"/>
      <c r="R1" s="24"/>
      <c r="S1" s="24"/>
      <c r="T1" s="22"/>
    </row>
    <row r="2" spans="1:24">
      <c r="A2" s="1" t="s">
        <v>159</v>
      </c>
      <c r="B2" s="1" t="s">
        <v>22</v>
      </c>
      <c r="C2" s="5">
        <v>45839</v>
      </c>
      <c r="D2" s="16" t="s">
        <v>23</v>
      </c>
      <c r="E2" s="17" t="s">
        <v>18</v>
      </c>
      <c r="F2" s="9">
        <v>3219</v>
      </c>
      <c r="G2" s="9">
        <v>424</v>
      </c>
      <c r="H2" s="9">
        <v>267</v>
      </c>
      <c r="I2" s="9">
        <v>48879</v>
      </c>
      <c r="J2" s="9">
        <v>37691</v>
      </c>
      <c r="K2" s="9">
        <v>224</v>
      </c>
      <c r="L2" s="16" t="s">
        <v>19</v>
      </c>
      <c r="M2" s="16" t="s">
        <v>364</v>
      </c>
      <c r="N2" s="16" t="s">
        <v>16</v>
      </c>
      <c r="O2" s="30">
        <f>Table15[[#This Row],[Likes]]+Table15[[#This Row],[Shares]]+Table15[[#This Row],[Comments]]</f>
        <v>3910</v>
      </c>
      <c r="P2" s="24"/>
      <c r="Q2" s="24"/>
      <c r="R2" s="24"/>
      <c r="S2" s="24"/>
    </row>
    <row r="3" spans="1:24">
      <c r="A3" s="1" t="s">
        <v>178</v>
      </c>
      <c r="B3" s="1" t="s">
        <v>22</v>
      </c>
      <c r="C3" s="5">
        <v>45696</v>
      </c>
      <c r="D3" s="16" t="s">
        <v>23</v>
      </c>
      <c r="E3" s="17" t="s">
        <v>42</v>
      </c>
      <c r="F3" s="9">
        <v>4752</v>
      </c>
      <c r="G3" s="9">
        <v>334</v>
      </c>
      <c r="H3" s="9">
        <v>56</v>
      </c>
      <c r="I3" s="9">
        <v>48017</v>
      </c>
      <c r="J3" s="9">
        <v>55534</v>
      </c>
      <c r="K3" s="9">
        <v>270</v>
      </c>
      <c r="L3" s="16" t="s">
        <v>19</v>
      </c>
      <c r="M3" s="16" t="s">
        <v>364</v>
      </c>
      <c r="N3" s="16" t="s">
        <v>16</v>
      </c>
      <c r="O3" s="30">
        <f>Table15[[#This Row],[Likes]]+Table15[[#This Row],[Shares]]+Table15[[#This Row],[Comments]]</f>
        <v>5142</v>
      </c>
      <c r="Q3" s="24" t="s">
        <v>379</v>
      </c>
      <c r="R3" s="24" t="s">
        <v>381</v>
      </c>
      <c r="S3" s="24" t="s">
        <v>377</v>
      </c>
      <c r="T3" s="14" t="s">
        <v>393</v>
      </c>
      <c r="U3" s="31" t="s">
        <v>380</v>
      </c>
      <c r="V3" s="31" t="s">
        <v>378</v>
      </c>
      <c r="W3" s="31" t="s">
        <v>383</v>
      </c>
      <c r="X3" s="31" t="s">
        <v>382</v>
      </c>
    </row>
    <row r="4" spans="1:24">
      <c r="A4" s="1" t="s">
        <v>328</v>
      </c>
      <c r="B4" s="1" t="s">
        <v>22</v>
      </c>
      <c r="C4" s="5">
        <v>45838</v>
      </c>
      <c r="D4" s="16" t="s">
        <v>14</v>
      </c>
      <c r="E4" s="17" t="s">
        <v>362</v>
      </c>
      <c r="F4" s="9">
        <v>2275</v>
      </c>
      <c r="G4" s="9">
        <v>285</v>
      </c>
      <c r="H4" s="9">
        <v>125</v>
      </c>
      <c r="I4" s="9">
        <v>43970</v>
      </c>
      <c r="J4" s="9">
        <v>74761</v>
      </c>
      <c r="K4" s="9">
        <v>83</v>
      </c>
      <c r="L4" s="16" t="s">
        <v>34</v>
      </c>
      <c r="M4" s="16"/>
      <c r="N4" s="16" t="s">
        <v>16</v>
      </c>
      <c r="O4" s="30">
        <f>Table15[[#This Row],[Likes]]+Table15[[#This Row],[Shares]]+Table15[[#This Row],[Comments]]</f>
        <v>2685</v>
      </c>
      <c r="P4"/>
      <c r="Q4" s="15" t="str">
        <f>'Campaign Metadata'!A5</f>
        <v>IndieWave</v>
      </c>
      <c r="R4" s="32">
        <f>'Campaign Metadata'!I5</f>
        <v>31</v>
      </c>
      <c r="S4" s="31">
        <v>27073</v>
      </c>
      <c r="T4" s="33">
        <f>S4/R4</f>
        <v>873.32258064516134</v>
      </c>
      <c r="U4">
        <v>22181</v>
      </c>
      <c r="V4" s="34">
        <f>Table6[[#This Row],[Total Engagement Before]]/30</f>
        <v>739.36666666666667</v>
      </c>
      <c r="W4" s="34">
        <f>Table6[[#This Row],[Avg Daily during Engagement]]-Table6[[#This Row],[Avg_Before30Days]]</f>
        <v>133.95591397849466</v>
      </c>
      <c r="X4" s="35">
        <f>Table6[[#This Row],[Rate_Uplift]]/Table6[[#This Row],[Avg_Before30Days]]</f>
        <v>0.18117656640164284</v>
      </c>
    </row>
    <row r="5" spans="1:24">
      <c r="A5" s="1" t="s">
        <v>252</v>
      </c>
      <c r="B5" s="1" t="s">
        <v>22</v>
      </c>
      <c r="C5" s="5">
        <v>45829</v>
      </c>
      <c r="D5" s="16" t="s">
        <v>14</v>
      </c>
      <c r="E5" s="17" t="s">
        <v>18</v>
      </c>
      <c r="F5" s="9">
        <v>3611</v>
      </c>
      <c r="G5" s="9">
        <v>127</v>
      </c>
      <c r="H5" s="9">
        <v>139</v>
      </c>
      <c r="I5" s="9">
        <v>44768</v>
      </c>
      <c r="J5" s="9">
        <v>29435</v>
      </c>
      <c r="K5" s="9">
        <v>178</v>
      </c>
      <c r="L5" s="16" t="s">
        <v>34</v>
      </c>
      <c r="M5" s="16"/>
      <c r="N5" s="16" t="s">
        <v>16</v>
      </c>
      <c r="O5" s="30">
        <f>Table15[[#This Row],[Likes]]+Table15[[#This Row],[Shares]]+Table15[[#This Row],[Comments]]</f>
        <v>3877</v>
      </c>
      <c r="P5"/>
      <c r="Q5" s="15" t="str">
        <f>'Campaign Metadata'!A4</f>
        <v>ChillVibes</v>
      </c>
      <c r="R5" s="32">
        <f>'Campaign Metadata'!I4</f>
        <v>32</v>
      </c>
      <c r="S5" s="31">
        <v>40373</v>
      </c>
      <c r="T5" s="33">
        <f>S5/R5</f>
        <v>1261.65625</v>
      </c>
      <c r="U5">
        <v>61410</v>
      </c>
      <c r="V5" s="34">
        <f>Table6[[#This Row],[Total Engagement Before]]/30</f>
        <v>2047</v>
      </c>
      <c r="W5" s="34">
        <f>Table6[[#This Row],[Avg Daily during Engagement]]-Table6[[#This Row],[Avg_Before30Days]]</f>
        <v>-785.34375</v>
      </c>
      <c r="X5" s="35">
        <f>Table6[[#This Row],[Rate_Uplift]]/Table6[[#This Row],[Avg_Before30Days]]</f>
        <v>-0.38365595994137763</v>
      </c>
    </row>
    <row r="6" spans="1:24">
      <c r="A6" s="1" t="s">
        <v>26</v>
      </c>
      <c r="B6" s="1" t="s">
        <v>27</v>
      </c>
      <c r="C6" s="5">
        <v>45388</v>
      </c>
      <c r="D6" s="16" t="s">
        <v>14</v>
      </c>
      <c r="E6" s="17" t="s">
        <v>361</v>
      </c>
      <c r="F6" s="9">
        <v>2748</v>
      </c>
      <c r="G6" s="9">
        <v>145</v>
      </c>
      <c r="H6" s="9">
        <v>315</v>
      </c>
      <c r="I6" s="9">
        <v>24401</v>
      </c>
      <c r="J6" s="9">
        <v>61182</v>
      </c>
      <c r="K6" s="9">
        <v>200</v>
      </c>
      <c r="L6" s="16" t="s">
        <v>19</v>
      </c>
      <c r="M6" s="16" t="s">
        <v>365</v>
      </c>
      <c r="N6" s="16" t="s">
        <v>20</v>
      </c>
      <c r="O6" s="30">
        <f>Table15[[#This Row],[Likes]]+Table15[[#This Row],[Shares]]+Table15[[#This Row],[Comments]]</f>
        <v>3208</v>
      </c>
      <c r="P6"/>
      <c r="Q6" s="15" t="str">
        <f>'Campaign Metadata'!A2</f>
        <v>SummerBeats</v>
      </c>
      <c r="R6" s="32">
        <f>'Campaign Metadata'!I2</f>
        <v>31</v>
      </c>
      <c r="S6" s="32">
        <v>7338</v>
      </c>
      <c r="T6" s="33">
        <f>S6/R6</f>
        <v>236.70967741935485</v>
      </c>
      <c r="U6">
        <v>25963</v>
      </c>
      <c r="V6" s="34">
        <f>Table6[[#This Row],[Total Engagement Before]]/30</f>
        <v>865.43333333333328</v>
      </c>
      <c r="W6" s="34">
        <f>Table6[[#This Row],[Avg Daily during Engagement]]-Table6[[#This Row],[Avg_Before30Days]]</f>
        <v>-628.7236559139784</v>
      </c>
      <c r="X6" s="35">
        <f>Table6[[#This Row],[Rate_Uplift]]/Table6[[#This Row],[Avg_Before30Days]]</f>
        <v>-0.72648421512996775</v>
      </c>
    </row>
    <row r="7" spans="1:24">
      <c r="A7" s="1" t="s">
        <v>28</v>
      </c>
      <c r="B7" s="1" t="s">
        <v>27</v>
      </c>
      <c r="C7" s="5">
        <v>45456</v>
      </c>
      <c r="D7" s="16" t="s">
        <v>14</v>
      </c>
      <c r="E7" s="17" t="s">
        <v>362</v>
      </c>
      <c r="F7" s="9">
        <v>3882</v>
      </c>
      <c r="G7" s="9">
        <v>239</v>
      </c>
      <c r="H7" s="9">
        <v>275</v>
      </c>
      <c r="I7" s="9">
        <v>58748</v>
      </c>
      <c r="J7" s="9">
        <v>44646</v>
      </c>
      <c r="K7" s="9">
        <v>149</v>
      </c>
      <c r="L7" s="16" t="s">
        <v>19</v>
      </c>
      <c r="M7" s="16" t="s">
        <v>365</v>
      </c>
      <c r="N7" s="16" t="s">
        <v>20</v>
      </c>
      <c r="O7" s="30">
        <f>Table15[[#This Row],[Likes]]+Table15[[#This Row],[Shares]]+Table15[[#This Row],[Comments]]</f>
        <v>4396</v>
      </c>
      <c r="P7"/>
      <c r="Q7" s="15" t="str">
        <f>'Campaign Metadata'!A3</f>
        <v>Wrapped2024</v>
      </c>
      <c r="R7" s="32">
        <f>'Campaign Metadata'!I3</f>
        <v>31</v>
      </c>
      <c r="S7" s="31">
        <v>9546</v>
      </c>
      <c r="T7" s="33">
        <f>S7/R7</f>
        <v>307.93548387096774</v>
      </c>
      <c r="U7">
        <v>53787</v>
      </c>
      <c r="V7" s="34">
        <f>Table6[[#This Row],[Total Engagement Before]]/30</f>
        <v>1792.9</v>
      </c>
      <c r="W7" s="34">
        <f>Table6[[#This Row],[Avg Daily during Engagement]]-Table6[[#This Row],[Avg_Before30Days]]</f>
        <v>-1484.9645161290323</v>
      </c>
      <c r="X7" s="35">
        <f>Table6[[#This Row],[Rate_Uplift]]/Table6[[#This Row],[Avg_Before30Days]]</f>
        <v>-0.82824726204976973</v>
      </c>
    </row>
    <row r="8" spans="1:24">
      <c r="A8" s="1" t="s">
        <v>242</v>
      </c>
      <c r="B8" s="1" t="s">
        <v>22</v>
      </c>
      <c r="C8" s="5">
        <v>45827</v>
      </c>
      <c r="D8" s="16" t="s">
        <v>23</v>
      </c>
      <c r="E8" s="17" t="s">
        <v>362</v>
      </c>
      <c r="F8" s="9">
        <v>1433</v>
      </c>
      <c r="G8" s="9">
        <v>452</v>
      </c>
      <c r="H8" s="9">
        <v>305</v>
      </c>
      <c r="I8" s="9">
        <v>54541</v>
      </c>
      <c r="J8" s="9">
        <v>63700</v>
      </c>
      <c r="K8" s="9">
        <v>296</v>
      </c>
      <c r="L8" s="16" t="s">
        <v>19</v>
      </c>
      <c r="M8" s="16" t="s">
        <v>364</v>
      </c>
      <c r="N8" s="16" t="s">
        <v>16</v>
      </c>
      <c r="O8" s="30">
        <f>Table15[[#This Row],[Likes]]+Table15[[#This Row],[Shares]]+Table15[[#This Row],[Comments]]</f>
        <v>2190</v>
      </c>
      <c r="P8"/>
      <c r="R8" s="32"/>
      <c r="S8" s="32"/>
      <c r="T8" s="31"/>
      <c r="U8"/>
      <c r="V8"/>
      <c r="W8"/>
    </row>
    <row r="9" spans="1:24">
      <c r="A9" s="1" t="s">
        <v>39</v>
      </c>
      <c r="B9" s="1" t="s">
        <v>22</v>
      </c>
      <c r="C9" s="5">
        <v>45826</v>
      </c>
      <c r="D9" s="16" t="s">
        <v>23</v>
      </c>
      <c r="E9" s="17" t="s">
        <v>15</v>
      </c>
      <c r="F9" s="9">
        <v>3956</v>
      </c>
      <c r="G9" s="9">
        <v>319</v>
      </c>
      <c r="H9" s="9">
        <v>61</v>
      </c>
      <c r="I9" s="9">
        <v>58162</v>
      </c>
      <c r="J9" s="9">
        <v>28720</v>
      </c>
      <c r="K9" s="9">
        <v>213</v>
      </c>
      <c r="L9" s="16" t="s">
        <v>364</v>
      </c>
      <c r="M9" s="16" t="s">
        <v>34</v>
      </c>
      <c r="N9" s="16" t="s">
        <v>16</v>
      </c>
      <c r="O9" s="30">
        <f>Table15[[#This Row],[Likes]]+Table15[[#This Row],[Shares]]+Table15[[#This Row],[Comments]]</f>
        <v>4336</v>
      </c>
      <c r="P9"/>
      <c r="U9"/>
      <c r="V9"/>
      <c r="W9"/>
    </row>
    <row r="10" spans="1:24">
      <c r="A10" s="1" t="s">
        <v>110</v>
      </c>
      <c r="B10" s="1" t="s">
        <v>13</v>
      </c>
      <c r="C10" s="5">
        <v>45825</v>
      </c>
      <c r="D10" s="16" t="s">
        <v>14</v>
      </c>
      <c r="E10" s="17" t="s">
        <v>361</v>
      </c>
      <c r="F10" s="9">
        <v>2284</v>
      </c>
      <c r="G10" s="9">
        <v>187</v>
      </c>
      <c r="H10" s="9">
        <v>260</v>
      </c>
      <c r="I10" s="9">
        <v>37400</v>
      </c>
      <c r="J10" s="9">
        <v>65014</v>
      </c>
      <c r="K10" s="9">
        <v>157</v>
      </c>
      <c r="L10" s="16" t="s">
        <v>37</v>
      </c>
      <c r="M10" s="16" t="s">
        <v>34</v>
      </c>
      <c r="N10" s="16" t="s">
        <v>16</v>
      </c>
      <c r="O10" s="30">
        <f>Table15[[#This Row],[Likes]]+Table15[[#This Row],[Shares]]+Table15[[#This Row],[Comments]]</f>
        <v>2731</v>
      </c>
      <c r="P10"/>
    </row>
    <row r="11" spans="1:24">
      <c r="A11" s="1" t="s">
        <v>295</v>
      </c>
      <c r="B11" s="1" t="s">
        <v>22</v>
      </c>
      <c r="C11" s="5">
        <v>45825</v>
      </c>
      <c r="D11" s="16" t="s">
        <v>23</v>
      </c>
      <c r="E11" s="17" t="s">
        <v>18</v>
      </c>
      <c r="F11" s="9">
        <v>4341</v>
      </c>
      <c r="G11" s="9">
        <v>141</v>
      </c>
      <c r="H11" s="9">
        <v>63</v>
      </c>
      <c r="I11" s="9">
        <v>50081</v>
      </c>
      <c r="J11" s="9">
        <v>27507</v>
      </c>
      <c r="K11" s="9">
        <v>221</v>
      </c>
      <c r="L11" s="16" t="s">
        <v>19</v>
      </c>
      <c r="M11" s="16" t="s">
        <v>364</v>
      </c>
      <c r="N11" s="16" t="s">
        <v>16</v>
      </c>
      <c r="O11" s="30">
        <f>Table15[[#This Row],[Likes]]+Table15[[#This Row],[Shares]]+Table15[[#This Row],[Comments]]</f>
        <v>4545</v>
      </c>
      <c r="P11"/>
    </row>
    <row r="12" spans="1:24">
      <c r="A12" s="1" t="s">
        <v>36</v>
      </c>
      <c r="B12" s="1" t="s">
        <v>22</v>
      </c>
      <c r="C12" s="5">
        <v>45357</v>
      </c>
      <c r="D12" s="16" t="s">
        <v>14</v>
      </c>
      <c r="E12" s="17" t="s">
        <v>15</v>
      </c>
      <c r="F12" s="9">
        <v>1971</v>
      </c>
      <c r="G12" s="9">
        <v>370</v>
      </c>
      <c r="H12" s="9">
        <v>306</v>
      </c>
      <c r="I12" s="9">
        <v>31316</v>
      </c>
      <c r="J12" s="9">
        <v>27897</v>
      </c>
      <c r="K12" s="9">
        <v>88</v>
      </c>
      <c r="L12" s="16" t="s">
        <v>37</v>
      </c>
      <c r="M12" s="16"/>
      <c r="N12" s="16" t="s">
        <v>20</v>
      </c>
      <c r="O12" s="30">
        <f>Table15[[#This Row],[Likes]]+Table15[[#This Row],[Shares]]+Table15[[#This Row],[Comments]]</f>
        <v>2647</v>
      </c>
      <c r="P12"/>
    </row>
    <row r="13" spans="1:24">
      <c r="A13" s="1" t="s">
        <v>32</v>
      </c>
      <c r="B13" s="1" t="s">
        <v>22</v>
      </c>
      <c r="C13" s="5">
        <v>45823</v>
      </c>
      <c r="D13" s="16" t="s">
        <v>14</v>
      </c>
      <c r="E13" s="17" t="s">
        <v>33</v>
      </c>
      <c r="F13" s="9">
        <v>4432</v>
      </c>
      <c r="G13" s="9">
        <v>223</v>
      </c>
      <c r="H13" s="9">
        <v>299</v>
      </c>
      <c r="I13" s="9">
        <v>59016</v>
      </c>
      <c r="J13" s="9">
        <v>21742</v>
      </c>
      <c r="K13" s="9">
        <v>171</v>
      </c>
      <c r="L13" s="16" t="s">
        <v>34</v>
      </c>
      <c r="M13" s="16"/>
      <c r="N13" s="16" t="s">
        <v>16</v>
      </c>
      <c r="O13" s="30">
        <f>Table15[[#This Row],[Likes]]+Table15[[#This Row],[Shares]]+Table15[[#This Row],[Comments]]</f>
        <v>4954</v>
      </c>
      <c r="P13"/>
    </row>
    <row r="14" spans="1:24">
      <c r="A14" s="1" t="s">
        <v>52</v>
      </c>
      <c r="B14" s="1" t="s">
        <v>13</v>
      </c>
      <c r="C14" s="5">
        <v>45823</v>
      </c>
      <c r="D14" s="16" t="s">
        <v>14</v>
      </c>
      <c r="E14" s="17" t="s">
        <v>362</v>
      </c>
      <c r="F14" s="9">
        <v>4896</v>
      </c>
      <c r="G14" s="9">
        <v>466</v>
      </c>
      <c r="H14" s="9">
        <v>233</v>
      </c>
      <c r="I14" s="9">
        <v>28621</v>
      </c>
      <c r="J14" s="9">
        <v>34270</v>
      </c>
      <c r="K14" s="9">
        <v>84</v>
      </c>
      <c r="L14" s="16" t="s">
        <v>37</v>
      </c>
      <c r="M14" s="16" t="s">
        <v>34</v>
      </c>
      <c r="N14" s="16" t="s">
        <v>16</v>
      </c>
      <c r="O14" s="30">
        <f>Table15[[#This Row],[Likes]]+Table15[[#This Row],[Shares]]+Table15[[#This Row],[Comments]]</f>
        <v>5595</v>
      </c>
      <c r="P14"/>
    </row>
    <row r="15" spans="1:24">
      <c r="A15" s="1" t="s">
        <v>268</v>
      </c>
      <c r="B15" s="1" t="s">
        <v>13</v>
      </c>
      <c r="C15" s="5">
        <v>45823</v>
      </c>
      <c r="D15" s="16" t="s">
        <v>14</v>
      </c>
      <c r="E15" s="17" t="s">
        <v>18</v>
      </c>
      <c r="F15" s="9">
        <v>2478</v>
      </c>
      <c r="G15" s="9">
        <v>427</v>
      </c>
      <c r="H15" s="9">
        <v>242</v>
      </c>
      <c r="I15" s="9">
        <v>59272</v>
      </c>
      <c r="J15" s="9">
        <v>37833</v>
      </c>
      <c r="K15" s="9">
        <v>214</v>
      </c>
      <c r="L15" s="16" t="s">
        <v>37</v>
      </c>
      <c r="M15" s="16" t="s">
        <v>34</v>
      </c>
      <c r="N15" s="16" t="s">
        <v>16</v>
      </c>
      <c r="O15" s="30">
        <f>Table15[[#This Row],[Likes]]+Table15[[#This Row],[Shares]]+Table15[[#This Row],[Comments]]</f>
        <v>3147</v>
      </c>
      <c r="P15"/>
    </row>
    <row r="16" spans="1:24">
      <c r="A16" s="1" t="s">
        <v>183</v>
      </c>
      <c r="B16" s="1" t="s">
        <v>22</v>
      </c>
      <c r="C16" s="5">
        <v>45819</v>
      </c>
      <c r="D16" s="16" t="s">
        <v>23</v>
      </c>
      <c r="E16" s="17" t="s">
        <v>18</v>
      </c>
      <c r="F16" s="9">
        <v>3805</v>
      </c>
      <c r="G16" s="9">
        <v>453</v>
      </c>
      <c r="H16" s="9">
        <v>63</v>
      </c>
      <c r="I16" s="9">
        <v>52395</v>
      </c>
      <c r="J16" s="9">
        <v>72934</v>
      </c>
      <c r="K16" s="9">
        <v>87</v>
      </c>
      <c r="L16" s="16" t="s">
        <v>19</v>
      </c>
      <c r="M16" s="16" t="s">
        <v>364</v>
      </c>
      <c r="N16" s="16" t="s">
        <v>16</v>
      </c>
      <c r="O16" s="30">
        <f>Table15[[#This Row],[Likes]]+Table15[[#This Row],[Shares]]+Table15[[#This Row],[Comments]]</f>
        <v>4321</v>
      </c>
      <c r="P16"/>
    </row>
    <row r="17" spans="1:16">
      <c r="A17" s="1" t="s">
        <v>70</v>
      </c>
      <c r="B17" s="1" t="s">
        <v>22</v>
      </c>
      <c r="C17" s="5">
        <v>45818</v>
      </c>
      <c r="D17" s="16" t="s">
        <v>14</v>
      </c>
      <c r="E17" s="17" t="s">
        <v>18</v>
      </c>
      <c r="F17" s="9">
        <v>3615</v>
      </c>
      <c r="G17" s="9">
        <v>192</v>
      </c>
      <c r="H17" s="9">
        <v>162</v>
      </c>
      <c r="I17" s="9">
        <v>27492</v>
      </c>
      <c r="J17" s="9">
        <v>35341</v>
      </c>
      <c r="K17" s="9">
        <v>125</v>
      </c>
      <c r="L17" s="16" t="s">
        <v>34</v>
      </c>
      <c r="M17" s="16"/>
      <c r="N17" s="16" t="s">
        <v>16</v>
      </c>
      <c r="O17" s="30">
        <f>Table15[[#This Row],[Likes]]+Table15[[#This Row],[Shares]]+Table15[[#This Row],[Comments]]</f>
        <v>3969</v>
      </c>
      <c r="P17"/>
    </row>
    <row r="18" spans="1:16">
      <c r="A18" s="1" t="s">
        <v>247</v>
      </c>
      <c r="B18" s="1" t="s">
        <v>13</v>
      </c>
      <c r="C18" s="5">
        <v>45808</v>
      </c>
      <c r="D18" s="16" t="s">
        <v>14</v>
      </c>
      <c r="E18" s="17" t="s">
        <v>362</v>
      </c>
      <c r="F18" s="9">
        <v>2169</v>
      </c>
      <c r="G18" s="9">
        <v>240</v>
      </c>
      <c r="H18" s="9">
        <v>57</v>
      </c>
      <c r="I18" s="9">
        <v>26109</v>
      </c>
      <c r="J18" s="9">
        <v>46667</v>
      </c>
      <c r="K18" s="9">
        <v>133</v>
      </c>
      <c r="L18" s="16" t="s">
        <v>37</v>
      </c>
      <c r="M18" s="16" t="s">
        <v>34</v>
      </c>
      <c r="N18" s="16" t="s">
        <v>16</v>
      </c>
      <c r="O18" s="30">
        <f>Table15[[#This Row],[Likes]]+Table15[[#This Row],[Shares]]+Table15[[#This Row],[Comments]]</f>
        <v>2466</v>
      </c>
      <c r="P18"/>
    </row>
    <row r="19" spans="1:16">
      <c r="A19" s="1" t="s">
        <v>45</v>
      </c>
      <c r="B19" s="1" t="s">
        <v>13</v>
      </c>
      <c r="C19" s="5">
        <v>45325</v>
      </c>
      <c r="D19" s="16" t="s">
        <v>23</v>
      </c>
      <c r="E19" s="17" t="s">
        <v>361</v>
      </c>
      <c r="F19" s="9">
        <v>4281</v>
      </c>
      <c r="G19" s="9">
        <v>101</v>
      </c>
      <c r="H19" s="9">
        <v>163</v>
      </c>
      <c r="I19" s="9">
        <v>32278</v>
      </c>
      <c r="J19" s="9">
        <v>53382</v>
      </c>
      <c r="K19" s="9">
        <v>235</v>
      </c>
      <c r="L19" s="16" t="s">
        <v>34</v>
      </c>
      <c r="M19" s="16"/>
      <c r="N19" s="16" t="s">
        <v>46</v>
      </c>
      <c r="O19" s="30">
        <f>Table15[[#This Row],[Likes]]+Table15[[#This Row],[Shares]]+Table15[[#This Row],[Comments]]</f>
        <v>4545</v>
      </c>
      <c r="P19"/>
    </row>
    <row r="20" spans="1:16">
      <c r="A20" s="1" t="s">
        <v>47</v>
      </c>
      <c r="B20" s="1" t="s">
        <v>27</v>
      </c>
      <c r="C20" s="5">
        <v>45458</v>
      </c>
      <c r="D20" s="16" t="s">
        <v>48</v>
      </c>
      <c r="E20" s="17" t="s">
        <v>30</v>
      </c>
      <c r="F20" s="9">
        <v>1751</v>
      </c>
      <c r="G20" s="9">
        <v>143</v>
      </c>
      <c r="H20" s="9">
        <v>151</v>
      </c>
      <c r="I20" s="9">
        <v>31826</v>
      </c>
      <c r="J20" s="9">
        <v>47729</v>
      </c>
      <c r="K20" s="9">
        <v>95</v>
      </c>
      <c r="L20" s="16" t="s">
        <v>19</v>
      </c>
      <c r="M20" s="16" t="s">
        <v>37</v>
      </c>
      <c r="N20" s="16" t="s">
        <v>49</v>
      </c>
      <c r="O20" s="30">
        <f>Table15[[#This Row],[Likes]]+Table15[[#This Row],[Shares]]+Table15[[#This Row],[Comments]]</f>
        <v>2045</v>
      </c>
      <c r="P20"/>
    </row>
    <row r="21" spans="1:16">
      <c r="A21" s="1" t="s">
        <v>50</v>
      </c>
      <c r="B21" s="1" t="s">
        <v>13</v>
      </c>
      <c r="C21" s="5">
        <v>45478</v>
      </c>
      <c r="D21" s="16" t="s">
        <v>14</v>
      </c>
      <c r="E21" s="17" t="s">
        <v>42</v>
      </c>
      <c r="F21" s="9">
        <v>3753</v>
      </c>
      <c r="G21" s="9">
        <v>411</v>
      </c>
      <c r="H21" s="9">
        <v>308</v>
      </c>
      <c r="I21" s="9">
        <v>29138</v>
      </c>
      <c r="J21" s="9">
        <v>27678</v>
      </c>
      <c r="K21" s="9">
        <v>90</v>
      </c>
      <c r="L21" s="16" t="s">
        <v>19</v>
      </c>
      <c r="M21" s="16"/>
      <c r="N21" s="16" t="s">
        <v>20</v>
      </c>
      <c r="O21" s="30">
        <f>Table15[[#This Row],[Likes]]+Table15[[#This Row],[Shares]]+Table15[[#This Row],[Comments]]</f>
        <v>4472</v>
      </c>
      <c r="P21"/>
    </row>
    <row r="22" spans="1:16" ht="30">
      <c r="A22" s="1" t="s">
        <v>51</v>
      </c>
      <c r="B22" s="1" t="s">
        <v>13</v>
      </c>
      <c r="C22" s="5">
        <v>45603</v>
      </c>
      <c r="D22" s="16" t="s">
        <v>23</v>
      </c>
      <c r="E22" s="17" t="s">
        <v>360</v>
      </c>
      <c r="F22" s="9">
        <v>1678</v>
      </c>
      <c r="G22" s="9">
        <v>423</v>
      </c>
      <c r="H22" s="9">
        <v>323</v>
      </c>
      <c r="I22" s="9">
        <v>55668</v>
      </c>
      <c r="J22" s="9">
        <v>37945</v>
      </c>
      <c r="K22" s="9">
        <v>230</v>
      </c>
      <c r="L22" s="16" t="s">
        <v>34</v>
      </c>
      <c r="M22" s="16"/>
      <c r="N22" s="16" t="s">
        <v>46</v>
      </c>
      <c r="O22" s="30">
        <f>Table15[[#This Row],[Likes]]+Table15[[#This Row],[Shares]]+Table15[[#This Row],[Comments]]</f>
        <v>2424</v>
      </c>
    </row>
    <row r="23" spans="1:16">
      <c r="A23" s="1" t="s">
        <v>149</v>
      </c>
      <c r="B23" s="1" t="s">
        <v>22</v>
      </c>
      <c r="C23" s="5">
        <v>45806</v>
      </c>
      <c r="D23" s="16" t="s">
        <v>23</v>
      </c>
      <c r="E23" s="17" t="s">
        <v>361</v>
      </c>
      <c r="F23" s="9">
        <v>2134</v>
      </c>
      <c r="G23" s="9">
        <v>322</v>
      </c>
      <c r="H23" s="9">
        <v>114</v>
      </c>
      <c r="I23" s="9">
        <v>44338</v>
      </c>
      <c r="J23" s="9">
        <v>52165</v>
      </c>
      <c r="K23" s="9">
        <v>176</v>
      </c>
      <c r="L23" s="16" t="s">
        <v>364</v>
      </c>
      <c r="M23" s="16" t="s">
        <v>34</v>
      </c>
      <c r="N23" s="16" t="s">
        <v>16</v>
      </c>
      <c r="O23" s="30">
        <f>Table15[[#This Row],[Likes]]+Table15[[#This Row],[Shares]]+Table15[[#This Row],[Comments]]</f>
        <v>2570</v>
      </c>
    </row>
    <row r="24" spans="1:16">
      <c r="A24" s="1" t="s">
        <v>53</v>
      </c>
      <c r="B24" s="1" t="s">
        <v>27</v>
      </c>
      <c r="C24" s="5">
        <v>45452</v>
      </c>
      <c r="D24" s="16" t="s">
        <v>48</v>
      </c>
      <c r="E24" s="17" t="s">
        <v>363</v>
      </c>
      <c r="F24" s="9">
        <v>2786</v>
      </c>
      <c r="G24" s="9">
        <v>368</v>
      </c>
      <c r="H24" s="9">
        <v>208</v>
      </c>
      <c r="I24" s="9">
        <v>42000</v>
      </c>
      <c r="J24" s="9">
        <v>39967</v>
      </c>
      <c r="K24" s="9">
        <v>103</v>
      </c>
      <c r="L24" s="16" t="s">
        <v>19</v>
      </c>
      <c r="M24" s="16" t="s">
        <v>37</v>
      </c>
      <c r="N24" s="16" t="s">
        <v>49</v>
      </c>
      <c r="O24" s="30">
        <f>Table15[[#This Row],[Likes]]+Table15[[#This Row],[Shares]]+Table15[[#This Row],[Comments]]</f>
        <v>3362</v>
      </c>
    </row>
    <row r="25" spans="1:16">
      <c r="A25" s="1" t="s">
        <v>54</v>
      </c>
      <c r="B25" s="1" t="s">
        <v>22</v>
      </c>
      <c r="C25" s="5">
        <v>45583</v>
      </c>
      <c r="D25" s="16" t="s">
        <v>14</v>
      </c>
      <c r="E25" s="17" t="s">
        <v>24</v>
      </c>
      <c r="F25" s="9">
        <v>2607</v>
      </c>
      <c r="G25" s="9">
        <v>379</v>
      </c>
      <c r="H25" s="9">
        <v>180</v>
      </c>
      <c r="I25" s="9">
        <v>28712</v>
      </c>
      <c r="J25" s="9">
        <v>61620</v>
      </c>
      <c r="K25" s="9">
        <v>174</v>
      </c>
      <c r="L25" s="16" t="s">
        <v>37</v>
      </c>
      <c r="M25" s="16"/>
      <c r="N25" s="16" t="s">
        <v>20</v>
      </c>
      <c r="O25" s="30">
        <f>Table15[[#This Row],[Likes]]+Table15[[#This Row],[Shares]]+Table15[[#This Row],[Comments]]</f>
        <v>3166</v>
      </c>
    </row>
    <row r="26" spans="1:16">
      <c r="A26" s="1" t="s">
        <v>55</v>
      </c>
      <c r="B26" s="1" t="s">
        <v>27</v>
      </c>
      <c r="C26" s="5">
        <v>45575</v>
      </c>
      <c r="D26" s="16" t="s">
        <v>48</v>
      </c>
      <c r="E26" s="17" t="s">
        <v>363</v>
      </c>
      <c r="F26" s="9">
        <v>4013</v>
      </c>
      <c r="G26" s="9">
        <v>320</v>
      </c>
      <c r="H26" s="9">
        <v>92</v>
      </c>
      <c r="I26" s="9">
        <v>54605</v>
      </c>
      <c r="J26" s="9">
        <v>60169</v>
      </c>
      <c r="K26" s="9">
        <v>232</v>
      </c>
      <c r="L26" s="16" t="s">
        <v>19</v>
      </c>
      <c r="M26" s="16" t="s">
        <v>37</v>
      </c>
      <c r="N26" s="16" t="s">
        <v>49</v>
      </c>
      <c r="O26" s="30">
        <f>Table15[[#This Row],[Likes]]+Table15[[#This Row],[Shares]]+Table15[[#This Row],[Comments]]</f>
        <v>4425</v>
      </c>
    </row>
    <row r="27" spans="1:16">
      <c r="A27" s="1" t="s">
        <v>107</v>
      </c>
      <c r="B27" s="1" t="s">
        <v>22</v>
      </c>
      <c r="C27" s="5">
        <v>45805</v>
      </c>
      <c r="D27" s="16" t="s">
        <v>14</v>
      </c>
      <c r="E27" s="17" t="s">
        <v>363</v>
      </c>
      <c r="F27" s="9">
        <v>2418</v>
      </c>
      <c r="G27" s="9">
        <v>161</v>
      </c>
      <c r="H27" s="9">
        <v>360</v>
      </c>
      <c r="I27" s="9">
        <v>30589</v>
      </c>
      <c r="J27" s="9">
        <v>41383</v>
      </c>
      <c r="K27" s="9">
        <v>88</v>
      </c>
      <c r="L27" s="16" t="s">
        <v>34</v>
      </c>
      <c r="M27" s="16"/>
      <c r="N27" s="16" t="s">
        <v>16</v>
      </c>
      <c r="O27" s="30">
        <f>Table15[[#This Row],[Likes]]+Table15[[#This Row],[Shares]]+Table15[[#This Row],[Comments]]</f>
        <v>2939</v>
      </c>
    </row>
    <row r="28" spans="1:16">
      <c r="A28" s="1" t="s">
        <v>175</v>
      </c>
      <c r="B28" s="1" t="s">
        <v>22</v>
      </c>
      <c r="C28" s="5">
        <v>45805</v>
      </c>
      <c r="D28" s="16" t="s">
        <v>23</v>
      </c>
      <c r="E28" s="17" t="s">
        <v>33</v>
      </c>
      <c r="F28" s="9">
        <v>4287</v>
      </c>
      <c r="G28" s="9">
        <v>273</v>
      </c>
      <c r="H28" s="9">
        <v>122</v>
      </c>
      <c r="I28" s="9">
        <v>40792</v>
      </c>
      <c r="J28" s="9">
        <v>23878</v>
      </c>
      <c r="K28" s="9">
        <v>277</v>
      </c>
      <c r="L28" s="16" t="s">
        <v>364</v>
      </c>
      <c r="M28" s="16" t="s">
        <v>34</v>
      </c>
      <c r="N28" s="16" t="s">
        <v>16</v>
      </c>
      <c r="O28" s="30">
        <f>Table15[[#This Row],[Likes]]+Table15[[#This Row],[Shares]]+Table15[[#This Row],[Comments]]</f>
        <v>4682</v>
      </c>
    </row>
    <row r="29" spans="1:16">
      <c r="A29" s="1" t="s">
        <v>58</v>
      </c>
      <c r="B29" s="1" t="s">
        <v>27</v>
      </c>
      <c r="C29" s="5">
        <v>45356</v>
      </c>
      <c r="D29" s="16" t="s">
        <v>48</v>
      </c>
      <c r="E29" s="17" t="s">
        <v>18</v>
      </c>
      <c r="F29" s="9">
        <v>3558</v>
      </c>
      <c r="G29" s="9">
        <v>314</v>
      </c>
      <c r="H29" s="9">
        <v>199</v>
      </c>
      <c r="I29" s="9">
        <v>49612</v>
      </c>
      <c r="J29" s="9">
        <v>53929</v>
      </c>
      <c r="K29" s="9">
        <v>206</v>
      </c>
      <c r="L29" s="16" t="s">
        <v>19</v>
      </c>
      <c r="M29" s="16" t="s">
        <v>37</v>
      </c>
      <c r="N29" s="16" t="s">
        <v>49</v>
      </c>
      <c r="O29" s="30">
        <f>Table15[[#This Row],[Likes]]+Table15[[#This Row],[Shares]]+Table15[[#This Row],[Comments]]</f>
        <v>4071</v>
      </c>
    </row>
    <row r="30" spans="1:16">
      <c r="A30" s="1" t="s">
        <v>67</v>
      </c>
      <c r="B30" s="1" t="s">
        <v>22</v>
      </c>
      <c r="C30" s="5">
        <v>45804</v>
      </c>
      <c r="D30" s="16" t="s">
        <v>23</v>
      </c>
      <c r="E30" s="17" t="s">
        <v>18</v>
      </c>
      <c r="F30" s="9">
        <v>4095</v>
      </c>
      <c r="G30" s="9">
        <v>385</v>
      </c>
      <c r="H30" s="9">
        <v>400</v>
      </c>
      <c r="I30" s="9">
        <v>45300</v>
      </c>
      <c r="J30" s="9">
        <v>31795</v>
      </c>
      <c r="K30" s="9">
        <v>80</v>
      </c>
      <c r="L30" s="16" t="s">
        <v>364</v>
      </c>
      <c r="M30" s="16" t="s">
        <v>34</v>
      </c>
      <c r="N30" s="16" t="s">
        <v>16</v>
      </c>
      <c r="O30" s="30">
        <f>Table15[[#This Row],[Likes]]+Table15[[#This Row],[Shares]]+Table15[[#This Row],[Comments]]</f>
        <v>4880</v>
      </c>
    </row>
    <row r="31" spans="1:16">
      <c r="A31" s="1" t="s">
        <v>164</v>
      </c>
      <c r="B31" s="1" t="s">
        <v>22</v>
      </c>
      <c r="C31" s="5">
        <v>45792</v>
      </c>
      <c r="D31" s="16" t="s">
        <v>14</v>
      </c>
      <c r="E31" s="17" t="s">
        <v>24</v>
      </c>
      <c r="F31" s="9">
        <v>1583</v>
      </c>
      <c r="G31" s="9">
        <v>433</v>
      </c>
      <c r="H31" s="9">
        <v>249</v>
      </c>
      <c r="I31" s="9">
        <v>30256</v>
      </c>
      <c r="J31" s="9">
        <v>47066</v>
      </c>
      <c r="K31" s="9">
        <v>196</v>
      </c>
      <c r="L31" s="16" t="s">
        <v>34</v>
      </c>
      <c r="M31" s="16"/>
      <c r="N31" s="16" t="s">
        <v>16</v>
      </c>
      <c r="O31" s="30">
        <f>Table15[[#This Row],[Likes]]+Table15[[#This Row],[Shares]]+Table15[[#This Row],[Comments]]</f>
        <v>2265</v>
      </c>
    </row>
    <row r="32" spans="1:16">
      <c r="A32" s="1" t="s">
        <v>280</v>
      </c>
      <c r="B32" s="1" t="s">
        <v>22</v>
      </c>
      <c r="C32" s="5">
        <v>45792</v>
      </c>
      <c r="D32" s="16" t="s">
        <v>14</v>
      </c>
      <c r="E32" s="17" t="s">
        <v>42</v>
      </c>
      <c r="F32" s="9">
        <v>4782</v>
      </c>
      <c r="G32" s="9">
        <v>210</v>
      </c>
      <c r="H32" s="9">
        <v>311</v>
      </c>
      <c r="I32" s="9">
        <v>29793</v>
      </c>
      <c r="J32" s="9">
        <v>37543</v>
      </c>
      <c r="K32" s="9">
        <v>145</v>
      </c>
      <c r="L32" s="16" t="s">
        <v>34</v>
      </c>
      <c r="M32" s="16"/>
      <c r="N32" s="16" t="s">
        <v>16</v>
      </c>
      <c r="O32" s="30">
        <f>Table15[[#This Row],[Likes]]+Table15[[#This Row],[Shares]]+Table15[[#This Row],[Comments]]</f>
        <v>5303</v>
      </c>
    </row>
    <row r="33" spans="1:15">
      <c r="A33" s="1" t="s">
        <v>56</v>
      </c>
      <c r="B33" s="1" t="s">
        <v>22</v>
      </c>
      <c r="C33" s="5">
        <v>45791</v>
      </c>
      <c r="D33" s="16" t="s">
        <v>23</v>
      </c>
      <c r="E33" s="17" t="s">
        <v>363</v>
      </c>
      <c r="F33" s="9">
        <v>2707</v>
      </c>
      <c r="G33" s="9">
        <v>103</v>
      </c>
      <c r="H33" s="9">
        <v>51</v>
      </c>
      <c r="I33" s="9">
        <v>55302</v>
      </c>
      <c r="J33" s="9">
        <v>18801</v>
      </c>
      <c r="K33" s="9">
        <v>147</v>
      </c>
      <c r="L33" s="16" t="s">
        <v>19</v>
      </c>
      <c r="M33" s="16" t="s">
        <v>364</v>
      </c>
      <c r="N33" s="16" t="s">
        <v>16</v>
      </c>
      <c r="O33" s="30">
        <f>Table15[[#This Row],[Likes]]+Table15[[#This Row],[Shares]]+Table15[[#This Row],[Comments]]</f>
        <v>2861</v>
      </c>
    </row>
    <row r="34" spans="1:15" ht="30">
      <c r="A34" s="1" t="s">
        <v>116</v>
      </c>
      <c r="B34" s="1" t="s">
        <v>22</v>
      </c>
      <c r="C34" s="5">
        <v>45791</v>
      </c>
      <c r="D34" s="16" t="s">
        <v>23</v>
      </c>
      <c r="E34" s="17" t="s">
        <v>360</v>
      </c>
      <c r="F34" s="9">
        <v>1371</v>
      </c>
      <c r="G34" s="9">
        <v>139</v>
      </c>
      <c r="H34" s="9">
        <v>96</v>
      </c>
      <c r="I34" s="9">
        <v>36140</v>
      </c>
      <c r="J34" s="9">
        <v>39395</v>
      </c>
      <c r="K34" s="9">
        <v>169</v>
      </c>
      <c r="L34" s="16" t="s">
        <v>37</v>
      </c>
      <c r="M34" s="16" t="s">
        <v>34</v>
      </c>
      <c r="N34" s="16" t="s">
        <v>16</v>
      </c>
      <c r="O34" s="30">
        <f>Table15[[#This Row],[Likes]]+Table15[[#This Row],[Shares]]+Table15[[#This Row],[Comments]]</f>
        <v>1606</v>
      </c>
    </row>
    <row r="35" spans="1:15">
      <c r="A35" s="1" t="s">
        <v>251</v>
      </c>
      <c r="B35" s="1" t="s">
        <v>22</v>
      </c>
      <c r="C35" s="5">
        <v>45786</v>
      </c>
      <c r="D35" s="16" t="s">
        <v>23</v>
      </c>
      <c r="E35" s="17" t="s">
        <v>361</v>
      </c>
      <c r="F35" s="9">
        <v>2778</v>
      </c>
      <c r="G35" s="9">
        <v>241</v>
      </c>
      <c r="H35" s="9">
        <v>317</v>
      </c>
      <c r="I35" s="9">
        <v>26247</v>
      </c>
      <c r="J35" s="9">
        <v>20677</v>
      </c>
      <c r="K35" s="9">
        <v>282</v>
      </c>
      <c r="L35" s="16" t="s">
        <v>364</v>
      </c>
      <c r="M35" s="16" t="s">
        <v>34</v>
      </c>
      <c r="N35" s="16" t="s">
        <v>16</v>
      </c>
      <c r="O35" s="30">
        <f>Table15[[#This Row],[Likes]]+Table15[[#This Row],[Shares]]+Table15[[#This Row],[Comments]]</f>
        <v>3336</v>
      </c>
    </row>
    <row r="36" spans="1:15">
      <c r="A36" s="1" t="s">
        <v>65</v>
      </c>
      <c r="B36" s="1" t="s">
        <v>22</v>
      </c>
      <c r="C36" s="5">
        <v>45785</v>
      </c>
      <c r="D36" s="16" t="s">
        <v>23</v>
      </c>
      <c r="E36" s="17" t="s">
        <v>42</v>
      </c>
      <c r="F36" s="9">
        <v>3316</v>
      </c>
      <c r="G36" s="9">
        <v>332</v>
      </c>
      <c r="H36" s="9">
        <v>268</v>
      </c>
      <c r="I36" s="9">
        <v>40095</v>
      </c>
      <c r="J36" s="9">
        <v>36913</v>
      </c>
      <c r="K36" s="9">
        <v>265</v>
      </c>
      <c r="L36" s="16" t="s">
        <v>364</v>
      </c>
      <c r="M36" s="16" t="s">
        <v>34</v>
      </c>
      <c r="N36" s="16" t="s">
        <v>16</v>
      </c>
      <c r="O36" s="30">
        <f>Table15[[#This Row],[Likes]]+Table15[[#This Row],[Shares]]+Table15[[#This Row],[Comments]]</f>
        <v>3916</v>
      </c>
    </row>
    <row r="37" spans="1:15" ht="30">
      <c r="A37" s="1" t="s">
        <v>66</v>
      </c>
      <c r="B37" s="1" t="s">
        <v>13</v>
      </c>
      <c r="C37" s="5">
        <v>45416</v>
      </c>
      <c r="D37" s="16" t="s">
        <v>14</v>
      </c>
      <c r="E37" s="17" t="s">
        <v>360</v>
      </c>
      <c r="F37" s="9">
        <v>2274</v>
      </c>
      <c r="G37" s="9">
        <v>243</v>
      </c>
      <c r="H37" s="9">
        <v>222</v>
      </c>
      <c r="I37" s="9">
        <v>43066</v>
      </c>
      <c r="J37" s="9">
        <v>59174</v>
      </c>
      <c r="K37" s="9">
        <v>80</v>
      </c>
      <c r="L37" s="16" t="s">
        <v>19</v>
      </c>
      <c r="M37" s="16"/>
      <c r="N37" s="16" t="s">
        <v>20</v>
      </c>
      <c r="O37" s="30">
        <f>Table15[[#This Row],[Likes]]+Table15[[#This Row],[Shares]]+Table15[[#This Row],[Comments]]</f>
        <v>2739</v>
      </c>
    </row>
    <row r="38" spans="1:15">
      <c r="A38" s="1" t="s">
        <v>12</v>
      </c>
      <c r="B38" s="1" t="s">
        <v>13</v>
      </c>
      <c r="C38" s="5">
        <v>45781</v>
      </c>
      <c r="D38" s="16" t="s">
        <v>14</v>
      </c>
      <c r="E38" s="17" t="s">
        <v>15</v>
      </c>
      <c r="F38" s="9">
        <v>2414</v>
      </c>
      <c r="G38" s="9">
        <v>245</v>
      </c>
      <c r="H38" s="9">
        <v>137</v>
      </c>
      <c r="I38" s="9">
        <v>21181</v>
      </c>
      <c r="J38" s="9">
        <v>45292</v>
      </c>
      <c r="K38" s="9">
        <v>133</v>
      </c>
      <c r="L38" s="16" t="s">
        <v>37</v>
      </c>
      <c r="M38" s="16" t="s">
        <v>34</v>
      </c>
      <c r="N38" s="16" t="s">
        <v>16</v>
      </c>
      <c r="O38" s="30">
        <f>Table15[[#This Row],[Likes]]+Table15[[#This Row],[Shares]]+Table15[[#This Row],[Comments]]</f>
        <v>2796</v>
      </c>
    </row>
    <row r="39" spans="1:15">
      <c r="A39" s="1" t="s">
        <v>68</v>
      </c>
      <c r="B39" s="1" t="s">
        <v>13</v>
      </c>
      <c r="C39" s="5">
        <v>45545</v>
      </c>
      <c r="D39" s="16" t="s">
        <v>23</v>
      </c>
      <c r="E39" s="17" t="s">
        <v>24</v>
      </c>
      <c r="F39" s="9">
        <v>1230</v>
      </c>
      <c r="G39" s="9">
        <v>309</v>
      </c>
      <c r="H39" s="9">
        <v>207</v>
      </c>
      <c r="I39" s="9">
        <v>44629</v>
      </c>
      <c r="J39" s="9">
        <v>40699</v>
      </c>
      <c r="K39" s="9">
        <v>195</v>
      </c>
      <c r="L39" s="16" t="s">
        <v>34</v>
      </c>
      <c r="M39" s="16"/>
      <c r="N39" s="16" t="s">
        <v>46</v>
      </c>
      <c r="O39" s="30">
        <f>Table15[[#This Row],[Likes]]+Table15[[#This Row],[Shares]]+Table15[[#This Row],[Comments]]</f>
        <v>1746</v>
      </c>
    </row>
    <row r="40" spans="1:15">
      <c r="A40" s="1" t="s">
        <v>69</v>
      </c>
      <c r="B40" s="1" t="s">
        <v>13</v>
      </c>
      <c r="C40" s="5">
        <v>45621</v>
      </c>
      <c r="D40" s="16" t="s">
        <v>14</v>
      </c>
      <c r="E40" s="17" t="s">
        <v>363</v>
      </c>
      <c r="F40" s="9">
        <v>1341</v>
      </c>
      <c r="G40" s="9">
        <v>472</v>
      </c>
      <c r="H40" s="9">
        <v>238</v>
      </c>
      <c r="I40" s="9">
        <v>51386</v>
      </c>
      <c r="J40" s="9">
        <v>51706</v>
      </c>
      <c r="K40" s="9">
        <v>133</v>
      </c>
      <c r="L40" s="16" t="s">
        <v>19</v>
      </c>
      <c r="M40" s="16"/>
      <c r="N40" s="16" t="s">
        <v>20</v>
      </c>
      <c r="O40" s="30">
        <f>Table15[[#This Row],[Likes]]+Table15[[#This Row],[Shares]]+Table15[[#This Row],[Comments]]</f>
        <v>2051</v>
      </c>
    </row>
    <row r="41" spans="1:15">
      <c r="A41" s="1" t="s">
        <v>240</v>
      </c>
      <c r="B41" s="1" t="s">
        <v>22</v>
      </c>
      <c r="C41" s="5">
        <v>45780</v>
      </c>
      <c r="D41" s="16" t="s">
        <v>23</v>
      </c>
      <c r="E41" s="17" t="s">
        <v>33</v>
      </c>
      <c r="F41" s="9">
        <v>1010</v>
      </c>
      <c r="G41" s="9">
        <v>361</v>
      </c>
      <c r="H41" s="9">
        <v>240</v>
      </c>
      <c r="I41" s="9">
        <v>47229</v>
      </c>
      <c r="J41" s="9">
        <v>72573</v>
      </c>
      <c r="K41" s="9">
        <v>275</v>
      </c>
      <c r="L41" s="16" t="s">
        <v>37</v>
      </c>
      <c r="M41" s="16" t="s">
        <v>34</v>
      </c>
      <c r="N41" s="16" t="s">
        <v>16</v>
      </c>
      <c r="O41" s="30">
        <f>Table15[[#This Row],[Likes]]+Table15[[#This Row],[Shares]]+Table15[[#This Row],[Comments]]</f>
        <v>1611</v>
      </c>
    </row>
    <row r="42" spans="1:15" ht="30">
      <c r="A42" s="1" t="s">
        <v>210</v>
      </c>
      <c r="B42" s="1" t="s">
        <v>22</v>
      </c>
      <c r="C42" s="5">
        <v>45777</v>
      </c>
      <c r="D42" s="16" t="s">
        <v>23</v>
      </c>
      <c r="E42" s="17" t="s">
        <v>360</v>
      </c>
      <c r="F42" s="9">
        <v>3929</v>
      </c>
      <c r="G42" s="9">
        <v>275</v>
      </c>
      <c r="H42" s="9">
        <v>330</v>
      </c>
      <c r="I42" s="9">
        <v>58329</v>
      </c>
      <c r="J42" s="9">
        <v>33196</v>
      </c>
      <c r="K42" s="9">
        <v>85</v>
      </c>
      <c r="L42" s="16" t="s">
        <v>364</v>
      </c>
      <c r="M42" s="16" t="s">
        <v>34</v>
      </c>
      <c r="N42" s="16" t="s">
        <v>16</v>
      </c>
      <c r="O42" s="30">
        <f>Table15[[#This Row],[Likes]]+Table15[[#This Row],[Shares]]+Table15[[#This Row],[Comments]]</f>
        <v>4534</v>
      </c>
    </row>
    <row r="43" spans="1:15">
      <c r="A43" s="1" t="s">
        <v>301</v>
      </c>
      <c r="B43" s="1" t="s">
        <v>22</v>
      </c>
      <c r="C43" s="5">
        <v>45693</v>
      </c>
      <c r="D43" s="16" t="s">
        <v>23</v>
      </c>
      <c r="E43" s="17" t="s">
        <v>15</v>
      </c>
      <c r="F43" s="9">
        <v>3029</v>
      </c>
      <c r="G43" s="9">
        <v>440</v>
      </c>
      <c r="H43" s="9">
        <v>66</v>
      </c>
      <c r="I43" s="9">
        <v>23815</v>
      </c>
      <c r="J43" s="9">
        <v>47895</v>
      </c>
      <c r="K43" s="9">
        <v>210</v>
      </c>
      <c r="L43" s="16" t="s">
        <v>19</v>
      </c>
      <c r="M43" s="16" t="s">
        <v>364</v>
      </c>
      <c r="N43" s="16" t="s">
        <v>16</v>
      </c>
      <c r="O43" s="30">
        <f>Table15[[#This Row],[Likes]]+Table15[[#This Row],[Shares]]+Table15[[#This Row],[Comments]]</f>
        <v>3535</v>
      </c>
    </row>
    <row r="44" spans="1:15">
      <c r="A44" s="1" t="s">
        <v>60</v>
      </c>
      <c r="B44" s="1" t="s">
        <v>22</v>
      </c>
      <c r="C44" s="5">
        <v>45773</v>
      </c>
      <c r="D44" s="16" t="s">
        <v>14</v>
      </c>
      <c r="E44" s="17" t="s">
        <v>15</v>
      </c>
      <c r="F44" s="9">
        <v>2411</v>
      </c>
      <c r="G44" s="9">
        <v>194</v>
      </c>
      <c r="H44" s="9">
        <v>168</v>
      </c>
      <c r="I44" s="9">
        <v>26665</v>
      </c>
      <c r="J44" s="9">
        <v>71699</v>
      </c>
      <c r="K44" s="9">
        <v>197</v>
      </c>
      <c r="L44" s="16" t="s">
        <v>34</v>
      </c>
      <c r="M44" s="16"/>
      <c r="N44" s="16" t="s">
        <v>16</v>
      </c>
      <c r="O44" s="30">
        <f>Table15[[#This Row],[Likes]]+Table15[[#This Row],[Shares]]+Table15[[#This Row],[Comments]]</f>
        <v>2773</v>
      </c>
    </row>
    <row r="45" spans="1:15">
      <c r="A45" s="1" t="s">
        <v>74</v>
      </c>
      <c r="B45" s="1" t="s">
        <v>13</v>
      </c>
      <c r="C45" s="5">
        <v>45541</v>
      </c>
      <c r="D45" s="16" t="s">
        <v>14</v>
      </c>
      <c r="E45" s="17" t="s">
        <v>24</v>
      </c>
      <c r="F45" s="9">
        <v>1452</v>
      </c>
      <c r="G45" s="9">
        <v>281</v>
      </c>
      <c r="H45" s="9">
        <v>326</v>
      </c>
      <c r="I45" s="9">
        <v>51556</v>
      </c>
      <c r="J45" s="9">
        <v>62599</v>
      </c>
      <c r="K45" s="9">
        <v>290</v>
      </c>
      <c r="L45" s="16" t="s">
        <v>19</v>
      </c>
      <c r="M45" s="16"/>
      <c r="N45" s="16" t="s">
        <v>20</v>
      </c>
      <c r="O45" s="30">
        <f>Table15[[#This Row],[Likes]]+Table15[[#This Row],[Shares]]+Table15[[#This Row],[Comments]]</f>
        <v>2059</v>
      </c>
    </row>
    <row r="46" spans="1:15">
      <c r="A46" s="1" t="s">
        <v>75</v>
      </c>
      <c r="B46" s="1" t="s">
        <v>27</v>
      </c>
      <c r="C46" s="5">
        <v>45487</v>
      </c>
      <c r="D46" s="16" t="s">
        <v>14</v>
      </c>
      <c r="E46" s="17" t="s">
        <v>42</v>
      </c>
      <c r="F46" s="9">
        <v>3806</v>
      </c>
      <c r="G46" s="9">
        <v>114</v>
      </c>
      <c r="H46" s="9">
        <v>278</v>
      </c>
      <c r="I46" s="9">
        <v>36148</v>
      </c>
      <c r="J46" s="9">
        <v>24209</v>
      </c>
      <c r="K46" s="9">
        <v>201</v>
      </c>
      <c r="L46" s="16" t="s">
        <v>19</v>
      </c>
      <c r="M46" s="16" t="s">
        <v>365</v>
      </c>
      <c r="N46" s="16" t="s">
        <v>20</v>
      </c>
      <c r="O46" s="30">
        <f>Table15[[#This Row],[Likes]]+Table15[[#This Row],[Shares]]+Table15[[#This Row],[Comments]]</f>
        <v>4198</v>
      </c>
    </row>
    <row r="47" spans="1:15">
      <c r="A47" s="1" t="s">
        <v>76</v>
      </c>
      <c r="B47" s="1" t="s">
        <v>13</v>
      </c>
      <c r="C47" s="5">
        <v>45334</v>
      </c>
      <c r="D47" s="16" t="s">
        <v>14</v>
      </c>
      <c r="E47" s="17" t="s">
        <v>18</v>
      </c>
      <c r="F47" s="9">
        <v>2923</v>
      </c>
      <c r="G47" s="9">
        <v>330</v>
      </c>
      <c r="H47" s="9">
        <v>250</v>
      </c>
      <c r="I47" s="9">
        <v>23993</v>
      </c>
      <c r="J47" s="9">
        <v>74590</v>
      </c>
      <c r="K47" s="9">
        <v>92</v>
      </c>
      <c r="L47" s="16" t="s">
        <v>19</v>
      </c>
      <c r="M47" s="16"/>
      <c r="N47" s="16" t="s">
        <v>20</v>
      </c>
      <c r="O47" s="30">
        <f>Table15[[#This Row],[Likes]]+Table15[[#This Row],[Shares]]+Table15[[#This Row],[Comments]]</f>
        <v>3503</v>
      </c>
    </row>
    <row r="48" spans="1:15">
      <c r="A48" s="1" t="s">
        <v>77</v>
      </c>
      <c r="B48" s="1" t="s">
        <v>27</v>
      </c>
      <c r="C48" s="5">
        <v>45365</v>
      </c>
      <c r="D48" s="16" t="s">
        <v>48</v>
      </c>
      <c r="E48" s="17" t="s">
        <v>363</v>
      </c>
      <c r="F48" s="9">
        <v>3361</v>
      </c>
      <c r="G48" s="9">
        <v>188</v>
      </c>
      <c r="H48" s="9">
        <v>358</v>
      </c>
      <c r="I48" s="9">
        <v>39838</v>
      </c>
      <c r="J48" s="9">
        <v>24536</v>
      </c>
      <c r="K48" s="9">
        <v>120</v>
      </c>
      <c r="L48" s="16" t="s">
        <v>19</v>
      </c>
      <c r="M48" s="16" t="s">
        <v>37</v>
      </c>
      <c r="N48" s="16" t="s">
        <v>49</v>
      </c>
      <c r="O48" s="30">
        <f>Table15[[#This Row],[Likes]]+Table15[[#This Row],[Shares]]+Table15[[#This Row],[Comments]]</f>
        <v>3907</v>
      </c>
    </row>
    <row r="49" spans="1:15">
      <c r="A49" s="1" t="s">
        <v>284</v>
      </c>
      <c r="B49" s="1" t="s">
        <v>22</v>
      </c>
      <c r="C49" s="5">
        <v>45691</v>
      </c>
      <c r="D49" s="16" t="s">
        <v>14</v>
      </c>
      <c r="E49" s="17" t="s">
        <v>362</v>
      </c>
      <c r="F49" s="9">
        <v>4995</v>
      </c>
      <c r="G49" s="9">
        <v>231</v>
      </c>
      <c r="H49" s="9">
        <v>94</v>
      </c>
      <c r="I49" s="9">
        <v>34431</v>
      </c>
      <c r="J49" s="9">
        <v>32560</v>
      </c>
      <c r="K49" s="9">
        <v>262</v>
      </c>
      <c r="L49" s="16" t="s">
        <v>34</v>
      </c>
      <c r="M49" s="16"/>
      <c r="N49" s="16" t="s">
        <v>16</v>
      </c>
      <c r="O49" s="30">
        <f>Table15[[#This Row],[Likes]]+Table15[[#This Row],[Shares]]+Table15[[#This Row],[Comments]]</f>
        <v>5320</v>
      </c>
    </row>
    <row r="50" spans="1:15">
      <c r="A50" s="1" t="s">
        <v>80</v>
      </c>
      <c r="B50" s="1" t="s">
        <v>22</v>
      </c>
      <c r="C50" s="5">
        <v>45769</v>
      </c>
      <c r="D50" s="16" t="s">
        <v>14</v>
      </c>
      <c r="E50" s="17" t="s">
        <v>15</v>
      </c>
      <c r="F50" s="9">
        <v>4401</v>
      </c>
      <c r="G50" s="9">
        <v>421</v>
      </c>
      <c r="H50" s="9">
        <v>216</v>
      </c>
      <c r="I50" s="9">
        <v>24890</v>
      </c>
      <c r="J50" s="9">
        <v>54361</v>
      </c>
      <c r="K50" s="9">
        <v>148</v>
      </c>
      <c r="L50" s="16" t="s">
        <v>34</v>
      </c>
      <c r="M50" s="16"/>
      <c r="N50" s="16" t="s">
        <v>16</v>
      </c>
      <c r="O50" s="30">
        <f>Table15[[#This Row],[Likes]]+Table15[[#This Row],[Shares]]+Table15[[#This Row],[Comments]]</f>
        <v>5038</v>
      </c>
    </row>
    <row r="51" spans="1:15" ht="30">
      <c r="A51" s="1" t="s">
        <v>96</v>
      </c>
      <c r="B51" s="1" t="s">
        <v>13</v>
      </c>
      <c r="C51" s="5">
        <v>45763</v>
      </c>
      <c r="D51" s="16" t="s">
        <v>14</v>
      </c>
      <c r="E51" s="17" t="s">
        <v>360</v>
      </c>
      <c r="F51" s="9">
        <v>4836</v>
      </c>
      <c r="G51" s="9">
        <v>331</v>
      </c>
      <c r="H51" s="9">
        <v>140</v>
      </c>
      <c r="I51" s="9">
        <v>58792</v>
      </c>
      <c r="J51" s="9">
        <v>47711</v>
      </c>
      <c r="K51" s="9">
        <v>227</v>
      </c>
      <c r="L51" s="16" t="s">
        <v>37</v>
      </c>
      <c r="M51" s="16" t="s">
        <v>34</v>
      </c>
      <c r="N51" s="16" t="s">
        <v>16</v>
      </c>
      <c r="O51" s="30">
        <f>Table15[[#This Row],[Likes]]+Table15[[#This Row],[Shares]]+Table15[[#This Row],[Comments]]</f>
        <v>5307</v>
      </c>
    </row>
    <row r="52" spans="1:15">
      <c r="A52" s="1" t="s">
        <v>81</v>
      </c>
      <c r="B52" s="1" t="s">
        <v>27</v>
      </c>
      <c r="C52" s="5">
        <v>45425</v>
      </c>
      <c r="D52" s="16" t="s">
        <v>48</v>
      </c>
      <c r="E52" s="17" t="s">
        <v>18</v>
      </c>
      <c r="F52" s="9">
        <v>4161</v>
      </c>
      <c r="G52" s="9">
        <v>481</v>
      </c>
      <c r="H52" s="9">
        <v>61</v>
      </c>
      <c r="I52" s="9">
        <v>45884</v>
      </c>
      <c r="J52" s="9">
        <v>48955</v>
      </c>
      <c r="K52" s="9">
        <v>215</v>
      </c>
      <c r="L52" s="16" t="s">
        <v>19</v>
      </c>
      <c r="M52" s="16" t="s">
        <v>37</v>
      </c>
      <c r="N52" s="16" t="s">
        <v>49</v>
      </c>
      <c r="O52" s="30">
        <f>Table15[[#This Row],[Likes]]+Table15[[#This Row],[Shares]]+Table15[[#This Row],[Comments]]</f>
        <v>4703</v>
      </c>
    </row>
    <row r="53" spans="1:15">
      <c r="A53" s="1" t="s">
        <v>272</v>
      </c>
      <c r="B53" s="1" t="s">
        <v>22</v>
      </c>
      <c r="C53" s="5">
        <v>45759</v>
      </c>
      <c r="D53" s="16" t="s">
        <v>23</v>
      </c>
      <c r="E53" s="17" t="s">
        <v>363</v>
      </c>
      <c r="F53" s="9">
        <v>4315</v>
      </c>
      <c r="G53" s="9">
        <v>208</v>
      </c>
      <c r="H53" s="9">
        <v>273</v>
      </c>
      <c r="I53" s="9">
        <v>35780</v>
      </c>
      <c r="J53" s="9">
        <v>44349</v>
      </c>
      <c r="K53" s="9">
        <v>133</v>
      </c>
      <c r="L53" s="16" t="s">
        <v>19</v>
      </c>
      <c r="M53" s="16" t="s">
        <v>364</v>
      </c>
      <c r="N53" s="16" t="s">
        <v>16</v>
      </c>
      <c r="O53" s="30">
        <f>Table15[[#This Row],[Likes]]+Table15[[#This Row],[Shares]]+Table15[[#This Row],[Comments]]</f>
        <v>4796</v>
      </c>
    </row>
    <row r="54" spans="1:15">
      <c r="A54" s="1" t="s">
        <v>205</v>
      </c>
      <c r="B54" s="1" t="s">
        <v>22</v>
      </c>
      <c r="C54" s="5">
        <v>45748</v>
      </c>
      <c r="D54" s="16" t="s">
        <v>23</v>
      </c>
      <c r="E54" s="17" t="s">
        <v>361</v>
      </c>
      <c r="F54" s="9">
        <v>2665</v>
      </c>
      <c r="G54" s="9">
        <v>143</v>
      </c>
      <c r="H54" s="9">
        <v>315</v>
      </c>
      <c r="I54" s="9">
        <v>54808</v>
      </c>
      <c r="J54" s="9">
        <v>29818</v>
      </c>
      <c r="K54" s="9">
        <v>98</v>
      </c>
      <c r="L54" s="16" t="s">
        <v>19</v>
      </c>
      <c r="M54" s="16" t="s">
        <v>364</v>
      </c>
      <c r="N54" s="16" t="s">
        <v>16</v>
      </c>
      <c r="O54" s="30">
        <f>Table15[[#This Row],[Likes]]+Table15[[#This Row],[Shares]]+Table15[[#This Row],[Comments]]</f>
        <v>3123</v>
      </c>
    </row>
    <row r="55" spans="1:15">
      <c r="A55" s="1" t="s">
        <v>84</v>
      </c>
      <c r="B55" s="1" t="s">
        <v>13</v>
      </c>
      <c r="C55" s="5">
        <v>45722</v>
      </c>
      <c r="D55" s="16" t="s">
        <v>14</v>
      </c>
      <c r="E55" s="17" t="s">
        <v>30</v>
      </c>
      <c r="F55" s="9">
        <v>4851</v>
      </c>
      <c r="G55" s="9">
        <v>460</v>
      </c>
      <c r="H55" s="9">
        <v>212</v>
      </c>
      <c r="I55" s="9">
        <v>58075</v>
      </c>
      <c r="J55" s="9">
        <v>59574</v>
      </c>
      <c r="K55" s="9">
        <v>239</v>
      </c>
      <c r="L55" s="16" t="s">
        <v>19</v>
      </c>
      <c r="M55" s="16"/>
      <c r="N55" s="16" t="s">
        <v>20</v>
      </c>
      <c r="O55" s="30">
        <f>Table15[[#This Row],[Likes]]+Table15[[#This Row],[Shares]]+Table15[[#This Row],[Comments]]</f>
        <v>5523</v>
      </c>
    </row>
    <row r="56" spans="1:15">
      <c r="A56" s="1" t="s">
        <v>188</v>
      </c>
      <c r="B56" s="1" t="s">
        <v>22</v>
      </c>
      <c r="C56" s="5">
        <v>45737</v>
      </c>
      <c r="D56" s="16" t="s">
        <v>23</v>
      </c>
      <c r="E56" s="17" t="s">
        <v>24</v>
      </c>
      <c r="F56" s="9">
        <v>4609</v>
      </c>
      <c r="G56" s="9">
        <v>427</v>
      </c>
      <c r="H56" s="9">
        <v>395</v>
      </c>
      <c r="I56" s="9">
        <v>33698</v>
      </c>
      <c r="J56" s="9">
        <v>29259</v>
      </c>
      <c r="K56" s="9">
        <v>216</v>
      </c>
      <c r="L56" s="16" t="s">
        <v>19</v>
      </c>
      <c r="M56" s="16" t="s">
        <v>364</v>
      </c>
      <c r="N56" s="16" t="s">
        <v>16</v>
      </c>
      <c r="O56" s="30">
        <f>Table15[[#This Row],[Likes]]+Table15[[#This Row],[Shares]]+Table15[[#This Row],[Comments]]</f>
        <v>5431</v>
      </c>
    </row>
    <row r="57" spans="1:15">
      <c r="A57" s="1" t="s">
        <v>86</v>
      </c>
      <c r="B57" s="1" t="s">
        <v>13</v>
      </c>
      <c r="C57" s="5">
        <v>45707</v>
      </c>
      <c r="D57" s="16" t="s">
        <v>23</v>
      </c>
      <c r="E57" s="17" t="s">
        <v>363</v>
      </c>
      <c r="F57" s="9">
        <v>2422</v>
      </c>
      <c r="G57" s="9">
        <v>455</v>
      </c>
      <c r="H57" s="9">
        <v>376</v>
      </c>
      <c r="I57" s="9">
        <v>23428</v>
      </c>
      <c r="J57" s="9">
        <v>46775</v>
      </c>
      <c r="K57" s="9">
        <v>259</v>
      </c>
      <c r="L57" s="16" t="s">
        <v>34</v>
      </c>
      <c r="M57" s="16"/>
      <c r="N57" s="16" t="s">
        <v>46</v>
      </c>
      <c r="O57" s="30">
        <f>Table15[[#This Row],[Likes]]+Table15[[#This Row],[Shares]]+Table15[[#This Row],[Comments]]</f>
        <v>3253</v>
      </c>
    </row>
    <row r="58" spans="1:15">
      <c r="A58" s="1" t="s">
        <v>87</v>
      </c>
      <c r="B58" s="1" t="s">
        <v>13</v>
      </c>
      <c r="C58" s="5">
        <v>45299</v>
      </c>
      <c r="D58" s="16" t="s">
        <v>14</v>
      </c>
      <c r="E58" s="17" t="s">
        <v>33</v>
      </c>
      <c r="F58" s="9">
        <v>2683</v>
      </c>
      <c r="G58" s="9">
        <v>405</v>
      </c>
      <c r="H58" s="9">
        <v>223</v>
      </c>
      <c r="I58" s="9">
        <v>31233</v>
      </c>
      <c r="J58" s="9">
        <v>58106</v>
      </c>
      <c r="K58" s="9">
        <v>291</v>
      </c>
      <c r="L58" s="16" t="s">
        <v>19</v>
      </c>
      <c r="M58" s="16"/>
      <c r="N58" s="16" t="s">
        <v>20</v>
      </c>
      <c r="O58" s="30">
        <f>Table15[[#This Row],[Likes]]+Table15[[#This Row],[Shares]]+Table15[[#This Row],[Comments]]</f>
        <v>3311</v>
      </c>
    </row>
    <row r="59" spans="1:15">
      <c r="A59" s="1" t="s">
        <v>88</v>
      </c>
      <c r="B59" s="1" t="s">
        <v>27</v>
      </c>
      <c r="C59" s="5">
        <v>45490</v>
      </c>
      <c r="D59" s="16" t="s">
        <v>14</v>
      </c>
      <c r="E59" s="17" t="s">
        <v>33</v>
      </c>
      <c r="F59" s="9">
        <v>3135</v>
      </c>
      <c r="G59" s="9">
        <v>110</v>
      </c>
      <c r="H59" s="9">
        <v>215</v>
      </c>
      <c r="I59" s="9">
        <v>39192</v>
      </c>
      <c r="J59" s="9">
        <v>24744</v>
      </c>
      <c r="K59" s="9">
        <v>177</v>
      </c>
      <c r="L59" s="16" t="s">
        <v>19</v>
      </c>
      <c r="M59" s="16" t="s">
        <v>365</v>
      </c>
      <c r="N59" s="16" t="s">
        <v>20</v>
      </c>
      <c r="O59" s="30">
        <f>Table15[[#This Row],[Likes]]+Table15[[#This Row],[Shares]]+Table15[[#This Row],[Comments]]</f>
        <v>3460</v>
      </c>
    </row>
    <row r="60" spans="1:15">
      <c r="A60" s="1" t="s">
        <v>89</v>
      </c>
      <c r="B60" s="1" t="s">
        <v>27</v>
      </c>
      <c r="C60" s="5">
        <v>45514</v>
      </c>
      <c r="D60" s="16" t="s">
        <v>14</v>
      </c>
      <c r="E60" s="17" t="s">
        <v>363</v>
      </c>
      <c r="F60" s="9">
        <v>1105</v>
      </c>
      <c r="G60" s="9">
        <v>181</v>
      </c>
      <c r="H60" s="9">
        <v>55</v>
      </c>
      <c r="I60" s="9">
        <v>53581</v>
      </c>
      <c r="J60" s="9">
        <v>74048</v>
      </c>
      <c r="K60" s="9">
        <v>220</v>
      </c>
      <c r="L60" s="16" t="s">
        <v>19</v>
      </c>
      <c r="M60" s="16" t="s">
        <v>365</v>
      </c>
      <c r="N60" s="16" t="s">
        <v>20</v>
      </c>
      <c r="O60" s="30">
        <f>Table15[[#This Row],[Likes]]+Table15[[#This Row],[Shares]]+Table15[[#This Row],[Comments]]</f>
        <v>1341</v>
      </c>
    </row>
    <row r="61" spans="1:15">
      <c r="A61" s="1" t="s">
        <v>90</v>
      </c>
      <c r="B61" s="1" t="s">
        <v>27</v>
      </c>
      <c r="C61" s="5">
        <v>45398</v>
      </c>
      <c r="D61" s="16" t="s">
        <v>14</v>
      </c>
      <c r="E61" s="17" t="s">
        <v>15</v>
      </c>
      <c r="F61" s="9">
        <v>4674</v>
      </c>
      <c r="G61" s="9">
        <v>326</v>
      </c>
      <c r="H61" s="9">
        <v>62</v>
      </c>
      <c r="I61" s="9">
        <v>45503</v>
      </c>
      <c r="J61" s="9">
        <v>46814</v>
      </c>
      <c r="K61" s="9">
        <v>116</v>
      </c>
      <c r="L61" s="16" t="s">
        <v>19</v>
      </c>
      <c r="M61" s="16" t="s">
        <v>365</v>
      </c>
      <c r="N61" s="16" t="s">
        <v>20</v>
      </c>
      <c r="O61" s="30">
        <f>Table15[[#This Row],[Likes]]+Table15[[#This Row],[Shares]]+Table15[[#This Row],[Comments]]</f>
        <v>5062</v>
      </c>
    </row>
    <row r="62" spans="1:15">
      <c r="A62" s="1" t="s">
        <v>91</v>
      </c>
      <c r="B62" s="1" t="s">
        <v>27</v>
      </c>
      <c r="C62" s="5">
        <v>45292</v>
      </c>
      <c r="D62" s="16" t="s">
        <v>48</v>
      </c>
      <c r="E62" s="17" t="s">
        <v>18</v>
      </c>
      <c r="F62" s="9">
        <v>3437</v>
      </c>
      <c r="G62" s="9">
        <v>129</v>
      </c>
      <c r="H62" s="9">
        <v>359</v>
      </c>
      <c r="I62" s="9">
        <v>44558</v>
      </c>
      <c r="J62" s="9">
        <v>30854</v>
      </c>
      <c r="K62" s="9">
        <v>171</v>
      </c>
      <c r="L62" s="16" t="s">
        <v>19</v>
      </c>
      <c r="M62" s="16" t="s">
        <v>37</v>
      </c>
      <c r="N62" s="16" t="s">
        <v>49</v>
      </c>
      <c r="O62" s="30">
        <f>Table15[[#This Row],[Likes]]+Table15[[#This Row],[Shares]]+Table15[[#This Row],[Comments]]</f>
        <v>3925</v>
      </c>
    </row>
    <row r="63" spans="1:15">
      <c r="A63" s="1" t="s">
        <v>326</v>
      </c>
      <c r="B63" s="1" t="s">
        <v>22</v>
      </c>
      <c r="C63" s="5">
        <v>45736</v>
      </c>
      <c r="D63" s="16" t="s">
        <v>23</v>
      </c>
      <c r="E63" s="17" t="s">
        <v>42</v>
      </c>
      <c r="F63" s="9">
        <v>3393</v>
      </c>
      <c r="G63" s="9">
        <v>104</v>
      </c>
      <c r="H63" s="9">
        <v>79</v>
      </c>
      <c r="I63" s="9">
        <v>30025</v>
      </c>
      <c r="J63" s="9">
        <v>21593</v>
      </c>
      <c r="K63" s="9">
        <v>165</v>
      </c>
      <c r="L63" s="16" t="s">
        <v>364</v>
      </c>
      <c r="M63" s="16" t="s">
        <v>34</v>
      </c>
      <c r="N63" s="16" t="s">
        <v>16</v>
      </c>
      <c r="O63" s="30">
        <f>Table15[[#This Row],[Likes]]+Table15[[#This Row],[Shares]]+Table15[[#This Row],[Comments]]</f>
        <v>3576</v>
      </c>
    </row>
    <row r="64" spans="1:15">
      <c r="A64" s="1" t="s">
        <v>93</v>
      </c>
      <c r="B64" s="1" t="s">
        <v>22</v>
      </c>
      <c r="C64" s="5">
        <v>45480</v>
      </c>
      <c r="D64" s="16" t="s">
        <v>14</v>
      </c>
      <c r="E64" s="17" t="s">
        <v>24</v>
      </c>
      <c r="F64" s="9">
        <v>1035</v>
      </c>
      <c r="G64" s="9">
        <v>137</v>
      </c>
      <c r="H64" s="9">
        <v>184</v>
      </c>
      <c r="I64" s="9">
        <v>37302</v>
      </c>
      <c r="J64" s="9">
        <v>68953</v>
      </c>
      <c r="K64" s="9">
        <v>237</v>
      </c>
      <c r="L64" s="16" t="s">
        <v>37</v>
      </c>
      <c r="M64" s="16"/>
      <c r="N64" s="16" t="s">
        <v>20</v>
      </c>
      <c r="O64" s="30">
        <f>Table15[[#This Row],[Likes]]+Table15[[#This Row],[Shares]]+Table15[[#This Row],[Comments]]</f>
        <v>1356</v>
      </c>
    </row>
    <row r="65" spans="1:15">
      <c r="A65" s="1" t="s">
        <v>59</v>
      </c>
      <c r="B65" s="1" t="s">
        <v>22</v>
      </c>
      <c r="C65" s="5">
        <v>45734</v>
      </c>
      <c r="D65" s="16" t="s">
        <v>23</v>
      </c>
      <c r="E65" s="17" t="s">
        <v>18</v>
      </c>
      <c r="F65" s="9">
        <v>3418</v>
      </c>
      <c r="G65" s="9">
        <v>188</v>
      </c>
      <c r="H65" s="9">
        <v>387</v>
      </c>
      <c r="I65" s="9">
        <v>57431</v>
      </c>
      <c r="J65" s="9">
        <v>36933</v>
      </c>
      <c r="K65" s="9">
        <v>202</v>
      </c>
      <c r="L65" s="16" t="s">
        <v>364</v>
      </c>
      <c r="M65" s="16" t="s">
        <v>34</v>
      </c>
      <c r="N65" s="16" t="s">
        <v>16</v>
      </c>
      <c r="O65" s="30">
        <f>Table15[[#This Row],[Likes]]+Table15[[#This Row],[Shares]]+Table15[[#This Row],[Comments]]</f>
        <v>3993</v>
      </c>
    </row>
    <row r="66" spans="1:15">
      <c r="A66" s="1" t="s">
        <v>95</v>
      </c>
      <c r="B66" s="1" t="s">
        <v>27</v>
      </c>
      <c r="C66" s="5">
        <v>45438</v>
      </c>
      <c r="D66" s="16" t="s">
        <v>14</v>
      </c>
      <c r="E66" s="17" t="s">
        <v>363</v>
      </c>
      <c r="F66" s="9">
        <v>1488</v>
      </c>
      <c r="G66" s="9">
        <v>327</v>
      </c>
      <c r="H66" s="9">
        <v>110</v>
      </c>
      <c r="I66" s="9">
        <v>53805</v>
      </c>
      <c r="J66" s="9">
        <v>30239</v>
      </c>
      <c r="K66" s="9">
        <v>109</v>
      </c>
      <c r="L66" s="16" t="s">
        <v>19</v>
      </c>
      <c r="M66" s="16" t="s">
        <v>365</v>
      </c>
      <c r="N66" s="16" t="s">
        <v>20</v>
      </c>
      <c r="O66" s="30">
        <f>Table15[[#This Row],[Likes]]+Table15[[#This Row],[Shares]]+Table15[[#This Row],[Comments]]</f>
        <v>1925</v>
      </c>
    </row>
    <row r="67" spans="1:15">
      <c r="A67" s="1" t="s">
        <v>169</v>
      </c>
      <c r="B67" s="1" t="s">
        <v>22</v>
      </c>
      <c r="C67" s="5">
        <v>45725</v>
      </c>
      <c r="D67" s="16" t="s">
        <v>14</v>
      </c>
      <c r="E67" s="17" t="s">
        <v>42</v>
      </c>
      <c r="F67" s="9">
        <v>2754</v>
      </c>
      <c r="G67" s="9">
        <v>215</v>
      </c>
      <c r="H67" s="9">
        <v>264</v>
      </c>
      <c r="I67" s="9">
        <v>27762</v>
      </c>
      <c r="J67" s="9">
        <v>70203</v>
      </c>
      <c r="K67" s="9">
        <v>289</v>
      </c>
      <c r="L67" s="16" t="s">
        <v>34</v>
      </c>
      <c r="M67" s="16"/>
      <c r="N67" s="16" t="s">
        <v>16</v>
      </c>
      <c r="O67" s="30">
        <f>Table15[[#This Row],[Likes]]+Table15[[#This Row],[Shares]]+Table15[[#This Row],[Comments]]</f>
        <v>3233</v>
      </c>
    </row>
    <row r="68" spans="1:15">
      <c r="A68" s="1" t="s">
        <v>97</v>
      </c>
      <c r="B68" s="1" t="s">
        <v>27</v>
      </c>
      <c r="C68" s="5">
        <v>45384</v>
      </c>
      <c r="D68" s="16" t="s">
        <v>48</v>
      </c>
      <c r="E68" s="17" t="s">
        <v>42</v>
      </c>
      <c r="F68" s="9">
        <v>4563</v>
      </c>
      <c r="G68" s="9">
        <v>488</v>
      </c>
      <c r="H68" s="9">
        <v>356</v>
      </c>
      <c r="I68" s="9">
        <v>30619</v>
      </c>
      <c r="J68" s="9">
        <v>23328</v>
      </c>
      <c r="K68" s="9">
        <v>267</v>
      </c>
      <c r="L68" s="16" t="s">
        <v>19</v>
      </c>
      <c r="M68" s="16" t="s">
        <v>37</v>
      </c>
      <c r="N68" s="16" t="s">
        <v>49</v>
      </c>
      <c r="O68" s="30">
        <f>Table15[[#This Row],[Likes]]+Table15[[#This Row],[Shares]]+Table15[[#This Row],[Comments]]</f>
        <v>5407</v>
      </c>
    </row>
    <row r="69" spans="1:15">
      <c r="A69" s="1" t="s">
        <v>98</v>
      </c>
      <c r="B69" s="1" t="s">
        <v>22</v>
      </c>
      <c r="C69" s="5">
        <v>45379</v>
      </c>
      <c r="D69" s="16" t="s">
        <v>14</v>
      </c>
      <c r="E69" s="17" t="s">
        <v>361</v>
      </c>
      <c r="F69" s="9">
        <v>3276</v>
      </c>
      <c r="G69" s="9">
        <v>421</v>
      </c>
      <c r="H69" s="9">
        <v>114</v>
      </c>
      <c r="I69" s="9">
        <v>20580</v>
      </c>
      <c r="J69" s="9">
        <v>30324</v>
      </c>
      <c r="K69" s="9">
        <v>221</v>
      </c>
      <c r="L69" s="16" t="s">
        <v>37</v>
      </c>
      <c r="M69" s="16"/>
      <c r="N69" s="16" t="s">
        <v>20</v>
      </c>
      <c r="O69" s="30">
        <f>Table15[[#This Row],[Likes]]+Table15[[#This Row],[Shares]]+Table15[[#This Row],[Comments]]</f>
        <v>3811</v>
      </c>
    </row>
    <row r="70" spans="1:15">
      <c r="A70" s="1" t="s">
        <v>306</v>
      </c>
      <c r="B70" s="1" t="s">
        <v>22</v>
      </c>
      <c r="C70" s="5">
        <v>45720</v>
      </c>
      <c r="D70" s="16" t="s">
        <v>14</v>
      </c>
      <c r="E70" s="17" t="s">
        <v>15</v>
      </c>
      <c r="F70" s="9">
        <v>2177</v>
      </c>
      <c r="G70" s="9">
        <v>258</v>
      </c>
      <c r="H70" s="9">
        <v>292</v>
      </c>
      <c r="I70" s="9">
        <v>47276</v>
      </c>
      <c r="J70" s="9">
        <v>51324</v>
      </c>
      <c r="K70" s="9">
        <v>143</v>
      </c>
      <c r="L70" s="16" t="s">
        <v>34</v>
      </c>
      <c r="M70" s="16"/>
      <c r="N70" s="16" t="s">
        <v>16</v>
      </c>
      <c r="O70" s="30">
        <f>Table15[[#This Row],[Likes]]+Table15[[#This Row],[Shares]]+Table15[[#This Row],[Comments]]</f>
        <v>2727</v>
      </c>
    </row>
    <row r="71" spans="1:15">
      <c r="A71" s="1" t="s">
        <v>118</v>
      </c>
      <c r="B71" s="1" t="s">
        <v>22</v>
      </c>
      <c r="C71" s="5">
        <v>45705</v>
      </c>
      <c r="D71" s="16" t="s">
        <v>23</v>
      </c>
      <c r="E71" s="17" t="s">
        <v>362</v>
      </c>
      <c r="F71" s="9">
        <v>4796</v>
      </c>
      <c r="G71" s="9">
        <v>427</v>
      </c>
      <c r="H71" s="9">
        <v>339</v>
      </c>
      <c r="I71" s="9">
        <v>30752</v>
      </c>
      <c r="J71" s="9">
        <v>33870</v>
      </c>
      <c r="K71" s="9">
        <v>298</v>
      </c>
      <c r="L71" s="16" t="s">
        <v>37</v>
      </c>
      <c r="M71" s="16" t="s">
        <v>34</v>
      </c>
      <c r="N71" s="16" t="s">
        <v>16</v>
      </c>
      <c r="O71" s="30">
        <f>Table15[[#This Row],[Likes]]+Table15[[#This Row],[Shares]]+Table15[[#This Row],[Comments]]</f>
        <v>5562</v>
      </c>
    </row>
    <row r="72" spans="1:15">
      <c r="A72" s="1" t="s">
        <v>101</v>
      </c>
      <c r="B72" s="1" t="s">
        <v>22</v>
      </c>
      <c r="C72" s="5">
        <v>45302</v>
      </c>
      <c r="D72" s="16" t="s">
        <v>14</v>
      </c>
      <c r="E72" s="17" t="s">
        <v>362</v>
      </c>
      <c r="F72" s="9">
        <v>4218</v>
      </c>
      <c r="G72" s="9">
        <v>247</v>
      </c>
      <c r="H72" s="9">
        <v>183</v>
      </c>
      <c r="I72" s="9">
        <v>28914</v>
      </c>
      <c r="J72" s="9">
        <v>18310</v>
      </c>
      <c r="K72" s="9">
        <v>135</v>
      </c>
      <c r="L72" s="16" t="s">
        <v>37</v>
      </c>
      <c r="M72" s="16"/>
      <c r="N72" s="16" t="s">
        <v>20</v>
      </c>
      <c r="O72" s="30">
        <f>Table15[[#This Row],[Likes]]+Table15[[#This Row],[Shares]]+Table15[[#This Row],[Comments]]</f>
        <v>4648</v>
      </c>
    </row>
    <row r="73" spans="1:15">
      <c r="A73" s="1" t="s">
        <v>102</v>
      </c>
      <c r="B73" s="1" t="s">
        <v>13</v>
      </c>
      <c r="C73" s="5">
        <v>45576</v>
      </c>
      <c r="D73" s="16" t="s">
        <v>14</v>
      </c>
      <c r="E73" s="17" t="s">
        <v>363</v>
      </c>
      <c r="F73" s="9">
        <v>1360</v>
      </c>
      <c r="G73" s="9">
        <v>249</v>
      </c>
      <c r="H73" s="9">
        <v>52</v>
      </c>
      <c r="I73" s="9">
        <v>20368</v>
      </c>
      <c r="J73" s="9">
        <v>42152</v>
      </c>
      <c r="K73" s="9">
        <v>193</v>
      </c>
      <c r="L73" s="16" t="s">
        <v>19</v>
      </c>
      <c r="M73" s="16"/>
      <c r="N73" s="16" t="s">
        <v>20</v>
      </c>
      <c r="O73" s="30">
        <f>Table15[[#This Row],[Likes]]+Table15[[#This Row],[Shares]]+Table15[[#This Row],[Comments]]</f>
        <v>1661</v>
      </c>
    </row>
    <row r="74" spans="1:15">
      <c r="A74" s="1" t="s">
        <v>103</v>
      </c>
      <c r="B74" s="1" t="s">
        <v>27</v>
      </c>
      <c r="C74" s="5">
        <v>45783</v>
      </c>
      <c r="D74" s="16" t="s">
        <v>48</v>
      </c>
      <c r="E74" s="17" t="s">
        <v>15</v>
      </c>
      <c r="F74" s="9">
        <v>1085</v>
      </c>
      <c r="G74" s="9">
        <v>496</v>
      </c>
      <c r="H74" s="9">
        <v>320</v>
      </c>
      <c r="I74" s="9">
        <v>36528</v>
      </c>
      <c r="J74" s="9">
        <v>38599</v>
      </c>
      <c r="K74" s="9">
        <v>270</v>
      </c>
      <c r="L74" s="16" t="s">
        <v>19</v>
      </c>
      <c r="M74" s="16" t="s">
        <v>37</v>
      </c>
      <c r="N74" s="16" t="s">
        <v>49</v>
      </c>
      <c r="O74" s="30">
        <f>Table15[[#This Row],[Likes]]+Table15[[#This Row],[Shares]]+Table15[[#This Row],[Comments]]</f>
        <v>1901</v>
      </c>
    </row>
    <row r="75" spans="1:15">
      <c r="A75" s="1" t="s">
        <v>142</v>
      </c>
      <c r="B75" s="1" t="s">
        <v>13</v>
      </c>
      <c r="C75" s="5">
        <v>45704</v>
      </c>
      <c r="D75" s="16" t="s">
        <v>14</v>
      </c>
      <c r="E75" s="17" t="s">
        <v>42</v>
      </c>
      <c r="F75" s="9">
        <v>1333</v>
      </c>
      <c r="G75" s="9">
        <v>286</v>
      </c>
      <c r="H75" s="9">
        <v>298</v>
      </c>
      <c r="I75" s="9">
        <v>36174</v>
      </c>
      <c r="J75" s="9">
        <v>34517</v>
      </c>
      <c r="K75" s="9">
        <v>170</v>
      </c>
      <c r="L75" s="16" t="s">
        <v>37</v>
      </c>
      <c r="M75" s="16" t="s">
        <v>34</v>
      </c>
      <c r="N75" s="16" t="s">
        <v>16</v>
      </c>
      <c r="O75" s="30">
        <f>Table15[[#This Row],[Likes]]+Table15[[#This Row],[Shares]]+Table15[[#This Row],[Comments]]</f>
        <v>1917</v>
      </c>
    </row>
    <row r="76" spans="1:15">
      <c r="A76" s="1" t="s">
        <v>73</v>
      </c>
      <c r="B76" s="1" t="s">
        <v>13</v>
      </c>
      <c r="C76" s="5">
        <v>45702</v>
      </c>
      <c r="D76" s="16" t="s">
        <v>14</v>
      </c>
      <c r="E76" s="17" t="s">
        <v>33</v>
      </c>
      <c r="F76" s="9">
        <v>4891</v>
      </c>
      <c r="G76" s="9">
        <v>450</v>
      </c>
      <c r="H76" s="9">
        <v>387</v>
      </c>
      <c r="I76" s="9">
        <v>48746</v>
      </c>
      <c r="J76" s="9">
        <v>37312</v>
      </c>
      <c r="K76" s="9">
        <v>154</v>
      </c>
      <c r="L76" s="16" t="s">
        <v>37</v>
      </c>
      <c r="M76" s="16" t="s">
        <v>34</v>
      </c>
      <c r="N76" s="16" t="s">
        <v>16</v>
      </c>
      <c r="O76" s="30">
        <f>Table15[[#This Row],[Likes]]+Table15[[#This Row],[Shares]]+Table15[[#This Row],[Comments]]</f>
        <v>5728</v>
      </c>
    </row>
    <row r="77" spans="1:15" ht="30">
      <c r="A77" s="1" t="s">
        <v>106</v>
      </c>
      <c r="B77" s="1" t="s">
        <v>13</v>
      </c>
      <c r="C77" s="5">
        <v>45487</v>
      </c>
      <c r="D77" s="16" t="s">
        <v>14</v>
      </c>
      <c r="E77" s="17" t="s">
        <v>360</v>
      </c>
      <c r="F77" s="9">
        <v>2464</v>
      </c>
      <c r="G77" s="9">
        <v>401</v>
      </c>
      <c r="H77" s="9">
        <v>78</v>
      </c>
      <c r="I77" s="9">
        <v>38665</v>
      </c>
      <c r="J77" s="9">
        <v>73593</v>
      </c>
      <c r="K77" s="9">
        <v>207</v>
      </c>
      <c r="L77" s="16" t="s">
        <v>19</v>
      </c>
      <c r="M77" s="16"/>
      <c r="N77" s="16" t="s">
        <v>20</v>
      </c>
      <c r="O77" s="30">
        <f>Table15[[#This Row],[Likes]]+Table15[[#This Row],[Shares]]+Table15[[#This Row],[Comments]]</f>
        <v>2943</v>
      </c>
    </row>
    <row r="78" spans="1:15">
      <c r="A78" s="1" t="s">
        <v>174</v>
      </c>
      <c r="B78" s="1" t="s">
        <v>13</v>
      </c>
      <c r="C78" s="5">
        <v>45702</v>
      </c>
      <c r="D78" s="16" t="s">
        <v>14</v>
      </c>
      <c r="E78" s="17" t="s">
        <v>15</v>
      </c>
      <c r="F78" s="9">
        <v>2329</v>
      </c>
      <c r="G78" s="9">
        <v>373</v>
      </c>
      <c r="H78" s="9">
        <v>291</v>
      </c>
      <c r="I78" s="9">
        <v>49577</v>
      </c>
      <c r="J78" s="9">
        <v>28002</v>
      </c>
      <c r="K78" s="9">
        <v>82</v>
      </c>
      <c r="L78" s="16" t="s">
        <v>37</v>
      </c>
      <c r="M78" s="16" t="s">
        <v>34</v>
      </c>
      <c r="N78" s="16" t="s">
        <v>16</v>
      </c>
      <c r="O78" s="30">
        <f>Table15[[#This Row],[Likes]]+Table15[[#This Row],[Shares]]+Table15[[#This Row],[Comments]]</f>
        <v>2993</v>
      </c>
    </row>
    <row r="79" spans="1:15">
      <c r="A79" s="1" t="s">
        <v>228</v>
      </c>
      <c r="B79" s="1" t="s">
        <v>22</v>
      </c>
      <c r="C79" s="5">
        <v>45689</v>
      </c>
      <c r="D79" s="16" t="s">
        <v>23</v>
      </c>
      <c r="E79" s="17" t="s">
        <v>33</v>
      </c>
      <c r="F79" s="9">
        <v>1079</v>
      </c>
      <c r="G79" s="9">
        <v>265</v>
      </c>
      <c r="H79" s="9">
        <v>190</v>
      </c>
      <c r="I79" s="9">
        <v>43786</v>
      </c>
      <c r="J79" s="9">
        <v>72428</v>
      </c>
      <c r="K79" s="9">
        <v>222</v>
      </c>
      <c r="L79" s="16" t="s">
        <v>37</v>
      </c>
      <c r="M79" s="16" t="s">
        <v>34</v>
      </c>
      <c r="N79" s="16" t="s">
        <v>16</v>
      </c>
      <c r="O79" s="30">
        <f>Table15[[#This Row],[Likes]]+Table15[[#This Row],[Shares]]+Table15[[#This Row],[Comments]]</f>
        <v>1534</v>
      </c>
    </row>
    <row r="80" spans="1:15">
      <c r="A80" s="1" t="s">
        <v>109</v>
      </c>
      <c r="B80" s="1" t="s">
        <v>27</v>
      </c>
      <c r="C80" s="5">
        <v>45304</v>
      </c>
      <c r="D80" s="16" t="s">
        <v>48</v>
      </c>
      <c r="E80" s="17" t="s">
        <v>24</v>
      </c>
      <c r="F80" s="9">
        <v>4781</v>
      </c>
      <c r="G80" s="9">
        <v>191</v>
      </c>
      <c r="H80" s="9">
        <v>122</v>
      </c>
      <c r="I80" s="9">
        <v>35535</v>
      </c>
      <c r="J80" s="9">
        <v>50777</v>
      </c>
      <c r="K80" s="9">
        <v>128</v>
      </c>
      <c r="L80" s="16" t="s">
        <v>19</v>
      </c>
      <c r="M80" s="16" t="s">
        <v>37</v>
      </c>
      <c r="N80" s="16" t="s">
        <v>49</v>
      </c>
      <c r="O80" s="30">
        <f>Table15[[#This Row],[Likes]]+Table15[[#This Row],[Shares]]+Table15[[#This Row],[Comments]]</f>
        <v>5094</v>
      </c>
    </row>
    <row r="81" spans="1:15">
      <c r="A81" s="1" t="s">
        <v>94</v>
      </c>
      <c r="B81" s="1" t="s">
        <v>22</v>
      </c>
      <c r="C81" s="5">
        <v>45679</v>
      </c>
      <c r="D81" s="16" t="s">
        <v>23</v>
      </c>
      <c r="E81" s="17" t="s">
        <v>24</v>
      </c>
      <c r="F81" s="9">
        <v>4478</v>
      </c>
      <c r="G81" s="9">
        <v>101</v>
      </c>
      <c r="H81" s="9">
        <v>121</v>
      </c>
      <c r="I81" s="9">
        <v>51035</v>
      </c>
      <c r="J81" s="9">
        <v>58207</v>
      </c>
      <c r="K81" s="9">
        <v>205</v>
      </c>
      <c r="L81" s="16" t="s">
        <v>364</v>
      </c>
      <c r="M81" s="16" t="s">
        <v>34</v>
      </c>
      <c r="N81" s="16" t="s">
        <v>16</v>
      </c>
      <c r="O81" s="30">
        <f>Table15[[#This Row],[Likes]]+Table15[[#This Row],[Shares]]+Table15[[#This Row],[Comments]]</f>
        <v>4700</v>
      </c>
    </row>
    <row r="82" spans="1:15">
      <c r="A82" s="1" t="s">
        <v>111</v>
      </c>
      <c r="B82" s="1" t="s">
        <v>22</v>
      </c>
      <c r="C82" s="5">
        <v>45723</v>
      </c>
      <c r="D82" s="16" t="s">
        <v>14</v>
      </c>
      <c r="E82" s="17" t="s">
        <v>30</v>
      </c>
      <c r="F82" s="9">
        <v>4234</v>
      </c>
      <c r="G82" s="9">
        <v>486</v>
      </c>
      <c r="H82" s="9">
        <v>276</v>
      </c>
      <c r="I82" s="9">
        <v>56623</v>
      </c>
      <c r="J82" s="9">
        <v>41343</v>
      </c>
      <c r="K82" s="9">
        <v>184</v>
      </c>
      <c r="L82" s="16" t="s">
        <v>37</v>
      </c>
      <c r="M82" s="16"/>
      <c r="N82" s="16" t="s">
        <v>20</v>
      </c>
      <c r="O82" s="30">
        <f>Table15[[#This Row],[Likes]]+Table15[[#This Row],[Shares]]+Table15[[#This Row],[Comments]]</f>
        <v>4996</v>
      </c>
    </row>
    <row r="83" spans="1:15">
      <c r="A83" s="1" t="s">
        <v>112</v>
      </c>
      <c r="B83" s="1" t="s">
        <v>13</v>
      </c>
      <c r="C83" s="5">
        <v>45530</v>
      </c>
      <c r="D83" s="16" t="s">
        <v>14</v>
      </c>
      <c r="E83" s="17" t="s">
        <v>42</v>
      </c>
      <c r="F83" s="9">
        <v>2102</v>
      </c>
      <c r="G83" s="9">
        <v>181</v>
      </c>
      <c r="H83" s="9">
        <v>306</v>
      </c>
      <c r="I83" s="9">
        <v>43650</v>
      </c>
      <c r="J83" s="9">
        <v>50079</v>
      </c>
      <c r="K83" s="9">
        <v>182</v>
      </c>
      <c r="L83" s="16" t="s">
        <v>19</v>
      </c>
      <c r="M83" s="16"/>
      <c r="N83" s="16" t="s">
        <v>20</v>
      </c>
      <c r="O83" s="30">
        <f>Table15[[#This Row],[Likes]]+Table15[[#This Row],[Shares]]+Table15[[#This Row],[Comments]]</f>
        <v>2589</v>
      </c>
    </row>
    <row r="84" spans="1:15">
      <c r="A84" s="1" t="s">
        <v>108</v>
      </c>
      <c r="B84" s="1" t="s">
        <v>22</v>
      </c>
      <c r="C84" s="5">
        <v>45678</v>
      </c>
      <c r="D84" s="16" t="s">
        <v>23</v>
      </c>
      <c r="E84" s="17" t="s">
        <v>15</v>
      </c>
      <c r="F84" s="9">
        <v>2494</v>
      </c>
      <c r="G84" s="9">
        <v>494</v>
      </c>
      <c r="H84" s="9">
        <v>55</v>
      </c>
      <c r="I84" s="9">
        <v>22580</v>
      </c>
      <c r="J84" s="9">
        <v>22214</v>
      </c>
      <c r="K84" s="9">
        <v>109</v>
      </c>
      <c r="L84" s="16" t="s">
        <v>364</v>
      </c>
      <c r="M84" s="16" t="s">
        <v>34</v>
      </c>
      <c r="N84" s="16" t="s">
        <v>16</v>
      </c>
      <c r="O84" s="30">
        <f>Table15[[#This Row],[Likes]]+Table15[[#This Row],[Shares]]+Table15[[#This Row],[Comments]]</f>
        <v>3043</v>
      </c>
    </row>
    <row r="85" spans="1:15">
      <c r="A85" s="1" t="s">
        <v>136</v>
      </c>
      <c r="B85" s="1" t="s">
        <v>22</v>
      </c>
      <c r="C85" s="5">
        <v>45677</v>
      </c>
      <c r="D85" s="16" t="s">
        <v>23</v>
      </c>
      <c r="E85" s="17" t="s">
        <v>24</v>
      </c>
      <c r="F85" s="9">
        <v>4619</v>
      </c>
      <c r="G85" s="9">
        <v>272</v>
      </c>
      <c r="H85" s="9">
        <v>57</v>
      </c>
      <c r="I85" s="9">
        <v>21334</v>
      </c>
      <c r="J85" s="9">
        <v>46292</v>
      </c>
      <c r="K85" s="9">
        <v>91</v>
      </c>
      <c r="L85" s="16" t="s">
        <v>37</v>
      </c>
      <c r="M85" s="16" t="s">
        <v>34</v>
      </c>
      <c r="N85" s="16" t="s">
        <v>16</v>
      </c>
      <c r="O85" s="30">
        <f>Table15[[#This Row],[Likes]]+Table15[[#This Row],[Shares]]+Table15[[#This Row],[Comments]]</f>
        <v>4948</v>
      </c>
    </row>
    <row r="86" spans="1:15">
      <c r="A86" s="1" t="s">
        <v>289</v>
      </c>
      <c r="B86" s="1" t="s">
        <v>22</v>
      </c>
      <c r="C86" s="5">
        <v>45676</v>
      </c>
      <c r="D86" s="16" t="s">
        <v>23</v>
      </c>
      <c r="E86" s="17" t="s">
        <v>361</v>
      </c>
      <c r="F86" s="9">
        <v>1651</v>
      </c>
      <c r="G86" s="9">
        <v>480</v>
      </c>
      <c r="H86" s="9">
        <v>282</v>
      </c>
      <c r="I86" s="9">
        <v>32140</v>
      </c>
      <c r="J86" s="9">
        <v>70560</v>
      </c>
      <c r="K86" s="9">
        <v>138</v>
      </c>
      <c r="L86" s="16" t="s">
        <v>37</v>
      </c>
      <c r="M86" s="16" t="s">
        <v>34</v>
      </c>
      <c r="N86" s="16" t="s">
        <v>16</v>
      </c>
      <c r="O86" s="30">
        <f>Table15[[#This Row],[Likes]]+Table15[[#This Row],[Shares]]+Table15[[#This Row],[Comments]]</f>
        <v>2413</v>
      </c>
    </row>
    <row r="87" spans="1:15">
      <c r="A87" s="1" t="s">
        <v>309</v>
      </c>
      <c r="B87" s="1" t="s">
        <v>22</v>
      </c>
      <c r="C87" s="5">
        <v>45676</v>
      </c>
      <c r="D87" s="16" t="s">
        <v>23</v>
      </c>
      <c r="E87" s="17" t="s">
        <v>24</v>
      </c>
      <c r="F87" s="9">
        <v>3507</v>
      </c>
      <c r="G87" s="9">
        <v>295</v>
      </c>
      <c r="H87" s="9">
        <v>371</v>
      </c>
      <c r="I87" s="9">
        <v>20410</v>
      </c>
      <c r="J87" s="9">
        <v>53965</v>
      </c>
      <c r="K87" s="9">
        <v>212</v>
      </c>
      <c r="L87" s="16" t="s">
        <v>37</v>
      </c>
      <c r="M87" s="16" t="s">
        <v>34</v>
      </c>
      <c r="N87" s="16" t="s">
        <v>16</v>
      </c>
      <c r="O87" s="30">
        <f>Table15[[#This Row],[Likes]]+Table15[[#This Row],[Shares]]+Table15[[#This Row],[Comments]]</f>
        <v>4173</v>
      </c>
    </row>
    <row r="88" spans="1:15">
      <c r="A88" s="1" t="s">
        <v>220</v>
      </c>
      <c r="B88" s="1" t="s">
        <v>13</v>
      </c>
      <c r="C88" s="5">
        <v>45673</v>
      </c>
      <c r="D88" s="16" t="s">
        <v>14</v>
      </c>
      <c r="E88" s="17" t="s">
        <v>361</v>
      </c>
      <c r="F88" s="9">
        <v>2605</v>
      </c>
      <c r="G88" s="9">
        <v>282</v>
      </c>
      <c r="H88" s="9">
        <v>148</v>
      </c>
      <c r="I88" s="9">
        <v>32201</v>
      </c>
      <c r="J88" s="9">
        <v>49583</v>
      </c>
      <c r="K88" s="9">
        <v>241</v>
      </c>
      <c r="L88" s="16" t="s">
        <v>37</v>
      </c>
      <c r="M88" s="16" t="s">
        <v>34</v>
      </c>
      <c r="N88" s="16" t="s">
        <v>16</v>
      </c>
      <c r="O88" s="30">
        <f>Table15[[#This Row],[Likes]]+Table15[[#This Row],[Shares]]+Table15[[#This Row],[Comments]]</f>
        <v>3035</v>
      </c>
    </row>
    <row r="89" spans="1:15">
      <c r="A89" s="1" t="s">
        <v>226</v>
      </c>
      <c r="B89" s="1" t="s">
        <v>13</v>
      </c>
      <c r="C89" s="5">
        <v>45669</v>
      </c>
      <c r="D89" s="16" t="s">
        <v>14</v>
      </c>
      <c r="E89" s="17" t="s">
        <v>363</v>
      </c>
      <c r="F89" s="9">
        <v>1771</v>
      </c>
      <c r="G89" s="9">
        <v>487</v>
      </c>
      <c r="H89" s="9">
        <v>272</v>
      </c>
      <c r="I89" s="9">
        <v>48810</v>
      </c>
      <c r="J89" s="9">
        <v>48084</v>
      </c>
      <c r="K89" s="9">
        <v>272</v>
      </c>
      <c r="L89" s="16" t="s">
        <v>37</v>
      </c>
      <c r="M89" s="16" t="s">
        <v>34</v>
      </c>
      <c r="N89" s="16" t="s">
        <v>16</v>
      </c>
      <c r="O89" s="30">
        <f>Table15[[#This Row],[Likes]]+Table15[[#This Row],[Shares]]+Table15[[#This Row],[Comments]]</f>
        <v>2530</v>
      </c>
    </row>
    <row r="90" spans="1:15">
      <c r="A90" s="1" t="s">
        <v>17</v>
      </c>
      <c r="B90" s="1" t="s">
        <v>13</v>
      </c>
      <c r="C90" s="5">
        <v>45689</v>
      </c>
      <c r="D90" s="16" t="s">
        <v>14</v>
      </c>
      <c r="E90" s="17" t="s">
        <v>18</v>
      </c>
      <c r="F90" s="9">
        <v>1934</v>
      </c>
      <c r="G90" s="9">
        <v>210</v>
      </c>
      <c r="H90" s="9">
        <v>393</v>
      </c>
      <c r="I90" s="9">
        <v>29129</v>
      </c>
      <c r="J90" s="9">
        <v>73287</v>
      </c>
      <c r="K90" s="9">
        <v>273</v>
      </c>
      <c r="L90" s="16" t="s">
        <v>19</v>
      </c>
      <c r="M90" s="16"/>
      <c r="N90" s="16" t="s">
        <v>20</v>
      </c>
      <c r="O90" s="30">
        <f>Table15[[#This Row],[Likes]]+Table15[[#This Row],[Shares]]+Table15[[#This Row],[Comments]]</f>
        <v>2537</v>
      </c>
    </row>
    <row r="91" spans="1:15">
      <c r="A91" s="1" t="s">
        <v>137</v>
      </c>
      <c r="B91" s="1" t="s">
        <v>22</v>
      </c>
      <c r="C91" s="5">
        <v>45670</v>
      </c>
      <c r="D91" s="16" t="s">
        <v>14</v>
      </c>
      <c r="E91" s="17" t="s">
        <v>361</v>
      </c>
      <c r="F91" s="9">
        <v>4090</v>
      </c>
      <c r="G91" s="9">
        <v>209</v>
      </c>
      <c r="H91" s="9">
        <v>278</v>
      </c>
      <c r="I91" s="9">
        <v>52853</v>
      </c>
      <c r="J91" s="9">
        <v>57084</v>
      </c>
      <c r="K91" s="9">
        <v>102</v>
      </c>
      <c r="L91" s="16" t="s">
        <v>37</v>
      </c>
      <c r="M91" s="16"/>
      <c r="N91" s="16" t="s">
        <v>20</v>
      </c>
      <c r="O91" s="30">
        <f>Table15[[#This Row],[Likes]]+Table15[[#This Row],[Shares]]+Table15[[#This Row],[Comments]]</f>
        <v>4577</v>
      </c>
    </row>
    <row r="92" spans="1:15">
      <c r="A92" s="1" t="s">
        <v>121</v>
      </c>
      <c r="B92" s="1" t="s">
        <v>22</v>
      </c>
      <c r="C92" s="5">
        <v>45774</v>
      </c>
      <c r="D92" s="16" t="s">
        <v>14</v>
      </c>
      <c r="E92" s="17" t="s">
        <v>18</v>
      </c>
      <c r="F92" s="9">
        <v>1165</v>
      </c>
      <c r="G92" s="9">
        <v>294</v>
      </c>
      <c r="H92" s="9">
        <v>163</v>
      </c>
      <c r="I92" s="9">
        <v>20659</v>
      </c>
      <c r="J92" s="9">
        <v>45926</v>
      </c>
      <c r="K92" s="9">
        <v>111</v>
      </c>
      <c r="L92" s="16" t="s">
        <v>37</v>
      </c>
      <c r="M92" s="16"/>
      <c r="N92" s="16" t="s">
        <v>20</v>
      </c>
      <c r="O92" s="30">
        <f>Table15[[#This Row],[Likes]]+Table15[[#This Row],[Shares]]+Table15[[#This Row],[Comments]]</f>
        <v>1622</v>
      </c>
    </row>
    <row r="93" spans="1:15">
      <c r="A93" s="1" t="s">
        <v>122</v>
      </c>
      <c r="B93" s="1" t="s">
        <v>27</v>
      </c>
      <c r="C93" s="5">
        <v>45376</v>
      </c>
      <c r="D93" s="16" t="s">
        <v>48</v>
      </c>
      <c r="E93" s="17" t="s">
        <v>18</v>
      </c>
      <c r="F93" s="9">
        <v>1948</v>
      </c>
      <c r="G93" s="9">
        <v>155</v>
      </c>
      <c r="H93" s="9">
        <v>315</v>
      </c>
      <c r="I93" s="9">
        <v>30321</v>
      </c>
      <c r="J93" s="9">
        <v>57121</v>
      </c>
      <c r="K93" s="9">
        <v>82</v>
      </c>
      <c r="L93" s="16" t="s">
        <v>19</v>
      </c>
      <c r="M93" s="16" t="s">
        <v>37</v>
      </c>
      <c r="N93" s="16" t="s">
        <v>49</v>
      </c>
      <c r="O93" s="30">
        <f>Table15[[#This Row],[Likes]]+Table15[[#This Row],[Shares]]+Table15[[#This Row],[Comments]]</f>
        <v>2418</v>
      </c>
    </row>
    <row r="94" spans="1:15">
      <c r="A94" s="1" t="s">
        <v>123</v>
      </c>
      <c r="B94" s="1" t="s">
        <v>13</v>
      </c>
      <c r="C94" s="5">
        <v>45351</v>
      </c>
      <c r="D94" s="16" t="s">
        <v>14</v>
      </c>
      <c r="E94" s="17" t="s">
        <v>363</v>
      </c>
      <c r="F94" s="9">
        <v>1100</v>
      </c>
      <c r="G94" s="9">
        <v>229</v>
      </c>
      <c r="H94" s="9">
        <v>312</v>
      </c>
      <c r="I94" s="9">
        <v>25641</v>
      </c>
      <c r="J94" s="9">
        <v>34601</v>
      </c>
      <c r="K94" s="9">
        <v>169</v>
      </c>
      <c r="L94" s="16" t="s">
        <v>19</v>
      </c>
      <c r="M94" s="16"/>
      <c r="N94" s="16" t="s">
        <v>20</v>
      </c>
      <c r="O94" s="30">
        <f>Table15[[#This Row],[Likes]]+Table15[[#This Row],[Shares]]+Table15[[#This Row],[Comments]]</f>
        <v>1641</v>
      </c>
    </row>
    <row r="95" spans="1:15">
      <c r="A95" s="1" t="s">
        <v>150</v>
      </c>
      <c r="B95" s="1" t="s">
        <v>13</v>
      </c>
      <c r="C95" s="5">
        <v>45674</v>
      </c>
      <c r="D95" s="16" t="s">
        <v>14</v>
      </c>
      <c r="E95" s="17" t="s">
        <v>33</v>
      </c>
      <c r="F95" s="9">
        <v>2266</v>
      </c>
      <c r="G95" s="9">
        <v>126</v>
      </c>
      <c r="H95" s="9">
        <v>140</v>
      </c>
      <c r="I95" s="9">
        <v>53759</v>
      </c>
      <c r="J95" s="9">
        <v>46834</v>
      </c>
      <c r="K95" s="9">
        <v>277</v>
      </c>
      <c r="L95" s="16" t="s">
        <v>19</v>
      </c>
      <c r="M95" s="16"/>
      <c r="N95" s="16" t="s">
        <v>20</v>
      </c>
      <c r="O95" s="30">
        <f>Table15[[#This Row],[Likes]]+Table15[[#This Row],[Shares]]+Table15[[#This Row],[Comments]]</f>
        <v>2532</v>
      </c>
    </row>
    <row r="96" spans="1:15">
      <c r="A96" s="1" t="s">
        <v>125</v>
      </c>
      <c r="B96" s="1" t="s">
        <v>13</v>
      </c>
      <c r="C96" s="5">
        <v>45373</v>
      </c>
      <c r="D96" s="16" t="s">
        <v>23</v>
      </c>
      <c r="E96" s="17" t="s">
        <v>15</v>
      </c>
      <c r="F96" s="9">
        <v>2319</v>
      </c>
      <c r="G96" s="9">
        <v>484</v>
      </c>
      <c r="H96" s="9">
        <v>193</v>
      </c>
      <c r="I96" s="9">
        <v>21202</v>
      </c>
      <c r="J96" s="9">
        <v>18091</v>
      </c>
      <c r="K96" s="9">
        <v>241</v>
      </c>
      <c r="L96" s="16" t="s">
        <v>34</v>
      </c>
      <c r="M96" s="16"/>
      <c r="N96" s="16" t="s">
        <v>46</v>
      </c>
      <c r="O96" s="30">
        <f>Table15[[#This Row],[Likes]]+Table15[[#This Row],[Shares]]+Table15[[#This Row],[Comments]]</f>
        <v>2996</v>
      </c>
    </row>
    <row r="97" spans="1:15">
      <c r="A97" s="1" t="s">
        <v>64</v>
      </c>
      <c r="B97" s="1" t="s">
        <v>13</v>
      </c>
      <c r="C97" s="5">
        <v>45666</v>
      </c>
      <c r="D97" s="16" t="s">
        <v>14</v>
      </c>
      <c r="E97" s="17" t="s">
        <v>24</v>
      </c>
      <c r="F97" s="9">
        <v>1015</v>
      </c>
      <c r="G97" s="9">
        <v>366</v>
      </c>
      <c r="H97" s="9">
        <v>308</v>
      </c>
      <c r="I97" s="9">
        <v>38127</v>
      </c>
      <c r="J97" s="9">
        <v>63790</v>
      </c>
      <c r="K97" s="9">
        <v>287</v>
      </c>
      <c r="L97" s="16" t="s">
        <v>37</v>
      </c>
      <c r="M97" s="16" t="s">
        <v>34</v>
      </c>
      <c r="N97" s="16" t="s">
        <v>16</v>
      </c>
      <c r="O97" s="30">
        <f>Table15[[#This Row],[Likes]]+Table15[[#This Row],[Shares]]+Table15[[#This Row],[Comments]]</f>
        <v>1689</v>
      </c>
    </row>
    <row r="98" spans="1:15">
      <c r="A98" s="1" t="s">
        <v>127</v>
      </c>
      <c r="B98" s="1" t="s">
        <v>13</v>
      </c>
      <c r="C98" s="5">
        <v>45317</v>
      </c>
      <c r="D98" s="16" t="s">
        <v>14</v>
      </c>
      <c r="E98" s="17" t="s">
        <v>362</v>
      </c>
      <c r="F98" s="9">
        <v>3878</v>
      </c>
      <c r="G98" s="9">
        <v>431</v>
      </c>
      <c r="H98" s="9">
        <v>97</v>
      </c>
      <c r="I98" s="9">
        <v>41763</v>
      </c>
      <c r="J98" s="9">
        <v>29729</v>
      </c>
      <c r="K98" s="9">
        <v>191</v>
      </c>
      <c r="L98" s="16" t="s">
        <v>19</v>
      </c>
      <c r="M98" s="16"/>
      <c r="N98" s="16" t="s">
        <v>20</v>
      </c>
      <c r="O98" s="30">
        <f>Table15[[#This Row],[Likes]]+Table15[[#This Row],[Shares]]+Table15[[#This Row],[Comments]]</f>
        <v>4406</v>
      </c>
    </row>
    <row r="99" spans="1:15">
      <c r="A99" s="1" t="s">
        <v>275</v>
      </c>
      <c r="B99" s="1" t="s">
        <v>22</v>
      </c>
      <c r="C99" s="5">
        <v>45666</v>
      </c>
      <c r="D99" s="16" t="s">
        <v>23</v>
      </c>
      <c r="E99" s="17" t="s">
        <v>42</v>
      </c>
      <c r="F99" s="9">
        <v>3817</v>
      </c>
      <c r="G99" s="9">
        <v>284</v>
      </c>
      <c r="H99" s="9">
        <v>204</v>
      </c>
      <c r="I99" s="9">
        <v>46434</v>
      </c>
      <c r="J99" s="9">
        <v>53396</v>
      </c>
      <c r="K99" s="9">
        <v>104</v>
      </c>
      <c r="L99" s="16" t="s">
        <v>364</v>
      </c>
      <c r="M99" s="16" t="s">
        <v>34</v>
      </c>
      <c r="N99" s="16" t="s">
        <v>16</v>
      </c>
      <c r="O99" s="30">
        <f>Table15[[#This Row],[Likes]]+Table15[[#This Row],[Shares]]+Table15[[#This Row],[Comments]]</f>
        <v>4305</v>
      </c>
    </row>
    <row r="100" spans="1:15" ht="30">
      <c r="A100" s="1" t="s">
        <v>100</v>
      </c>
      <c r="B100" s="1" t="s">
        <v>22</v>
      </c>
      <c r="C100" s="5">
        <v>45662</v>
      </c>
      <c r="D100" s="16" t="s">
        <v>14</v>
      </c>
      <c r="E100" s="17" t="s">
        <v>360</v>
      </c>
      <c r="F100" s="9">
        <v>4811</v>
      </c>
      <c r="G100" s="9">
        <v>473</v>
      </c>
      <c r="H100" s="9">
        <v>254</v>
      </c>
      <c r="I100" s="9">
        <v>51964</v>
      </c>
      <c r="J100" s="9">
        <v>68795</v>
      </c>
      <c r="K100" s="9">
        <v>107</v>
      </c>
      <c r="L100" s="16" t="s">
        <v>34</v>
      </c>
      <c r="M100" s="16"/>
      <c r="N100" s="16" t="s">
        <v>16</v>
      </c>
      <c r="O100" s="30">
        <f>Table15[[#This Row],[Likes]]+Table15[[#This Row],[Shares]]+Table15[[#This Row],[Comments]]</f>
        <v>5538</v>
      </c>
    </row>
    <row r="101" spans="1:15">
      <c r="A101" s="1" t="s">
        <v>130</v>
      </c>
      <c r="B101" s="1" t="s">
        <v>13</v>
      </c>
      <c r="C101" s="5">
        <v>45494</v>
      </c>
      <c r="D101" s="16" t="s">
        <v>14</v>
      </c>
      <c r="E101" s="17" t="s">
        <v>15</v>
      </c>
      <c r="F101" s="9">
        <v>3004</v>
      </c>
      <c r="G101" s="9">
        <v>415</v>
      </c>
      <c r="H101" s="9">
        <v>218</v>
      </c>
      <c r="I101" s="9">
        <v>36090</v>
      </c>
      <c r="J101" s="9">
        <v>37073</v>
      </c>
      <c r="K101" s="9">
        <v>181</v>
      </c>
      <c r="L101" s="16" t="s">
        <v>19</v>
      </c>
      <c r="M101" s="16"/>
      <c r="N101" s="16" t="s">
        <v>20</v>
      </c>
      <c r="O101" s="30">
        <f>Table15[[#This Row],[Likes]]+Table15[[#This Row],[Shares]]+Table15[[#This Row],[Comments]]</f>
        <v>3637</v>
      </c>
    </row>
    <row r="102" spans="1:15">
      <c r="A102" s="1" t="s">
        <v>290</v>
      </c>
      <c r="B102" s="1" t="s">
        <v>22</v>
      </c>
      <c r="C102" s="5">
        <v>45662</v>
      </c>
      <c r="D102" s="16" t="s">
        <v>23</v>
      </c>
      <c r="E102" s="17" t="s">
        <v>18</v>
      </c>
      <c r="F102" s="9">
        <v>3341</v>
      </c>
      <c r="G102" s="9">
        <v>154</v>
      </c>
      <c r="H102" s="9">
        <v>123</v>
      </c>
      <c r="I102" s="9">
        <v>43369</v>
      </c>
      <c r="J102" s="9">
        <v>49035</v>
      </c>
      <c r="K102" s="9">
        <v>128</v>
      </c>
      <c r="L102" s="16" t="s">
        <v>364</v>
      </c>
      <c r="M102" s="16" t="s">
        <v>34</v>
      </c>
      <c r="N102" s="16" t="s">
        <v>16</v>
      </c>
      <c r="O102" s="30">
        <f>Table15[[#This Row],[Likes]]+Table15[[#This Row],[Shares]]+Table15[[#This Row],[Comments]]</f>
        <v>3618</v>
      </c>
    </row>
    <row r="103" spans="1:15">
      <c r="A103" s="1" t="s">
        <v>113</v>
      </c>
      <c r="B103" s="1" t="s">
        <v>22</v>
      </c>
      <c r="C103" s="5">
        <v>45660</v>
      </c>
      <c r="D103" s="16" t="s">
        <v>23</v>
      </c>
      <c r="E103" s="17" t="s">
        <v>30</v>
      </c>
      <c r="F103" s="9">
        <v>4845</v>
      </c>
      <c r="G103" s="9">
        <v>158</v>
      </c>
      <c r="H103" s="9">
        <v>84</v>
      </c>
      <c r="I103" s="9">
        <v>34578</v>
      </c>
      <c r="J103" s="9">
        <v>51480</v>
      </c>
      <c r="K103" s="9">
        <v>180</v>
      </c>
      <c r="L103" s="16" t="s">
        <v>37</v>
      </c>
      <c r="M103" s="16" t="s">
        <v>34</v>
      </c>
      <c r="N103" s="16" t="s">
        <v>16</v>
      </c>
      <c r="O103" s="30">
        <f>Table15[[#This Row],[Likes]]+Table15[[#This Row],[Shares]]+Table15[[#This Row],[Comments]]</f>
        <v>5087</v>
      </c>
    </row>
    <row r="104" spans="1:15">
      <c r="A104" s="1" t="s">
        <v>61</v>
      </c>
      <c r="B104" s="1" t="s">
        <v>13</v>
      </c>
      <c r="C104" s="5">
        <v>45658</v>
      </c>
      <c r="D104" s="16" t="s">
        <v>14</v>
      </c>
      <c r="E104" s="17" t="s">
        <v>24</v>
      </c>
      <c r="F104" s="9">
        <v>4036</v>
      </c>
      <c r="G104" s="9">
        <v>112</v>
      </c>
      <c r="H104" s="9">
        <v>382</v>
      </c>
      <c r="I104" s="9">
        <v>56284</v>
      </c>
      <c r="J104" s="9">
        <v>29440</v>
      </c>
      <c r="K104" s="9">
        <v>279</v>
      </c>
      <c r="L104" s="16" t="s">
        <v>37</v>
      </c>
      <c r="M104" s="16" t="s">
        <v>34</v>
      </c>
      <c r="N104" s="16" t="s">
        <v>16</v>
      </c>
      <c r="O104" s="30">
        <f>Table15[[#This Row],[Likes]]+Table15[[#This Row],[Shares]]+Table15[[#This Row],[Comments]]</f>
        <v>4530</v>
      </c>
    </row>
    <row r="105" spans="1:15">
      <c r="A105" s="1" t="s">
        <v>234</v>
      </c>
      <c r="B105" s="1" t="s">
        <v>22</v>
      </c>
      <c r="C105" s="5">
        <v>45656</v>
      </c>
      <c r="D105" s="16" t="s">
        <v>14</v>
      </c>
      <c r="E105" s="17" t="s">
        <v>30</v>
      </c>
      <c r="F105" s="9">
        <v>4214</v>
      </c>
      <c r="G105" s="9">
        <v>286</v>
      </c>
      <c r="H105" s="9">
        <v>127</v>
      </c>
      <c r="I105" s="9">
        <v>47293</v>
      </c>
      <c r="J105" s="9">
        <v>27184</v>
      </c>
      <c r="K105" s="9">
        <v>232</v>
      </c>
      <c r="L105" s="16" t="s">
        <v>34</v>
      </c>
      <c r="M105" s="16"/>
      <c r="N105" s="16" t="s">
        <v>16</v>
      </c>
      <c r="O105" s="30">
        <f>Table15[[#This Row],[Likes]]+Table15[[#This Row],[Shares]]+Table15[[#This Row],[Comments]]</f>
        <v>4627</v>
      </c>
    </row>
    <row r="106" spans="1:15">
      <c r="A106" s="1" t="s">
        <v>43</v>
      </c>
      <c r="B106" s="1" t="s">
        <v>22</v>
      </c>
      <c r="C106" s="5">
        <v>45655</v>
      </c>
      <c r="D106" s="16" t="s">
        <v>23</v>
      </c>
      <c r="E106" s="17" t="s">
        <v>24</v>
      </c>
      <c r="F106" s="9">
        <v>4049</v>
      </c>
      <c r="G106" s="9">
        <v>377</v>
      </c>
      <c r="H106" s="9">
        <v>94</v>
      </c>
      <c r="I106" s="9">
        <v>48182</v>
      </c>
      <c r="J106" s="9">
        <v>42875</v>
      </c>
      <c r="K106" s="9">
        <v>172</v>
      </c>
      <c r="L106" s="16" t="s">
        <v>364</v>
      </c>
      <c r="M106" s="16" t="s">
        <v>34</v>
      </c>
      <c r="N106" s="16" t="s">
        <v>16</v>
      </c>
      <c r="O106" s="30">
        <f>Table15[[#This Row],[Likes]]+Table15[[#This Row],[Shares]]+Table15[[#This Row],[Comments]]</f>
        <v>4520</v>
      </c>
    </row>
    <row r="107" spans="1:15">
      <c r="A107" s="1" t="s">
        <v>29</v>
      </c>
      <c r="B107" s="1" t="s">
        <v>22</v>
      </c>
      <c r="C107" s="5">
        <v>45645</v>
      </c>
      <c r="D107" s="16" t="s">
        <v>23</v>
      </c>
      <c r="E107" s="17" t="s">
        <v>30</v>
      </c>
      <c r="F107" s="9">
        <v>4674</v>
      </c>
      <c r="G107" s="9">
        <v>409</v>
      </c>
      <c r="H107" s="9">
        <v>327</v>
      </c>
      <c r="I107" s="9">
        <v>20756</v>
      </c>
      <c r="J107" s="9">
        <v>63599</v>
      </c>
      <c r="K107" s="9">
        <v>212</v>
      </c>
      <c r="L107" s="16" t="s">
        <v>37</v>
      </c>
      <c r="M107" s="16" t="s">
        <v>34</v>
      </c>
      <c r="N107" s="16" t="s">
        <v>16</v>
      </c>
      <c r="O107" s="30">
        <f>Table15[[#This Row],[Likes]]+Table15[[#This Row],[Shares]]+Table15[[#This Row],[Comments]]</f>
        <v>5410</v>
      </c>
    </row>
    <row r="108" spans="1:15" ht="30">
      <c r="A108" s="1" t="s">
        <v>197</v>
      </c>
      <c r="B108" s="1" t="s">
        <v>27</v>
      </c>
      <c r="C108" s="5">
        <v>45684</v>
      </c>
      <c r="D108" s="16" t="s">
        <v>14</v>
      </c>
      <c r="E108" s="17" t="s">
        <v>360</v>
      </c>
      <c r="F108" s="9">
        <v>4294</v>
      </c>
      <c r="G108" s="9">
        <v>423</v>
      </c>
      <c r="H108" s="9">
        <v>93</v>
      </c>
      <c r="I108" s="9">
        <v>29828</v>
      </c>
      <c r="J108" s="9">
        <v>73144</v>
      </c>
      <c r="K108" s="9">
        <v>298</v>
      </c>
      <c r="L108" s="16" t="s">
        <v>19</v>
      </c>
      <c r="M108" s="16" t="s">
        <v>365</v>
      </c>
      <c r="N108" s="16" t="s">
        <v>20</v>
      </c>
      <c r="O108" s="30">
        <f>Table15[[#This Row],[Likes]]+Table15[[#This Row],[Shares]]+Table15[[#This Row],[Comments]]</f>
        <v>4810</v>
      </c>
    </row>
    <row r="109" spans="1:15">
      <c r="A109" s="1" t="s">
        <v>138</v>
      </c>
      <c r="B109" s="1" t="s">
        <v>27</v>
      </c>
      <c r="C109" s="5">
        <v>45542</v>
      </c>
      <c r="D109" s="16" t="s">
        <v>48</v>
      </c>
      <c r="E109" s="17" t="s">
        <v>361</v>
      </c>
      <c r="F109" s="9">
        <v>3882</v>
      </c>
      <c r="G109" s="9">
        <v>342</v>
      </c>
      <c r="H109" s="9">
        <v>374</v>
      </c>
      <c r="I109" s="9">
        <v>41991</v>
      </c>
      <c r="J109" s="9">
        <v>48554</v>
      </c>
      <c r="K109" s="9">
        <v>118</v>
      </c>
      <c r="L109" s="16" t="s">
        <v>19</v>
      </c>
      <c r="M109" s="16" t="s">
        <v>37</v>
      </c>
      <c r="N109" s="16" t="s">
        <v>49</v>
      </c>
      <c r="O109" s="30">
        <f>Table15[[#This Row],[Likes]]+Table15[[#This Row],[Shares]]+Table15[[#This Row],[Comments]]</f>
        <v>4598</v>
      </c>
    </row>
    <row r="110" spans="1:15">
      <c r="A110" s="1" t="s">
        <v>99</v>
      </c>
      <c r="B110" s="1" t="s">
        <v>22</v>
      </c>
      <c r="C110" s="5">
        <v>45643</v>
      </c>
      <c r="D110" s="16" t="s">
        <v>23</v>
      </c>
      <c r="E110" s="17" t="s">
        <v>361</v>
      </c>
      <c r="F110" s="9">
        <v>1316</v>
      </c>
      <c r="G110" s="9">
        <v>472</v>
      </c>
      <c r="H110" s="9">
        <v>286</v>
      </c>
      <c r="I110" s="9">
        <v>44692</v>
      </c>
      <c r="J110" s="9">
        <v>53343</v>
      </c>
      <c r="K110" s="9">
        <v>227</v>
      </c>
      <c r="L110" s="16" t="s">
        <v>19</v>
      </c>
      <c r="M110" s="16" t="s">
        <v>364</v>
      </c>
      <c r="N110" s="16" t="s">
        <v>16</v>
      </c>
      <c r="O110" s="30">
        <f>Table15[[#This Row],[Likes]]+Table15[[#This Row],[Shares]]+Table15[[#This Row],[Comments]]</f>
        <v>2074</v>
      </c>
    </row>
    <row r="111" spans="1:15">
      <c r="A111" s="1" t="s">
        <v>140</v>
      </c>
      <c r="B111" s="1" t="s">
        <v>13</v>
      </c>
      <c r="C111" s="5">
        <v>45469</v>
      </c>
      <c r="D111" s="16" t="s">
        <v>14</v>
      </c>
      <c r="E111" s="17" t="s">
        <v>24</v>
      </c>
      <c r="F111" s="9">
        <v>3253</v>
      </c>
      <c r="G111" s="9">
        <v>483</v>
      </c>
      <c r="H111" s="9">
        <v>336</v>
      </c>
      <c r="I111" s="9">
        <v>25397</v>
      </c>
      <c r="J111" s="9">
        <v>51485</v>
      </c>
      <c r="K111" s="9">
        <v>131</v>
      </c>
      <c r="L111" s="16" t="s">
        <v>19</v>
      </c>
      <c r="M111" s="16"/>
      <c r="N111" s="16" t="s">
        <v>20</v>
      </c>
      <c r="O111" s="30">
        <f>Table15[[#This Row],[Likes]]+Table15[[#This Row],[Shares]]+Table15[[#This Row],[Comments]]</f>
        <v>4072</v>
      </c>
    </row>
    <row r="112" spans="1:15">
      <c r="A112" s="1" t="s">
        <v>141</v>
      </c>
      <c r="B112" s="1" t="s">
        <v>27</v>
      </c>
      <c r="C112" s="5">
        <v>45493</v>
      </c>
      <c r="D112" s="16" t="s">
        <v>48</v>
      </c>
      <c r="E112" s="17" t="s">
        <v>361</v>
      </c>
      <c r="F112" s="9">
        <v>4955</v>
      </c>
      <c r="G112" s="9">
        <v>299</v>
      </c>
      <c r="H112" s="9">
        <v>345</v>
      </c>
      <c r="I112" s="9">
        <v>33644</v>
      </c>
      <c r="J112" s="9">
        <v>43547</v>
      </c>
      <c r="K112" s="9">
        <v>194</v>
      </c>
      <c r="L112" s="16" t="s">
        <v>19</v>
      </c>
      <c r="M112" s="16" t="s">
        <v>37</v>
      </c>
      <c r="N112" s="16" t="s">
        <v>49</v>
      </c>
      <c r="O112" s="30">
        <f>Table15[[#This Row],[Likes]]+Table15[[#This Row],[Shares]]+Table15[[#This Row],[Comments]]</f>
        <v>5599</v>
      </c>
    </row>
    <row r="113" spans="1:15">
      <c r="A113" s="1" t="s">
        <v>269</v>
      </c>
      <c r="B113" s="1" t="s">
        <v>22</v>
      </c>
      <c r="C113" s="5">
        <v>45639</v>
      </c>
      <c r="D113" s="16" t="s">
        <v>23</v>
      </c>
      <c r="E113" s="17" t="s">
        <v>24</v>
      </c>
      <c r="F113" s="9">
        <v>4984</v>
      </c>
      <c r="G113" s="9">
        <v>300</v>
      </c>
      <c r="H113" s="9">
        <v>338</v>
      </c>
      <c r="I113" s="9">
        <v>32900</v>
      </c>
      <c r="J113" s="9">
        <v>31691</v>
      </c>
      <c r="K113" s="9">
        <v>160</v>
      </c>
      <c r="L113" s="16" t="s">
        <v>364</v>
      </c>
      <c r="M113" s="16" t="s">
        <v>34</v>
      </c>
      <c r="N113" s="16" t="s">
        <v>16</v>
      </c>
      <c r="O113" s="30">
        <f>Table15[[#This Row],[Likes]]+Table15[[#This Row],[Shares]]+Table15[[#This Row],[Comments]]</f>
        <v>5622</v>
      </c>
    </row>
    <row r="114" spans="1:15">
      <c r="A114" s="1" t="s">
        <v>254</v>
      </c>
      <c r="B114" s="1" t="s">
        <v>22</v>
      </c>
      <c r="C114" s="5">
        <v>45636</v>
      </c>
      <c r="D114" s="16" t="s">
        <v>14</v>
      </c>
      <c r="E114" s="17" t="s">
        <v>363</v>
      </c>
      <c r="F114" s="9">
        <v>4673</v>
      </c>
      <c r="G114" s="9">
        <v>270</v>
      </c>
      <c r="H114" s="9">
        <v>93</v>
      </c>
      <c r="I114" s="9">
        <v>45260</v>
      </c>
      <c r="J114" s="9">
        <v>57513</v>
      </c>
      <c r="K114" s="9">
        <v>103</v>
      </c>
      <c r="L114" s="16" t="s">
        <v>34</v>
      </c>
      <c r="M114" s="16"/>
      <c r="N114" s="16" t="s">
        <v>16</v>
      </c>
      <c r="O114" s="30">
        <f>Table15[[#This Row],[Likes]]+Table15[[#This Row],[Shares]]+Table15[[#This Row],[Comments]]</f>
        <v>5036</v>
      </c>
    </row>
    <row r="115" spans="1:15" ht="30">
      <c r="A115" s="1" t="s">
        <v>273</v>
      </c>
      <c r="B115" s="1" t="s">
        <v>22</v>
      </c>
      <c r="C115" s="5">
        <v>45636</v>
      </c>
      <c r="D115" s="16" t="s">
        <v>23</v>
      </c>
      <c r="E115" s="17" t="s">
        <v>360</v>
      </c>
      <c r="F115" s="9">
        <v>2267</v>
      </c>
      <c r="G115" s="9">
        <v>230</v>
      </c>
      <c r="H115" s="9">
        <v>243</v>
      </c>
      <c r="I115" s="9">
        <v>27904</v>
      </c>
      <c r="J115" s="9">
        <v>69771</v>
      </c>
      <c r="K115" s="9">
        <v>255</v>
      </c>
      <c r="L115" s="16" t="s">
        <v>19</v>
      </c>
      <c r="M115" s="16" t="s">
        <v>364</v>
      </c>
      <c r="N115" s="16" t="s">
        <v>16</v>
      </c>
      <c r="O115" s="30">
        <f>Table15[[#This Row],[Likes]]+Table15[[#This Row],[Shares]]+Table15[[#This Row],[Comments]]</f>
        <v>2740</v>
      </c>
    </row>
    <row r="116" spans="1:15">
      <c r="A116" s="1" t="s">
        <v>145</v>
      </c>
      <c r="B116" s="1" t="s">
        <v>13</v>
      </c>
      <c r="C116" s="5">
        <v>45762</v>
      </c>
      <c r="D116" s="16" t="s">
        <v>14</v>
      </c>
      <c r="E116" s="17" t="s">
        <v>18</v>
      </c>
      <c r="F116" s="9">
        <v>4177</v>
      </c>
      <c r="G116" s="9">
        <v>489</v>
      </c>
      <c r="H116" s="9">
        <v>331</v>
      </c>
      <c r="I116" s="9">
        <v>57451</v>
      </c>
      <c r="J116" s="9">
        <v>73793</v>
      </c>
      <c r="K116" s="9">
        <v>251</v>
      </c>
      <c r="L116" s="16" t="s">
        <v>19</v>
      </c>
      <c r="M116" s="16"/>
      <c r="N116" s="16" t="s">
        <v>20</v>
      </c>
      <c r="O116" s="30">
        <f>Table15[[#This Row],[Likes]]+Table15[[#This Row],[Shares]]+Table15[[#This Row],[Comments]]</f>
        <v>4997</v>
      </c>
    </row>
    <row r="117" spans="1:15">
      <c r="A117" s="1" t="s">
        <v>146</v>
      </c>
      <c r="B117" s="1" t="s">
        <v>13</v>
      </c>
      <c r="C117" s="5">
        <v>45781</v>
      </c>
      <c r="D117" s="16" t="s">
        <v>23</v>
      </c>
      <c r="E117" s="17" t="s">
        <v>24</v>
      </c>
      <c r="F117" s="9">
        <v>1311</v>
      </c>
      <c r="G117" s="9">
        <v>181</v>
      </c>
      <c r="H117" s="9">
        <v>361</v>
      </c>
      <c r="I117" s="9">
        <v>37148</v>
      </c>
      <c r="J117" s="9">
        <v>44875</v>
      </c>
      <c r="K117" s="9">
        <v>245</v>
      </c>
      <c r="L117" s="16" t="s">
        <v>34</v>
      </c>
      <c r="M117" s="16"/>
      <c r="N117" s="16" t="s">
        <v>46</v>
      </c>
      <c r="O117" s="30">
        <f>Table15[[#This Row],[Likes]]+Table15[[#This Row],[Shares]]+Table15[[#This Row],[Comments]]</f>
        <v>1853</v>
      </c>
    </row>
    <row r="118" spans="1:15">
      <c r="A118" s="1" t="s">
        <v>147</v>
      </c>
      <c r="B118" s="1" t="s">
        <v>13</v>
      </c>
      <c r="C118" s="5">
        <v>45340</v>
      </c>
      <c r="D118" s="16" t="s">
        <v>23</v>
      </c>
      <c r="E118" s="17" t="s">
        <v>363</v>
      </c>
      <c r="F118" s="9">
        <v>1516</v>
      </c>
      <c r="G118" s="9">
        <v>215</v>
      </c>
      <c r="H118" s="9">
        <v>332</v>
      </c>
      <c r="I118" s="9">
        <v>58981</v>
      </c>
      <c r="J118" s="9">
        <v>36118</v>
      </c>
      <c r="K118" s="9">
        <v>211</v>
      </c>
      <c r="L118" s="16" t="s">
        <v>34</v>
      </c>
      <c r="M118" s="16"/>
      <c r="N118" s="16" t="s">
        <v>46</v>
      </c>
      <c r="O118" s="30">
        <f>Table15[[#This Row],[Likes]]+Table15[[#This Row],[Shares]]+Table15[[#This Row],[Comments]]</f>
        <v>2063</v>
      </c>
    </row>
    <row r="119" spans="1:15" ht="30">
      <c r="A119" s="1" t="s">
        <v>35</v>
      </c>
      <c r="B119" s="1" t="s">
        <v>22</v>
      </c>
      <c r="C119" s="5">
        <v>45630</v>
      </c>
      <c r="D119" s="16" t="s">
        <v>14</v>
      </c>
      <c r="E119" s="17" t="s">
        <v>360</v>
      </c>
      <c r="F119" s="9">
        <v>2357</v>
      </c>
      <c r="G119" s="9">
        <v>274</v>
      </c>
      <c r="H119" s="9">
        <v>172</v>
      </c>
      <c r="I119" s="9">
        <v>21566</v>
      </c>
      <c r="J119" s="9">
        <v>66829</v>
      </c>
      <c r="K119" s="9">
        <v>284</v>
      </c>
      <c r="L119" s="16" t="s">
        <v>34</v>
      </c>
      <c r="M119" s="16"/>
      <c r="N119" s="16" t="s">
        <v>16</v>
      </c>
      <c r="O119" s="30">
        <f>Table15[[#This Row],[Likes]]+Table15[[#This Row],[Shares]]+Table15[[#This Row],[Comments]]</f>
        <v>2803</v>
      </c>
    </row>
    <row r="120" spans="1:15" ht="30">
      <c r="A120" s="1" t="s">
        <v>119</v>
      </c>
      <c r="B120" s="1" t="s">
        <v>13</v>
      </c>
      <c r="C120" s="5">
        <v>45630</v>
      </c>
      <c r="D120" s="16" t="s">
        <v>14</v>
      </c>
      <c r="E120" s="17" t="s">
        <v>360</v>
      </c>
      <c r="F120" s="9">
        <v>2601</v>
      </c>
      <c r="G120" s="9">
        <v>336</v>
      </c>
      <c r="H120" s="9">
        <v>260</v>
      </c>
      <c r="I120" s="9">
        <v>32368</v>
      </c>
      <c r="J120" s="9">
        <v>49028</v>
      </c>
      <c r="K120" s="9">
        <v>120</v>
      </c>
      <c r="L120" s="16" t="s">
        <v>37</v>
      </c>
      <c r="M120" s="16" t="s">
        <v>34</v>
      </c>
      <c r="N120" s="16" t="s">
        <v>16</v>
      </c>
      <c r="O120" s="30">
        <f>Table15[[#This Row],[Likes]]+Table15[[#This Row],[Shares]]+Table15[[#This Row],[Comments]]</f>
        <v>3197</v>
      </c>
    </row>
    <row r="121" spans="1:15">
      <c r="A121" s="1" t="s">
        <v>245</v>
      </c>
      <c r="B121" s="1" t="s">
        <v>27</v>
      </c>
      <c r="C121" s="5">
        <v>45672</v>
      </c>
      <c r="D121" s="16" t="s">
        <v>14</v>
      </c>
      <c r="E121" s="17" t="s">
        <v>42</v>
      </c>
      <c r="F121" s="9">
        <v>2599</v>
      </c>
      <c r="G121" s="9">
        <v>324</v>
      </c>
      <c r="H121" s="9">
        <v>182</v>
      </c>
      <c r="I121" s="9">
        <v>37525</v>
      </c>
      <c r="J121" s="9">
        <v>37216</v>
      </c>
      <c r="K121" s="9">
        <v>186</v>
      </c>
      <c r="L121" s="16" t="s">
        <v>19</v>
      </c>
      <c r="M121" s="16" t="s">
        <v>365</v>
      </c>
      <c r="N121" s="16" t="s">
        <v>20</v>
      </c>
      <c r="O121" s="30">
        <f>Table15[[#This Row],[Likes]]+Table15[[#This Row],[Shares]]+Table15[[#This Row],[Comments]]</f>
        <v>3105</v>
      </c>
    </row>
    <row r="122" spans="1:15">
      <c r="A122" s="1" t="s">
        <v>151</v>
      </c>
      <c r="B122" s="1" t="s">
        <v>13</v>
      </c>
      <c r="C122" s="5">
        <v>45777</v>
      </c>
      <c r="D122" s="16" t="s">
        <v>23</v>
      </c>
      <c r="E122" s="17" t="s">
        <v>24</v>
      </c>
      <c r="F122" s="9">
        <v>3916</v>
      </c>
      <c r="G122" s="9">
        <v>459</v>
      </c>
      <c r="H122" s="9">
        <v>229</v>
      </c>
      <c r="I122" s="9">
        <v>48989</v>
      </c>
      <c r="J122" s="9">
        <v>39768</v>
      </c>
      <c r="K122" s="9">
        <v>200</v>
      </c>
      <c r="L122" s="16" t="s">
        <v>34</v>
      </c>
      <c r="M122" s="16"/>
      <c r="N122" s="16" t="s">
        <v>46</v>
      </c>
      <c r="O122" s="30">
        <f>Table15[[#This Row],[Likes]]+Table15[[#This Row],[Shares]]+Table15[[#This Row],[Comments]]</f>
        <v>4604</v>
      </c>
    </row>
    <row r="123" spans="1:15">
      <c r="A123" s="1" t="s">
        <v>21</v>
      </c>
      <c r="B123" s="1" t="s">
        <v>22</v>
      </c>
      <c r="C123" s="5">
        <v>45629</v>
      </c>
      <c r="D123" s="16" t="s">
        <v>23</v>
      </c>
      <c r="E123" s="17" t="s">
        <v>24</v>
      </c>
      <c r="F123" s="9">
        <v>3092</v>
      </c>
      <c r="G123" s="9">
        <v>177</v>
      </c>
      <c r="H123" s="9">
        <v>81</v>
      </c>
      <c r="I123" s="9">
        <v>47533</v>
      </c>
      <c r="J123" s="9">
        <v>29220</v>
      </c>
      <c r="K123" s="9">
        <v>121</v>
      </c>
      <c r="L123" s="16" t="s">
        <v>364</v>
      </c>
      <c r="M123" s="16" t="s">
        <v>34</v>
      </c>
      <c r="N123" s="16" t="s">
        <v>16</v>
      </c>
      <c r="O123" s="30">
        <f>Table15[[#This Row],[Likes]]+Table15[[#This Row],[Shares]]+Table15[[#This Row],[Comments]]</f>
        <v>3350</v>
      </c>
    </row>
    <row r="124" spans="1:15">
      <c r="A124" s="1" t="s">
        <v>153</v>
      </c>
      <c r="B124" s="1" t="s">
        <v>27</v>
      </c>
      <c r="C124" s="5">
        <v>45424</v>
      </c>
      <c r="D124" s="16" t="s">
        <v>14</v>
      </c>
      <c r="E124" s="17" t="s">
        <v>363</v>
      </c>
      <c r="F124" s="9">
        <v>2911</v>
      </c>
      <c r="G124" s="9">
        <v>467</v>
      </c>
      <c r="H124" s="9">
        <v>94</v>
      </c>
      <c r="I124" s="9">
        <v>59083</v>
      </c>
      <c r="J124" s="9">
        <v>49762</v>
      </c>
      <c r="K124" s="9">
        <v>236</v>
      </c>
      <c r="L124" s="16" t="s">
        <v>19</v>
      </c>
      <c r="M124" s="16" t="s">
        <v>365</v>
      </c>
      <c r="N124" s="16" t="s">
        <v>20</v>
      </c>
      <c r="O124" s="30">
        <f>Table15[[#This Row],[Likes]]+Table15[[#This Row],[Shares]]+Table15[[#This Row],[Comments]]</f>
        <v>3472</v>
      </c>
    </row>
    <row r="125" spans="1:15" ht="30">
      <c r="A125" s="1" t="s">
        <v>25</v>
      </c>
      <c r="B125" s="1" t="s">
        <v>13</v>
      </c>
      <c r="C125" s="5">
        <v>45629</v>
      </c>
      <c r="D125" s="16" t="s">
        <v>14</v>
      </c>
      <c r="E125" s="17" t="s">
        <v>360</v>
      </c>
      <c r="F125" s="9">
        <v>3173</v>
      </c>
      <c r="G125" s="9">
        <v>229</v>
      </c>
      <c r="H125" s="9">
        <v>197</v>
      </c>
      <c r="I125" s="9">
        <v>29604</v>
      </c>
      <c r="J125" s="9">
        <v>21809</v>
      </c>
      <c r="K125" s="9">
        <v>272</v>
      </c>
      <c r="L125" s="16" t="s">
        <v>37</v>
      </c>
      <c r="M125" s="16" t="s">
        <v>34</v>
      </c>
      <c r="N125" s="16" t="s">
        <v>16</v>
      </c>
      <c r="O125" s="30">
        <f>Table15[[#This Row],[Likes]]+Table15[[#This Row],[Shares]]+Table15[[#This Row],[Comments]]</f>
        <v>3599</v>
      </c>
    </row>
    <row r="126" spans="1:15">
      <c r="A126" s="1" t="s">
        <v>308</v>
      </c>
      <c r="B126" s="1" t="s">
        <v>13</v>
      </c>
      <c r="C126" s="5">
        <v>45628</v>
      </c>
      <c r="D126" s="16" t="s">
        <v>14</v>
      </c>
      <c r="E126" s="17" t="s">
        <v>33</v>
      </c>
      <c r="F126" s="9">
        <v>3194</v>
      </c>
      <c r="G126" s="9">
        <v>292</v>
      </c>
      <c r="H126" s="9">
        <v>245</v>
      </c>
      <c r="I126" s="9">
        <v>56371</v>
      </c>
      <c r="J126" s="9">
        <v>65597</v>
      </c>
      <c r="K126" s="9">
        <v>163</v>
      </c>
      <c r="L126" s="16" t="s">
        <v>37</v>
      </c>
      <c r="M126" s="16" t="s">
        <v>34</v>
      </c>
      <c r="N126" s="16" t="s">
        <v>16</v>
      </c>
      <c r="O126" s="30">
        <f>Table15[[#This Row],[Likes]]+Table15[[#This Row],[Shares]]+Table15[[#This Row],[Comments]]</f>
        <v>3731</v>
      </c>
    </row>
    <row r="127" spans="1:15">
      <c r="A127" s="1" t="s">
        <v>292</v>
      </c>
      <c r="B127" s="1" t="s">
        <v>22</v>
      </c>
      <c r="C127" s="5">
        <v>45626</v>
      </c>
      <c r="D127" s="16" t="s">
        <v>23</v>
      </c>
      <c r="E127" s="17" t="s">
        <v>18</v>
      </c>
      <c r="F127" s="9">
        <v>4963</v>
      </c>
      <c r="G127" s="9">
        <v>255</v>
      </c>
      <c r="H127" s="9">
        <v>193</v>
      </c>
      <c r="I127" s="9">
        <v>44386</v>
      </c>
      <c r="J127" s="9">
        <v>28415</v>
      </c>
      <c r="K127" s="9">
        <v>174</v>
      </c>
      <c r="L127" s="16" t="s">
        <v>364</v>
      </c>
      <c r="M127" s="16" t="s">
        <v>34</v>
      </c>
      <c r="N127" s="16" t="s">
        <v>16</v>
      </c>
      <c r="O127" s="30">
        <f>Table15[[#This Row],[Likes]]+Table15[[#This Row],[Shares]]+Table15[[#This Row],[Comments]]</f>
        <v>5411</v>
      </c>
    </row>
    <row r="128" spans="1:15">
      <c r="A128" s="1" t="s">
        <v>157</v>
      </c>
      <c r="B128" s="1" t="s">
        <v>22</v>
      </c>
      <c r="C128" s="5">
        <v>45319</v>
      </c>
      <c r="D128" s="16" t="s">
        <v>14</v>
      </c>
      <c r="E128" s="17" t="s">
        <v>361</v>
      </c>
      <c r="F128" s="9">
        <v>1456</v>
      </c>
      <c r="G128" s="9">
        <v>265</v>
      </c>
      <c r="H128" s="9">
        <v>137</v>
      </c>
      <c r="I128" s="9">
        <v>53485</v>
      </c>
      <c r="J128" s="9">
        <v>59729</v>
      </c>
      <c r="K128" s="9">
        <v>145</v>
      </c>
      <c r="L128" s="16" t="s">
        <v>37</v>
      </c>
      <c r="M128" s="16"/>
      <c r="N128" s="16" t="s">
        <v>20</v>
      </c>
      <c r="O128" s="30">
        <f>Table15[[#This Row],[Likes]]+Table15[[#This Row],[Shares]]+Table15[[#This Row],[Comments]]</f>
        <v>1858</v>
      </c>
    </row>
    <row r="129" spans="1:15">
      <c r="A129" s="1" t="s">
        <v>57</v>
      </c>
      <c r="B129" s="1" t="s">
        <v>13</v>
      </c>
      <c r="C129" s="5">
        <v>45625</v>
      </c>
      <c r="D129" s="16" t="s">
        <v>14</v>
      </c>
      <c r="E129" s="17" t="s">
        <v>362</v>
      </c>
      <c r="F129" s="9">
        <v>2824</v>
      </c>
      <c r="G129" s="9">
        <v>425</v>
      </c>
      <c r="H129" s="9">
        <v>274</v>
      </c>
      <c r="I129" s="9">
        <v>31004</v>
      </c>
      <c r="J129" s="9">
        <v>53488</v>
      </c>
      <c r="K129" s="9">
        <v>268</v>
      </c>
      <c r="L129" s="16" t="s">
        <v>37</v>
      </c>
      <c r="M129" s="16" t="s">
        <v>34</v>
      </c>
      <c r="N129" s="16" t="s">
        <v>16</v>
      </c>
      <c r="O129" s="30">
        <f>Table15[[#This Row],[Likes]]+Table15[[#This Row],[Shares]]+Table15[[#This Row],[Comments]]</f>
        <v>3523</v>
      </c>
    </row>
    <row r="130" spans="1:15">
      <c r="A130" s="1" t="s">
        <v>168</v>
      </c>
      <c r="B130" s="1" t="s">
        <v>22</v>
      </c>
      <c r="C130" s="5">
        <v>45624</v>
      </c>
      <c r="D130" s="16" t="s">
        <v>23</v>
      </c>
      <c r="E130" s="17" t="s">
        <v>24</v>
      </c>
      <c r="F130" s="9">
        <v>1131</v>
      </c>
      <c r="G130" s="9">
        <v>100</v>
      </c>
      <c r="H130" s="9">
        <v>116</v>
      </c>
      <c r="I130" s="9">
        <v>48437</v>
      </c>
      <c r="J130" s="9">
        <v>72704</v>
      </c>
      <c r="K130" s="9">
        <v>236</v>
      </c>
      <c r="L130" s="16" t="s">
        <v>19</v>
      </c>
      <c r="M130" s="16" t="s">
        <v>364</v>
      </c>
      <c r="N130" s="16" t="s">
        <v>16</v>
      </c>
      <c r="O130" s="30">
        <f>Table15[[#This Row],[Likes]]+Table15[[#This Row],[Shares]]+Table15[[#This Row],[Comments]]</f>
        <v>1347</v>
      </c>
    </row>
    <row r="131" spans="1:15">
      <c r="A131" s="1" t="s">
        <v>160</v>
      </c>
      <c r="B131" s="1" t="s">
        <v>27</v>
      </c>
      <c r="C131" s="5">
        <v>45301</v>
      </c>
      <c r="D131" s="16" t="s">
        <v>14</v>
      </c>
      <c r="E131" s="17" t="s">
        <v>18</v>
      </c>
      <c r="F131" s="9">
        <v>1261</v>
      </c>
      <c r="G131" s="9">
        <v>190</v>
      </c>
      <c r="H131" s="9">
        <v>233</v>
      </c>
      <c r="I131" s="9">
        <v>59888</v>
      </c>
      <c r="J131" s="9">
        <v>51449</v>
      </c>
      <c r="K131" s="9">
        <v>205</v>
      </c>
      <c r="L131" s="16" t="s">
        <v>19</v>
      </c>
      <c r="M131" s="16" t="s">
        <v>365</v>
      </c>
      <c r="N131" s="16" t="s">
        <v>20</v>
      </c>
      <c r="O131" s="30">
        <f>Table15[[#This Row],[Likes]]+Table15[[#This Row],[Shares]]+Table15[[#This Row],[Comments]]</f>
        <v>1684</v>
      </c>
    </row>
    <row r="132" spans="1:15">
      <c r="A132" s="1" t="s">
        <v>161</v>
      </c>
      <c r="B132" s="1" t="s">
        <v>22</v>
      </c>
      <c r="C132" s="5">
        <v>45736</v>
      </c>
      <c r="D132" s="16" t="s">
        <v>14</v>
      </c>
      <c r="E132" s="17" t="s">
        <v>42</v>
      </c>
      <c r="F132" s="9">
        <v>1564</v>
      </c>
      <c r="G132" s="9">
        <v>362</v>
      </c>
      <c r="H132" s="9">
        <v>371</v>
      </c>
      <c r="I132" s="9">
        <v>42075</v>
      </c>
      <c r="J132" s="9">
        <v>66659</v>
      </c>
      <c r="K132" s="9">
        <v>205</v>
      </c>
      <c r="L132" s="16" t="s">
        <v>37</v>
      </c>
      <c r="M132" s="16"/>
      <c r="N132" s="16" t="s">
        <v>20</v>
      </c>
      <c r="O132" s="30">
        <f>Table15[[#This Row],[Likes]]+Table15[[#This Row],[Shares]]+Table15[[#This Row],[Comments]]</f>
        <v>2297</v>
      </c>
    </row>
    <row r="133" spans="1:15">
      <c r="A133" s="1" t="s">
        <v>139</v>
      </c>
      <c r="B133" s="1" t="s">
        <v>13</v>
      </c>
      <c r="C133" s="5">
        <v>45617</v>
      </c>
      <c r="D133" s="16" t="s">
        <v>14</v>
      </c>
      <c r="E133" s="17" t="s">
        <v>361</v>
      </c>
      <c r="F133" s="9">
        <v>4581</v>
      </c>
      <c r="G133" s="9">
        <v>181</v>
      </c>
      <c r="H133" s="9">
        <v>112</v>
      </c>
      <c r="I133" s="9">
        <v>35221</v>
      </c>
      <c r="J133" s="9">
        <v>28797</v>
      </c>
      <c r="K133" s="9">
        <v>164</v>
      </c>
      <c r="L133" s="16" t="s">
        <v>37</v>
      </c>
      <c r="M133" s="16" t="s">
        <v>34</v>
      </c>
      <c r="N133" s="16" t="s">
        <v>16</v>
      </c>
      <c r="O133" s="30">
        <f>Table15[[#This Row],[Likes]]+Table15[[#This Row],[Shares]]+Table15[[#This Row],[Comments]]</f>
        <v>4874</v>
      </c>
    </row>
    <row r="134" spans="1:15">
      <c r="A134" s="1" t="s">
        <v>163</v>
      </c>
      <c r="B134" s="1" t="s">
        <v>27</v>
      </c>
      <c r="C134" s="5">
        <v>45318</v>
      </c>
      <c r="D134" s="16" t="s">
        <v>14</v>
      </c>
      <c r="E134" s="17" t="s">
        <v>42</v>
      </c>
      <c r="F134" s="9">
        <v>1976</v>
      </c>
      <c r="G134" s="9">
        <v>262</v>
      </c>
      <c r="H134" s="9">
        <v>218</v>
      </c>
      <c r="I134" s="9">
        <v>51696</v>
      </c>
      <c r="J134" s="9">
        <v>44846</v>
      </c>
      <c r="K134" s="9">
        <v>139</v>
      </c>
      <c r="L134" s="16" t="s">
        <v>19</v>
      </c>
      <c r="M134" s="16" t="s">
        <v>365</v>
      </c>
      <c r="N134" s="16" t="s">
        <v>20</v>
      </c>
      <c r="O134" s="30">
        <f>Table15[[#This Row],[Likes]]+Table15[[#This Row],[Shares]]+Table15[[#This Row],[Comments]]</f>
        <v>2456</v>
      </c>
    </row>
    <row r="135" spans="1:15">
      <c r="A135" s="1" t="s">
        <v>166</v>
      </c>
      <c r="B135" s="1" t="s">
        <v>22</v>
      </c>
      <c r="C135" s="5">
        <v>45615</v>
      </c>
      <c r="D135" s="16" t="s">
        <v>14</v>
      </c>
      <c r="E135" s="17" t="s">
        <v>33</v>
      </c>
      <c r="F135" s="9">
        <v>3728</v>
      </c>
      <c r="G135" s="9">
        <v>271</v>
      </c>
      <c r="H135" s="9">
        <v>275</v>
      </c>
      <c r="I135" s="9">
        <v>22827</v>
      </c>
      <c r="J135" s="9">
        <v>37034</v>
      </c>
      <c r="K135" s="9">
        <v>199</v>
      </c>
      <c r="L135" s="16" t="s">
        <v>34</v>
      </c>
      <c r="M135" s="16"/>
      <c r="N135" s="16" t="s">
        <v>16</v>
      </c>
      <c r="O135" s="30">
        <f>Table15[[#This Row],[Likes]]+Table15[[#This Row],[Shares]]+Table15[[#This Row],[Comments]]</f>
        <v>4274</v>
      </c>
    </row>
    <row r="136" spans="1:15">
      <c r="A136" s="1" t="s">
        <v>192</v>
      </c>
      <c r="B136" s="1" t="s">
        <v>13</v>
      </c>
      <c r="C136" s="5">
        <v>45610</v>
      </c>
      <c r="D136" s="16" t="s">
        <v>14</v>
      </c>
      <c r="E136" s="17" t="s">
        <v>361</v>
      </c>
      <c r="F136" s="9">
        <v>2422</v>
      </c>
      <c r="G136" s="9">
        <v>318</v>
      </c>
      <c r="H136" s="9">
        <v>118</v>
      </c>
      <c r="I136" s="9">
        <v>25386</v>
      </c>
      <c r="J136" s="9">
        <v>20873</v>
      </c>
      <c r="K136" s="9">
        <v>100</v>
      </c>
      <c r="L136" s="16" t="s">
        <v>37</v>
      </c>
      <c r="M136" s="16" t="s">
        <v>34</v>
      </c>
      <c r="N136" s="16" t="s">
        <v>16</v>
      </c>
      <c r="O136" s="30">
        <f>Table15[[#This Row],[Likes]]+Table15[[#This Row],[Shares]]+Table15[[#This Row],[Comments]]</f>
        <v>2858</v>
      </c>
    </row>
    <row r="137" spans="1:15">
      <c r="A137" s="1" t="s">
        <v>124</v>
      </c>
      <c r="B137" s="1" t="s">
        <v>22</v>
      </c>
      <c r="C137" s="5">
        <v>45609</v>
      </c>
      <c r="D137" s="16" t="s">
        <v>23</v>
      </c>
      <c r="E137" s="17" t="s">
        <v>33</v>
      </c>
      <c r="F137" s="9">
        <v>4628</v>
      </c>
      <c r="G137" s="9">
        <v>257</v>
      </c>
      <c r="H137" s="9">
        <v>397</v>
      </c>
      <c r="I137" s="9">
        <v>36686</v>
      </c>
      <c r="J137" s="9">
        <v>54683</v>
      </c>
      <c r="K137" s="9">
        <v>98</v>
      </c>
      <c r="L137" s="16" t="s">
        <v>37</v>
      </c>
      <c r="M137" s="16" t="s">
        <v>34</v>
      </c>
      <c r="N137" s="16" t="s">
        <v>16</v>
      </c>
      <c r="O137" s="30">
        <f>Table15[[#This Row],[Likes]]+Table15[[#This Row],[Shares]]+Table15[[#This Row],[Comments]]</f>
        <v>5282</v>
      </c>
    </row>
    <row r="138" spans="1:15">
      <c r="A138" s="1" t="s">
        <v>300</v>
      </c>
      <c r="B138" s="1" t="s">
        <v>22</v>
      </c>
      <c r="C138" s="5">
        <v>45609</v>
      </c>
      <c r="D138" s="16" t="s">
        <v>23</v>
      </c>
      <c r="E138" s="17" t="s">
        <v>24</v>
      </c>
      <c r="F138" s="9">
        <v>1409</v>
      </c>
      <c r="G138" s="9">
        <v>466</v>
      </c>
      <c r="H138" s="9">
        <v>105</v>
      </c>
      <c r="I138" s="9">
        <v>58923</v>
      </c>
      <c r="J138" s="9">
        <v>38753</v>
      </c>
      <c r="K138" s="9">
        <v>265</v>
      </c>
      <c r="L138" s="16" t="s">
        <v>19</v>
      </c>
      <c r="M138" s="16" t="s">
        <v>364</v>
      </c>
      <c r="N138" s="16" t="s">
        <v>16</v>
      </c>
      <c r="O138" s="30">
        <f>Table15[[#This Row],[Likes]]+Table15[[#This Row],[Shares]]+Table15[[#This Row],[Comments]]</f>
        <v>1980</v>
      </c>
    </row>
    <row r="139" spans="1:15">
      <c r="A139" s="1" t="s">
        <v>155</v>
      </c>
      <c r="B139" s="1" t="s">
        <v>22</v>
      </c>
      <c r="C139" s="5">
        <v>45602</v>
      </c>
      <c r="D139" s="16" t="s">
        <v>14</v>
      </c>
      <c r="E139" s="17" t="s">
        <v>363</v>
      </c>
      <c r="F139" s="9">
        <v>2956</v>
      </c>
      <c r="G139" s="9">
        <v>381</v>
      </c>
      <c r="H139" s="9">
        <v>345</v>
      </c>
      <c r="I139" s="9">
        <v>33347</v>
      </c>
      <c r="J139" s="9">
        <v>22558</v>
      </c>
      <c r="K139" s="9">
        <v>173</v>
      </c>
      <c r="L139" s="16" t="s">
        <v>34</v>
      </c>
      <c r="M139" s="16"/>
      <c r="N139" s="16" t="s">
        <v>16</v>
      </c>
      <c r="O139" s="30">
        <f>Table15[[#This Row],[Likes]]+Table15[[#This Row],[Shares]]+Table15[[#This Row],[Comments]]</f>
        <v>3682</v>
      </c>
    </row>
    <row r="140" spans="1:15" ht="30">
      <c r="A140" s="1" t="s">
        <v>92</v>
      </c>
      <c r="B140" s="1" t="s">
        <v>22</v>
      </c>
      <c r="C140" s="5">
        <v>45599</v>
      </c>
      <c r="D140" s="16" t="s">
        <v>23</v>
      </c>
      <c r="E140" s="17" t="s">
        <v>360</v>
      </c>
      <c r="F140" s="9">
        <v>1959</v>
      </c>
      <c r="G140" s="9">
        <v>316</v>
      </c>
      <c r="H140" s="9">
        <v>82</v>
      </c>
      <c r="I140" s="9">
        <v>54036</v>
      </c>
      <c r="J140" s="9">
        <v>69015</v>
      </c>
      <c r="K140" s="9">
        <v>182</v>
      </c>
      <c r="L140" s="16" t="s">
        <v>364</v>
      </c>
      <c r="M140" s="16" t="s">
        <v>34</v>
      </c>
      <c r="N140" s="16" t="s">
        <v>16</v>
      </c>
      <c r="O140" s="30">
        <f>Table15[[#This Row],[Likes]]+Table15[[#This Row],[Shares]]+Table15[[#This Row],[Comments]]</f>
        <v>2357</v>
      </c>
    </row>
    <row r="141" spans="1:15">
      <c r="A141" s="1" t="s">
        <v>322</v>
      </c>
      <c r="B141" s="1" t="s">
        <v>22</v>
      </c>
      <c r="C141" s="5">
        <v>45599</v>
      </c>
      <c r="D141" s="16" t="s">
        <v>23</v>
      </c>
      <c r="E141" s="17" t="s">
        <v>18</v>
      </c>
      <c r="F141" s="9">
        <v>3061</v>
      </c>
      <c r="G141" s="9">
        <v>320</v>
      </c>
      <c r="H141" s="9">
        <v>76</v>
      </c>
      <c r="I141" s="9">
        <v>26640</v>
      </c>
      <c r="J141" s="9">
        <v>24306</v>
      </c>
      <c r="K141" s="9">
        <v>112</v>
      </c>
      <c r="L141" s="16" t="s">
        <v>364</v>
      </c>
      <c r="M141" s="16" t="s">
        <v>34</v>
      </c>
      <c r="N141" s="16" t="s">
        <v>16</v>
      </c>
      <c r="O141" s="30">
        <f>Table15[[#This Row],[Likes]]+Table15[[#This Row],[Shares]]+Table15[[#This Row],[Comments]]</f>
        <v>3457</v>
      </c>
    </row>
    <row r="142" spans="1:15">
      <c r="A142" s="1" t="s">
        <v>171</v>
      </c>
      <c r="B142" s="1" t="s">
        <v>27</v>
      </c>
      <c r="C142" s="5">
        <v>45566</v>
      </c>
      <c r="D142" s="16" t="s">
        <v>48</v>
      </c>
      <c r="E142" s="17" t="s">
        <v>18</v>
      </c>
      <c r="F142" s="9">
        <v>3543</v>
      </c>
      <c r="G142" s="9">
        <v>334</v>
      </c>
      <c r="H142" s="9">
        <v>218</v>
      </c>
      <c r="I142" s="9">
        <v>58007</v>
      </c>
      <c r="J142" s="9">
        <v>24792</v>
      </c>
      <c r="K142" s="9">
        <v>273</v>
      </c>
      <c r="L142" s="16" t="s">
        <v>19</v>
      </c>
      <c r="M142" s="16" t="s">
        <v>37</v>
      </c>
      <c r="N142" s="16" t="s">
        <v>49</v>
      </c>
      <c r="O142" s="30">
        <f>Table15[[#This Row],[Likes]]+Table15[[#This Row],[Shares]]+Table15[[#This Row],[Comments]]</f>
        <v>4095</v>
      </c>
    </row>
    <row r="143" spans="1:15">
      <c r="A143" s="1" t="s">
        <v>172</v>
      </c>
      <c r="B143" s="1" t="s">
        <v>13</v>
      </c>
      <c r="C143" s="5">
        <v>45647</v>
      </c>
      <c r="D143" s="16" t="s">
        <v>23</v>
      </c>
      <c r="E143" s="17" t="s">
        <v>24</v>
      </c>
      <c r="F143" s="9">
        <v>4563</v>
      </c>
      <c r="G143" s="9">
        <v>398</v>
      </c>
      <c r="H143" s="9">
        <v>163</v>
      </c>
      <c r="I143" s="9">
        <v>43679</v>
      </c>
      <c r="J143" s="9">
        <v>48760</v>
      </c>
      <c r="K143" s="9">
        <v>92</v>
      </c>
      <c r="L143" s="16" t="s">
        <v>34</v>
      </c>
      <c r="M143" s="16"/>
      <c r="N143" s="16" t="s">
        <v>46</v>
      </c>
      <c r="O143" s="30">
        <f>Table15[[#This Row],[Likes]]+Table15[[#This Row],[Shares]]+Table15[[#This Row],[Comments]]</f>
        <v>5124</v>
      </c>
    </row>
    <row r="144" spans="1:15">
      <c r="A144" s="1" t="s">
        <v>173</v>
      </c>
      <c r="B144" s="1" t="s">
        <v>13</v>
      </c>
      <c r="C144" s="5">
        <v>45460</v>
      </c>
      <c r="D144" s="16" t="s">
        <v>14</v>
      </c>
      <c r="E144" s="17" t="s">
        <v>15</v>
      </c>
      <c r="F144" s="9">
        <v>4283</v>
      </c>
      <c r="G144" s="9">
        <v>471</v>
      </c>
      <c r="H144" s="9">
        <v>156</v>
      </c>
      <c r="I144" s="9">
        <v>53004</v>
      </c>
      <c r="J144" s="9">
        <v>25678</v>
      </c>
      <c r="K144" s="9">
        <v>105</v>
      </c>
      <c r="L144" s="16" t="s">
        <v>19</v>
      </c>
      <c r="M144" s="16"/>
      <c r="N144" s="16" t="s">
        <v>20</v>
      </c>
      <c r="O144" s="30">
        <f>Table15[[#This Row],[Likes]]+Table15[[#This Row],[Shares]]+Table15[[#This Row],[Comments]]</f>
        <v>4910</v>
      </c>
    </row>
    <row r="145" spans="1:15">
      <c r="A145" s="1" t="s">
        <v>132</v>
      </c>
      <c r="B145" s="1" t="s">
        <v>22</v>
      </c>
      <c r="C145" s="5">
        <v>45591</v>
      </c>
      <c r="D145" s="16" t="s">
        <v>14</v>
      </c>
      <c r="E145" s="17" t="s">
        <v>15</v>
      </c>
      <c r="F145" s="9">
        <v>3036</v>
      </c>
      <c r="G145" s="9">
        <v>293</v>
      </c>
      <c r="H145" s="9">
        <v>115</v>
      </c>
      <c r="I145" s="9">
        <v>23776</v>
      </c>
      <c r="J145" s="9">
        <v>46386</v>
      </c>
      <c r="K145" s="9">
        <v>282</v>
      </c>
      <c r="L145" s="16" t="s">
        <v>34</v>
      </c>
      <c r="M145" s="16"/>
      <c r="N145" s="16" t="s">
        <v>16</v>
      </c>
      <c r="O145" s="30">
        <f>Table15[[#This Row],[Likes]]+Table15[[#This Row],[Shares]]+Table15[[#This Row],[Comments]]</f>
        <v>3444</v>
      </c>
    </row>
    <row r="146" spans="1:15">
      <c r="A146" s="1" t="s">
        <v>263</v>
      </c>
      <c r="B146" s="1" t="s">
        <v>22</v>
      </c>
      <c r="C146" s="5">
        <v>45585</v>
      </c>
      <c r="D146" s="16" t="s">
        <v>14</v>
      </c>
      <c r="E146" s="17" t="s">
        <v>363</v>
      </c>
      <c r="F146" s="9">
        <v>2752</v>
      </c>
      <c r="G146" s="9">
        <v>309</v>
      </c>
      <c r="H146" s="9">
        <v>91</v>
      </c>
      <c r="I146" s="9">
        <v>39038</v>
      </c>
      <c r="J146" s="9">
        <v>28095</v>
      </c>
      <c r="K146" s="9">
        <v>277</v>
      </c>
      <c r="L146" s="16" t="s">
        <v>34</v>
      </c>
      <c r="M146" s="16"/>
      <c r="N146" s="16" t="s">
        <v>16</v>
      </c>
      <c r="O146" s="30">
        <f>Table15[[#This Row],[Likes]]+Table15[[#This Row],[Shares]]+Table15[[#This Row],[Comments]]</f>
        <v>3152</v>
      </c>
    </row>
    <row r="147" spans="1:15">
      <c r="A147" s="1" t="s">
        <v>176</v>
      </c>
      <c r="B147" s="1" t="s">
        <v>13</v>
      </c>
      <c r="C147" s="5">
        <v>45799</v>
      </c>
      <c r="D147" s="16" t="s">
        <v>14</v>
      </c>
      <c r="E147" s="17" t="s">
        <v>15</v>
      </c>
      <c r="F147" s="9">
        <v>2633</v>
      </c>
      <c r="G147" s="9">
        <v>318</v>
      </c>
      <c r="H147" s="9">
        <v>380</v>
      </c>
      <c r="I147" s="9">
        <v>40869</v>
      </c>
      <c r="J147" s="9">
        <v>64474</v>
      </c>
      <c r="K147" s="9">
        <v>245</v>
      </c>
      <c r="L147" s="16" t="s">
        <v>19</v>
      </c>
      <c r="M147" s="16"/>
      <c r="N147" s="16" t="s">
        <v>20</v>
      </c>
      <c r="O147" s="30">
        <f>Table15[[#This Row],[Likes]]+Table15[[#This Row],[Shares]]+Table15[[#This Row],[Comments]]</f>
        <v>3331</v>
      </c>
    </row>
    <row r="148" spans="1:15" ht="30">
      <c r="A148" s="1" t="s">
        <v>129</v>
      </c>
      <c r="B148" s="1" t="s">
        <v>22</v>
      </c>
      <c r="C148" s="5">
        <v>45580</v>
      </c>
      <c r="D148" s="16" t="s">
        <v>14</v>
      </c>
      <c r="E148" s="17" t="s">
        <v>360</v>
      </c>
      <c r="F148" s="9">
        <v>1984</v>
      </c>
      <c r="G148" s="9">
        <v>481</v>
      </c>
      <c r="H148" s="9">
        <v>356</v>
      </c>
      <c r="I148" s="9">
        <v>40681</v>
      </c>
      <c r="J148" s="9">
        <v>63111</v>
      </c>
      <c r="K148" s="9">
        <v>258</v>
      </c>
      <c r="L148" s="16" t="s">
        <v>34</v>
      </c>
      <c r="M148" s="16"/>
      <c r="N148" s="16" t="s">
        <v>16</v>
      </c>
      <c r="O148" s="30">
        <f>Table15[[#This Row],[Likes]]+Table15[[#This Row],[Shares]]+Table15[[#This Row],[Comments]]</f>
        <v>2821</v>
      </c>
    </row>
    <row r="149" spans="1:15">
      <c r="A149" s="1" t="s">
        <v>248</v>
      </c>
      <c r="B149" s="1" t="s">
        <v>22</v>
      </c>
      <c r="C149" s="5">
        <v>45579</v>
      </c>
      <c r="D149" s="16" t="s">
        <v>23</v>
      </c>
      <c r="E149" s="17" t="s">
        <v>18</v>
      </c>
      <c r="F149" s="9">
        <v>4303</v>
      </c>
      <c r="G149" s="9">
        <v>306</v>
      </c>
      <c r="H149" s="9">
        <v>302</v>
      </c>
      <c r="I149" s="9">
        <v>39575</v>
      </c>
      <c r="J149" s="9">
        <v>33762</v>
      </c>
      <c r="K149" s="9">
        <v>265</v>
      </c>
      <c r="L149" s="16" t="s">
        <v>19</v>
      </c>
      <c r="M149" s="16" t="s">
        <v>364</v>
      </c>
      <c r="N149" s="16" t="s">
        <v>16</v>
      </c>
      <c r="O149" s="30">
        <f>Table15[[#This Row],[Likes]]+Table15[[#This Row],[Shares]]+Table15[[#This Row],[Comments]]</f>
        <v>4911</v>
      </c>
    </row>
    <row r="150" spans="1:15">
      <c r="A150" s="1" t="s">
        <v>179</v>
      </c>
      <c r="B150" s="1" t="s">
        <v>22</v>
      </c>
      <c r="C150" s="5">
        <v>45760</v>
      </c>
      <c r="D150" s="16" t="s">
        <v>14</v>
      </c>
      <c r="E150" s="17" t="s">
        <v>363</v>
      </c>
      <c r="F150" s="9">
        <v>3890</v>
      </c>
      <c r="G150" s="9">
        <v>408</v>
      </c>
      <c r="H150" s="9">
        <v>338</v>
      </c>
      <c r="I150" s="9">
        <v>56994</v>
      </c>
      <c r="J150" s="9">
        <v>32621</v>
      </c>
      <c r="K150" s="9">
        <v>286</v>
      </c>
      <c r="L150" s="16" t="s">
        <v>37</v>
      </c>
      <c r="M150" s="16"/>
      <c r="N150" s="16" t="s">
        <v>20</v>
      </c>
      <c r="O150" s="30">
        <f>Table15[[#This Row],[Likes]]+Table15[[#This Row],[Shares]]+Table15[[#This Row],[Comments]]</f>
        <v>4636</v>
      </c>
    </row>
    <row r="151" spans="1:15">
      <c r="A151" s="1" t="s">
        <v>131</v>
      </c>
      <c r="B151" s="1" t="s">
        <v>22</v>
      </c>
      <c r="C151" s="5">
        <v>45577</v>
      </c>
      <c r="D151" s="16" t="s">
        <v>14</v>
      </c>
      <c r="E151" s="17" t="s">
        <v>30</v>
      </c>
      <c r="F151" s="9">
        <v>3169</v>
      </c>
      <c r="G151" s="9">
        <v>386</v>
      </c>
      <c r="H151" s="9">
        <v>175</v>
      </c>
      <c r="I151" s="9">
        <v>45012</v>
      </c>
      <c r="J151" s="9">
        <v>38508</v>
      </c>
      <c r="K151" s="9">
        <v>218</v>
      </c>
      <c r="L151" s="16" t="s">
        <v>34</v>
      </c>
      <c r="M151" s="16"/>
      <c r="N151" s="16" t="s">
        <v>16</v>
      </c>
      <c r="O151" s="30">
        <f>Table15[[#This Row],[Likes]]+Table15[[#This Row],[Shares]]+Table15[[#This Row],[Comments]]</f>
        <v>3730</v>
      </c>
    </row>
    <row r="152" spans="1:15">
      <c r="A152" s="1" t="s">
        <v>181</v>
      </c>
      <c r="B152" s="1" t="s">
        <v>13</v>
      </c>
      <c r="C152" s="5">
        <v>45516</v>
      </c>
      <c r="D152" s="16" t="s">
        <v>23</v>
      </c>
      <c r="E152" s="17" t="s">
        <v>15</v>
      </c>
      <c r="F152" s="9">
        <v>2962</v>
      </c>
      <c r="G152" s="9">
        <v>400</v>
      </c>
      <c r="H152" s="9">
        <v>280</v>
      </c>
      <c r="I152" s="9">
        <v>52508</v>
      </c>
      <c r="J152" s="9">
        <v>58329</v>
      </c>
      <c r="K152" s="9">
        <v>219</v>
      </c>
      <c r="L152" s="16" t="s">
        <v>34</v>
      </c>
      <c r="M152" s="16"/>
      <c r="N152" s="16" t="s">
        <v>46</v>
      </c>
      <c r="O152" s="30">
        <f>Table15[[#This Row],[Likes]]+Table15[[#This Row],[Shares]]+Table15[[#This Row],[Comments]]</f>
        <v>3642</v>
      </c>
    </row>
    <row r="153" spans="1:15">
      <c r="A153" s="1" t="s">
        <v>182</v>
      </c>
      <c r="B153" s="1" t="s">
        <v>13</v>
      </c>
      <c r="C153" s="5">
        <v>45562</v>
      </c>
      <c r="D153" s="16" t="s">
        <v>14</v>
      </c>
      <c r="E153" s="17" t="s">
        <v>15</v>
      </c>
      <c r="F153" s="9">
        <v>3118</v>
      </c>
      <c r="G153" s="9">
        <v>116</v>
      </c>
      <c r="H153" s="9">
        <v>195</v>
      </c>
      <c r="I153" s="9">
        <v>37100</v>
      </c>
      <c r="J153" s="9">
        <v>62629</v>
      </c>
      <c r="K153" s="9">
        <v>272</v>
      </c>
      <c r="L153" s="16" t="s">
        <v>19</v>
      </c>
      <c r="M153" s="16"/>
      <c r="N153" s="16" t="s">
        <v>20</v>
      </c>
      <c r="O153" s="30">
        <f>Table15[[#This Row],[Likes]]+Table15[[#This Row],[Shares]]+Table15[[#This Row],[Comments]]</f>
        <v>3429</v>
      </c>
    </row>
    <row r="154" spans="1:15">
      <c r="A154" s="1" t="s">
        <v>63</v>
      </c>
      <c r="B154" s="1" t="s">
        <v>22</v>
      </c>
      <c r="C154" s="5">
        <v>45574</v>
      </c>
      <c r="D154" s="16" t="s">
        <v>23</v>
      </c>
      <c r="E154" s="17" t="s">
        <v>15</v>
      </c>
      <c r="F154" s="9">
        <v>4929</v>
      </c>
      <c r="G154" s="9">
        <v>182</v>
      </c>
      <c r="H154" s="9">
        <v>95</v>
      </c>
      <c r="I154" s="9">
        <v>32181</v>
      </c>
      <c r="J154" s="9">
        <v>31084</v>
      </c>
      <c r="K154" s="9">
        <v>289</v>
      </c>
      <c r="L154" s="16" t="s">
        <v>19</v>
      </c>
      <c r="M154" s="16" t="s">
        <v>364</v>
      </c>
      <c r="N154" s="16" t="s">
        <v>16</v>
      </c>
      <c r="O154" s="30">
        <f>Table15[[#This Row],[Likes]]+Table15[[#This Row],[Shares]]+Table15[[#This Row],[Comments]]</f>
        <v>5206</v>
      </c>
    </row>
    <row r="155" spans="1:15">
      <c r="A155" s="1" t="s">
        <v>184</v>
      </c>
      <c r="B155" s="1" t="s">
        <v>13</v>
      </c>
      <c r="C155" s="5">
        <v>45615</v>
      </c>
      <c r="D155" s="16" t="s">
        <v>14</v>
      </c>
      <c r="E155" s="17" t="s">
        <v>362</v>
      </c>
      <c r="F155" s="9">
        <v>2525</v>
      </c>
      <c r="G155" s="9">
        <v>272</v>
      </c>
      <c r="H155" s="9">
        <v>294</v>
      </c>
      <c r="I155" s="9">
        <v>51875</v>
      </c>
      <c r="J155" s="9">
        <v>24732</v>
      </c>
      <c r="K155" s="9">
        <v>92</v>
      </c>
      <c r="L155" s="16" t="s">
        <v>19</v>
      </c>
      <c r="M155" s="16"/>
      <c r="N155" s="16" t="s">
        <v>20</v>
      </c>
      <c r="O155" s="30">
        <f>Table15[[#This Row],[Likes]]+Table15[[#This Row],[Shares]]+Table15[[#This Row],[Comments]]</f>
        <v>3091</v>
      </c>
    </row>
    <row r="156" spans="1:15">
      <c r="A156" s="1" t="s">
        <v>40</v>
      </c>
      <c r="B156" s="1" t="s">
        <v>22</v>
      </c>
      <c r="C156" s="5">
        <v>45573</v>
      </c>
      <c r="D156" s="16" t="s">
        <v>14</v>
      </c>
      <c r="E156" s="17" t="s">
        <v>363</v>
      </c>
      <c r="F156" s="9">
        <v>2460</v>
      </c>
      <c r="G156" s="9">
        <v>409</v>
      </c>
      <c r="H156" s="9">
        <v>253</v>
      </c>
      <c r="I156" s="9">
        <v>36702</v>
      </c>
      <c r="J156" s="9">
        <v>46122</v>
      </c>
      <c r="K156" s="9">
        <v>264</v>
      </c>
      <c r="L156" s="16" t="s">
        <v>34</v>
      </c>
      <c r="M156" s="16"/>
      <c r="N156" s="16" t="s">
        <v>16</v>
      </c>
      <c r="O156" s="30">
        <f>Table15[[#This Row],[Likes]]+Table15[[#This Row],[Shares]]+Table15[[#This Row],[Comments]]</f>
        <v>3122</v>
      </c>
    </row>
    <row r="157" spans="1:15">
      <c r="A157" s="1" t="s">
        <v>186</v>
      </c>
      <c r="B157" s="1" t="s">
        <v>27</v>
      </c>
      <c r="C157" s="5">
        <v>45538</v>
      </c>
      <c r="D157" s="16" t="s">
        <v>48</v>
      </c>
      <c r="E157" s="17" t="s">
        <v>362</v>
      </c>
      <c r="F157" s="9">
        <v>1437</v>
      </c>
      <c r="G157" s="9">
        <v>494</v>
      </c>
      <c r="H157" s="9">
        <v>129</v>
      </c>
      <c r="I157" s="9">
        <v>53048</v>
      </c>
      <c r="J157" s="9">
        <v>44090</v>
      </c>
      <c r="K157" s="9">
        <v>230</v>
      </c>
      <c r="L157" s="16" t="s">
        <v>19</v>
      </c>
      <c r="M157" s="16" t="s">
        <v>37</v>
      </c>
      <c r="N157" s="16" t="s">
        <v>49</v>
      </c>
      <c r="O157" s="30">
        <f>Table15[[#This Row],[Likes]]+Table15[[#This Row],[Shares]]+Table15[[#This Row],[Comments]]</f>
        <v>2060</v>
      </c>
    </row>
    <row r="158" spans="1:15">
      <c r="A158" s="1" t="s">
        <v>187</v>
      </c>
      <c r="B158" s="1" t="s">
        <v>27</v>
      </c>
      <c r="C158" s="5">
        <v>45718</v>
      </c>
      <c r="D158" s="16" t="s">
        <v>14</v>
      </c>
      <c r="E158" s="17" t="s">
        <v>363</v>
      </c>
      <c r="F158" s="9">
        <v>4425</v>
      </c>
      <c r="G158" s="9">
        <v>185</v>
      </c>
      <c r="H158" s="9">
        <v>162</v>
      </c>
      <c r="I158" s="9">
        <v>24610</v>
      </c>
      <c r="J158" s="9">
        <v>21342</v>
      </c>
      <c r="K158" s="9">
        <v>158</v>
      </c>
      <c r="L158" s="16" t="s">
        <v>19</v>
      </c>
      <c r="M158" s="16" t="s">
        <v>365</v>
      </c>
      <c r="N158" s="16" t="s">
        <v>20</v>
      </c>
      <c r="O158" s="30">
        <f>Table15[[#This Row],[Likes]]+Table15[[#This Row],[Shares]]+Table15[[#This Row],[Comments]]</f>
        <v>4772</v>
      </c>
    </row>
    <row r="159" spans="1:15">
      <c r="A159" s="1" t="s">
        <v>165</v>
      </c>
      <c r="B159" s="1" t="s">
        <v>22</v>
      </c>
      <c r="C159" s="5">
        <v>45569</v>
      </c>
      <c r="D159" s="16" t="s">
        <v>23</v>
      </c>
      <c r="E159" s="17" t="s">
        <v>18</v>
      </c>
      <c r="F159" s="9">
        <v>2870</v>
      </c>
      <c r="G159" s="9">
        <v>380</v>
      </c>
      <c r="H159" s="9">
        <v>393</v>
      </c>
      <c r="I159" s="9">
        <v>37621</v>
      </c>
      <c r="J159" s="9">
        <v>71794</v>
      </c>
      <c r="K159" s="9">
        <v>127</v>
      </c>
      <c r="L159" s="16" t="s">
        <v>364</v>
      </c>
      <c r="M159" s="16" t="s">
        <v>34</v>
      </c>
      <c r="N159" s="16" t="s">
        <v>16</v>
      </c>
      <c r="O159" s="30">
        <f>Table15[[#This Row],[Likes]]+Table15[[#This Row],[Shares]]+Table15[[#This Row],[Comments]]</f>
        <v>3643</v>
      </c>
    </row>
    <row r="160" spans="1:15">
      <c r="A160" s="1" t="s">
        <v>189</v>
      </c>
      <c r="B160" s="1" t="s">
        <v>13</v>
      </c>
      <c r="C160" s="5">
        <v>45394</v>
      </c>
      <c r="D160" s="16" t="s">
        <v>23</v>
      </c>
      <c r="E160" s="17" t="s">
        <v>30</v>
      </c>
      <c r="F160" s="9">
        <v>1558</v>
      </c>
      <c r="G160" s="9">
        <v>352</v>
      </c>
      <c r="H160" s="9">
        <v>202</v>
      </c>
      <c r="I160" s="9">
        <v>25405</v>
      </c>
      <c r="J160" s="9">
        <v>69941</v>
      </c>
      <c r="K160" s="9">
        <v>219</v>
      </c>
      <c r="L160" s="16" t="s">
        <v>34</v>
      </c>
      <c r="M160" s="16"/>
      <c r="N160" s="16" t="s">
        <v>46</v>
      </c>
      <c r="O160" s="30">
        <f>Table15[[#This Row],[Likes]]+Table15[[#This Row],[Shares]]+Table15[[#This Row],[Comments]]</f>
        <v>2112</v>
      </c>
    </row>
    <row r="161" spans="1:15">
      <c r="A161" s="1" t="s">
        <v>190</v>
      </c>
      <c r="B161" s="1" t="s">
        <v>27</v>
      </c>
      <c r="C161" s="5">
        <v>45330</v>
      </c>
      <c r="D161" s="16" t="s">
        <v>48</v>
      </c>
      <c r="E161" s="17" t="s">
        <v>33</v>
      </c>
      <c r="F161" s="9">
        <v>1889</v>
      </c>
      <c r="G161" s="9">
        <v>298</v>
      </c>
      <c r="H161" s="9">
        <v>122</v>
      </c>
      <c r="I161" s="9">
        <v>46225</v>
      </c>
      <c r="J161" s="9">
        <v>74305</v>
      </c>
      <c r="K161" s="9">
        <v>293</v>
      </c>
      <c r="L161" s="16" t="s">
        <v>19</v>
      </c>
      <c r="M161" s="16" t="s">
        <v>37</v>
      </c>
      <c r="N161" s="16" t="s">
        <v>49</v>
      </c>
      <c r="O161" s="30">
        <f>Table15[[#This Row],[Likes]]+Table15[[#This Row],[Shares]]+Table15[[#This Row],[Comments]]</f>
        <v>2309</v>
      </c>
    </row>
    <row r="162" spans="1:15">
      <c r="A162" s="1" t="s">
        <v>191</v>
      </c>
      <c r="B162" s="1" t="s">
        <v>13</v>
      </c>
      <c r="C162" s="5">
        <v>45803</v>
      </c>
      <c r="D162" s="16" t="s">
        <v>14</v>
      </c>
      <c r="E162" s="17" t="s">
        <v>15</v>
      </c>
      <c r="F162" s="9">
        <v>3086</v>
      </c>
      <c r="G162" s="9">
        <v>148</v>
      </c>
      <c r="H162" s="9">
        <v>310</v>
      </c>
      <c r="I162" s="9">
        <v>22824</v>
      </c>
      <c r="J162" s="9">
        <v>58103</v>
      </c>
      <c r="K162" s="9">
        <v>275</v>
      </c>
      <c r="L162" s="16" t="s">
        <v>19</v>
      </c>
      <c r="M162" s="16"/>
      <c r="N162" s="16" t="s">
        <v>20</v>
      </c>
      <c r="O162" s="30">
        <f>Table15[[#This Row],[Likes]]+Table15[[#This Row],[Shares]]+Table15[[#This Row],[Comments]]</f>
        <v>3544</v>
      </c>
    </row>
    <row r="163" spans="1:15">
      <c r="A163" s="1" t="s">
        <v>162</v>
      </c>
      <c r="B163" s="1" t="s">
        <v>22</v>
      </c>
      <c r="C163" s="5">
        <v>45563</v>
      </c>
      <c r="D163" s="16" t="s">
        <v>14</v>
      </c>
      <c r="E163" s="17" t="s">
        <v>362</v>
      </c>
      <c r="F163" s="9">
        <v>4006</v>
      </c>
      <c r="G163" s="9">
        <v>420</v>
      </c>
      <c r="H163" s="9">
        <v>194</v>
      </c>
      <c r="I163" s="9">
        <v>49964</v>
      </c>
      <c r="J163" s="9">
        <v>20685</v>
      </c>
      <c r="K163" s="9">
        <v>148</v>
      </c>
      <c r="L163" s="16" t="s">
        <v>34</v>
      </c>
      <c r="M163" s="16"/>
      <c r="N163" s="16" t="s">
        <v>16</v>
      </c>
      <c r="O163" s="30">
        <f>Table15[[#This Row],[Likes]]+Table15[[#This Row],[Shares]]+Table15[[#This Row],[Comments]]</f>
        <v>4620</v>
      </c>
    </row>
    <row r="164" spans="1:15">
      <c r="A164" s="1" t="s">
        <v>193</v>
      </c>
      <c r="B164" s="1" t="s">
        <v>27</v>
      </c>
      <c r="C164" s="5">
        <v>45513</v>
      </c>
      <c r="D164" s="16" t="s">
        <v>48</v>
      </c>
      <c r="E164" s="17" t="s">
        <v>363</v>
      </c>
      <c r="F164" s="9">
        <v>3414</v>
      </c>
      <c r="G164" s="9">
        <v>154</v>
      </c>
      <c r="H164" s="9">
        <v>204</v>
      </c>
      <c r="I164" s="9">
        <v>34146</v>
      </c>
      <c r="J164" s="9">
        <v>44633</v>
      </c>
      <c r="K164" s="9">
        <v>256</v>
      </c>
      <c r="L164" s="16" t="s">
        <v>19</v>
      </c>
      <c r="M164" s="16" t="s">
        <v>37</v>
      </c>
      <c r="N164" s="16" t="s">
        <v>49</v>
      </c>
      <c r="O164" s="30">
        <f>Table15[[#This Row],[Likes]]+Table15[[#This Row],[Shares]]+Table15[[#This Row],[Comments]]</f>
        <v>3772</v>
      </c>
    </row>
    <row r="165" spans="1:15">
      <c r="A165" s="1" t="s">
        <v>194</v>
      </c>
      <c r="B165" s="1" t="s">
        <v>13</v>
      </c>
      <c r="C165" s="5">
        <v>45835</v>
      </c>
      <c r="D165" s="16" t="s">
        <v>23</v>
      </c>
      <c r="E165" s="17" t="s">
        <v>362</v>
      </c>
      <c r="F165" s="9">
        <v>1342</v>
      </c>
      <c r="G165" s="9">
        <v>332</v>
      </c>
      <c r="H165" s="9">
        <v>163</v>
      </c>
      <c r="I165" s="9">
        <v>51712</v>
      </c>
      <c r="J165" s="9">
        <v>57922</v>
      </c>
      <c r="K165" s="9">
        <v>168</v>
      </c>
      <c r="L165" s="16" t="s">
        <v>34</v>
      </c>
      <c r="M165" s="16"/>
      <c r="N165" s="16" t="s">
        <v>46</v>
      </c>
      <c r="O165" s="30">
        <f>Table15[[#This Row],[Likes]]+Table15[[#This Row],[Shares]]+Table15[[#This Row],[Comments]]</f>
        <v>1837</v>
      </c>
    </row>
    <row r="166" spans="1:15">
      <c r="A166" s="1" t="s">
        <v>195</v>
      </c>
      <c r="B166" s="1" t="s">
        <v>13</v>
      </c>
      <c r="C166" s="5">
        <v>45420</v>
      </c>
      <c r="D166" s="16" t="s">
        <v>23</v>
      </c>
      <c r="E166" s="17" t="s">
        <v>361</v>
      </c>
      <c r="F166" s="9">
        <v>2414</v>
      </c>
      <c r="G166" s="9">
        <v>220</v>
      </c>
      <c r="H166" s="9">
        <v>280</v>
      </c>
      <c r="I166" s="9">
        <v>27355</v>
      </c>
      <c r="J166" s="9">
        <v>50562</v>
      </c>
      <c r="K166" s="9">
        <v>258</v>
      </c>
      <c r="L166" s="16" t="s">
        <v>34</v>
      </c>
      <c r="M166" s="16"/>
      <c r="N166" s="16" t="s">
        <v>46</v>
      </c>
      <c r="O166" s="30">
        <f>Table15[[#This Row],[Likes]]+Table15[[#This Row],[Shares]]+Table15[[#This Row],[Comments]]</f>
        <v>2914</v>
      </c>
    </row>
    <row r="167" spans="1:15">
      <c r="A167" s="1" t="s">
        <v>196</v>
      </c>
      <c r="B167" s="1" t="s">
        <v>13</v>
      </c>
      <c r="C167" s="5">
        <v>45387</v>
      </c>
      <c r="D167" s="16" t="s">
        <v>14</v>
      </c>
      <c r="E167" s="17" t="s">
        <v>24</v>
      </c>
      <c r="F167" s="9">
        <v>4383</v>
      </c>
      <c r="G167" s="9">
        <v>352</v>
      </c>
      <c r="H167" s="9">
        <v>176</v>
      </c>
      <c r="I167" s="9">
        <v>53239</v>
      </c>
      <c r="J167" s="9">
        <v>34168</v>
      </c>
      <c r="K167" s="9">
        <v>288</v>
      </c>
      <c r="L167" s="16" t="s">
        <v>19</v>
      </c>
      <c r="M167" s="16"/>
      <c r="N167" s="16" t="s">
        <v>20</v>
      </c>
      <c r="O167" s="30">
        <f>Table15[[#This Row],[Likes]]+Table15[[#This Row],[Shares]]+Table15[[#This Row],[Comments]]</f>
        <v>4911</v>
      </c>
    </row>
    <row r="168" spans="1:15">
      <c r="A168" s="1" t="s">
        <v>246</v>
      </c>
      <c r="B168" s="1" t="s">
        <v>22</v>
      </c>
      <c r="C168" s="5">
        <v>45669</v>
      </c>
      <c r="D168" s="16" t="s">
        <v>14</v>
      </c>
      <c r="E168" s="17" t="s">
        <v>361</v>
      </c>
      <c r="F168" s="9">
        <v>1765</v>
      </c>
      <c r="G168" s="9">
        <v>285</v>
      </c>
      <c r="H168" s="9">
        <v>100</v>
      </c>
      <c r="I168" s="9">
        <v>41313</v>
      </c>
      <c r="J168" s="9">
        <v>56575</v>
      </c>
      <c r="K168" s="9">
        <v>174</v>
      </c>
      <c r="L168" s="16" t="s">
        <v>37</v>
      </c>
      <c r="M168" s="16"/>
      <c r="N168" s="16" t="s">
        <v>20</v>
      </c>
      <c r="O168" s="30">
        <f>Table15[[#This Row],[Likes]]+Table15[[#This Row],[Shares]]+Table15[[#This Row],[Comments]]</f>
        <v>2150</v>
      </c>
    </row>
    <row r="169" spans="1:15" ht="30">
      <c r="A169" s="1" t="s">
        <v>310</v>
      </c>
      <c r="B169" s="1" t="s">
        <v>22</v>
      </c>
      <c r="C169" s="5">
        <v>45563</v>
      </c>
      <c r="D169" s="16" t="s">
        <v>23</v>
      </c>
      <c r="E169" s="17" t="s">
        <v>360</v>
      </c>
      <c r="F169" s="9">
        <v>4471</v>
      </c>
      <c r="G169" s="9">
        <v>317</v>
      </c>
      <c r="H169" s="9">
        <v>249</v>
      </c>
      <c r="I169" s="9">
        <v>44862</v>
      </c>
      <c r="J169" s="9">
        <v>33365</v>
      </c>
      <c r="K169" s="9">
        <v>184</v>
      </c>
      <c r="L169" s="16" t="s">
        <v>19</v>
      </c>
      <c r="M169" s="16" t="s">
        <v>364</v>
      </c>
      <c r="N169" s="16" t="s">
        <v>16</v>
      </c>
      <c r="O169" s="30">
        <f>Table15[[#This Row],[Likes]]+Table15[[#This Row],[Shares]]+Table15[[#This Row],[Comments]]</f>
        <v>5037</v>
      </c>
    </row>
    <row r="170" spans="1:15">
      <c r="A170" s="1" t="s">
        <v>199</v>
      </c>
      <c r="B170" s="1" t="s">
        <v>27</v>
      </c>
      <c r="C170" s="5">
        <v>45660</v>
      </c>
      <c r="D170" s="16" t="s">
        <v>14</v>
      </c>
      <c r="E170" s="17" t="s">
        <v>24</v>
      </c>
      <c r="F170" s="9">
        <v>3782</v>
      </c>
      <c r="G170" s="9">
        <v>484</v>
      </c>
      <c r="H170" s="9">
        <v>144</v>
      </c>
      <c r="I170" s="9">
        <v>52172</v>
      </c>
      <c r="J170" s="9">
        <v>59386</v>
      </c>
      <c r="K170" s="9">
        <v>175</v>
      </c>
      <c r="L170" s="16" t="s">
        <v>19</v>
      </c>
      <c r="M170" s="16" t="s">
        <v>365</v>
      </c>
      <c r="N170" s="16" t="s">
        <v>20</v>
      </c>
      <c r="O170" s="30">
        <f>Table15[[#This Row],[Likes]]+Table15[[#This Row],[Shares]]+Table15[[#This Row],[Comments]]</f>
        <v>4410</v>
      </c>
    </row>
    <row r="171" spans="1:15">
      <c r="A171" s="1" t="s">
        <v>200</v>
      </c>
      <c r="B171" s="1" t="s">
        <v>22</v>
      </c>
      <c r="C171" s="5">
        <v>45619</v>
      </c>
      <c r="D171" s="16" t="s">
        <v>14</v>
      </c>
      <c r="E171" s="17" t="s">
        <v>24</v>
      </c>
      <c r="F171" s="9">
        <v>4318</v>
      </c>
      <c r="G171" s="9">
        <v>371</v>
      </c>
      <c r="H171" s="9">
        <v>329</v>
      </c>
      <c r="I171" s="9">
        <v>32347</v>
      </c>
      <c r="J171" s="9">
        <v>68956</v>
      </c>
      <c r="K171" s="9">
        <v>259</v>
      </c>
      <c r="L171" s="16" t="s">
        <v>37</v>
      </c>
      <c r="M171" s="16"/>
      <c r="N171" s="16" t="s">
        <v>20</v>
      </c>
      <c r="O171" s="30">
        <f>Table15[[#This Row],[Likes]]+Table15[[#This Row],[Shares]]+Table15[[#This Row],[Comments]]</f>
        <v>5018</v>
      </c>
    </row>
    <row r="172" spans="1:15" ht="30">
      <c r="A172" s="1" t="s">
        <v>201</v>
      </c>
      <c r="B172" s="1" t="s">
        <v>13</v>
      </c>
      <c r="C172" s="5">
        <v>45536</v>
      </c>
      <c r="D172" s="16" t="s">
        <v>23</v>
      </c>
      <c r="E172" s="17" t="s">
        <v>360</v>
      </c>
      <c r="F172" s="9">
        <v>2335</v>
      </c>
      <c r="G172" s="9">
        <v>150</v>
      </c>
      <c r="H172" s="9">
        <v>75</v>
      </c>
      <c r="I172" s="9">
        <v>26114</v>
      </c>
      <c r="J172" s="9">
        <v>57549</v>
      </c>
      <c r="K172" s="9">
        <v>135</v>
      </c>
      <c r="L172" s="16" t="s">
        <v>34</v>
      </c>
      <c r="M172" s="16"/>
      <c r="N172" s="16" t="s">
        <v>46</v>
      </c>
      <c r="O172" s="30">
        <f>Table15[[#This Row],[Likes]]+Table15[[#This Row],[Shares]]+Table15[[#This Row],[Comments]]</f>
        <v>2560</v>
      </c>
    </row>
    <row r="173" spans="1:15">
      <c r="A173" s="1" t="s">
        <v>202</v>
      </c>
      <c r="B173" s="1" t="s">
        <v>27</v>
      </c>
      <c r="C173" s="5">
        <v>45400</v>
      </c>
      <c r="D173" s="16" t="s">
        <v>14</v>
      </c>
      <c r="E173" s="17" t="s">
        <v>18</v>
      </c>
      <c r="F173" s="9">
        <v>4023</v>
      </c>
      <c r="G173" s="9">
        <v>293</v>
      </c>
      <c r="H173" s="9">
        <v>91</v>
      </c>
      <c r="I173" s="9">
        <v>26795</v>
      </c>
      <c r="J173" s="9">
        <v>28924</v>
      </c>
      <c r="K173" s="9">
        <v>278</v>
      </c>
      <c r="L173" s="16" t="s">
        <v>19</v>
      </c>
      <c r="M173" s="16" t="s">
        <v>365</v>
      </c>
      <c r="N173" s="16" t="s">
        <v>20</v>
      </c>
      <c r="O173" s="30">
        <f>Table15[[#This Row],[Likes]]+Table15[[#This Row],[Shares]]+Table15[[#This Row],[Comments]]</f>
        <v>4407</v>
      </c>
    </row>
    <row r="174" spans="1:15">
      <c r="A174" s="1" t="s">
        <v>203</v>
      </c>
      <c r="B174" s="1" t="s">
        <v>13</v>
      </c>
      <c r="C174" s="5">
        <v>45447</v>
      </c>
      <c r="D174" s="16" t="s">
        <v>14</v>
      </c>
      <c r="E174" s="17" t="s">
        <v>30</v>
      </c>
      <c r="F174" s="9">
        <v>3948</v>
      </c>
      <c r="G174" s="9">
        <v>151</v>
      </c>
      <c r="H174" s="9">
        <v>249</v>
      </c>
      <c r="I174" s="9">
        <v>43147</v>
      </c>
      <c r="J174" s="9">
        <v>63136</v>
      </c>
      <c r="K174" s="9">
        <v>230</v>
      </c>
      <c r="L174" s="16" t="s">
        <v>19</v>
      </c>
      <c r="M174" s="16"/>
      <c r="N174" s="16" t="s">
        <v>20</v>
      </c>
      <c r="O174" s="30">
        <f>Table15[[#This Row],[Likes]]+Table15[[#This Row],[Shares]]+Table15[[#This Row],[Comments]]</f>
        <v>4348</v>
      </c>
    </row>
    <row r="175" spans="1:15" ht="30">
      <c r="A175" s="1" t="s">
        <v>204</v>
      </c>
      <c r="B175" s="1" t="s">
        <v>27</v>
      </c>
      <c r="C175" s="5">
        <v>45749</v>
      </c>
      <c r="D175" s="16" t="s">
        <v>14</v>
      </c>
      <c r="E175" s="17" t="s">
        <v>360</v>
      </c>
      <c r="F175" s="9">
        <v>4598</v>
      </c>
      <c r="G175" s="9">
        <v>455</v>
      </c>
      <c r="H175" s="9">
        <v>378</v>
      </c>
      <c r="I175" s="9">
        <v>52952</v>
      </c>
      <c r="J175" s="9">
        <v>58504</v>
      </c>
      <c r="K175" s="9">
        <v>269</v>
      </c>
      <c r="L175" s="16" t="s">
        <v>19</v>
      </c>
      <c r="M175" s="16" t="s">
        <v>365</v>
      </c>
      <c r="N175" s="16" t="s">
        <v>20</v>
      </c>
      <c r="O175" s="30">
        <f>Table15[[#This Row],[Likes]]+Table15[[#This Row],[Shares]]+Table15[[#This Row],[Comments]]</f>
        <v>5431</v>
      </c>
    </row>
    <row r="176" spans="1:15">
      <c r="A176" s="1" t="s">
        <v>135</v>
      </c>
      <c r="B176" s="1" t="s">
        <v>22</v>
      </c>
      <c r="C176" s="5">
        <v>45553</v>
      </c>
      <c r="D176" s="16" t="s">
        <v>14</v>
      </c>
      <c r="E176" s="17" t="s">
        <v>15</v>
      </c>
      <c r="F176" s="9">
        <v>2878</v>
      </c>
      <c r="G176" s="9">
        <v>265</v>
      </c>
      <c r="H176" s="9">
        <v>91</v>
      </c>
      <c r="I176" s="9">
        <v>52090</v>
      </c>
      <c r="J176" s="9">
        <v>28924</v>
      </c>
      <c r="K176" s="9">
        <v>133</v>
      </c>
      <c r="L176" s="16" t="s">
        <v>34</v>
      </c>
      <c r="M176" s="16"/>
      <c r="N176" s="16" t="s">
        <v>16</v>
      </c>
      <c r="O176" s="30">
        <f>Table15[[#This Row],[Likes]]+Table15[[#This Row],[Shares]]+Table15[[#This Row],[Comments]]</f>
        <v>3234</v>
      </c>
    </row>
    <row r="177" spans="1:15">
      <c r="A177" s="1" t="s">
        <v>222</v>
      </c>
      <c r="B177" s="1" t="s">
        <v>22</v>
      </c>
      <c r="C177" s="5">
        <v>45551</v>
      </c>
      <c r="D177" s="16" t="s">
        <v>23</v>
      </c>
      <c r="E177" s="17" t="s">
        <v>362</v>
      </c>
      <c r="F177" s="9">
        <v>4422</v>
      </c>
      <c r="G177" s="9">
        <v>434</v>
      </c>
      <c r="H177" s="9">
        <v>156</v>
      </c>
      <c r="I177" s="9">
        <v>56165</v>
      </c>
      <c r="J177" s="9">
        <v>52431</v>
      </c>
      <c r="K177" s="9">
        <v>173</v>
      </c>
      <c r="L177" s="16" t="s">
        <v>19</v>
      </c>
      <c r="M177" s="16" t="s">
        <v>364</v>
      </c>
      <c r="N177" s="16" t="s">
        <v>16</v>
      </c>
      <c r="O177" s="30">
        <f>Table15[[#This Row],[Likes]]+Table15[[#This Row],[Shares]]+Table15[[#This Row],[Comments]]</f>
        <v>5012</v>
      </c>
    </row>
    <row r="178" spans="1:15">
      <c r="A178" s="1" t="s">
        <v>207</v>
      </c>
      <c r="B178" s="1" t="s">
        <v>22</v>
      </c>
      <c r="C178" s="5">
        <v>45606</v>
      </c>
      <c r="D178" s="16" t="s">
        <v>14</v>
      </c>
      <c r="E178" s="17" t="s">
        <v>18</v>
      </c>
      <c r="F178" s="9">
        <v>4823</v>
      </c>
      <c r="G178" s="9">
        <v>489</v>
      </c>
      <c r="H178" s="9">
        <v>302</v>
      </c>
      <c r="I178" s="9">
        <v>32470</v>
      </c>
      <c r="J178" s="9">
        <v>31861</v>
      </c>
      <c r="K178" s="9">
        <v>178</v>
      </c>
      <c r="L178" s="16" t="s">
        <v>37</v>
      </c>
      <c r="M178" s="16"/>
      <c r="N178" s="16" t="s">
        <v>20</v>
      </c>
      <c r="O178" s="30">
        <f>Table15[[#This Row],[Likes]]+Table15[[#This Row],[Shares]]+Table15[[#This Row],[Comments]]</f>
        <v>5614</v>
      </c>
    </row>
    <row r="179" spans="1:15">
      <c r="A179" s="1" t="s">
        <v>208</v>
      </c>
      <c r="B179" s="1" t="s">
        <v>13</v>
      </c>
      <c r="C179" s="5">
        <v>45640</v>
      </c>
      <c r="D179" s="16" t="s">
        <v>23</v>
      </c>
      <c r="E179" s="17" t="s">
        <v>363</v>
      </c>
      <c r="F179" s="9">
        <v>3812</v>
      </c>
      <c r="G179" s="9">
        <v>321</v>
      </c>
      <c r="H179" s="9">
        <v>289</v>
      </c>
      <c r="I179" s="9">
        <v>59838</v>
      </c>
      <c r="J179" s="9">
        <v>36337</v>
      </c>
      <c r="K179" s="9">
        <v>161</v>
      </c>
      <c r="L179" s="16" t="s">
        <v>34</v>
      </c>
      <c r="M179" s="16"/>
      <c r="N179" s="16" t="s">
        <v>46</v>
      </c>
      <c r="O179" s="30">
        <f>Table15[[#This Row],[Likes]]+Table15[[#This Row],[Shares]]+Table15[[#This Row],[Comments]]</f>
        <v>4422</v>
      </c>
    </row>
    <row r="180" spans="1:15">
      <c r="A180" s="1" t="s">
        <v>209</v>
      </c>
      <c r="B180" s="1" t="s">
        <v>22</v>
      </c>
      <c r="C180" s="5">
        <v>45615</v>
      </c>
      <c r="D180" s="16" t="s">
        <v>14</v>
      </c>
      <c r="E180" s="17" t="s">
        <v>18</v>
      </c>
      <c r="F180" s="9">
        <v>2387</v>
      </c>
      <c r="G180" s="9">
        <v>353</v>
      </c>
      <c r="H180" s="9">
        <v>78</v>
      </c>
      <c r="I180" s="9">
        <v>39745</v>
      </c>
      <c r="J180" s="9">
        <v>69226</v>
      </c>
      <c r="K180" s="9">
        <v>208</v>
      </c>
      <c r="L180" s="16" t="s">
        <v>37</v>
      </c>
      <c r="M180" s="16"/>
      <c r="N180" s="16" t="s">
        <v>20</v>
      </c>
      <c r="O180" s="30">
        <f>Table15[[#This Row],[Likes]]+Table15[[#This Row],[Shares]]+Table15[[#This Row],[Comments]]</f>
        <v>2818</v>
      </c>
    </row>
    <row r="181" spans="1:15">
      <c r="A181" s="1" t="s">
        <v>277</v>
      </c>
      <c r="B181" s="1" t="s">
        <v>22</v>
      </c>
      <c r="C181" s="5">
        <v>45551</v>
      </c>
      <c r="D181" s="16" t="s">
        <v>23</v>
      </c>
      <c r="E181" s="17" t="s">
        <v>42</v>
      </c>
      <c r="F181" s="9">
        <v>3300</v>
      </c>
      <c r="G181" s="9">
        <v>354</v>
      </c>
      <c r="H181" s="9">
        <v>397</v>
      </c>
      <c r="I181" s="9">
        <v>56773</v>
      </c>
      <c r="J181" s="9">
        <v>72110</v>
      </c>
      <c r="K181" s="9">
        <v>163</v>
      </c>
      <c r="L181" s="16" t="s">
        <v>19</v>
      </c>
      <c r="M181" s="16" t="s">
        <v>364</v>
      </c>
      <c r="N181" s="16" t="s">
        <v>16</v>
      </c>
      <c r="O181" s="30">
        <f>Table15[[#This Row],[Likes]]+Table15[[#This Row],[Shares]]+Table15[[#This Row],[Comments]]</f>
        <v>4051</v>
      </c>
    </row>
    <row r="182" spans="1:15">
      <c r="A182" s="1" t="s">
        <v>211</v>
      </c>
      <c r="B182" s="1" t="s">
        <v>22</v>
      </c>
      <c r="C182" s="5">
        <v>45370</v>
      </c>
      <c r="D182" s="16" t="s">
        <v>14</v>
      </c>
      <c r="E182" s="17" t="s">
        <v>363</v>
      </c>
      <c r="F182" s="9">
        <v>2191</v>
      </c>
      <c r="G182" s="9">
        <v>288</v>
      </c>
      <c r="H182" s="9">
        <v>83</v>
      </c>
      <c r="I182" s="9">
        <v>59606</v>
      </c>
      <c r="J182" s="9">
        <v>24765</v>
      </c>
      <c r="K182" s="9">
        <v>281</v>
      </c>
      <c r="L182" s="16" t="s">
        <v>37</v>
      </c>
      <c r="M182" s="16"/>
      <c r="N182" s="16" t="s">
        <v>20</v>
      </c>
      <c r="O182" s="30">
        <f>Table15[[#This Row],[Likes]]+Table15[[#This Row],[Shares]]+Table15[[#This Row],[Comments]]</f>
        <v>2562</v>
      </c>
    </row>
    <row r="183" spans="1:15">
      <c r="A183" s="1" t="s">
        <v>271</v>
      </c>
      <c r="B183" s="1" t="s">
        <v>22</v>
      </c>
      <c r="C183" s="5">
        <v>45550</v>
      </c>
      <c r="D183" s="16" t="s">
        <v>14</v>
      </c>
      <c r="E183" s="17" t="s">
        <v>30</v>
      </c>
      <c r="F183" s="9">
        <v>2145</v>
      </c>
      <c r="G183" s="9">
        <v>340</v>
      </c>
      <c r="H183" s="9">
        <v>85</v>
      </c>
      <c r="I183" s="9">
        <v>53323</v>
      </c>
      <c r="J183" s="9">
        <v>49938</v>
      </c>
      <c r="K183" s="9">
        <v>104</v>
      </c>
      <c r="L183" s="16" t="s">
        <v>34</v>
      </c>
      <c r="M183" s="16"/>
      <c r="N183" s="16" t="s">
        <v>16</v>
      </c>
      <c r="O183" s="30">
        <f>Table15[[#This Row],[Likes]]+Table15[[#This Row],[Shares]]+Table15[[#This Row],[Comments]]</f>
        <v>2570</v>
      </c>
    </row>
    <row r="184" spans="1:15">
      <c r="A184" s="1" t="s">
        <v>213</v>
      </c>
      <c r="B184" s="1" t="s">
        <v>22</v>
      </c>
      <c r="C184" s="5">
        <v>45496</v>
      </c>
      <c r="D184" s="16" t="s">
        <v>14</v>
      </c>
      <c r="E184" s="17" t="s">
        <v>33</v>
      </c>
      <c r="F184" s="9">
        <v>3204</v>
      </c>
      <c r="G184" s="9">
        <v>398</v>
      </c>
      <c r="H184" s="9">
        <v>85</v>
      </c>
      <c r="I184" s="9">
        <v>22020</v>
      </c>
      <c r="J184" s="9">
        <v>58353</v>
      </c>
      <c r="K184" s="9">
        <v>286</v>
      </c>
      <c r="L184" s="16" t="s">
        <v>37</v>
      </c>
      <c r="M184" s="16"/>
      <c r="N184" s="16" t="s">
        <v>20</v>
      </c>
      <c r="O184" s="30">
        <f>Table15[[#This Row],[Likes]]+Table15[[#This Row],[Shares]]+Table15[[#This Row],[Comments]]</f>
        <v>3687</v>
      </c>
    </row>
    <row r="185" spans="1:15" ht="30">
      <c r="A185" s="1" t="s">
        <v>231</v>
      </c>
      <c r="B185" s="1" t="s">
        <v>22</v>
      </c>
      <c r="C185" s="5">
        <v>45547</v>
      </c>
      <c r="D185" s="16" t="s">
        <v>23</v>
      </c>
      <c r="E185" s="17" t="s">
        <v>360</v>
      </c>
      <c r="F185" s="9">
        <v>1839</v>
      </c>
      <c r="G185" s="9">
        <v>223</v>
      </c>
      <c r="H185" s="9">
        <v>171</v>
      </c>
      <c r="I185" s="9">
        <v>35459</v>
      </c>
      <c r="J185" s="9">
        <v>69988</v>
      </c>
      <c r="K185" s="9">
        <v>114</v>
      </c>
      <c r="L185" s="16" t="s">
        <v>364</v>
      </c>
      <c r="M185" s="16" t="s">
        <v>34</v>
      </c>
      <c r="N185" s="16" t="s">
        <v>16</v>
      </c>
      <c r="O185" s="30">
        <f>Table15[[#This Row],[Likes]]+Table15[[#This Row],[Shares]]+Table15[[#This Row],[Comments]]</f>
        <v>2233</v>
      </c>
    </row>
    <row r="186" spans="1:15">
      <c r="A186" s="1" t="s">
        <v>215</v>
      </c>
      <c r="B186" s="1" t="s">
        <v>27</v>
      </c>
      <c r="C186" s="5">
        <v>45769</v>
      </c>
      <c r="D186" s="16" t="s">
        <v>48</v>
      </c>
      <c r="E186" s="17" t="s">
        <v>24</v>
      </c>
      <c r="F186" s="9">
        <v>2733</v>
      </c>
      <c r="G186" s="9">
        <v>297</v>
      </c>
      <c r="H186" s="9">
        <v>235</v>
      </c>
      <c r="I186" s="9">
        <v>37980</v>
      </c>
      <c r="J186" s="9">
        <v>33058</v>
      </c>
      <c r="K186" s="9">
        <v>219</v>
      </c>
      <c r="L186" s="16" t="s">
        <v>19</v>
      </c>
      <c r="M186" s="16" t="s">
        <v>37</v>
      </c>
      <c r="N186" s="16" t="s">
        <v>49</v>
      </c>
      <c r="O186" s="30">
        <f>Table15[[#This Row],[Likes]]+Table15[[#This Row],[Shares]]+Table15[[#This Row],[Comments]]</f>
        <v>3265</v>
      </c>
    </row>
    <row r="187" spans="1:15">
      <c r="A187" s="1" t="s">
        <v>143</v>
      </c>
      <c r="B187" s="1" t="s">
        <v>13</v>
      </c>
      <c r="C187" s="5">
        <v>45544</v>
      </c>
      <c r="D187" s="16" t="s">
        <v>14</v>
      </c>
      <c r="E187" s="17" t="s">
        <v>24</v>
      </c>
      <c r="F187" s="9">
        <v>1616</v>
      </c>
      <c r="G187" s="9">
        <v>360</v>
      </c>
      <c r="H187" s="9">
        <v>180</v>
      </c>
      <c r="I187" s="9">
        <v>54342</v>
      </c>
      <c r="J187" s="9">
        <v>18796</v>
      </c>
      <c r="K187" s="9">
        <v>282</v>
      </c>
      <c r="L187" s="16" t="s">
        <v>37</v>
      </c>
      <c r="M187" s="16" t="s">
        <v>34</v>
      </c>
      <c r="N187" s="16" t="s">
        <v>16</v>
      </c>
      <c r="O187" s="30">
        <f>Table15[[#This Row],[Likes]]+Table15[[#This Row],[Shares]]+Table15[[#This Row],[Comments]]</f>
        <v>2156</v>
      </c>
    </row>
    <row r="188" spans="1:15" ht="30">
      <c r="A188" s="1" t="s">
        <v>217</v>
      </c>
      <c r="B188" s="1" t="s">
        <v>27</v>
      </c>
      <c r="C188" s="5">
        <v>45795</v>
      </c>
      <c r="D188" s="16" t="s">
        <v>48</v>
      </c>
      <c r="E188" s="17" t="s">
        <v>360</v>
      </c>
      <c r="F188" s="9">
        <v>4210</v>
      </c>
      <c r="G188" s="9">
        <v>319</v>
      </c>
      <c r="H188" s="9">
        <v>350</v>
      </c>
      <c r="I188" s="9">
        <v>37762</v>
      </c>
      <c r="J188" s="9">
        <v>55162</v>
      </c>
      <c r="K188" s="9">
        <v>204</v>
      </c>
      <c r="L188" s="16" t="s">
        <v>19</v>
      </c>
      <c r="M188" s="16" t="s">
        <v>37</v>
      </c>
      <c r="N188" s="16" t="s">
        <v>49</v>
      </c>
      <c r="O188" s="30">
        <f>Table15[[#This Row],[Likes]]+Table15[[#This Row],[Shares]]+Table15[[#This Row],[Comments]]</f>
        <v>4879</v>
      </c>
    </row>
    <row r="189" spans="1:15" ht="30">
      <c r="A189" s="1" t="s">
        <v>218</v>
      </c>
      <c r="B189" s="1" t="s">
        <v>13</v>
      </c>
      <c r="C189" s="5">
        <v>45814</v>
      </c>
      <c r="D189" s="16" t="s">
        <v>14</v>
      </c>
      <c r="E189" s="17" t="s">
        <v>360</v>
      </c>
      <c r="F189" s="9">
        <v>3987</v>
      </c>
      <c r="G189" s="9">
        <v>171</v>
      </c>
      <c r="H189" s="9">
        <v>274</v>
      </c>
      <c r="I189" s="9">
        <v>45122</v>
      </c>
      <c r="J189" s="9">
        <v>65431</v>
      </c>
      <c r="K189" s="9">
        <v>168</v>
      </c>
      <c r="L189" s="16" t="s">
        <v>19</v>
      </c>
      <c r="M189" s="16"/>
      <c r="N189" s="16" t="s">
        <v>20</v>
      </c>
      <c r="O189" s="30">
        <f>Table15[[#This Row],[Likes]]+Table15[[#This Row],[Shares]]+Table15[[#This Row],[Comments]]</f>
        <v>4432</v>
      </c>
    </row>
    <row r="190" spans="1:15">
      <c r="A190" s="1" t="s">
        <v>219</v>
      </c>
      <c r="B190" s="1" t="s">
        <v>27</v>
      </c>
      <c r="C190" s="5">
        <v>45708</v>
      </c>
      <c r="D190" s="16" t="s">
        <v>48</v>
      </c>
      <c r="E190" s="17" t="s">
        <v>30</v>
      </c>
      <c r="F190" s="9">
        <v>4957</v>
      </c>
      <c r="G190" s="9">
        <v>262</v>
      </c>
      <c r="H190" s="9">
        <v>365</v>
      </c>
      <c r="I190" s="9">
        <v>49199</v>
      </c>
      <c r="J190" s="9">
        <v>40314</v>
      </c>
      <c r="K190" s="9">
        <v>216</v>
      </c>
      <c r="L190" s="16" t="s">
        <v>19</v>
      </c>
      <c r="M190" s="16" t="s">
        <v>37</v>
      </c>
      <c r="N190" s="16" t="s">
        <v>49</v>
      </c>
      <c r="O190" s="30">
        <f>Table15[[#This Row],[Likes]]+Table15[[#This Row],[Shares]]+Table15[[#This Row],[Comments]]</f>
        <v>5584</v>
      </c>
    </row>
    <row r="191" spans="1:15">
      <c r="A191" s="1" t="s">
        <v>82</v>
      </c>
      <c r="B191" s="1" t="s">
        <v>22</v>
      </c>
      <c r="C191" s="5">
        <v>45539</v>
      </c>
      <c r="D191" s="16" t="s">
        <v>23</v>
      </c>
      <c r="E191" s="17" t="s">
        <v>24</v>
      </c>
      <c r="F191" s="9">
        <v>2613</v>
      </c>
      <c r="G191" s="9">
        <v>455</v>
      </c>
      <c r="H191" s="9">
        <v>228</v>
      </c>
      <c r="I191" s="9">
        <v>21645</v>
      </c>
      <c r="J191" s="9">
        <v>61334</v>
      </c>
      <c r="K191" s="9">
        <v>261</v>
      </c>
      <c r="L191" s="16" t="s">
        <v>19</v>
      </c>
      <c r="M191" s="16" t="s">
        <v>364</v>
      </c>
      <c r="N191" s="16" t="s">
        <v>16</v>
      </c>
      <c r="O191" s="30">
        <f>Table15[[#This Row],[Likes]]+Table15[[#This Row],[Shares]]+Table15[[#This Row],[Comments]]</f>
        <v>3296</v>
      </c>
    </row>
    <row r="192" spans="1:15">
      <c r="A192" s="1" t="s">
        <v>221</v>
      </c>
      <c r="B192" s="1" t="s">
        <v>27</v>
      </c>
      <c r="C192" s="5">
        <v>45346</v>
      </c>
      <c r="D192" s="16" t="s">
        <v>48</v>
      </c>
      <c r="E192" s="17" t="s">
        <v>15</v>
      </c>
      <c r="F192" s="9">
        <v>4221</v>
      </c>
      <c r="G192" s="9">
        <v>307</v>
      </c>
      <c r="H192" s="9">
        <v>58</v>
      </c>
      <c r="I192" s="9">
        <v>45080</v>
      </c>
      <c r="J192" s="9">
        <v>37214</v>
      </c>
      <c r="K192" s="9">
        <v>240</v>
      </c>
      <c r="L192" s="16" t="s">
        <v>19</v>
      </c>
      <c r="M192" s="16" t="s">
        <v>37</v>
      </c>
      <c r="N192" s="16" t="s">
        <v>49</v>
      </c>
      <c r="O192" s="30">
        <f>Table15[[#This Row],[Likes]]+Table15[[#This Row],[Shares]]+Table15[[#This Row],[Comments]]</f>
        <v>4586</v>
      </c>
    </row>
    <row r="193" spans="1:15">
      <c r="A193" s="1" t="s">
        <v>79</v>
      </c>
      <c r="B193" s="1" t="s">
        <v>22</v>
      </c>
      <c r="C193" s="5">
        <v>45533</v>
      </c>
      <c r="D193" s="16" t="s">
        <v>23</v>
      </c>
      <c r="E193" s="17" t="s">
        <v>30</v>
      </c>
      <c r="F193" s="9">
        <v>4276</v>
      </c>
      <c r="G193" s="9">
        <v>227</v>
      </c>
      <c r="H193" s="9">
        <v>223</v>
      </c>
      <c r="I193" s="9">
        <v>43443</v>
      </c>
      <c r="J193" s="9">
        <v>41005</v>
      </c>
      <c r="K193" s="9">
        <v>191</v>
      </c>
      <c r="L193" s="16" t="s">
        <v>19</v>
      </c>
      <c r="M193" s="16" t="s">
        <v>364</v>
      </c>
      <c r="N193" s="16" t="s">
        <v>16</v>
      </c>
      <c r="O193" s="30">
        <f>Table15[[#This Row],[Likes]]+Table15[[#This Row],[Shares]]+Table15[[#This Row],[Comments]]</f>
        <v>4726</v>
      </c>
    </row>
    <row r="194" spans="1:15" ht="30">
      <c r="A194" s="1" t="s">
        <v>223</v>
      </c>
      <c r="B194" s="1" t="s">
        <v>27</v>
      </c>
      <c r="C194" s="5">
        <v>45447</v>
      </c>
      <c r="D194" s="16" t="s">
        <v>48</v>
      </c>
      <c r="E194" s="17" t="s">
        <v>360</v>
      </c>
      <c r="F194" s="9">
        <v>1211</v>
      </c>
      <c r="G194" s="9">
        <v>431</v>
      </c>
      <c r="H194" s="9">
        <v>83</v>
      </c>
      <c r="I194" s="9">
        <v>26532</v>
      </c>
      <c r="J194" s="9">
        <v>47305</v>
      </c>
      <c r="K194" s="9">
        <v>232</v>
      </c>
      <c r="L194" s="16" t="s">
        <v>19</v>
      </c>
      <c r="M194" s="16" t="s">
        <v>37</v>
      </c>
      <c r="N194" s="16" t="s">
        <v>49</v>
      </c>
      <c r="O194" s="30">
        <f>Table15[[#This Row],[Likes]]+Table15[[#This Row],[Shares]]+Table15[[#This Row],[Comments]]</f>
        <v>1725</v>
      </c>
    </row>
    <row r="195" spans="1:15">
      <c r="A195" s="1" t="s">
        <v>170</v>
      </c>
      <c r="B195" s="1" t="s">
        <v>22</v>
      </c>
      <c r="C195" s="5">
        <v>45531</v>
      </c>
      <c r="D195" s="16" t="s">
        <v>23</v>
      </c>
      <c r="E195" s="17" t="s">
        <v>24</v>
      </c>
      <c r="F195" s="9">
        <v>1856</v>
      </c>
      <c r="G195" s="9">
        <v>357</v>
      </c>
      <c r="H195" s="9">
        <v>348</v>
      </c>
      <c r="I195" s="9">
        <v>29428</v>
      </c>
      <c r="J195" s="9">
        <v>70206</v>
      </c>
      <c r="K195" s="9">
        <v>236</v>
      </c>
      <c r="L195" s="16" t="s">
        <v>364</v>
      </c>
      <c r="M195" s="16" t="s">
        <v>34</v>
      </c>
      <c r="N195" s="16" t="s">
        <v>16</v>
      </c>
      <c r="O195" s="30">
        <f>Table15[[#This Row],[Likes]]+Table15[[#This Row],[Shares]]+Table15[[#This Row],[Comments]]</f>
        <v>2561</v>
      </c>
    </row>
    <row r="196" spans="1:15">
      <c r="A196" s="1" t="s">
        <v>225</v>
      </c>
      <c r="B196" s="1" t="s">
        <v>27</v>
      </c>
      <c r="C196" s="5">
        <v>45305</v>
      </c>
      <c r="D196" s="16" t="s">
        <v>14</v>
      </c>
      <c r="E196" s="17" t="s">
        <v>24</v>
      </c>
      <c r="F196" s="9">
        <v>3634</v>
      </c>
      <c r="G196" s="9">
        <v>280</v>
      </c>
      <c r="H196" s="9">
        <v>399</v>
      </c>
      <c r="I196" s="9">
        <v>40256</v>
      </c>
      <c r="J196" s="9">
        <v>52605</v>
      </c>
      <c r="K196" s="9">
        <v>213</v>
      </c>
      <c r="L196" s="16" t="s">
        <v>19</v>
      </c>
      <c r="M196" s="16" t="s">
        <v>365</v>
      </c>
      <c r="N196" s="16" t="s">
        <v>20</v>
      </c>
      <c r="O196" s="30">
        <f>Table15[[#This Row],[Likes]]+Table15[[#This Row],[Shares]]+Table15[[#This Row],[Comments]]</f>
        <v>4313</v>
      </c>
    </row>
    <row r="197" spans="1:15">
      <c r="A197" s="1" t="s">
        <v>236</v>
      </c>
      <c r="B197" s="1" t="s">
        <v>22</v>
      </c>
      <c r="C197" s="5">
        <v>45525</v>
      </c>
      <c r="D197" s="16" t="s">
        <v>23</v>
      </c>
      <c r="E197" s="17" t="s">
        <v>18</v>
      </c>
      <c r="F197" s="9">
        <v>3989</v>
      </c>
      <c r="G197" s="9">
        <v>476</v>
      </c>
      <c r="H197" s="9">
        <v>128</v>
      </c>
      <c r="I197" s="9">
        <v>57569</v>
      </c>
      <c r="J197" s="9">
        <v>40193</v>
      </c>
      <c r="K197" s="9">
        <v>222</v>
      </c>
      <c r="L197" s="16" t="s">
        <v>19</v>
      </c>
      <c r="M197" s="16" t="s">
        <v>364</v>
      </c>
      <c r="N197" s="16" t="s">
        <v>16</v>
      </c>
      <c r="O197" s="30">
        <f>Table15[[#This Row],[Likes]]+Table15[[#This Row],[Shares]]+Table15[[#This Row],[Comments]]</f>
        <v>4593</v>
      </c>
    </row>
    <row r="198" spans="1:15">
      <c r="A198" s="1" t="s">
        <v>227</v>
      </c>
      <c r="B198" s="1" t="s">
        <v>27</v>
      </c>
      <c r="C198" s="5">
        <v>45634</v>
      </c>
      <c r="D198" s="16" t="s">
        <v>14</v>
      </c>
      <c r="E198" s="17" t="s">
        <v>33</v>
      </c>
      <c r="F198" s="9">
        <v>1424</v>
      </c>
      <c r="G198" s="9">
        <v>396</v>
      </c>
      <c r="H198" s="9">
        <v>312</v>
      </c>
      <c r="I198" s="9">
        <v>59517</v>
      </c>
      <c r="J198" s="9">
        <v>46102</v>
      </c>
      <c r="K198" s="9">
        <v>239</v>
      </c>
      <c r="L198" s="16" t="s">
        <v>19</v>
      </c>
      <c r="M198" s="16" t="s">
        <v>365</v>
      </c>
      <c r="N198" s="16" t="s">
        <v>20</v>
      </c>
      <c r="O198" s="30">
        <f>Table15[[#This Row],[Likes]]+Table15[[#This Row],[Shares]]+Table15[[#This Row],[Comments]]</f>
        <v>2132</v>
      </c>
    </row>
    <row r="199" spans="1:15">
      <c r="A199" s="1" t="s">
        <v>115</v>
      </c>
      <c r="B199" s="1" t="s">
        <v>13</v>
      </c>
      <c r="C199" s="5">
        <v>45522</v>
      </c>
      <c r="D199" s="16" t="s">
        <v>14</v>
      </c>
      <c r="E199" s="17" t="s">
        <v>18</v>
      </c>
      <c r="F199" s="9">
        <v>2965</v>
      </c>
      <c r="G199" s="9">
        <v>328</v>
      </c>
      <c r="H199" s="9">
        <v>171</v>
      </c>
      <c r="I199" s="9">
        <v>57685</v>
      </c>
      <c r="J199" s="9">
        <v>67536</v>
      </c>
      <c r="K199" s="9">
        <v>264</v>
      </c>
      <c r="L199" s="16" t="s">
        <v>37</v>
      </c>
      <c r="M199" s="16" t="s">
        <v>34</v>
      </c>
      <c r="N199" s="16" t="s">
        <v>16</v>
      </c>
      <c r="O199" s="30">
        <f>Table15[[#This Row],[Likes]]+Table15[[#This Row],[Shares]]+Table15[[#This Row],[Comments]]</f>
        <v>3464</v>
      </c>
    </row>
    <row r="200" spans="1:15">
      <c r="A200" s="1" t="s">
        <v>83</v>
      </c>
      <c r="B200" s="1" t="s">
        <v>22</v>
      </c>
      <c r="C200" s="5">
        <v>45516</v>
      </c>
      <c r="D200" s="16" t="s">
        <v>23</v>
      </c>
      <c r="E200" s="17" t="s">
        <v>362</v>
      </c>
      <c r="F200" s="9">
        <v>2842</v>
      </c>
      <c r="G200" s="9">
        <v>213</v>
      </c>
      <c r="H200" s="9">
        <v>331</v>
      </c>
      <c r="I200" s="9">
        <v>57660</v>
      </c>
      <c r="J200" s="9">
        <v>68606</v>
      </c>
      <c r="K200" s="9">
        <v>87</v>
      </c>
      <c r="L200" s="16" t="s">
        <v>364</v>
      </c>
      <c r="M200" s="16" t="s">
        <v>34</v>
      </c>
      <c r="N200" s="16" t="s">
        <v>16</v>
      </c>
      <c r="O200" s="30">
        <f>Table15[[#This Row],[Likes]]+Table15[[#This Row],[Shares]]+Table15[[#This Row],[Comments]]</f>
        <v>3386</v>
      </c>
    </row>
    <row r="201" spans="1:15">
      <c r="A201" s="1" t="s">
        <v>318</v>
      </c>
      <c r="B201" s="1" t="s">
        <v>22</v>
      </c>
      <c r="C201" s="5">
        <v>45513</v>
      </c>
      <c r="D201" s="16" t="s">
        <v>23</v>
      </c>
      <c r="E201" s="17" t="s">
        <v>363</v>
      </c>
      <c r="F201" s="9">
        <v>4877</v>
      </c>
      <c r="G201" s="9">
        <v>442</v>
      </c>
      <c r="H201" s="9">
        <v>236</v>
      </c>
      <c r="I201" s="9">
        <v>52673</v>
      </c>
      <c r="J201" s="9">
        <v>48241</v>
      </c>
      <c r="K201" s="9">
        <v>114</v>
      </c>
      <c r="L201" s="16" t="s">
        <v>19</v>
      </c>
      <c r="M201" s="16" t="s">
        <v>364</v>
      </c>
      <c r="N201" s="16" t="s">
        <v>16</v>
      </c>
      <c r="O201" s="30">
        <f>Table15[[#This Row],[Likes]]+Table15[[#This Row],[Shares]]+Table15[[#This Row],[Comments]]</f>
        <v>5555</v>
      </c>
    </row>
    <row r="202" spans="1:15">
      <c r="A202" s="1" t="s">
        <v>114</v>
      </c>
      <c r="B202" s="1" t="s">
        <v>22</v>
      </c>
      <c r="C202" s="5">
        <v>45507</v>
      </c>
      <c r="D202" s="16" t="s">
        <v>14</v>
      </c>
      <c r="E202" s="17" t="s">
        <v>42</v>
      </c>
      <c r="F202" s="9">
        <v>4247</v>
      </c>
      <c r="G202" s="9">
        <v>390</v>
      </c>
      <c r="H202" s="9">
        <v>213</v>
      </c>
      <c r="I202" s="9">
        <v>29785</v>
      </c>
      <c r="J202" s="9">
        <v>57768</v>
      </c>
      <c r="K202" s="9">
        <v>122</v>
      </c>
      <c r="L202" s="16" t="s">
        <v>34</v>
      </c>
      <c r="M202" s="16"/>
      <c r="N202" s="16" t="s">
        <v>16</v>
      </c>
      <c r="O202" s="30">
        <f>Table15[[#This Row],[Likes]]+Table15[[#This Row],[Shares]]+Table15[[#This Row],[Comments]]</f>
        <v>4850</v>
      </c>
    </row>
    <row r="203" spans="1:15" ht="30">
      <c r="A203" s="1" t="s">
        <v>120</v>
      </c>
      <c r="B203" s="1" t="s">
        <v>22</v>
      </c>
      <c r="C203" s="5">
        <v>45495</v>
      </c>
      <c r="D203" s="16" t="s">
        <v>23</v>
      </c>
      <c r="E203" s="17" t="s">
        <v>360</v>
      </c>
      <c r="F203" s="9">
        <v>3336</v>
      </c>
      <c r="G203" s="9">
        <v>229</v>
      </c>
      <c r="H203" s="9">
        <v>337</v>
      </c>
      <c r="I203" s="9">
        <v>22117</v>
      </c>
      <c r="J203" s="9">
        <v>26205</v>
      </c>
      <c r="K203" s="9">
        <v>160</v>
      </c>
      <c r="L203" s="16" t="s">
        <v>364</v>
      </c>
      <c r="M203" s="16" t="s">
        <v>34</v>
      </c>
      <c r="N203" s="16" t="s">
        <v>16</v>
      </c>
      <c r="O203" s="30">
        <f>Table15[[#This Row],[Likes]]+Table15[[#This Row],[Shares]]+Table15[[#This Row],[Comments]]</f>
        <v>3902</v>
      </c>
    </row>
    <row r="204" spans="1:15">
      <c r="A204" s="1" t="s">
        <v>233</v>
      </c>
      <c r="B204" s="1" t="s">
        <v>13</v>
      </c>
      <c r="C204" s="5">
        <v>45571</v>
      </c>
      <c r="D204" s="16" t="s">
        <v>14</v>
      </c>
      <c r="E204" s="17" t="s">
        <v>33</v>
      </c>
      <c r="F204" s="9">
        <v>2080</v>
      </c>
      <c r="G204" s="9">
        <v>389</v>
      </c>
      <c r="H204" s="9">
        <v>92</v>
      </c>
      <c r="I204" s="9">
        <v>30971</v>
      </c>
      <c r="J204" s="9">
        <v>25347</v>
      </c>
      <c r="K204" s="9">
        <v>111</v>
      </c>
      <c r="L204" s="16" t="s">
        <v>19</v>
      </c>
      <c r="M204" s="16"/>
      <c r="N204" s="16" t="s">
        <v>20</v>
      </c>
      <c r="O204" s="30">
        <f>Table15[[#This Row],[Likes]]+Table15[[#This Row],[Shares]]+Table15[[#This Row],[Comments]]</f>
        <v>2561</v>
      </c>
    </row>
    <row r="205" spans="1:15">
      <c r="A205" s="1" t="s">
        <v>239</v>
      </c>
      <c r="B205" s="1" t="s">
        <v>22</v>
      </c>
      <c r="C205" s="5">
        <v>45492</v>
      </c>
      <c r="D205" s="16" t="s">
        <v>23</v>
      </c>
      <c r="E205" s="17" t="s">
        <v>362</v>
      </c>
      <c r="F205" s="9">
        <v>3071</v>
      </c>
      <c r="G205" s="9">
        <v>126</v>
      </c>
      <c r="H205" s="9">
        <v>200</v>
      </c>
      <c r="I205" s="9">
        <v>44013</v>
      </c>
      <c r="J205" s="9">
        <v>44679</v>
      </c>
      <c r="K205" s="9">
        <v>118</v>
      </c>
      <c r="L205" s="16" t="s">
        <v>19</v>
      </c>
      <c r="M205" s="16" t="s">
        <v>364</v>
      </c>
      <c r="N205" s="16" t="s">
        <v>16</v>
      </c>
      <c r="O205" s="30">
        <f>Table15[[#This Row],[Likes]]+Table15[[#This Row],[Shares]]+Table15[[#This Row],[Comments]]</f>
        <v>3397</v>
      </c>
    </row>
    <row r="206" spans="1:15" ht="30">
      <c r="A206" s="1" t="s">
        <v>235</v>
      </c>
      <c r="B206" s="1" t="s">
        <v>22</v>
      </c>
      <c r="C206" s="5">
        <v>45763</v>
      </c>
      <c r="D206" s="16" t="s">
        <v>14</v>
      </c>
      <c r="E206" s="17" t="s">
        <v>360</v>
      </c>
      <c r="F206" s="9">
        <v>3792</v>
      </c>
      <c r="G206" s="9">
        <v>315</v>
      </c>
      <c r="H206" s="9">
        <v>120</v>
      </c>
      <c r="I206" s="9">
        <v>54592</v>
      </c>
      <c r="J206" s="9">
        <v>67886</v>
      </c>
      <c r="K206" s="9">
        <v>117</v>
      </c>
      <c r="L206" s="16" t="s">
        <v>37</v>
      </c>
      <c r="M206" s="16"/>
      <c r="N206" s="16" t="s">
        <v>20</v>
      </c>
      <c r="O206" s="30">
        <f>Table15[[#This Row],[Likes]]+Table15[[#This Row],[Shares]]+Table15[[#This Row],[Comments]]</f>
        <v>4227</v>
      </c>
    </row>
    <row r="207" spans="1:15">
      <c r="A207" s="1" t="s">
        <v>144</v>
      </c>
      <c r="B207" s="1" t="s">
        <v>22</v>
      </c>
      <c r="C207" s="5">
        <v>45489</v>
      </c>
      <c r="D207" s="16" t="s">
        <v>14</v>
      </c>
      <c r="E207" s="17" t="s">
        <v>33</v>
      </c>
      <c r="F207" s="9">
        <v>1803</v>
      </c>
      <c r="G207" s="9">
        <v>273</v>
      </c>
      <c r="H207" s="9">
        <v>287</v>
      </c>
      <c r="I207" s="9">
        <v>46176</v>
      </c>
      <c r="J207" s="9">
        <v>25488</v>
      </c>
      <c r="K207" s="9">
        <v>141</v>
      </c>
      <c r="L207" s="16" t="s">
        <v>34</v>
      </c>
      <c r="M207" s="16"/>
      <c r="N207" s="16" t="s">
        <v>16</v>
      </c>
      <c r="O207" s="30">
        <f>Table15[[#This Row],[Likes]]+Table15[[#This Row],[Shares]]+Table15[[#This Row],[Comments]]</f>
        <v>2363</v>
      </c>
    </row>
    <row r="208" spans="1:15">
      <c r="A208" s="1" t="s">
        <v>214</v>
      </c>
      <c r="B208" s="1" t="s">
        <v>22</v>
      </c>
      <c r="C208" s="5">
        <v>45486</v>
      </c>
      <c r="D208" s="16" t="s">
        <v>23</v>
      </c>
      <c r="E208" s="17" t="s">
        <v>30</v>
      </c>
      <c r="F208" s="9">
        <v>2408</v>
      </c>
      <c r="G208" s="9">
        <v>323</v>
      </c>
      <c r="H208" s="9">
        <v>251</v>
      </c>
      <c r="I208" s="9">
        <v>47599</v>
      </c>
      <c r="J208" s="9">
        <v>35543</v>
      </c>
      <c r="K208" s="9">
        <v>287</v>
      </c>
      <c r="L208" s="16" t="s">
        <v>364</v>
      </c>
      <c r="M208" s="16" t="s">
        <v>34</v>
      </c>
      <c r="N208" s="16" t="s">
        <v>16</v>
      </c>
      <c r="O208" s="30">
        <f>Table15[[#This Row],[Likes]]+Table15[[#This Row],[Shares]]+Table15[[#This Row],[Comments]]</f>
        <v>2982</v>
      </c>
    </row>
    <row r="209" spans="1:15">
      <c r="A209" s="1" t="s">
        <v>238</v>
      </c>
      <c r="B209" s="1" t="s">
        <v>22</v>
      </c>
      <c r="C209" s="5">
        <v>45754</v>
      </c>
      <c r="D209" s="16" t="s">
        <v>14</v>
      </c>
      <c r="E209" s="17" t="s">
        <v>363</v>
      </c>
      <c r="F209" s="9">
        <v>1403</v>
      </c>
      <c r="G209" s="9">
        <v>385</v>
      </c>
      <c r="H209" s="9">
        <v>344</v>
      </c>
      <c r="I209" s="9">
        <v>54223</v>
      </c>
      <c r="J209" s="9">
        <v>72595</v>
      </c>
      <c r="K209" s="9">
        <v>239</v>
      </c>
      <c r="L209" s="16" t="s">
        <v>37</v>
      </c>
      <c r="M209" s="16"/>
      <c r="N209" s="16" t="s">
        <v>20</v>
      </c>
      <c r="O209" s="30">
        <f>Table15[[#This Row],[Likes]]+Table15[[#This Row],[Shares]]+Table15[[#This Row],[Comments]]</f>
        <v>2132</v>
      </c>
    </row>
    <row r="210" spans="1:15">
      <c r="A210" s="1" t="s">
        <v>229</v>
      </c>
      <c r="B210" s="1" t="s">
        <v>22</v>
      </c>
      <c r="C210" s="5">
        <v>45484</v>
      </c>
      <c r="D210" s="16" t="s">
        <v>23</v>
      </c>
      <c r="E210" s="17" t="s">
        <v>30</v>
      </c>
      <c r="F210" s="9">
        <v>4247</v>
      </c>
      <c r="G210" s="9">
        <v>179</v>
      </c>
      <c r="H210" s="9">
        <v>175</v>
      </c>
      <c r="I210" s="9">
        <v>32991</v>
      </c>
      <c r="J210" s="9">
        <v>70120</v>
      </c>
      <c r="K210" s="9">
        <v>276</v>
      </c>
      <c r="L210" s="16" t="s">
        <v>37</v>
      </c>
      <c r="M210" s="16" t="s">
        <v>34</v>
      </c>
      <c r="N210" s="16" t="s">
        <v>16</v>
      </c>
      <c r="O210" s="30">
        <f>Table15[[#This Row],[Likes]]+Table15[[#This Row],[Shares]]+Table15[[#This Row],[Comments]]</f>
        <v>4601</v>
      </c>
    </row>
    <row r="211" spans="1:15">
      <c r="A211" s="1" t="s">
        <v>276</v>
      </c>
      <c r="B211" s="1" t="s">
        <v>22</v>
      </c>
      <c r="C211" s="5">
        <v>45481</v>
      </c>
      <c r="D211" s="16" t="s">
        <v>23</v>
      </c>
      <c r="E211" s="17" t="s">
        <v>33</v>
      </c>
      <c r="F211" s="9">
        <v>2981</v>
      </c>
      <c r="G211" s="9">
        <v>258</v>
      </c>
      <c r="H211" s="9">
        <v>168</v>
      </c>
      <c r="I211" s="9">
        <v>20677</v>
      </c>
      <c r="J211" s="9">
        <v>68290</v>
      </c>
      <c r="K211" s="9">
        <v>130</v>
      </c>
      <c r="L211" s="16" t="s">
        <v>37</v>
      </c>
      <c r="M211" s="16" t="s">
        <v>34</v>
      </c>
      <c r="N211" s="16" t="s">
        <v>16</v>
      </c>
      <c r="O211" s="30">
        <f>Table15[[#This Row],[Likes]]+Table15[[#This Row],[Shares]]+Table15[[#This Row],[Comments]]</f>
        <v>3407</v>
      </c>
    </row>
    <row r="212" spans="1:15" ht="30">
      <c r="A212" s="1" t="s">
        <v>286</v>
      </c>
      <c r="B212" s="1" t="s">
        <v>22</v>
      </c>
      <c r="C212" s="5">
        <v>45481</v>
      </c>
      <c r="D212" s="16" t="s">
        <v>23</v>
      </c>
      <c r="E212" s="17" t="s">
        <v>360</v>
      </c>
      <c r="F212" s="9">
        <v>2304</v>
      </c>
      <c r="G212" s="9">
        <v>289</v>
      </c>
      <c r="H212" s="9">
        <v>161</v>
      </c>
      <c r="I212" s="9">
        <v>52645</v>
      </c>
      <c r="J212" s="9">
        <v>66262</v>
      </c>
      <c r="K212" s="9">
        <v>146</v>
      </c>
      <c r="L212" s="16" t="s">
        <v>364</v>
      </c>
      <c r="M212" s="16" t="s">
        <v>34</v>
      </c>
      <c r="N212" s="16" t="s">
        <v>16</v>
      </c>
      <c r="O212" s="30">
        <f>Table15[[#This Row],[Likes]]+Table15[[#This Row],[Shares]]+Table15[[#This Row],[Comments]]</f>
        <v>2754</v>
      </c>
    </row>
    <row r="213" spans="1:15">
      <c r="A213" s="1" t="s">
        <v>206</v>
      </c>
      <c r="B213" s="1" t="s">
        <v>13</v>
      </c>
      <c r="C213" s="5">
        <v>45475</v>
      </c>
      <c r="D213" s="16" t="s">
        <v>14</v>
      </c>
      <c r="E213" s="17" t="s">
        <v>33</v>
      </c>
      <c r="F213" s="9">
        <v>3469</v>
      </c>
      <c r="G213" s="9">
        <v>371</v>
      </c>
      <c r="H213" s="9">
        <v>76</v>
      </c>
      <c r="I213" s="9">
        <v>46493</v>
      </c>
      <c r="J213" s="9">
        <v>26906</v>
      </c>
      <c r="K213" s="9">
        <v>150</v>
      </c>
      <c r="L213" s="16" t="s">
        <v>37</v>
      </c>
      <c r="M213" s="16" t="s">
        <v>34</v>
      </c>
      <c r="N213" s="16" t="s">
        <v>16</v>
      </c>
      <c r="O213" s="30">
        <f>Table15[[#This Row],[Likes]]+Table15[[#This Row],[Shares]]+Table15[[#This Row],[Comments]]</f>
        <v>3916</v>
      </c>
    </row>
    <row r="214" spans="1:15">
      <c r="A214" s="1" t="s">
        <v>243</v>
      </c>
      <c r="B214" s="1" t="s">
        <v>13</v>
      </c>
      <c r="C214" s="5">
        <v>45832</v>
      </c>
      <c r="D214" s="16" t="s">
        <v>23</v>
      </c>
      <c r="E214" s="17" t="s">
        <v>30</v>
      </c>
      <c r="F214" s="9">
        <v>4902</v>
      </c>
      <c r="G214" s="9">
        <v>422</v>
      </c>
      <c r="H214" s="9">
        <v>376</v>
      </c>
      <c r="I214" s="9">
        <v>31674</v>
      </c>
      <c r="J214" s="9">
        <v>53225</v>
      </c>
      <c r="K214" s="9">
        <v>147</v>
      </c>
      <c r="L214" s="16" t="s">
        <v>34</v>
      </c>
      <c r="M214" s="16"/>
      <c r="N214" s="16" t="s">
        <v>46</v>
      </c>
      <c r="O214" s="30">
        <f>Table15[[#This Row],[Likes]]+Table15[[#This Row],[Shares]]+Table15[[#This Row],[Comments]]</f>
        <v>5700</v>
      </c>
    </row>
    <row r="215" spans="1:15" ht="30">
      <c r="A215" s="1" t="s">
        <v>244</v>
      </c>
      <c r="B215" s="1" t="s">
        <v>22</v>
      </c>
      <c r="C215" s="5">
        <v>45574</v>
      </c>
      <c r="D215" s="16" t="s">
        <v>14</v>
      </c>
      <c r="E215" s="17" t="s">
        <v>360</v>
      </c>
      <c r="F215" s="9">
        <v>2659</v>
      </c>
      <c r="G215" s="9">
        <v>167</v>
      </c>
      <c r="H215" s="9">
        <v>73</v>
      </c>
      <c r="I215" s="9">
        <v>23090</v>
      </c>
      <c r="J215" s="9">
        <v>25872</v>
      </c>
      <c r="K215" s="9">
        <v>293</v>
      </c>
      <c r="L215" s="16" t="s">
        <v>37</v>
      </c>
      <c r="M215" s="16"/>
      <c r="N215" s="16" t="s">
        <v>20</v>
      </c>
      <c r="O215" s="30">
        <f>Table15[[#This Row],[Likes]]+Table15[[#This Row],[Shares]]+Table15[[#This Row],[Comments]]</f>
        <v>2899</v>
      </c>
    </row>
    <row r="216" spans="1:15">
      <c r="A216" s="1" t="s">
        <v>315</v>
      </c>
      <c r="B216" s="1" t="s">
        <v>27</v>
      </c>
      <c r="C216" s="5">
        <v>45686</v>
      </c>
      <c r="D216" s="16" t="s">
        <v>14</v>
      </c>
      <c r="E216" s="17" t="s">
        <v>24</v>
      </c>
      <c r="F216" s="9">
        <v>1334</v>
      </c>
      <c r="G216" s="9">
        <v>357</v>
      </c>
      <c r="H216" s="9">
        <v>257</v>
      </c>
      <c r="I216" s="9">
        <v>56910</v>
      </c>
      <c r="J216" s="9">
        <v>70606</v>
      </c>
      <c r="K216" s="9">
        <v>228</v>
      </c>
      <c r="L216" s="16" t="s">
        <v>19</v>
      </c>
      <c r="M216" s="16" t="s">
        <v>365</v>
      </c>
      <c r="N216" s="16" t="s">
        <v>20</v>
      </c>
      <c r="O216" s="30">
        <f>Table15[[#This Row],[Likes]]+Table15[[#This Row],[Shares]]+Table15[[#This Row],[Comments]]</f>
        <v>1948</v>
      </c>
    </row>
    <row r="217" spans="1:15">
      <c r="A217" s="1" t="s">
        <v>72</v>
      </c>
      <c r="B217" s="1" t="s">
        <v>13</v>
      </c>
      <c r="C217" s="5">
        <v>45683</v>
      </c>
      <c r="D217" s="16" t="s">
        <v>23</v>
      </c>
      <c r="E217" s="17" t="s">
        <v>362</v>
      </c>
      <c r="F217" s="9">
        <v>3451</v>
      </c>
      <c r="G217" s="9">
        <v>363</v>
      </c>
      <c r="H217" s="9">
        <v>393</v>
      </c>
      <c r="I217" s="9">
        <v>44853</v>
      </c>
      <c r="J217" s="9">
        <v>69032</v>
      </c>
      <c r="K217" s="9">
        <v>211</v>
      </c>
      <c r="L217" s="16" t="s">
        <v>34</v>
      </c>
      <c r="M217" s="16"/>
      <c r="N217" s="16" t="s">
        <v>46</v>
      </c>
      <c r="O217" s="30">
        <f>Table15[[#This Row],[Likes]]+Table15[[#This Row],[Shares]]+Table15[[#This Row],[Comments]]</f>
        <v>4207</v>
      </c>
    </row>
    <row r="218" spans="1:15">
      <c r="A218" s="1" t="s">
        <v>321</v>
      </c>
      <c r="B218" s="1" t="s">
        <v>13</v>
      </c>
      <c r="C218" s="5">
        <v>45472</v>
      </c>
      <c r="D218" s="16" t="s">
        <v>14</v>
      </c>
      <c r="E218" s="17" t="s">
        <v>42</v>
      </c>
      <c r="F218" s="9">
        <v>2088</v>
      </c>
      <c r="G218" s="9">
        <v>490</v>
      </c>
      <c r="H218" s="9">
        <v>124</v>
      </c>
      <c r="I218" s="9">
        <v>46544</v>
      </c>
      <c r="J218" s="9">
        <v>69346</v>
      </c>
      <c r="K218" s="9">
        <v>178</v>
      </c>
      <c r="L218" s="16" t="s">
        <v>37</v>
      </c>
      <c r="M218" s="16" t="s">
        <v>34</v>
      </c>
      <c r="N218" s="16" t="s">
        <v>16</v>
      </c>
      <c r="O218" s="30">
        <f>Table15[[#This Row],[Likes]]+Table15[[#This Row],[Shares]]+Table15[[#This Row],[Comments]]</f>
        <v>2702</v>
      </c>
    </row>
    <row r="219" spans="1:15">
      <c r="A219" s="1" t="s">
        <v>216</v>
      </c>
      <c r="B219" s="1" t="s">
        <v>22</v>
      </c>
      <c r="C219" s="5">
        <v>45459</v>
      </c>
      <c r="D219" s="16" t="s">
        <v>23</v>
      </c>
      <c r="E219" s="17" t="s">
        <v>18</v>
      </c>
      <c r="F219" s="9">
        <v>4618</v>
      </c>
      <c r="G219" s="9">
        <v>312</v>
      </c>
      <c r="H219" s="9">
        <v>254</v>
      </c>
      <c r="I219" s="9">
        <v>22571</v>
      </c>
      <c r="J219" s="9">
        <v>29453</v>
      </c>
      <c r="K219" s="9">
        <v>197</v>
      </c>
      <c r="L219" s="16" t="s">
        <v>364</v>
      </c>
      <c r="M219" s="16" t="s">
        <v>34</v>
      </c>
      <c r="N219" s="16" t="s">
        <v>16</v>
      </c>
      <c r="O219" s="30">
        <f>Table15[[#This Row],[Likes]]+Table15[[#This Row],[Shares]]+Table15[[#This Row],[Comments]]</f>
        <v>5184</v>
      </c>
    </row>
    <row r="220" spans="1:15">
      <c r="A220" s="1" t="s">
        <v>249</v>
      </c>
      <c r="B220" s="1" t="s">
        <v>22</v>
      </c>
      <c r="C220" s="5">
        <v>45332</v>
      </c>
      <c r="D220" s="16" t="s">
        <v>14</v>
      </c>
      <c r="E220" s="17" t="s">
        <v>363</v>
      </c>
      <c r="F220" s="9">
        <v>1519</v>
      </c>
      <c r="G220" s="9">
        <v>456</v>
      </c>
      <c r="H220" s="9">
        <v>379</v>
      </c>
      <c r="I220" s="9">
        <v>51611</v>
      </c>
      <c r="J220" s="9">
        <v>45880</v>
      </c>
      <c r="K220" s="9">
        <v>176</v>
      </c>
      <c r="L220" s="16" t="s">
        <v>37</v>
      </c>
      <c r="M220" s="16"/>
      <c r="N220" s="16" t="s">
        <v>20</v>
      </c>
      <c r="O220" s="30">
        <f>Table15[[#This Row],[Likes]]+Table15[[#This Row],[Shares]]+Table15[[#This Row],[Comments]]</f>
        <v>2354</v>
      </c>
    </row>
    <row r="221" spans="1:15">
      <c r="A221" s="1" t="s">
        <v>250</v>
      </c>
      <c r="B221" s="1" t="s">
        <v>27</v>
      </c>
      <c r="C221" s="5">
        <v>45636</v>
      </c>
      <c r="D221" s="16" t="s">
        <v>14</v>
      </c>
      <c r="E221" s="17" t="s">
        <v>362</v>
      </c>
      <c r="F221" s="9">
        <v>2569</v>
      </c>
      <c r="G221" s="9">
        <v>140</v>
      </c>
      <c r="H221" s="9">
        <v>375</v>
      </c>
      <c r="I221" s="9">
        <v>38372</v>
      </c>
      <c r="J221" s="9">
        <v>22102</v>
      </c>
      <c r="K221" s="9">
        <v>255</v>
      </c>
      <c r="L221" s="16" t="s">
        <v>19</v>
      </c>
      <c r="M221" s="16" t="s">
        <v>365</v>
      </c>
      <c r="N221" s="16" t="s">
        <v>20</v>
      </c>
      <c r="O221" s="30">
        <f>Table15[[#This Row],[Likes]]+Table15[[#This Row],[Shares]]+Table15[[#This Row],[Comments]]</f>
        <v>3084</v>
      </c>
    </row>
    <row r="222" spans="1:15">
      <c r="A222" s="1" t="s">
        <v>44</v>
      </c>
      <c r="B222" s="1" t="s">
        <v>22</v>
      </c>
      <c r="C222" s="5">
        <v>45453</v>
      </c>
      <c r="D222" s="16" t="s">
        <v>14</v>
      </c>
      <c r="E222" s="17" t="s">
        <v>362</v>
      </c>
      <c r="F222" s="9">
        <v>1514</v>
      </c>
      <c r="G222" s="9">
        <v>164</v>
      </c>
      <c r="H222" s="9">
        <v>275</v>
      </c>
      <c r="I222" s="9">
        <v>41364</v>
      </c>
      <c r="J222" s="9">
        <v>44389</v>
      </c>
      <c r="K222" s="9">
        <v>83</v>
      </c>
      <c r="L222" s="16" t="s">
        <v>34</v>
      </c>
      <c r="M222" s="16"/>
      <c r="N222" s="16" t="s">
        <v>16</v>
      </c>
      <c r="O222" s="30">
        <f>Table15[[#This Row],[Likes]]+Table15[[#This Row],[Shares]]+Table15[[#This Row],[Comments]]</f>
        <v>1953</v>
      </c>
    </row>
    <row r="223" spans="1:15">
      <c r="A223" s="1" t="s">
        <v>287</v>
      </c>
      <c r="B223" s="1" t="s">
        <v>22</v>
      </c>
      <c r="C223" s="5">
        <v>45451</v>
      </c>
      <c r="D223" s="16" t="s">
        <v>23</v>
      </c>
      <c r="E223" s="17" t="s">
        <v>33</v>
      </c>
      <c r="F223" s="9">
        <v>3413</v>
      </c>
      <c r="G223" s="9">
        <v>326</v>
      </c>
      <c r="H223" s="9">
        <v>86</v>
      </c>
      <c r="I223" s="9">
        <v>44680</v>
      </c>
      <c r="J223" s="9">
        <v>52719</v>
      </c>
      <c r="K223" s="9">
        <v>272</v>
      </c>
      <c r="L223" s="16" t="s">
        <v>19</v>
      </c>
      <c r="M223" s="16" t="s">
        <v>364</v>
      </c>
      <c r="N223" s="16" t="s">
        <v>16</v>
      </c>
      <c r="O223" s="30">
        <f>Table15[[#This Row],[Likes]]+Table15[[#This Row],[Shares]]+Table15[[#This Row],[Comments]]</f>
        <v>3825</v>
      </c>
    </row>
    <row r="224" spans="1:15">
      <c r="A224" s="1" t="s">
        <v>253</v>
      </c>
      <c r="B224" s="1" t="s">
        <v>22</v>
      </c>
      <c r="C224" s="5">
        <v>45462</v>
      </c>
      <c r="D224" s="16" t="s">
        <v>14</v>
      </c>
      <c r="E224" s="17" t="s">
        <v>362</v>
      </c>
      <c r="F224" s="9">
        <v>1224</v>
      </c>
      <c r="G224" s="9">
        <v>168</v>
      </c>
      <c r="H224" s="9">
        <v>199</v>
      </c>
      <c r="I224" s="9">
        <v>54232</v>
      </c>
      <c r="J224" s="9">
        <v>52844</v>
      </c>
      <c r="K224" s="9">
        <v>271</v>
      </c>
      <c r="L224" s="16" t="s">
        <v>37</v>
      </c>
      <c r="M224" s="16"/>
      <c r="N224" s="16" t="s">
        <v>20</v>
      </c>
      <c r="O224" s="30">
        <f>Table15[[#This Row],[Likes]]+Table15[[#This Row],[Shares]]+Table15[[#This Row],[Comments]]</f>
        <v>1591</v>
      </c>
    </row>
    <row r="225" spans="1:15">
      <c r="A225" s="1" t="s">
        <v>180</v>
      </c>
      <c r="B225" s="1" t="s">
        <v>22</v>
      </c>
      <c r="C225" s="5">
        <v>45442</v>
      </c>
      <c r="D225" s="16" t="s">
        <v>23</v>
      </c>
      <c r="E225" s="17" t="s">
        <v>42</v>
      </c>
      <c r="F225" s="9">
        <v>2311</v>
      </c>
      <c r="G225" s="9">
        <v>207</v>
      </c>
      <c r="H225" s="9">
        <v>363</v>
      </c>
      <c r="I225" s="9">
        <v>30349</v>
      </c>
      <c r="J225" s="9">
        <v>32925</v>
      </c>
      <c r="K225" s="9">
        <v>88</v>
      </c>
      <c r="L225" s="16" t="s">
        <v>364</v>
      </c>
      <c r="M225" s="16" t="s">
        <v>34</v>
      </c>
      <c r="N225" s="16" t="s">
        <v>16</v>
      </c>
      <c r="O225" s="30">
        <f>Table15[[#This Row],[Likes]]+Table15[[#This Row],[Shares]]+Table15[[#This Row],[Comments]]</f>
        <v>2881</v>
      </c>
    </row>
    <row r="226" spans="1:15" ht="30">
      <c r="A226" s="1" t="s">
        <v>255</v>
      </c>
      <c r="B226" s="1" t="s">
        <v>27</v>
      </c>
      <c r="C226" s="5">
        <v>45323</v>
      </c>
      <c r="D226" s="16" t="s">
        <v>14</v>
      </c>
      <c r="E226" s="17" t="s">
        <v>360</v>
      </c>
      <c r="F226" s="9">
        <v>1432</v>
      </c>
      <c r="G226" s="9">
        <v>437</v>
      </c>
      <c r="H226" s="9">
        <v>267</v>
      </c>
      <c r="I226" s="9">
        <v>40634</v>
      </c>
      <c r="J226" s="9">
        <v>54511</v>
      </c>
      <c r="K226" s="9">
        <v>197</v>
      </c>
      <c r="L226" s="16" t="s">
        <v>19</v>
      </c>
      <c r="M226" s="16" t="s">
        <v>365</v>
      </c>
      <c r="N226" s="16" t="s">
        <v>20</v>
      </c>
      <c r="O226" s="30">
        <f>Table15[[#This Row],[Likes]]+Table15[[#This Row],[Shares]]+Table15[[#This Row],[Comments]]</f>
        <v>2136</v>
      </c>
    </row>
    <row r="227" spans="1:15">
      <c r="A227" s="1" t="s">
        <v>104</v>
      </c>
      <c r="B227" s="1" t="s">
        <v>22</v>
      </c>
      <c r="C227" s="5">
        <v>45431</v>
      </c>
      <c r="D227" s="16" t="s">
        <v>23</v>
      </c>
      <c r="E227" s="17" t="s">
        <v>30</v>
      </c>
      <c r="F227" s="9">
        <v>1763</v>
      </c>
      <c r="G227" s="9">
        <v>206</v>
      </c>
      <c r="H227" s="9">
        <v>187</v>
      </c>
      <c r="I227" s="9">
        <v>53342</v>
      </c>
      <c r="J227" s="9">
        <v>25095</v>
      </c>
      <c r="K227" s="9">
        <v>88</v>
      </c>
      <c r="L227" s="16" t="s">
        <v>19</v>
      </c>
      <c r="M227" s="16" t="s">
        <v>364</v>
      </c>
      <c r="N227" s="16" t="s">
        <v>16</v>
      </c>
      <c r="O227" s="30">
        <f>Table15[[#This Row],[Likes]]+Table15[[#This Row],[Shares]]+Table15[[#This Row],[Comments]]</f>
        <v>2156</v>
      </c>
    </row>
    <row r="228" spans="1:15">
      <c r="A228" s="1" t="s">
        <v>257</v>
      </c>
      <c r="B228" s="1" t="s">
        <v>27</v>
      </c>
      <c r="C228" s="5">
        <v>45738</v>
      </c>
      <c r="D228" s="16" t="s">
        <v>14</v>
      </c>
      <c r="E228" s="17" t="s">
        <v>361</v>
      </c>
      <c r="F228" s="9">
        <v>4308</v>
      </c>
      <c r="G228" s="9">
        <v>171</v>
      </c>
      <c r="H228" s="9">
        <v>106</v>
      </c>
      <c r="I228" s="9">
        <v>36955</v>
      </c>
      <c r="J228" s="9">
        <v>23949</v>
      </c>
      <c r="K228" s="9">
        <v>294</v>
      </c>
      <c r="L228" s="16" t="s">
        <v>19</v>
      </c>
      <c r="M228" s="16" t="s">
        <v>365</v>
      </c>
      <c r="N228" s="16" t="s">
        <v>20</v>
      </c>
      <c r="O228" s="30">
        <f>Table15[[#This Row],[Likes]]+Table15[[#This Row],[Shares]]+Table15[[#This Row],[Comments]]</f>
        <v>4585</v>
      </c>
    </row>
    <row r="229" spans="1:15">
      <c r="A229" s="1" t="s">
        <v>258</v>
      </c>
      <c r="B229" s="1" t="s">
        <v>27</v>
      </c>
      <c r="C229" s="5">
        <v>45442</v>
      </c>
      <c r="D229" s="16" t="s">
        <v>48</v>
      </c>
      <c r="E229" s="17" t="s">
        <v>362</v>
      </c>
      <c r="F229" s="9">
        <v>1060</v>
      </c>
      <c r="G229" s="9">
        <v>442</v>
      </c>
      <c r="H229" s="9">
        <v>319</v>
      </c>
      <c r="I229" s="9">
        <v>57194</v>
      </c>
      <c r="J229" s="9">
        <v>24258</v>
      </c>
      <c r="K229" s="9">
        <v>101</v>
      </c>
      <c r="L229" s="16" t="s">
        <v>19</v>
      </c>
      <c r="M229" s="16" t="s">
        <v>37</v>
      </c>
      <c r="N229" s="16" t="s">
        <v>49</v>
      </c>
      <c r="O229" s="30">
        <f>Table15[[#This Row],[Likes]]+Table15[[#This Row],[Shares]]+Table15[[#This Row],[Comments]]</f>
        <v>1821</v>
      </c>
    </row>
    <row r="230" spans="1:15">
      <c r="A230" s="1" t="s">
        <v>259</v>
      </c>
      <c r="B230" s="1" t="s">
        <v>27</v>
      </c>
      <c r="C230" s="5">
        <v>45346</v>
      </c>
      <c r="D230" s="16" t="s">
        <v>14</v>
      </c>
      <c r="E230" s="17" t="s">
        <v>361</v>
      </c>
      <c r="F230" s="9">
        <v>4653</v>
      </c>
      <c r="G230" s="9">
        <v>226</v>
      </c>
      <c r="H230" s="9">
        <v>349</v>
      </c>
      <c r="I230" s="9">
        <v>56876</v>
      </c>
      <c r="J230" s="9">
        <v>28452</v>
      </c>
      <c r="K230" s="9">
        <v>257</v>
      </c>
      <c r="L230" s="16" t="s">
        <v>19</v>
      </c>
      <c r="M230" s="16" t="s">
        <v>365</v>
      </c>
      <c r="N230" s="16" t="s">
        <v>20</v>
      </c>
      <c r="O230" s="30">
        <f>Table15[[#This Row],[Likes]]+Table15[[#This Row],[Shares]]+Table15[[#This Row],[Comments]]</f>
        <v>5228</v>
      </c>
    </row>
    <row r="231" spans="1:15">
      <c r="A231" s="1" t="s">
        <v>260</v>
      </c>
      <c r="B231" s="1" t="s">
        <v>27</v>
      </c>
      <c r="C231" s="5">
        <v>45791</v>
      </c>
      <c r="D231" s="16" t="s">
        <v>14</v>
      </c>
      <c r="E231" s="17" t="s">
        <v>15</v>
      </c>
      <c r="F231" s="9">
        <v>1701</v>
      </c>
      <c r="G231" s="9">
        <v>272</v>
      </c>
      <c r="H231" s="9">
        <v>385</v>
      </c>
      <c r="I231" s="9">
        <v>47496</v>
      </c>
      <c r="J231" s="9">
        <v>40832</v>
      </c>
      <c r="K231" s="9">
        <v>246</v>
      </c>
      <c r="L231" s="16" t="s">
        <v>19</v>
      </c>
      <c r="M231" s="16" t="s">
        <v>365</v>
      </c>
      <c r="N231" s="16" t="s">
        <v>20</v>
      </c>
      <c r="O231" s="30">
        <f>Table15[[#This Row],[Likes]]+Table15[[#This Row],[Shares]]+Table15[[#This Row],[Comments]]</f>
        <v>2358</v>
      </c>
    </row>
    <row r="232" spans="1:15">
      <c r="A232" s="1" t="s">
        <v>148</v>
      </c>
      <c r="B232" s="1" t="s">
        <v>22</v>
      </c>
      <c r="C232" s="5">
        <v>45428</v>
      </c>
      <c r="D232" s="16" t="s">
        <v>23</v>
      </c>
      <c r="E232" s="17" t="s">
        <v>361</v>
      </c>
      <c r="F232" s="9">
        <v>2023</v>
      </c>
      <c r="G232" s="9">
        <v>124</v>
      </c>
      <c r="H232" s="9">
        <v>99</v>
      </c>
      <c r="I232" s="9">
        <v>54524</v>
      </c>
      <c r="J232" s="9">
        <v>34790</v>
      </c>
      <c r="K232" s="9">
        <v>195</v>
      </c>
      <c r="L232" s="16" t="s">
        <v>19</v>
      </c>
      <c r="M232" s="16" t="s">
        <v>364</v>
      </c>
      <c r="N232" s="16" t="s">
        <v>16</v>
      </c>
      <c r="O232" s="30">
        <f>Table15[[#This Row],[Likes]]+Table15[[#This Row],[Shares]]+Table15[[#This Row],[Comments]]</f>
        <v>2246</v>
      </c>
    </row>
    <row r="233" spans="1:15">
      <c r="A233" s="1" t="s">
        <v>262</v>
      </c>
      <c r="B233" s="1" t="s">
        <v>27</v>
      </c>
      <c r="C233" s="5">
        <v>45723</v>
      </c>
      <c r="D233" s="16" t="s">
        <v>14</v>
      </c>
      <c r="E233" s="17" t="s">
        <v>33</v>
      </c>
      <c r="F233" s="9">
        <v>4310</v>
      </c>
      <c r="G233" s="9">
        <v>284</v>
      </c>
      <c r="H233" s="9">
        <v>306</v>
      </c>
      <c r="I233" s="9">
        <v>44606</v>
      </c>
      <c r="J233" s="9">
        <v>42604</v>
      </c>
      <c r="K233" s="9">
        <v>290</v>
      </c>
      <c r="L233" s="16" t="s">
        <v>19</v>
      </c>
      <c r="M233" s="16" t="s">
        <v>365</v>
      </c>
      <c r="N233" s="16" t="s">
        <v>20</v>
      </c>
      <c r="O233" s="30">
        <f>Table15[[#This Row],[Likes]]+Table15[[#This Row],[Shares]]+Table15[[#This Row],[Comments]]</f>
        <v>4900</v>
      </c>
    </row>
    <row r="234" spans="1:15">
      <c r="A234" s="1" t="s">
        <v>38</v>
      </c>
      <c r="B234" s="1" t="s">
        <v>13</v>
      </c>
      <c r="C234" s="5">
        <v>45426</v>
      </c>
      <c r="D234" s="16" t="s">
        <v>14</v>
      </c>
      <c r="E234" s="17" t="s">
        <v>15</v>
      </c>
      <c r="F234" s="9">
        <v>1485</v>
      </c>
      <c r="G234" s="9">
        <v>353</v>
      </c>
      <c r="H234" s="9">
        <v>244</v>
      </c>
      <c r="I234" s="9">
        <v>38419</v>
      </c>
      <c r="J234" s="9">
        <v>38556</v>
      </c>
      <c r="K234" s="9">
        <v>86</v>
      </c>
      <c r="L234" s="16" t="s">
        <v>37</v>
      </c>
      <c r="M234" s="16" t="s">
        <v>34</v>
      </c>
      <c r="N234" s="16" t="s">
        <v>16</v>
      </c>
      <c r="O234" s="30">
        <f>Table15[[#This Row],[Likes]]+Table15[[#This Row],[Shares]]+Table15[[#This Row],[Comments]]</f>
        <v>2082</v>
      </c>
    </row>
    <row r="235" spans="1:15">
      <c r="A235" s="1" t="s">
        <v>224</v>
      </c>
      <c r="B235" s="1" t="s">
        <v>22</v>
      </c>
      <c r="C235" s="5">
        <v>45422</v>
      </c>
      <c r="D235" s="16" t="s">
        <v>23</v>
      </c>
      <c r="E235" s="17" t="s">
        <v>18</v>
      </c>
      <c r="F235" s="9">
        <v>2784</v>
      </c>
      <c r="G235" s="9">
        <v>111</v>
      </c>
      <c r="H235" s="9">
        <v>399</v>
      </c>
      <c r="I235" s="9">
        <v>58366</v>
      </c>
      <c r="J235" s="9">
        <v>69512</v>
      </c>
      <c r="K235" s="9">
        <v>269</v>
      </c>
      <c r="L235" s="16" t="s">
        <v>364</v>
      </c>
      <c r="M235" s="16" t="s">
        <v>34</v>
      </c>
      <c r="N235" s="16" t="s">
        <v>16</v>
      </c>
      <c r="O235" s="30">
        <f>Table15[[#This Row],[Likes]]+Table15[[#This Row],[Shares]]+Table15[[#This Row],[Comments]]</f>
        <v>3294</v>
      </c>
    </row>
    <row r="236" spans="1:15">
      <c r="A236" s="1" t="s">
        <v>265</v>
      </c>
      <c r="B236" s="1" t="s">
        <v>27</v>
      </c>
      <c r="C236" s="5">
        <v>45542</v>
      </c>
      <c r="D236" s="16" t="s">
        <v>14</v>
      </c>
      <c r="E236" s="17" t="s">
        <v>42</v>
      </c>
      <c r="F236" s="9">
        <v>2101</v>
      </c>
      <c r="G236" s="9">
        <v>411</v>
      </c>
      <c r="H236" s="9">
        <v>190</v>
      </c>
      <c r="I236" s="9">
        <v>41791</v>
      </c>
      <c r="J236" s="9">
        <v>57090</v>
      </c>
      <c r="K236" s="9">
        <v>172</v>
      </c>
      <c r="L236" s="16" t="s">
        <v>19</v>
      </c>
      <c r="M236" s="16" t="s">
        <v>365</v>
      </c>
      <c r="N236" s="16" t="s">
        <v>20</v>
      </c>
      <c r="O236" s="30">
        <f>Table15[[#This Row],[Likes]]+Table15[[#This Row],[Shares]]+Table15[[#This Row],[Comments]]</f>
        <v>2702</v>
      </c>
    </row>
    <row r="237" spans="1:15">
      <c r="A237" s="1" t="s">
        <v>266</v>
      </c>
      <c r="B237" s="1" t="s">
        <v>13</v>
      </c>
      <c r="C237" s="5">
        <v>45646</v>
      </c>
      <c r="D237" s="16" t="s">
        <v>14</v>
      </c>
      <c r="E237" s="17" t="s">
        <v>15</v>
      </c>
      <c r="F237" s="9">
        <v>2519</v>
      </c>
      <c r="G237" s="9">
        <v>202</v>
      </c>
      <c r="H237" s="9">
        <v>239</v>
      </c>
      <c r="I237" s="9">
        <v>36245</v>
      </c>
      <c r="J237" s="9">
        <v>48606</v>
      </c>
      <c r="K237" s="9">
        <v>145</v>
      </c>
      <c r="L237" s="16" t="s">
        <v>19</v>
      </c>
      <c r="M237" s="16"/>
      <c r="N237" s="16" t="s">
        <v>20</v>
      </c>
      <c r="O237" s="30">
        <f>Table15[[#This Row],[Likes]]+Table15[[#This Row],[Shares]]+Table15[[#This Row],[Comments]]</f>
        <v>2960</v>
      </c>
    </row>
    <row r="238" spans="1:15">
      <c r="A238" s="1" t="s">
        <v>267</v>
      </c>
      <c r="B238" s="1" t="s">
        <v>27</v>
      </c>
      <c r="C238" s="5">
        <v>45305</v>
      </c>
      <c r="D238" s="16" t="s">
        <v>14</v>
      </c>
      <c r="E238" s="17" t="s">
        <v>362</v>
      </c>
      <c r="F238" s="9">
        <v>4502</v>
      </c>
      <c r="G238" s="9">
        <v>238</v>
      </c>
      <c r="H238" s="9">
        <v>386</v>
      </c>
      <c r="I238" s="9">
        <v>39198</v>
      </c>
      <c r="J238" s="9">
        <v>25050</v>
      </c>
      <c r="K238" s="9">
        <v>297</v>
      </c>
      <c r="L238" s="16" t="s">
        <v>19</v>
      </c>
      <c r="M238" s="16" t="s">
        <v>365</v>
      </c>
      <c r="N238" s="16" t="s">
        <v>20</v>
      </c>
      <c r="O238" s="30">
        <f>Table15[[#This Row],[Likes]]+Table15[[#This Row],[Shares]]+Table15[[#This Row],[Comments]]</f>
        <v>5126</v>
      </c>
    </row>
    <row r="239" spans="1:15" ht="30">
      <c r="A239" s="1" t="s">
        <v>31</v>
      </c>
      <c r="B239" s="1" t="s">
        <v>22</v>
      </c>
      <c r="C239" s="5">
        <v>45421</v>
      </c>
      <c r="D239" s="16" t="s">
        <v>23</v>
      </c>
      <c r="E239" s="17" t="s">
        <v>360</v>
      </c>
      <c r="F239" s="9">
        <v>1428</v>
      </c>
      <c r="G239" s="9">
        <v>347</v>
      </c>
      <c r="H239" s="9">
        <v>67</v>
      </c>
      <c r="I239" s="9">
        <v>21148</v>
      </c>
      <c r="J239" s="9">
        <v>19712</v>
      </c>
      <c r="K239" s="9">
        <v>120</v>
      </c>
      <c r="L239" s="16" t="s">
        <v>19</v>
      </c>
      <c r="M239" s="16" t="s">
        <v>364</v>
      </c>
      <c r="N239" s="16" t="s">
        <v>16</v>
      </c>
      <c r="O239" s="30">
        <f>Table15[[#This Row],[Likes]]+Table15[[#This Row],[Shares]]+Table15[[#This Row],[Comments]]</f>
        <v>1842</v>
      </c>
    </row>
    <row r="240" spans="1:15">
      <c r="A240" s="1" t="s">
        <v>154</v>
      </c>
      <c r="B240" s="1" t="s">
        <v>22</v>
      </c>
      <c r="C240" s="5">
        <v>45421</v>
      </c>
      <c r="D240" s="16" t="s">
        <v>23</v>
      </c>
      <c r="E240" s="17" t="s">
        <v>24</v>
      </c>
      <c r="F240" s="9">
        <v>3277</v>
      </c>
      <c r="G240" s="9">
        <v>423</v>
      </c>
      <c r="H240" s="9">
        <v>259</v>
      </c>
      <c r="I240" s="9">
        <v>46328</v>
      </c>
      <c r="J240" s="9">
        <v>44293</v>
      </c>
      <c r="K240" s="9">
        <v>299</v>
      </c>
      <c r="L240" s="16" t="s">
        <v>37</v>
      </c>
      <c r="M240" s="16" t="s">
        <v>34</v>
      </c>
      <c r="N240" s="16" t="s">
        <v>16</v>
      </c>
      <c r="O240" s="30">
        <f>Table15[[#This Row],[Likes]]+Table15[[#This Row],[Shares]]+Table15[[#This Row],[Comments]]</f>
        <v>3959</v>
      </c>
    </row>
    <row r="241" spans="1:15" ht="30">
      <c r="A241" s="1" t="s">
        <v>270</v>
      </c>
      <c r="B241" s="1" t="s">
        <v>27</v>
      </c>
      <c r="C241" s="5">
        <v>45533</v>
      </c>
      <c r="D241" s="16" t="s">
        <v>14</v>
      </c>
      <c r="E241" s="17" t="s">
        <v>360</v>
      </c>
      <c r="F241" s="9">
        <v>4774</v>
      </c>
      <c r="G241" s="9">
        <v>389</v>
      </c>
      <c r="H241" s="9">
        <v>358</v>
      </c>
      <c r="I241" s="9">
        <v>52346</v>
      </c>
      <c r="J241" s="9">
        <v>30518</v>
      </c>
      <c r="K241" s="9">
        <v>277</v>
      </c>
      <c r="L241" s="16" t="s">
        <v>19</v>
      </c>
      <c r="M241" s="16" t="s">
        <v>365</v>
      </c>
      <c r="N241" s="16" t="s">
        <v>20</v>
      </c>
      <c r="O241" s="30">
        <f>Table15[[#This Row],[Likes]]+Table15[[#This Row],[Shares]]+Table15[[#This Row],[Comments]]</f>
        <v>5521</v>
      </c>
    </row>
    <row r="242" spans="1:15">
      <c r="A242" s="1" t="s">
        <v>85</v>
      </c>
      <c r="B242" s="1" t="s">
        <v>22</v>
      </c>
      <c r="C242" s="5">
        <v>45420</v>
      </c>
      <c r="D242" s="16" t="s">
        <v>14</v>
      </c>
      <c r="E242" s="17" t="s">
        <v>18</v>
      </c>
      <c r="F242" s="9">
        <v>1828</v>
      </c>
      <c r="G242" s="9">
        <v>450</v>
      </c>
      <c r="H242" s="9">
        <v>214</v>
      </c>
      <c r="I242" s="9">
        <v>52115</v>
      </c>
      <c r="J242" s="9">
        <v>19166</v>
      </c>
      <c r="K242" s="9">
        <v>190</v>
      </c>
      <c r="L242" s="16" t="s">
        <v>34</v>
      </c>
      <c r="M242" s="16"/>
      <c r="N242" s="16" t="s">
        <v>16</v>
      </c>
      <c r="O242" s="30">
        <f>Table15[[#This Row],[Likes]]+Table15[[#This Row],[Shares]]+Table15[[#This Row],[Comments]]</f>
        <v>2492</v>
      </c>
    </row>
    <row r="243" spans="1:15">
      <c r="A243" s="1" t="s">
        <v>62</v>
      </c>
      <c r="B243" s="1" t="s">
        <v>22</v>
      </c>
      <c r="C243" s="5">
        <v>45419</v>
      </c>
      <c r="D243" s="16" t="s">
        <v>23</v>
      </c>
      <c r="E243" s="17" t="s">
        <v>18</v>
      </c>
      <c r="F243" s="9">
        <v>2776</v>
      </c>
      <c r="G243" s="9">
        <v>307</v>
      </c>
      <c r="H243" s="9">
        <v>178</v>
      </c>
      <c r="I243" s="9">
        <v>43365</v>
      </c>
      <c r="J243" s="9">
        <v>48408</v>
      </c>
      <c r="K243" s="9">
        <v>138</v>
      </c>
      <c r="L243" s="16" t="s">
        <v>37</v>
      </c>
      <c r="M243" s="16" t="s">
        <v>34</v>
      </c>
      <c r="N243" s="16" t="s">
        <v>16</v>
      </c>
      <c r="O243" s="30">
        <f>Table15[[#This Row],[Likes]]+Table15[[#This Row],[Shares]]+Table15[[#This Row],[Comments]]</f>
        <v>3261</v>
      </c>
    </row>
    <row r="244" spans="1:15">
      <c r="A244" s="1" t="s">
        <v>41</v>
      </c>
      <c r="B244" s="1" t="s">
        <v>22</v>
      </c>
      <c r="C244" s="5">
        <v>45418</v>
      </c>
      <c r="D244" s="16" t="s">
        <v>14</v>
      </c>
      <c r="E244" s="17" t="s">
        <v>42</v>
      </c>
      <c r="F244" s="9">
        <v>3476</v>
      </c>
      <c r="G244" s="9">
        <v>355</v>
      </c>
      <c r="H244" s="9">
        <v>396</v>
      </c>
      <c r="I244" s="9">
        <v>37492</v>
      </c>
      <c r="J244" s="9">
        <v>27285</v>
      </c>
      <c r="K244" s="9">
        <v>179</v>
      </c>
      <c r="L244" s="16" t="s">
        <v>34</v>
      </c>
      <c r="M244" s="16"/>
      <c r="N244" s="16" t="s">
        <v>16</v>
      </c>
      <c r="O244" s="30">
        <f>Table15[[#This Row],[Likes]]+Table15[[#This Row],[Shares]]+Table15[[#This Row],[Comments]]</f>
        <v>4227</v>
      </c>
    </row>
    <row r="245" spans="1:15">
      <c r="A245" s="1" t="s">
        <v>274</v>
      </c>
      <c r="B245" s="1" t="s">
        <v>27</v>
      </c>
      <c r="C245" s="5">
        <v>45816</v>
      </c>
      <c r="D245" s="16" t="s">
        <v>14</v>
      </c>
      <c r="E245" s="17" t="s">
        <v>361</v>
      </c>
      <c r="F245" s="9">
        <v>4375</v>
      </c>
      <c r="G245" s="9">
        <v>303</v>
      </c>
      <c r="H245" s="9">
        <v>294</v>
      </c>
      <c r="I245" s="9">
        <v>57468</v>
      </c>
      <c r="J245" s="9">
        <v>53397</v>
      </c>
      <c r="K245" s="9">
        <v>159</v>
      </c>
      <c r="L245" s="16" t="s">
        <v>19</v>
      </c>
      <c r="M245" s="16" t="s">
        <v>365</v>
      </c>
      <c r="N245" s="16" t="s">
        <v>20</v>
      </c>
      <c r="O245" s="30">
        <f>Table15[[#This Row],[Likes]]+Table15[[#This Row],[Shares]]+Table15[[#This Row],[Comments]]</f>
        <v>4972</v>
      </c>
    </row>
    <row r="246" spans="1:15">
      <c r="A246" s="1" t="s">
        <v>134</v>
      </c>
      <c r="B246" s="1" t="s">
        <v>22</v>
      </c>
      <c r="C246" s="5">
        <v>45413</v>
      </c>
      <c r="D246" s="16" t="s">
        <v>23</v>
      </c>
      <c r="E246" s="17" t="s">
        <v>362</v>
      </c>
      <c r="F246" s="9">
        <v>2587</v>
      </c>
      <c r="G246" s="9">
        <v>447</v>
      </c>
      <c r="H246" s="9">
        <v>183</v>
      </c>
      <c r="I246" s="9">
        <v>36266</v>
      </c>
      <c r="J246" s="9">
        <v>32877</v>
      </c>
      <c r="K246" s="9">
        <v>132</v>
      </c>
      <c r="L246" s="16" t="s">
        <v>19</v>
      </c>
      <c r="M246" s="16" t="s">
        <v>364</v>
      </c>
      <c r="N246" s="16" t="s">
        <v>16</v>
      </c>
      <c r="O246" s="30">
        <f>Table15[[#This Row],[Likes]]+Table15[[#This Row],[Shares]]+Table15[[#This Row],[Comments]]</f>
        <v>3217</v>
      </c>
    </row>
    <row r="247" spans="1:15">
      <c r="A247" s="1" t="s">
        <v>185</v>
      </c>
      <c r="B247" s="1" t="s">
        <v>13</v>
      </c>
      <c r="C247" s="5">
        <v>45407</v>
      </c>
      <c r="D247" s="16" t="s">
        <v>14</v>
      </c>
      <c r="E247" s="17" t="s">
        <v>361</v>
      </c>
      <c r="F247" s="9">
        <v>3563</v>
      </c>
      <c r="G247" s="9">
        <v>483</v>
      </c>
      <c r="H247" s="9">
        <v>227</v>
      </c>
      <c r="I247" s="9">
        <v>41085</v>
      </c>
      <c r="J247" s="9">
        <v>26393</v>
      </c>
      <c r="K247" s="9">
        <v>236</v>
      </c>
      <c r="L247" s="16" t="s">
        <v>37</v>
      </c>
      <c r="M247" s="16" t="s">
        <v>34</v>
      </c>
      <c r="N247" s="16" t="s">
        <v>16</v>
      </c>
      <c r="O247" s="30">
        <f>Table15[[#This Row],[Likes]]+Table15[[#This Row],[Shares]]+Table15[[#This Row],[Comments]]</f>
        <v>4273</v>
      </c>
    </row>
    <row r="248" spans="1:15">
      <c r="A248" s="1" t="s">
        <v>117</v>
      </c>
      <c r="B248" s="1" t="s">
        <v>22</v>
      </c>
      <c r="C248" s="5">
        <v>45405</v>
      </c>
      <c r="D248" s="16" t="s">
        <v>23</v>
      </c>
      <c r="E248" s="17" t="s">
        <v>15</v>
      </c>
      <c r="F248" s="9">
        <v>2683</v>
      </c>
      <c r="G248" s="9">
        <v>496</v>
      </c>
      <c r="H248" s="9">
        <v>89</v>
      </c>
      <c r="I248" s="9">
        <v>53435</v>
      </c>
      <c r="J248" s="9">
        <v>30334</v>
      </c>
      <c r="K248" s="9">
        <v>160</v>
      </c>
      <c r="L248" s="16" t="s">
        <v>37</v>
      </c>
      <c r="M248" s="16" t="s">
        <v>34</v>
      </c>
      <c r="N248" s="16" t="s">
        <v>16</v>
      </c>
      <c r="O248" s="30">
        <f>Table15[[#This Row],[Likes]]+Table15[[#This Row],[Shares]]+Table15[[#This Row],[Comments]]</f>
        <v>3268</v>
      </c>
    </row>
    <row r="249" spans="1:15" ht="30">
      <c r="A249" s="1" t="s">
        <v>278</v>
      </c>
      <c r="B249" s="1" t="s">
        <v>27</v>
      </c>
      <c r="C249" s="5">
        <v>45457</v>
      </c>
      <c r="D249" s="16" t="s">
        <v>48</v>
      </c>
      <c r="E249" s="17" t="s">
        <v>360</v>
      </c>
      <c r="F249" s="9">
        <v>4722</v>
      </c>
      <c r="G249" s="9">
        <v>310</v>
      </c>
      <c r="H249" s="9">
        <v>344</v>
      </c>
      <c r="I249" s="9">
        <v>27911</v>
      </c>
      <c r="J249" s="9">
        <v>19000</v>
      </c>
      <c r="K249" s="9">
        <v>225</v>
      </c>
      <c r="L249" s="16" t="s">
        <v>19</v>
      </c>
      <c r="M249" s="16" t="s">
        <v>37</v>
      </c>
      <c r="N249" s="16" t="s">
        <v>49</v>
      </c>
      <c r="O249" s="30">
        <f>Table15[[#This Row],[Likes]]+Table15[[#This Row],[Shares]]+Table15[[#This Row],[Comments]]</f>
        <v>5376</v>
      </c>
    </row>
    <row r="250" spans="1:15">
      <c r="A250" s="1" t="s">
        <v>279</v>
      </c>
      <c r="B250" s="1" t="s">
        <v>13</v>
      </c>
      <c r="C250" s="5">
        <v>45357</v>
      </c>
      <c r="D250" s="16" t="s">
        <v>14</v>
      </c>
      <c r="E250" s="17" t="s">
        <v>362</v>
      </c>
      <c r="F250" s="9">
        <v>3529</v>
      </c>
      <c r="G250" s="9">
        <v>263</v>
      </c>
      <c r="H250" s="9">
        <v>107</v>
      </c>
      <c r="I250" s="9">
        <v>26570</v>
      </c>
      <c r="J250" s="9">
        <v>19367</v>
      </c>
      <c r="K250" s="9">
        <v>96</v>
      </c>
      <c r="L250" s="16" t="s">
        <v>19</v>
      </c>
      <c r="M250" s="16"/>
      <c r="N250" s="16" t="s">
        <v>20</v>
      </c>
      <c r="O250" s="30">
        <f>Table15[[#This Row],[Likes]]+Table15[[#This Row],[Shares]]+Table15[[#This Row],[Comments]]</f>
        <v>3899</v>
      </c>
    </row>
    <row r="251" spans="1:15">
      <c r="A251" s="1" t="s">
        <v>71</v>
      </c>
      <c r="B251" s="1" t="s">
        <v>13</v>
      </c>
      <c r="C251" s="5">
        <v>45401</v>
      </c>
      <c r="D251" s="16" t="s">
        <v>14</v>
      </c>
      <c r="E251" s="17" t="s">
        <v>24</v>
      </c>
      <c r="F251" s="9">
        <v>4001</v>
      </c>
      <c r="G251" s="9">
        <v>353</v>
      </c>
      <c r="H251" s="9">
        <v>129</v>
      </c>
      <c r="I251" s="9">
        <v>41265</v>
      </c>
      <c r="J251" s="9">
        <v>37279</v>
      </c>
      <c r="K251" s="9">
        <v>275</v>
      </c>
      <c r="L251" s="16" t="s">
        <v>37</v>
      </c>
      <c r="M251" s="16" t="s">
        <v>34</v>
      </c>
      <c r="N251" s="16" t="s">
        <v>16</v>
      </c>
      <c r="O251" s="30">
        <f>Table15[[#This Row],[Likes]]+Table15[[#This Row],[Shares]]+Table15[[#This Row],[Comments]]</f>
        <v>4483</v>
      </c>
    </row>
    <row r="252" spans="1:15">
      <c r="A252" s="1" t="s">
        <v>281</v>
      </c>
      <c r="B252" s="1" t="s">
        <v>22</v>
      </c>
      <c r="C252" s="5">
        <v>45480</v>
      </c>
      <c r="D252" s="16" t="s">
        <v>14</v>
      </c>
      <c r="E252" s="17" t="s">
        <v>362</v>
      </c>
      <c r="F252" s="9">
        <v>1848</v>
      </c>
      <c r="G252" s="9">
        <v>417</v>
      </c>
      <c r="H252" s="9">
        <v>294</v>
      </c>
      <c r="I252" s="9">
        <v>57819</v>
      </c>
      <c r="J252" s="9">
        <v>19798</v>
      </c>
      <c r="K252" s="9">
        <v>262</v>
      </c>
      <c r="L252" s="16" t="s">
        <v>37</v>
      </c>
      <c r="M252" s="16"/>
      <c r="N252" s="16" t="s">
        <v>20</v>
      </c>
      <c r="O252" s="30">
        <f>Table15[[#This Row],[Likes]]+Table15[[#This Row],[Shares]]+Table15[[#This Row],[Comments]]</f>
        <v>2559</v>
      </c>
    </row>
    <row r="253" spans="1:15">
      <c r="A253" s="1" t="s">
        <v>282</v>
      </c>
      <c r="B253" s="1" t="s">
        <v>27</v>
      </c>
      <c r="C253" s="5">
        <v>45591</v>
      </c>
      <c r="D253" s="16" t="s">
        <v>14</v>
      </c>
      <c r="E253" s="17" t="s">
        <v>24</v>
      </c>
      <c r="F253" s="9">
        <v>4676</v>
      </c>
      <c r="G253" s="9">
        <v>211</v>
      </c>
      <c r="H253" s="9">
        <v>55</v>
      </c>
      <c r="I253" s="9">
        <v>45917</v>
      </c>
      <c r="J253" s="9">
        <v>73503</v>
      </c>
      <c r="K253" s="9">
        <v>248</v>
      </c>
      <c r="L253" s="16" t="s">
        <v>19</v>
      </c>
      <c r="M253" s="16" t="s">
        <v>365</v>
      </c>
      <c r="N253" s="16" t="s">
        <v>20</v>
      </c>
      <c r="O253" s="30">
        <f>Table15[[#This Row],[Likes]]+Table15[[#This Row],[Shares]]+Table15[[#This Row],[Comments]]</f>
        <v>4942</v>
      </c>
    </row>
    <row r="254" spans="1:15">
      <c r="A254" s="1" t="s">
        <v>283</v>
      </c>
      <c r="B254" s="1" t="s">
        <v>27</v>
      </c>
      <c r="C254" s="5">
        <v>45512</v>
      </c>
      <c r="D254" s="16" t="s">
        <v>14</v>
      </c>
      <c r="E254" s="17" t="s">
        <v>363</v>
      </c>
      <c r="F254" s="9">
        <v>1994</v>
      </c>
      <c r="G254" s="9">
        <v>197</v>
      </c>
      <c r="H254" s="9">
        <v>290</v>
      </c>
      <c r="I254" s="9">
        <v>49500</v>
      </c>
      <c r="J254" s="9">
        <v>23343</v>
      </c>
      <c r="K254" s="9">
        <v>160</v>
      </c>
      <c r="L254" s="16" t="s">
        <v>19</v>
      </c>
      <c r="M254" s="16" t="s">
        <v>365</v>
      </c>
      <c r="N254" s="16" t="s">
        <v>20</v>
      </c>
      <c r="O254" s="30">
        <f>Table15[[#This Row],[Likes]]+Table15[[#This Row],[Shares]]+Table15[[#This Row],[Comments]]</f>
        <v>2481</v>
      </c>
    </row>
    <row r="255" spans="1:15">
      <c r="A255" s="1" t="s">
        <v>241</v>
      </c>
      <c r="B255" s="1" t="s">
        <v>22</v>
      </c>
      <c r="C255" s="5">
        <v>45396</v>
      </c>
      <c r="D255" s="16" t="s">
        <v>23</v>
      </c>
      <c r="E255" s="17" t="s">
        <v>15</v>
      </c>
      <c r="F255" s="9">
        <v>1295</v>
      </c>
      <c r="G255" s="9">
        <v>153</v>
      </c>
      <c r="H255" s="9">
        <v>81</v>
      </c>
      <c r="I255" s="9">
        <v>48350</v>
      </c>
      <c r="J255" s="9">
        <v>61033</v>
      </c>
      <c r="K255" s="9">
        <v>232</v>
      </c>
      <c r="L255" s="16" t="s">
        <v>19</v>
      </c>
      <c r="M255" s="16" t="s">
        <v>364</v>
      </c>
      <c r="N255" s="16" t="s">
        <v>16</v>
      </c>
      <c r="O255" s="30">
        <f>Table15[[#This Row],[Likes]]+Table15[[#This Row],[Shares]]+Table15[[#This Row],[Comments]]</f>
        <v>1529</v>
      </c>
    </row>
    <row r="256" spans="1:15">
      <c r="A256" s="1" t="s">
        <v>167</v>
      </c>
      <c r="B256" s="1" t="s">
        <v>22</v>
      </c>
      <c r="C256" s="5">
        <v>45387</v>
      </c>
      <c r="D256" s="16" t="s">
        <v>23</v>
      </c>
      <c r="E256" s="17" t="s">
        <v>24</v>
      </c>
      <c r="F256" s="9">
        <v>4965</v>
      </c>
      <c r="G256" s="9">
        <v>175</v>
      </c>
      <c r="H256" s="9">
        <v>307</v>
      </c>
      <c r="I256" s="9">
        <v>32793</v>
      </c>
      <c r="J256" s="9">
        <v>43412</v>
      </c>
      <c r="K256" s="9">
        <v>296</v>
      </c>
      <c r="L256" s="16" t="s">
        <v>37</v>
      </c>
      <c r="M256" s="16" t="s">
        <v>34</v>
      </c>
      <c r="N256" s="16" t="s">
        <v>16</v>
      </c>
      <c r="O256" s="30">
        <f>Table15[[#This Row],[Likes]]+Table15[[#This Row],[Shares]]+Table15[[#This Row],[Comments]]</f>
        <v>5447</v>
      </c>
    </row>
    <row r="257" spans="1:15" ht="30">
      <c r="A257" s="1" t="s">
        <v>237</v>
      </c>
      <c r="B257" s="1" t="s">
        <v>22</v>
      </c>
      <c r="C257" s="5">
        <v>45387</v>
      </c>
      <c r="D257" s="16" t="s">
        <v>23</v>
      </c>
      <c r="E257" s="17" t="s">
        <v>360</v>
      </c>
      <c r="F257" s="9">
        <v>2857</v>
      </c>
      <c r="G257" s="9">
        <v>443</v>
      </c>
      <c r="H257" s="9">
        <v>359</v>
      </c>
      <c r="I257" s="9">
        <v>51519</v>
      </c>
      <c r="J257" s="9">
        <v>28256</v>
      </c>
      <c r="K257" s="9">
        <v>155</v>
      </c>
      <c r="L257" s="16" t="s">
        <v>37</v>
      </c>
      <c r="M257" s="16" t="s">
        <v>34</v>
      </c>
      <c r="N257" s="16" t="s">
        <v>16</v>
      </c>
      <c r="O257" s="30">
        <f>Table15[[#This Row],[Likes]]+Table15[[#This Row],[Shares]]+Table15[[#This Row],[Comments]]</f>
        <v>3659</v>
      </c>
    </row>
    <row r="258" spans="1:15">
      <c r="A258" s="1" t="s">
        <v>198</v>
      </c>
      <c r="B258" s="1" t="s">
        <v>13</v>
      </c>
      <c r="C258" s="5">
        <v>45385</v>
      </c>
      <c r="D258" s="16" t="s">
        <v>14</v>
      </c>
      <c r="E258" s="17" t="s">
        <v>33</v>
      </c>
      <c r="F258" s="9">
        <v>2762</v>
      </c>
      <c r="G258" s="9">
        <v>339</v>
      </c>
      <c r="H258" s="9">
        <v>323</v>
      </c>
      <c r="I258" s="9">
        <v>33757</v>
      </c>
      <c r="J258" s="9">
        <v>68511</v>
      </c>
      <c r="K258" s="9">
        <v>121</v>
      </c>
      <c r="L258" s="16" t="s">
        <v>37</v>
      </c>
      <c r="M258" s="16" t="s">
        <v>34</v>
      </c>
      <c r="N258" s="16" t="s">
        <v>16</v>
      </c>
      <c r="O258" s="30">
        <f>Table15[[#This Row],[Likes]]+Table15[[#This Row],[Shares]]+Table15[[#This Row],[Comments]]</f>
        <v>3424</v>
      </c>
    </row>
    <row r="259" spans="1:15">
      <c r="A259" s="1" t="s">
        <v>288</v>
      </c>
      <c r="B259" s="1" t="s">
        <v>27</v>
      </c>
      <c r="C259" s="5">
        <v>45736</v>
      </c>
      <c r="D259" s="16" t="s">
        <v>48</v>
      </c>
      <c r="E259" s="17" t="s">
        <v>363</v>
      </c>
      <c r="F259" s="9">
        <v>1453</v>
      </c>
      <c r="G259" s="9">
        <v>156</v>
      </c>
      <c r="H259" s="9">
        <v>178</v>
      </c>
      <c r="I259" s="9">
        <v>52980</v>
      </c>
      <c r="J259" s="9">
        <v>57180</v>
      </c>
      <c r="K259" s="9">
        <v>286</v>
      </c>
      <c r="L259" s="16" t="s">
        <v>19</v>
      </c>
      <c r="M259" s="16" t="s">
        <v>37</v>
      </c>
      <c r="N259" s="16" t="s">
        <v>49</v>
      </c>
      <c r="O259" s="30">
        <f>Table15[[#This Row],[Likes]]+Table15[[#This Row],[Shares]]+Table15[[#This Row],[Comments]]</f>
        <v>1787</v>
      </c>
    </row>
    <row r="260" spans="1:15">
      <c r="A260" s="1" t="s">
        <v>285</v>
      </c>
      <c r="B260" s="1" t="s">
        <v>22</v>
      </c>
      <c r="C260" s="5">
        <v>45385</v>
      </c>
      <c r="D260" s="16" t="s">
        <v>23</v>
      </c>
      <c r="E260" s="17" t="s">
        <v>33</v>
      </c>
      <c r="F260" s="9">
        <v>2291</v>
      </c>
      <c r="G260" s="9">
        <v>146</v>
      </c>
      <c r="H260" s="9">
        <v>399</v>
      </c>
      <c r="I260" s="9">
        <v>49319</v>
      </c>
      <c r="J260" s="9">
        <v>28056</v>
      </c>
      <c r="K260" s="9">
        <v>90</v>
      </c>
      <c r="L260" s="16" t="s">
        <v>19</v>
      </c>
      <c r="M260" s="16" t="s">
        <v>364</v>
      </c>
      <c r="N260" s="16" t="s">
        <v>16</v>
      </c>
      <c r="O260" s="30">
        <f>Table15[[#This Row],[Likes]]+Table15[[#This Row],[Shares]]+Table15[[#This Row],[Comments]]</f>
        <v>2836</v>
      </c>
    </row>
    <row r="261" spans="1:15">
      <c r="A261" s="1" t="s">
        <v>261</v>
      </c>
      <c r="B261" s="1" t="s">
        <v>13</v>
      </c>
      <c r="C261" s="5">
        <v>45379</v>
      </c>
      <c r="D261" s="16" t="s">
        <v>14</v>
      </c>
      <c r="E261" s="17" t="s">
        <v>362</v>
      </c>
      <c r="F261" s="9">
        <v>1673</v>
      </c>
      <c r="G261" s="9">
        <v>280</v>
      </c>
      <c r="H261" s="9">
        <v>67</v>
      </c>
      <c r="I261" s="9">
        <v>29847</v>
      </c>
      <c r="J261" s="9">
        <v>48016</v>
      </c>
      <c r="K261" s="9">
        <v>213</v>
      </c>
      <c r="L261" s="16" t="s">
        <v>37</v>
      </c>
      <c r="M261" s="16" t="s">
        <v>34</v>
      </c>
      <c r="N261" s="16" t="s">
        <v>16</v>
      </c>
      <c r="O261" s="30">
        <f>Table15[[#This Row],[Likes]]+Table15[[#This Row],[Shares]]+Table15[[#This Row],[Comments]]</f>
        <v>2020</v>
      </c>
    </row>
    <row r="262" spans="1:15">
      <c r="A262" s="1" t="s">
        <v>291</v>
      </c>
      <c r="B262" s="1" t="s">
        <v>22</v>
      </c>
      <c r="C262" s="5">
        <v>45612</v>
      </c>
      <c r="D262" s="16" t="s">
        <v>14</v>
      </c>
      <c r="E262" s="17" t="s">
        <v>363</v>
      </c>
      <c r="F262" s="9">
        <v>2972</v>
      </c>
      <c r="G262" s="9">
        <v>263</v>
      </c>
      <c r="H262" s="9">
        <v>308</v>
      </c>
      <c r="I262" s="9">
        <v>51740</v>
      </c>
      <c r="J262" s="9">
        <v>28214</v>
      </c>
      <c r="K262" s="9">
        <v>190</v>
      </c>
      <c r="L262" s="16" t="s">
        <v>37</v>
      </c>
      <c r="M262" s="16"/>
      <c r="N262" s="16" t="s">
        <v>20</v>
      </c>
      <c r="O262" s="30">
        <f>Table15[[#This Row],[Likes]]+Table15[[#This Row],[Shares]]+Table15[[#This Row],[Comments]]</f>
        <v>3543</v>
      </c>
    </row>
    <row r="263" spans="1:15">
      <c r="A263" s="1" t="s">
        <v>212</v>
      </c>
      <c r="B263" s="1" t="s">
        <v>13</v>
      </c>
      <c r="C263" s="5">
        <v>45370</v>
      </c>
      <c r="D263" s="16" t="s">
        <v>14</v>
      </c>
      <c r="E263" s="17" t="s">
        <v>363</v>
      </c>
      <c r="F263" s="9">
        <v>2878</v>
      </c>
      <c r="G263" s="9">
        <v>278</v>
      </c>
      <c r="H263" s="9">
        <v>255</v>
      </c>
      <c r="I263" s="9">
        <v>47235</v>
      </c>
      <c r="J263" s="9">
        <v>57922</v>
      </c>
      <c r="K263" s="9">
        <v>112</v>
      </c>
      <c r="L263" s="16" t="s">
        <v>37</v>
      </c>
      <c r="M263" s="16" t="s">
        <v>34</v>
      </c>
      <c r="N263" s="16" t="s">
        <v>16</v>
      </c>
      <c r="O263" s="30">
        <f>Table15[[#This Row],[Likes]]+Table15[[#This Row],[Shares]]+Table15[[#This Row],[Comments]]</f>
        <v>3411</v>
      </c>
    </row>
    <row r="264" spans="1:15">
      <c r="A264" s="1" t="s">
        <v>293</v>
      </c>
      <c r="B264" s="1" t="s">
        <v>27</v>
      </c>
      <c r="C264" s="5">
        <v>45378</v>
      </c>
      <c r="D264" s="16" t="s">
        <v>14</v>
      </c>
      <c r="E264" s="17" t="s">
        <v>361</v>
      </c>
      <c r="F264" s="9">
        <v>2399</v>
      </c>
      <c r="G264" s="9">
        <v>191</v>
      </c>
      <c r="H264" s="9">
        <v>221</v>
      </c>
      <c r="I264" s="9">
        <v>51603</v>
      </c>
      <c r="J264" s="9">
        <v>40033</v>
      </c>
      <c r="K264" s="9">
        <v>173</v>
      </c>
      <c r="L264" s="16" t="s">
        <v>19</v>
      </c>
      <c r="M264" s="16" t="s">
        <v>365</v>
      </c>
      <c r="N264" s="16" t="s">
        <v>20</v>
      </c>
      <c r="O264" s="30">
        <f>Table15[[#This Row],[Likes]]+Table15[[#This Row],[Shares]]+Table15[[#This Row],[Comments]]</f>
        <v>2811</v>
      </c>
    </row>
    <row r="265" spans="1:15">
      <c r="A265" s="1" t="s">
        <v>294</v>
      </c>
      <c r="B265" s="1" t="s">
        <v>27</v>
      </c>
      <c r="C265" s="5">
        <v>45808</v>
      </c>
      <c r="D265" s="16" t="s">
        <v>48</v>
      </c>
      <c r="E265" s="17" t="s">
        <v>30</v>
      </c>
      <c r="F265" s="9">
        <v>2162</v>
      </c>
      <c r="G265" s="9">
        <v>318</v>
      </c>
      <c r="H265" s="9">
        <v>83</v>
      </c>
      <c r="I265" s="9">
        <v>46719</v>
      </c>
      <c r="J265" s="9">
        <v>20482</v>
      </c>
      <c r="K265" s="9">
        <v>185</v>
      </c>
      <c r="L265" s="16" t="s">
        <v>19</v>
      </c>
      <c r="M265" s="16" t="s">
        <v>37</v>
      </c>
      <c r="N265" s="16" t="s">
        <v>49</v>
      </c>
      <c r="O265" s="30">
        <f>Table15[[#This Row],[Likes]]+Table15[[#This Row],[Shares]]+Table15[[#This Row],[Comments]]</f>
        <v>2563</v>
      </c>
    </row>
    <row r="266" spans="1:15">
      <c r="A266" s="1" t="s">
        <v>230</v>
      </c>
      <c r="B266" s="1" t="s">
        <v>22</v>
      </c>
      <c r="C266" s="5">
        <v>45369</v>
      </c>
      <c r="D266" s="16" t="s">
        <v>14</v>
      </c>
      <c r="E266" s="17" t="s">
        <v>24</v>
      </c>
      <c r="F266" s="9">
        <v>2033</v>
      </c>
      <c r="G266" s="9">
        <v>420</v>
      </c>
      <c r="H266" s="9">
        <v>94</v>
      </c>
      <c r="I266" s="9">
        <v>56290</v>
      </c>
      <c r="J266" s="9">
        <v>57391</v>
      </c>
      <c r="K266" s="9">
        <v>196</v>
      </c>
      <c r="L266" s="16" t="s">
        <v>34</v>
      </c>
      <c r="M266" s="16"/>
      <c r="N266" s="16" t="s">
        <v>16</v>
      </c>
      <c r="O266" s="30">
        <f>Table15[[#This Row],[Likes]]+Table15[[#This Row],[Shares]]+Table15[[#This Row],[Comments]]</f>
        <v>2547</v>
      </c>
    </row>
    <row r="267" spans="1:15">
      <c r="A267" s="1" t="s">
        <v>296</v>
      </c>
      <c r="B267" s="1" t="s">
        <v>13</v>
      </c>
      <c r="C267" s="5">
        <v>45442</v>
      </c>
      <c r="D267" s="16" t="s">
        <v>23</v>
      </c>
      <c r="E267" s="17" t="s">
        <v>30</v>
      </c>
      <c r="F267" s="9">
        <v>2448</v>
      </c>
      <c r="G267" s="9">
        <v>464</v>
      </c>
      <c r="H267" s="9">
        <v>98</v>
      </c>
      <c r="I267" s="9">
        <v>25737</v>
      </c>
      <c r="J267" s="9">
        <v>48545</v>
      </c>
      <c r="K267" s="9">
        <v>246</v>
      </c>
      <c r="L267" s="16" t="s">
        <v>34</v>
      </c>
      <c r="M267" s="16"/>
      <c r="N267" s="16" t="s">
        <v>46</v>
      </c>
      <c r="O267" s="30">
        <f>Table15[[#This Row],[Likes]]+Table15[[#This Row],[Shares]]+Table15[[#This Row],[Comments]]</f>
        <v>3010</v>
      </c>
    </row>
    <row r="268" spans="1:15">
      <c r="A268" s="1" t="s">
        <v>297</v>
      </c>
      <c r="B268" s="1" t="s">
        <v>27</v>
      </c>
      <c r="C268" s="5">
        <v>45604</v>
      </c>
      <c r="D268" s="16" t="s">
        <v>14</v>
      </c>
      <c r="E268" s="17" t="s">
        <v>33</v>
      </c>
      <c r="F268" s="9">
        <v>2471</v>
      </c>
      <c r="G268" s="9">
        <v>166</v>
      </c>
      <c r="H268" s="9">
        <v>320</v>
      </c>
      <c r="I268" s="9">
        <v>48254</v>
      </c>
      <c r="J268" s="9">
        <v>46900</v>
      </c>
      <c r="K268" s="9">
        <v>111</v>
      </c>
      <c r="L268" s="16" t="s">
        <v>19</v>
      </c>
      <c r="M268" s="16" t="s">
        <v>365</v>
      </c>
      <c r="N268" s="16" t="s">
        <v>20</v>
      </c>
      <c r="O268" s="30">
        <f>Table15[[#This Row],[Likes]]+Table15[[#This Row],[Shares]]+Table15[[#This Row],[Comments]]</f>
        <v>2957</v>
      </c>
    </row>
    <row r="269" spans="1:15">
      <c r="A269" s="1" t="s">
        <v>298</v>
      </c>
      <c r="B269" s="1" t="s">
        <v>27</v>
      </c>
      <c r="C269" s="5">
        <v>45368</v>
      </c>
      <c r="D269" s="16" t="s">
        <v>48</v>
      </c>
      <c r="E269" s="17" t="s">
        <v>18</v>
      </c>
      <c r="F269" s="9">
        <v>2692</v>
      </c>
      <c r="G269" s="9">
        <v>446</v>
      </c>
      <c r="H269" s="9">
        <v>216</v>
      </c>
      <c r="I269" s="9">
        <v>45818</v>
      </c>
      <c r="J269" s="9">
        <v>62723</v>
      </c>
      <c r="K269" s="9">
        <v>85</v>
      </c>
      <c r="L269" s="16" t="s">
        <v>19</v>
      </c>
      <c r="M269" s="16" t="s">
        <v>37</v>
      </c>
      <c r="N269" s="16" t="s">
        <v>49</v>
      </c>
      <c r="O269" s="30">
        <f>Table15[[#This Row],[Likes]]+Table15[[#This Row],[Shares]]+Table15[[#This Row],[Comments]]</f>
        <v>3354</v>
      </c>
    </row>
    <row r="270" spans="1:15">
      <c r="A270" s="1" t="s">
        <v>299</v>
      </c>
      <c r="B270" s="1" t="s">
        <v>27</v>
      </c>
      <c r="C270" s="5">
        <v>45464</v>
      </c>
      <c r="D270" s="16" t="s">
        <v>48</v>
      </c>
      <c r="E270" s="17" t="s">
        <v>361</v>
      </c>
      <c r="F270" s="9">
        <v>4621</v>
      </c>
      <c r="G270" s="9">
        <v>374</v>
      </c>
      <c r="H270" s="9">
        <v>298</v>
      </c>
      <c r="I270" s="9">
        <v>56979</v>
      </c>
      <c r="J270" s="9">
        <v>24098</v>
      </c>
      <c r="K270" s="9">
        <v>205</v>
      </c>
      <c r="L270" s="16" t="s">
        <v>19</v>
      </c>
      <c r="M270" s="16" t="s">
        <v>37</v>
      </c>
      <c r="N270" s="16" t="s">
        <v>49</v>
      </c>
      <c r="O270" s="30">
        <f>Table15[[#This Row],[Likes]]+Table15[[#This Row],[Shares]]+Table15[[#This Row],[Comments]]</f>
        <v>5293</v>
      </c>
    </row>
    <row r="271" spans="1:15" ht="30">
      <c r="A271" s="1" t="s">
        <v>126</v>
      </c>
      <c r="B271" s="1" t="s">
        <v>22</v>
      </c>
      <c r="C271" s="5">
        <v>45367</v>
      </c>
      <c r="D271" s="16" t="s">
        <v>23</v>
      </c>
      <c r="E271" s="17" t="s">
        <v>360</v>
      </c>
      <c r="F271" s="9">
        <v>2895</v>
      </c>
      <c r="G271" s="9">
        <v>292</v>
      </c>
      <c r="H271" s="9">
        <v>90</v>
      </c>
      <c r="I271" s="9">
        <v>24223</v>
      </c>
      <c r="J271" s="9">
        <v>54626</v>
      </c>
      <c r="K271" s="9">
        <v>114</v>
      </c>
      <c r="L271" s="16" t="s">
        <v>37</v>
      </c>
      <c r="M271" s="16" t="s">
        <v>34</v>
      </c>
      <c r="N271" s="16" t="s">
        <v>16</v>
      </c>
      <c r="O271" s="30">
        <f>Table15[[#This Row],[Likes]]+Table15[[#This Row],[Shares]]+Table15[[#This Row],[Comments]]</f>
        <v>3277</v>
      </c>
    </row>
    <row r="272" spans="1:15">
      <c r="A272" s="1" t="s">
        <v>128</v>
      </c>
      <c r="B272" s="1" t="s">
        <v>22</v>
      </c>
      <c r="C272" s="5">
        <v>45366</v>
      </c>
      <c r="D272" s="16" t="s">
        <v>23</v>
      </c>
      <c r="E272" s="17" t="s">
        <v>30</v>
      </c>
      <c r="F272" s="9">
        <v>4969</v>
      </c>
      <c r="G272" s="9">
        <v>433</v>
      </c>
      <c r="H272" s="9">
        <v>237</v>
      </c>
      <c r="I272" s="9">
        <v>59552</v>
      </c>
      <c r="J272" s="9">
        <v>23885</v>
      </c>
      <c r="K272" s="9">
        <v>157</v>
      </c>
      <c r="L272" s="16" t="s">
        <v>19</v>
      </c>
      <c r="M272" s="16" t="s">
        <v>364</v>
      </c>
      <c r="N272" s="16" t="s">
        <v>16</v>
      </c>
      <c r="O272" s="30">
        <f>Table15[[#This Row],[Likes]]+Table15[[#This Row],[Shares]]+Table15[[#This Row],[Comments]]</f>
        <v>5639</v>
      </c>
    </row>
    <row r="273" spans="1:15">
      <c r="A273" s="1" t="s">
        <v>302</v>
      </c>
      <c r="B273" s="1" t="s">
        <v>22</v>
      </c>
      <c r="C273" s="5">
        <v>45603</v>
      </c>
      <c r="D273" s="16" t="s">
        <v>14</v>
      </c>
      <c r="E273" s="17" t="s">
        <v>18</v>
      </c>
      <c r="F273" s="9">
        <v>2229</v>
      </c>
      <c r="G273" s="9">
        <v>395</v>
      </c>
      <c r="H273" s="9">
        <v>328</v>
      </c>
      <c r="I273" s="9">
        <v>56921</v>
      </c>
      <c r="J273" s="9">
        <v>37176</v>
      </c>
      <c r="K273" s="9">
        <v>126</v>
      </c>
      <c r="L273" s="16" t="s">
        <v>37</v>
      </c>
      <c r="M273" s="16"/>
      <c r="N273" s="16" t="s">
        <v>20</v>
      </c>
      <c r="O273" s="30">
        <f>Table15[[#This Row],[Likes]]+Table15[[#This Row],[Shares]]+Table15[[#This Row],[Comments]]</f>
        <v>2952</v>
      </c>
    </row>
    <row r="274" spans="1:15">
      <c r="A274" s="1" t="s">
        <v>152</v>
      </c>
      <c r="B274" s="1" t="s">
        <v>22</v>
      </c>
      <c r="C274" s="5">
        <v>45346</v>
      </c>
      <c r="D274" s="16" t="s">
        <v>23</v>
      </c>
      <c r="E274" s="17" t="s">
        <v>361</v>
      </c>
      <c r="F274" s="9">
        <v>1022</v>
      </c>
      <c r="G274" s="9">
        <v>463</v>
      </c>
      <c r="H274" s="9">
        <v>360</v>
      </c>
      <c r="I274" s="9">
        <v>51468</v>
      </c>
      <c r="J274" s="9">
        <v>24279</v>
      </c>
      <c r="K274" s="9">
        <v>230</v>
      </c>
      <c r="L274" s="16" t="s">
        <v>19</v>
      </c>
      <c r="M274" s="16" t="s">
        <v>364</v>
      </c>
      <c r="N274" s="16" t="s">
        <v>16</v>
      </c>
      <c r="O274" s="30">
        <f>Table15[[#This Row],[Likes]]+Table15[[#This Row],[Shares]]+Table15[[#This Row],[Comments]]</f>
        <v>1845</v>
      </c>
    </row>
    <row r="275" spans="1:15">
      <c r="A275" s="1" t="s">
        <v>304</v>
      </c>
      <c r="B275" s="1" t="s">
        <v>13</v>
      </c>
      <c r="C275" s="5">
        <v>45573</v>
      </c>
      <c r="D275" s="16" t="s">
        <v>14</v>
      </c>
      <c r="E275" s="17" t="s">
        <v>18</v>
      </c>
      <c r="F275" s="9">
        <v>2110</v>
      </c>
      <c r="G275" s="9">
        <v>384</v>
      </c>
      <c r="H275" s="9">
        <v>236</v>
      </c>
      <c r="I275" s="9">
        <v>49965</v>
      </c>
      <c r="J275" s="9">
        <v>61555</v>
      </c>
      <c r="K275" s="9">
        <v>195</v>
      </c>
      <c r="L275" s="16" t="s">
        <v>19</v>
      </c>
      <c r="M275" s="16"/>
      <c r="N275" s="16" t="s">
        <v>20</v>
      </c>
      <c r="O275" s="30">
        <f>Table15[[#This Row],[Likes]]+Table15[[#This Row],[Shares]]+Table15[[#This Row],[Comments]]</f>
        <v>2730</v>
      </c>
    </row>
    <row r="276" spans="1:15" ht="30">
      <c r="A276" s="1" t="s">
        <v>305</v>
      </c>
      <c r="B276" s="1" t="s">
        <v>13</v>
      </c>
      <c r="C276" s="5">
        <v>45341</v>
      </c>
      <c r="D276" s="16" t="s">
        <v>14</v>
      </c>
      <c r="E276" s="17" t="s">
        <v>360</v>
      </c>
      <c r="F276" s="9">
        <v>4752</v>
      </c>
      <c r="G276" s="9">
        <v>449</v>
      </c>
      <c r="H276" s="9">
        <v>309</v>
      </c>
      <c r="I276" s="9">
        <v>58530</v>
      </c>
      <c r="J276" s="9">
        <v>26630</v>
      </c>
      <c r="K276" s="9">
        <v>234</v>
      </c>
      <c r="L276" s="16" t="s">
        <v>19</v>
      </c>
      <c r="M276" s="16"/>
      <c r="N276" s="16" t="s">
        <v>20</v>
      </c>
      <c r="O276" s="30">
        <f>Table15[[#This Row],[Likes]]+Table15[[#This Row],[Shares]]+Table15[[#This Row],[Comments]]</f>
        <v>5510</v>
      </c>
    </row>
    <row r="277" spans="1:15">
      <c r="A277" s="1" t="s">
        <v>158</v>
      </c>
      <c r="B277" s="1" t="s">
        <v>13</v>
      </c>
      <c r="C277" s="5">
        <v>45344</v>
      </c>
      <c r="D277" s="16" t="s">
        <v>14</v>
      </c>
      <c r="E277" s="17" t="s">
        <v>24</v>
      </c>
      <c r="F277" s="9">
        <v>1902</v>
      </c>
      <c r="G277" s="9">
        <v>394</v>
      </c>
      <c r="H277" s="9">
        <v>279</v>
      </c>
      <c r="I277" s="9">
        <v>24615</v>
      </c>
      <c r="J277" s="9">
        <v>51330</v>
      </c>
      <c r="K277" s="9">
        <v>176</v>
      </c>
      <c r="L277" s="16" t="s">
        <v>37</v>
      </c>
      <c r="M277" s="16" t="s">
        <v>34</v>
      </c>
      <c r="N277" s="16" t="s">
        <v>16</v>
      </c>
      <c r="O277" s="30">
        <f>Table15[[#This Row],[Likes]]+Table15[[#This Row],[Shares]]+Table15[[#This Row],[Comments]]</f>
        <v>2575</v>
      </c>
    </row>
    <row r="278" spans="1:15">
      <c r="A278" s="1" t="s">
        <v>78</v>
      </c>
      <c r="B278" s="1" t="s">
        <v>13</v>
      </c>
      <c r="C278" s="5">
        <v>45693</v>
      </c>
      <c r="D278" s="16" t="s">
        <v>23</v>
      </c>
      <c r="E278" s="17" t="s">
        <v>361</v>
      </c>
      <c r="F278" s="9">
        <v>3074</v>
      </c>
      <c r="G278" s="9">
        <v>371</v>
      </c>
      <c r="H278" s="9">
        <v>348</v>
      </c>
      <c r="I278" s="9">
        <v>24104</v>
      </c>
      <c r="J278" s="9">
        <v>57803</v>
      </c>
      <c r="K278" s="9">
        <v>213</v>
      </c>
      <c r="L278" s="16" t="s">
        <v>34</v>
      </c>
      <c r="M278" s="16"/>
      <c r="N278" s="16" t="s">
        <v>46</v>
      </c>
      <c r="O278" s="30">
        <f>Table15[[#This Row],[Likes]]+Table15[[#This Row],[Shares]]+Table15[[#This Row],[Comments]]</f>
        <v>3793</v>
      </c>
    </row>
    <row r="279" spans="1:15">
      <c r="A279" s="1" t="s">
        <v>312</v>
      </c>
      <c r="B279" s="1" t="s">
        <v>22</v>
      </c>
      <c r="C279" s="5">
        <v>45343</v>
      </c>
      <c r="D279" s="16" t="s">
        <v>23</v>
      </c>
      <c r="E279" s="17" t="s">
        <v>30</v>
      </c>
      <c r="F279" s="9">
        <v>2604</v>
      </c>
      <c r="G279" s="9">
        <v>439</v>
      </c>
      <c r="H279" s="9">
        <v>148</v>
      </c>
      <c r="I279" s="9">
        <v>58468</v>
      </c>
      <c r="J279" s="9">
        <v>39629</v>
      </c>
      <c r="K279" s="9">
        <v>163</v>
      </c>
      <c r="L279" s="16" t="s">
        <v>364</v>
      </c>
      <c r="M279" s="16" t="s">
        <v>34</v>
      </c>
      <c r="N279" s="16" t="s">
        <v>16</v>
      </c>
      <c r="O279" s="30">
        <f>Table15[[#This Row],[Likes]]+Table15[[#This Row],[Shares]]+Table15[[#This Row],[Comments]]</f>
        <v>3191</v>
      </c>
    </row>
    <row r="280" spans="1:15">
      <c r="A280" s="1" t="s">
        <v>133</v>
      </c>
      <c r="B280" s="1" t="s">
        <v>13</v>
      </c>
      <c r="C280" s="5">
        <v>45336</v>
      </c>
      <c r="D280" s="16" t="s">
        <v>14</v>
      </c>
      <c r="E280" s="17" t="s">
        <v>361</v>
      </c>
      <c r="F280" s="9">
        <v>1830</v>
      </c>
      <c r="G280" s="9">
        <v>112</v>
      </c>
      <c r="H280" s="9">
        <v>181</v>
      </c>
      <c r="I280" s="9">
        <v>31870</v>
      </c>
      <c r="J280" s="9">
        <v>55742</v>
      </c>
      <c r="K280" s="9">
        <v>263</v>
      </c>
      <c r="L280" s="16" t="s">
        <v>37</v>
      </c>
      <c r="M280" s="16" t="s">
        <v>34</v>
      </c>
      <c r="N280" s="16" t="s">
        <v>16</v>
      </c>
      <c r="O280" s="30">
        <f>Table15[[#This Row],[Likes]]+Table15[[#This Row],[Shares]]+Table15[[#This Row],[Comments]]</f>
        <v>2123</v>
      </c>
    </row>
    <row r="281" spans="1:15">
      <c r="A281" s="1" t="s">
        <v>303</v>
      </c>
      <c r="B281" s="1" t="s">
        <v>22</v>
      </c>
      <c r="C281" s="5">
        <v>45334</v>
      </c>
      <c r="D281" s="16" t="s">
        <v>14</v>
      </c>
      <c r="E281" s="17" t="s">
        <v>18</v>
      </c>
      <c r="F281" s="9">
        <v>2691</v>
      </c>
      <c r="G281" s="9">
        <v>486</v>
      </c>
      <c r="H281" s="9">
        <v>206</v>
      </c>
      <c r="I281" s="9">
        <v>51133</v>
      </c>
      <c r="J281" s="9">
        <v>44583</v>
      </c>
      <c r="K281" s="9">
        <v>276</v>
      </c>
      <c r="L281" s="16" t="s">
        <v>34</v>
      </c>
      <c r="M281" s="16"/>
      <c r="N281" s="16" t="s">
        <v>16</v>
      </c>
      <c r="O281" s="30">
        <f>Table15[[#This Row],[Likes]]+Table15[[#This Row],[Shares]]+Table15[[#This Row],[Comments]]</f>
        <v>3383</v>
      </c>
    </row>
    <row r="282" spans="1:15">
      <c r="A282" s="1" t="s">
        <v>330</v>
      </c>
      <c r="B282" s="1" t="s">
        <v>13</v>
      </c>
      <c r="C282" s="5">
        <v>45329</v>
      </c>
      <c r="D282" s="16" t="s">
        <v>14</v>
      </c>
      <c r="E282" s="17" t="s">
        <v>361</v>
      </c>
      <c r="F282" s="9">
        <v>1883</v>
      </c>
      <c r="G282" s="9">
        <v>432</v>
      </c>
      <c r="H282" s="9">
        <v>397</v>
      </c>
      <c r="I282" s="9">
        <v>28759</v>
      </c>
      <c r="J282" s="9">
        <v>18691</v>
      </c>
      <c r="K282" s="9">
        <v>270</v>
      </c>
      <c r="L282" s="16" t="s">
        <v>37</v>
      </c>
      <c r="M282" s="16" t="s">
        <v>34</v>
      </c>
      <c r="N282" s="16" t="s">
        <v>16</v>
      </c>
      <c r="O282" s="30">
        <f>Table15[[#This Row],[Likes]]+Table15[[#This Row],[Shares]]+Table15[[#This Row],[Comments]]</f>
        <v>2712</v>
      </c>
    </row>
    <row r="283" spans="1:15">
      <c r="A283" s="1" t="s">
        <v>264</v>
      </c>
      <c r="B283" s="1" t="s">
        <v>22</v>
      </c>
      <c r="C283" s="5">
        <v>45324</v>
      </c>
      <c r="D283" s="16" t="s">
        <v>14</v>
      </c>
      <c r="E283" s="17" t="s">
        <v>363</v>
      </c>
      <c r="F283" s="9">
        <v>3818</v>
      </c>
      <c r="G283" s="9">
        <v>115</v>
      </c>
      <c r="H283" s="9">
        <v>286</v>
      </c>
      <c r="I283" s="9">
        <v>25127</v>
      </c>
      <c r="J283" s="9">
        <v>22277</v>
      </c>
      <c r="K283" s="9">
        <v>263</v>
      </c>
      <c r="L283" s="16" t="s">
        <v>34</v>
      </c>
      <c r="M283" s="16"/>
      <c r="N283" s="16" t="s">
        <v>16</v>
      </c>
      <c r="O283" s="30">
        <f>Table15[[#This Row],[Likes]]+Table15[[#This Row],[Shares]]+Table15[[#This Row],[Comments]]</f>
        <v>4219</v>
      </c>
    </row>
    <row r="284" spans="1:15">
      <c r="A284" s="1" t="s">
        <v>313</v>
      </c>
      <c r="B284" s="1" t="s">
        <v>13</v>
      </c>
      <c r="C284" s="5">
        <v>45531</v>
      </c>
      <c r="D284" s="16" t="s">
        <v>14</v>
      </c>
      <c r="E284" s="17" t="s">
        <v>361</v>
      </c>
      <c r="F284" s="9">
        <v>4197</v>
      </c>
      <c r="G284" s="9">
        <v>359</v>
      </c>
      <c r="H284" s="9">
        <v>280</v>
      </c>
      <c r="I284" s="9">
        <v>56048</v>
      </c>
      <c r="J284" s="9">
        <v>70930</v>
      </c>
      <c r="K284" s="9">
        <v>295</v>
      </c>
      <c r="L284" s="16" t="s">
        <v>19</v>
      </c>
      <c r="M284" s="16"/>
      <c r="N284" s="16" t="s">
        <v>20</v>
      </c>
      <c r="O284" s="30">
        <f>Table15[[#This Row],[Likes]]+Table15[[#This Row],[Shares]]+Table15[[#This Row],[Comments]]</f>
        <v>4836</v>
      </c>
    </row>
    <row r="285" spans="1:15">
      <c r="A285" s="1" t="s">
        <v>314</v>
      </c>
      <c r="B285" s="1" t="s">
        <v>13</v>
      </c>
      <c r="C285" s="5">
        <v>45589</v>
      </c>
      <c r="D285" s="16" t="s">
        <v>23</v>
      </c>
      <c r="E285" s="17" t="s">
        <v>33</v>
      </c>
      <c r="F285" s="9">
        <v>1914</v>
      </c>
      <c r="G285" s="9">
        <v>255</v>
      </c>
      <c r="H285" s="9">
        <v>156</v>
      </c>
      <c r="I285" s="9">
        <v>27660</v>
      </c>
      <c r="J285" s="9">
        <v>47776</v>
      </c>
      <c r="K285" s="9">
        <v>111</v>
      </c>
      <c r="L285" s="16" t="s">
        <v>34</v>
      </c>
      <c r="M285" s="16"/>
      <c r="N285" s="16" t="s">
        <v>46</v>
      </c>
      <c r="O285" s="30">
        <f>Table15[[#This Row],[Likes]]+Table15[[#This Row],[Shares]]+Table15[[#This Row],[Comments]]</f>
        <v>2325</v>
      </c>
    </row>
    <row r="286" spans="1:15">
      <c r="A286" s="1" t="s">
        <v>307</v>
      </c>
      <c r="B286" s="1" t="s">
        <v>13</v>
      </c>
      <c r="C286" s="5">
        <v>45691</v>
      </c>
      <c r="D286" s="16" t="s">
        <v>23</v>
      </c>
      <c r="E286" s="17" t="s">
        <v>24</v>
      </c>
      <c r="F286" s="9">
        <v>1205</v>
      </c>
      <c r="G286" s="9">
        <v>486</v>
      </c>
      <c r="H286" s="9">
        <v>269</v>
      </c>
      <c r="I286" s="9">
        <v>23341</v>
      </c>
      <c r="J286" s="9">
        <v>42411</v>
      </c>
      <c r="K286" s="9">
        <v>184</v>
      </c>
      <c r="L286" s="16" t="s">
        <v>34</v>
      </c>
      <c r="M286" s="16"/>
      <c r="N286" s="16" t="s">
        <v>46</v>
      </c>
      <c r="O286" s="30">
        <f>Table15[[#This Row],[Likes]]+Table15[[#This Row],[Shares]]+Table15[[#This Row],[Comments]]</f>
        <v>1960</v>
      </c>
    </row>
    <row r="287" spans="1:15">
      <c r="A287" s="1" t="s">
        <v>316</v>
      </c>
      <c r="B287" s="1" t="s">
        <v>13</v>
      </c>
      <c r="C287" s="5">
        <v>45413</v>
      </c>
      <c r="D287" s="16" t="s">
        <v>14</v>
      </c>
      <c r="E287" s="17" t="s">
        <v>30</v>
      </c>
      <c r="F287" s="9">
        <v>3359</v>
      </c>
      <c r="G287" s="9">
        <v>137</v>
      </c>
      <c r="H287" s="9">
        <v>387</v>
      </c>
      <c r="I287" s="9">
        <v>33861</v>
      </c>
      <c r="J287" s="9">
        <v>47257</v>
      </c>
      <c r="K287" s="9">
        <v>198</v>
      </c>
      <c r="L287" s="16" t="s">
        <v>19</v>
      </c>
      <c r="M287" s="16"/>
      <c r="N287" s="16" t="s">
        <v>20</v>
      </c>
      <c r="O287" s="30">
        <f>Table15[[#This Row],[Likes]]+Table15[[#This Row],[Shares]]+Table15[[#This Row],[Comments]]</f>
        <v>3883</v>
      </c>
    </row>
    <row r="288" spans="1:15">
      <c r="A288" s="1" t="s">
        <v>317</v>
      </c>
      <c r="B288" s="1" t="s">
        <v>27</v>
      </c>
      <c r="C288" s="5">
        <v>45468</v>
      </c>
      <c r="D288" s="16" t="s">
        <v>14</v>
      </c>
      <c r="E288" s="17" t="s">
        <v>42</v>
      </c>
      <c r="F288" s="9">
        <v>2172</v>
      </c>
      <c r="G288" s="9">
        <v>338</v>
      </c>
      <c r="H288" s="9">
        <v>70</v>
      </c>
      <c r="I288" s="9">
        <v>30515</v>
      </c>
      <c r="J288" s="9">
        <v>57853</v>
      </c>
      <c r="K288" s="9">
        <v>156</v>
      </c>
      <c r="L288" s="16" t="s">
        <v>19</v>
      </c>
      <c r="M288" s="16" t="s">
        <v>365</v>
      </c>
      <c r="N288" s="16" t="s">
        <v>20</v>
      </c>
      <c r="O288" s="30">
        <f>Table15[[#This Row],[Likes]]+Table15[[#This Row],[Shares]]+Table15[[#This Row],[Comments]]</f>
        <v>2580</v>
      </c>
    </row>
    <row r="289" spans="1:15">
      <c r="A289" s="1" t="s">
        <v>105</v>
      </c>
      <c r="B289" s="1" t="s">
        <v>22</v>
      </c>
      <c r="C289" s="5">
        <v>45313</v>
      </c>
      <c r="D289" s="16" t="s">
        <v>23</v>
      </c>
      <c r="E289" s="17" t="s">
        <v>363</v>
      </c>
      <c r="F289" s="9">
        <v>1554</v>
      </c>
      <c r="G289" s="9">
        <v>455</v>
      </c>
      <c r="H289" s="9">
        <v>158</v>
      </c>
      <c r="I289" s="9">
        <v>41947</v>
      </c>
      <c r="J289" s="9">
        <v>48578</v>
      </c>
      <c r="K289" s="9">
        <v>101</v>
      </c>
      <c r="L289" s="16" t="s">
        <v>37</v>
      </c>
      <c r="M289" s="16" t="s">
        <v>34</v>
      </c>
      <c r="N289" s="16" t="s">
        <v>16</v>
      </c>
      <c r="O289" s="30">
        <f>Table15[[#This Row],[Likes]]+Table15[[#This Row],[Shares]]+Table15[[#This Row],[Comments]]</f>
        <v>2167</v>
      </c>
    </row>
    <row r="290" spans="1:15">
      <c r="A290" s="1" t="s">
        <v>319</v>
      </c>
      <c r="B290" s="1" t="s">
        <v>13</v>
      </c>
      <c r="C290" s="5">
        <v>45678</v>
      </c>
      <c r="D290" s="16" t="s">
        <v>23</v>
      </c>
      <c r="E290" s="17" t="s">
        <v>24</v>
      </c>
      <c r="F290" s="9">
        <v>4918</v>
      </c>
      <c r="G290" s="9">
        <v>440</v>
      </c>
      <c r="H290" s="9">
        <v>149</v>
      </c>
      <c r="I290" s="9">
        <v>53269</v>
      </c>
      <c r="J290" s="9">
        <v>64370</v>
      </c>
      <c r="K290" s="9">
        <v>269</v>
      </c>
      <c r="L290" s="16" t="s">
        <v>34</v>
      </c>
      <c r="M290" s="16"/>
      <c r="N290" s="16" t="s">
        <v>46</v>
      </c>
      <c r="O290" s="30">
        <f>Table15[[#This Row],[Likes]]+Table15[[#This Row],[Shares]]+Table15[[#This Row],[Comments]]</f>
        <v>5507</v>
      </c>
    </row>
    <row r="291" spans="1:15">
      <c r="A291" s="1" t="s">
        <v>320</v>
      </c>
      <c r="B291" s="1" t="s">
        <v>22</v>
      </c>
      <c r="C291" s="5">
        <v>45517</v>
      </c>
      <c r="D291" s="16" t="s">
        <v>14</v>
      </c>
      <c r="E291" s="17" t="s">
        <v>18</v>
      </c>
      <c r="F291" s="9">
        <v>3418</v>
      </c>
      <c r="G291" s="9">
        <v>107</v>
      </c>
      <c r="H291" s="9">
        <v>221</v>
      </c>
      <c r="I291" s="9">
        <v>23927</v>
      </c>
      <c r="J291" s="9">
        <v>26182</v>
      </c>
      <c r="K291" s="9">
        <v>155</v>
      </c>
      <c r="L291" s="16" t="s">
        <v>37</v>
      </c>
      <c r="M291" s="16"/>
      <c r="N291" s="16" t="s">
        <v>20</v>
      </c>
      <c r="O291" s="30">
        <f>Table15[[#This Row],[Likes]]+Table15[[#This Row],[Shares]]+Table15[[#This Row],[Comments]]</f>
        <v>3746</v>
      </c>
    </row>
    <row r="292" spans="1:15">
      <c r="A292" s="1" t="s">
        <v>177</v>
      </c>
      <c r="B292" s="1" t="s">
        <v>22</v>
      </c>
      <c r="C292" s="5">
        <v>45312</v>
      </c>
      <c r="D292" s="16" t="s">
        <v>23</v>
      </c>
      <c r="E292" s="17" t="s">
        <v>15</v>
      </c>
      <c r="F292" s="9">
        <v>2383</v>
      </c>
      <c r="G292" s="9">
        <v>136</v>
      </c>
      <c r="H292" s="9">
        <v>302</v>
      </c>
      <c r="I292" s="9">
        <v>39187</v>
      </c>
      <c r="J292" s="9">
        <v>22133</v>
      </c>
      <c r="K292" s="9">
        <v>208</v>
      </c>
      <c r="L292" s="16" t="s">
        <v>364</v>
      </c>
      <c r="M292" s="16" t="s">
        <v>34</v>
      </c>
      <c r="N292" s="16" t="s">
        <v>16</v>
      </c>
      <c r="O292" s="30">
        <f>Table15[[#This Row],[Likes]]+Table15[[#This Row],[Shares]]+Table15[[#This Row],[Comments]]</f>
        <v>2821</v>
      </c>
    </row>
    <row r="293" spans="1:15">
      <c r="A293" s="1" t="s">
        <v>256</v>
      </c>
      <c r="B293" s="1" t="s">
        <v>22</v>
      </c>
      <c r="C293" s="5">
        <v>45308</v>
      </c>
      <c r="D293" s="16" t="s">
        <v>23</v>
      </c>
      <c r="E293" s="17" t="s">
        <v>24</v>
      </c>
      <c r="F293" s="9">
        <v>2174</v>
      </c>
      <c r="G293" s="9">
        <v>499</v>
      </c>
      <c r="H293" s="9">
        <v>212</v>
      </c>
      <c r="I293" s="9">
        <v>54938</v>
      </c>
      <c r="J293" s="9">
        <v>27190</v>
      </c>
      <c r="K293" s="9">
        <v>265</v>
      </c>
      <c r="L293" s="16" t="s">
        <v>364</v>
      </c>
      <c r="M293" s="16" t="s">
        <v>34</v>
      </c>
      <c r="N293" s="16" t="s">
        <v>16</v>
      </c>
      <c r="O293" s="30">
        <f>Table15[[#This Row],[Likes]]+Table15[[#This Row],[Shares]]+Table15[[#This Row],[Comments]]</f>
        <v>2885</v>
      </c>
    </row>
    <row r="294" spans="1:15">
      <c r="A294" s="1" t="s">
        <v>323</v>
      </c>
      <c r="B294" s="1" t="s">
        <v>27</v>
      </c>
      <c r="C294" s="5">
        <v>45765</v>
      </c>
      <c r="D294" s="16" t="s">
        <v>48</v>
      </c>
      <c r="E294" s="17" t="s">
        <v>42</v>
      </c>
      <c r="F294" s="9">
        <v>1265</v>
      </c>
      <c r="G294" s="9">
        <v>230</v>
      </c>
      <c r="H294" s="9">
        <v>364</v>
      </c>
      <c r="I294" s="9">
        <v>41312</v>
      </c>
      <c r="J294" s="9">
        <v>50382</v>
      </c>
      <c r="K294" s="9">
        <v>106</v>
      </c>
      <c r="L294" s="16" t="s">
        <v>19</v>
      </c>
      <c r="M294" s="16" t="s">
        <v>37</v>
      </c>
      <c r="N294" s="16" t="s">
        <v>49</v>
      </c>
      <c r="O294" s="30">
        <f>Table15[[#This Row],[Likes]]+Table15[[#This Row],[Shares]]+Table15[[#This Row],[Comments]]</f>
        <v>1859</v>
      </c>
    </row>
    <row r="295" spans="1:15">
      <c r="A295" s="1" t="s">
        <v>324</v>
      </c>
      <c r="B295" s="1" t="s">
        <v>13</v>
      </c>
      <c r="C295" s="5">
        <v>45653</v>
      </c>
      <c r="D295" s="16" t="s">
        <v>14</v>
      </c>
      <c r="E295" s="17" t="s">
        <v>363</v>
      </c>
      <c r="F295" s="9">
        <v>1436</v>
      </c>
      <c r="G295" s="9">
        <v>219</v>
      </c>
      <c r="H295" s="9">
        <v>229</v>
      </c>
      <c r="I295" s="9">
        <v>58488</v>
      </c>
      <c r="J295" s="9">
        <v>24314</v>
      </c>
      <c r="K295" s="9">
        <v>147</v>
      </c>
      <c r="L295" s="16" t="s">
        <v>19</v>
      </c>
      <c r="M295" s="16"/>
      <c r="N295" s="16" t="s">
        <v>20</v>
      </c>
      <c r="O295" s="30">
        <f>Table15[[#This Row],[Likes]]+Table15[[#This Row],[Shares]]+Table15[[#This Row],[Comments]]</f>
        <v>1884</v>
      </c>
    </row>
    <row r="296" spans="1:15">
      <c r="A296" s="1" t="s">
        <v>325</v>
      </c>
      <c r="B296" s="1" t="s">
        <v>13</v>
      </c>
      <c r="C296" s="5">
        <v>45724</v>
      </c>
      <c r="D296" s="16" t="s">
        <v>23</v>
      </c>
      <c r="E296" s="17" t="s">
        <v>33</v>
      </c>
      <c r="F296" s="9">
        <v>2244</v>
      </c>
      <c r="G296" s="9">
        <v>392</v>
      </c>
      <c r="H296" s="9">
        <v>231</v>
      </c>
      <c r="I296" s="9">
        <v>25834</v>
      </c>
      <c r="J296" s="9">
        <v>50906</v>
      </c>
      <c r="K296" s="9">
        <v>165</v>
      </c>
      <c r="L296" s="16" t="s">
        <v>34</v>
      </c>
      <c r="M296" s="16"/>
      <c r="N296" s="16" t="s">
        <v>46</v>
      </c>
      <c r="O296" s="30">
        <f>Table15[[#This Row],[Likes]]+Table15[[#This Row],[Shares]]+Table15[[#This Row],[Comments]]</f>
        <v>2867</v>
      </c>
    </row>
    <row r="297" spans="1:15" ht="30">
      <c r="A297" s="1" t="s">
        <v>329</v>
      </c>
      <c r="B297" s="1" t="s">
        <v>22</v>
      </c>
      <c r="C297" s="5">
        <v>45303</v>
      </c>
      <c r="D297" s="16" t="s">
        <v>23</v>
      </c>
      <c r="E297" s="17" t="s">
        <v>360</v>
      </c>
      <c r="F297" s="9">
        <v>2227</v>
      </c>
      <c r="G297" s="9">
        <v>494</v>
      </c>
      <c r="H297" s="9">
        <v>161</v>
      </c>
      <c r="I297" s="9">
        <v>51651</v>
      </c>
      <c r="J297" s="9">
        <v>68074</v>
      </c>
      <c r="K297" s="9">
        <v>240</v>
      </c>
      <c r="L297" s="16" t="s">
        <v>19</v>
      </c>
      <c r="M297" s="16" t="s">
        <v>364</v>
      </c>
      <c r="N297" s="16" t="s">
        <v>16</v>
      </c>
      <c r="O297" s="30">
        <f>Table15[[#This Row],[Likes]]+Table15[[#This Row],[Shares]]+Table15[[#This Row],[Comments]]</f>
        <v>2882</v>
      </c>
    </row>
    <row r="298" spans="1:15">
      <c r="A298" s="1" t="s">
        <v>327</v>
      </c>
      <c r="B298" s="1" t="s">
        <v>22</v>
      </c>
      <c r="C298" s="5">
        <v>45612</v>
      </c>
      <c r="D298" s="16" t="s">
        <v>14</v>
      </c>
      <c r="E298" s="17" t="s">
        <v>18</v>
      </c>
      <c r="F298" s="9">
        <v>2901</v>
      </c>
      <c r="G298" s="9">
        <v>108</v>
      </c>
      <c r="H298" s="9">
        <v>86</v>
      </c>
      <c r="I298" s="9">
        <v>51777</v>
      </c>
      <c r="J298" s="9">
        <v>23773</v>
      </c>
      <c r="K298" s="9">
        <v>160</v>
      </c>
      <c r="L298" s="16" t="s">
        <v>37</v>
      </c>
      <c r="M298" s="16"/>
      <c r="N298" s="16" t="s">
        <v>20</v>
      </c>
      <c r="O298" s="30">
        <f>Table15[[#This Row],[Likes]]+Table15[[#This Row],[Shares]]+Table15[[#This Row],[Comments]]</f>
        <v>3095</v>
      </c>
    </row>
    <row r="299" spans="1:15" ht="30">
      <c r="A299" s="1" t="s">
        <v>232</v>
      </c>
      <c r="B299" s="1" t="s">
        <v>22</v>
      </c>
      <c r="C299" s="5">
        <v>45302</v>
      </c>
      <c r="D299" s="16" t="s">
        <v>23</v>
      </c>
      <c r="E299" s="17" t="s">
        <v>360</v>
      </c>
      <c r="F299" s="9">
        <v>2340</v>
      </c>
      <c r="G299" s="9">
        <v>141</v>
      </c>
      <c r="H299" s="9">
        <v>206</v>
      </c>
      <c r="I299" s="9">
        <v>24916</v>
      </c>
      <c r="J299" s="9">
        <v>30582</v>
      </c>
      <c r="K299" s="9">
        <v>157</v>
      </c>
      <c r="L299" s="16" t="s">
        <v>37</v>
      </c>
      <c r="M299" s="16" t="s">
        <v>34</v>
      </c>
      <c r="N299" s="16" t="s">
        <v>16</v>
      </c>
      <c r="O299" s="30">
        <f>Table15[[#This Row],[Likes]]+Table15[[#This Row],[Shares]]+Table15[[#This Row],[Comments]]</f>
        <v>2687</v>
      </c>
    </row>
    <row r="300" spans="1:15">
      <c r="A300" s="1" t="s">
        <v>311</v>
      </c>
      <c r="B300" s="1" t="s">
        <v>13</v>
      </c>
      <c r="C300" s="5">
        <v>45298</v>
      </c>
      <c r="D300" s="16" t="s">
        <v>14</v>
      </c>
      <c r="E300" s="17" t="s">
        <v>33</v>
      </c>
      <c r="F300" s="9">
        <v>4931</v>
      </c>
      <c r="G300" s="9">
        <v>469</v>
      </c>
      <c r="H300" s="9">
        <v>193</v>
      </c>
      <c r="I300" s="9">
        <v>56701</v>
      </c>
      <c r="J300" s="9">
        <v>69437</v>
      </c>
      <c r="K300" s="9">
        <v>291</v>
      </c>
      <c r="L300" s="16" t="s">
        <v>37</v>
      </c>
      <c r="M300" s="16" t="s">
        <v>34</v>
      </c>
      <c r="N300" s="16" t="s">
        <v>16</v>
      </c>
      <c r="O300" s="30">
        <f>Table15[[#This Row],[Likes]]+Table15[[#This Row],[Shares]]+Table15[[#This Row],[Comments]]</f>
        <v>5593</v>
      </c>
    </row>
    <row r="301" spans="1:15">
      <c r="A301" s="1" t="s">
        <v>156</v>
      </c>
      <c r="B301" s="1" t="s">
        <v>22</v>
      </c>
      <c r="C301" s="5">
        <v>45295</v>
      </c>
      <c r="D301" s="16" t="s">
        <v>23</v>
      </c>
      <c r="E301" s="17" t="s">
        <v>362</v>
      </c>
      <c r="F301" s="9">
        <v>3208</v>
      </c>
      <c r="G301" s="9">
        <v>476</v>
      </c>
      <c r="H301" s="9">
        <v>277</v>
      </c>
      <c r="I301" s="9">
        <v>56072</v>
      </c>
      <c r="J301" s="9">
        <v>21061</v>
      </c>
      <c r="K301" s="9">
        <v>113</v>
      </c>
      <c r="L301" s="16" t="s">
        <v>364</v>
      </c>
      <c r="M301" s="16" t="s">
        <v>34</v>
      </c>
      <c r="N301" s="16" t="s">
        <v>16</v>
      </c>
      <c r="O301" s="30">
        <f>Table15[[#This Row],[Likes]]+Table15[[#This Row],[Shares]]+Table15[[#This Row],[Comments]]</f>
        <v>3961</v>
      </c>
    </row>
    <row r="302" spans="1:15">
      <c r="A302" s="1"/>
      <c r="B302" s="1"/>
      <c r="C302" s="5"/>
      <c r="D302" s="16"/>
      <c r="E302" s="17"/>
      <c r="F302" s="9"/>
      <c r="G302" s="9"/>
      <c r="H302" s="9"/>
      <c r="I302" s="9"/>
      <c r="J302" s="9"/>
      <c r="K302" s="9"/>
      <c r="L302" s="16"/>
      <c r="M302" s="16"/>
      <c r="N302" s="16"/>
      <c r="O302" s="30" cm="1">
        <f t="array" ref="O302">SUBTOTAL(9,Engagement_Metric)</f>
        <v>1057642</v>
      </c>
    </row>
  </sheetData>
  <pageMargins left="0.7" right="0.7" top="0.75" bottom="0.75" header="0" footer="0"/>
  <pageSetup orientation="landscape"/>
  <drawing r:id="rId1"/>
  <tableParts count="2">
    <tablePart r:id="rId2"/>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000"/>
  <sheetViews>
    <sheetView workbookViewId="0">
      <pane ySplit="1" topLeftCell="A2" activePane="bottomLeft" state="frozen"/>
      <selection pane="bottomLeft" activeCell="J16" sqref="J16"/>
    </sheetView>
  </sheetViews>
  <sheetFormatPr defaultColWidth="14.42578125" defaultRowHeight="15" customHeight="1"/>
  <cols>
    <col min="1" max="1" width="23.28515625" style="6" bestFit="1" customWidth="1"/>
    <col min="2" max="2" width="14" style="2" bestFit="1" customWidth="1"/>
    <col min="3" max="3" width="21.140625" style="10" bestFit="1" customWidth="1"/>
    <col min="4" max="4" width="15.5703125" style="10" bestFit="1" customWidth="1"/>
    <col min="5" max="5" width="22" style="10" bestFit="1" customWidth="1"/>
    <col min="6" max="6" width="24.42578125" style="8" bestFit="1" customWidth="1"/>
    <col min="7" max="7" width="15.85546875" style="10" bestFit="1" customWidth="1"/>
    <col min="8" max="8" width="8.7109375" style="2" customWidth="1"/>
    <col min="9" max="9" width="18.5703125" style="2" bestFit="1" customWidth="1"/>
    <col min="10" max="10" width="11.85546875" style="2" customWidth="1"/>
    <col min="11" max="26" width="8.7109375" style="2" customWidth="1"/>
    <col min="27" max="16384" width="14.42578125" style="2"/>
  </cols>
  <sheetData>
    <row r="1" spans="1:10">
      <c r="A1" s="5" t="s">
        <v>331</v>
      </c>
      <c r="B1" s="1" t="s">
        <v>1</v>
      </c>
      <c r="C1" s="9" t="s">
        <v>332</v>
      </c>
      <c r="D1" s="9" t="s">
        <v>333</v>
      </c>
      <c r="E1" s="9" t="s">
        <v>334</v>
      </c>
      <c r="F1" s="7" t="s">
        <v>335</v>
      </c>
      <c r="G1" s="9" t="s">
        <v>336</v>
      </c>
    </row>
    <row r="2" spans="1:10">
      <c r="A2" s="5">
        <v>45446</v>
      </c>
      <c r="B2" s="1" t="s">
        <v>13</v>
      </c>
      <c r="C2" s="9">
        <v>1402</v>
      </c>
      <c r="D2" s="9">
        <v>68</v>
      </c>
      <c r="E2" s="9">
        <v>124562</v>
      </c>
      <c r="F2" s="7">
        <v>9.92</v>
      </c>
      <c r="G2" s="9">
        <v>23125</v>
      </c>
      <c r="I2" s="23"/>
      <c r="J2" s="23"/>
    </row>
    <row r="3" spans="1:10">
      <c r="A3" s="5">
        <v>45446</v>
      </c>
      <c r="B3" s="1" t="s">
        <v>22</v>
      </c>
      <c r="C3" s="9">
        <v>995</v>
      </c>
      <c r="D3" s="9">
        <v>86</v>
      </c>
      <c r="E3" s="9">
        <v>227958</v>
      </c>
      <c r="F3" s="7">
        <v>8.0500000000000007</v>
      </c>
      <c r="G3" s="9">
        <v>22788</v>
      </c>
      <c r="J3" s="23"/>
    </row>
    <row r="4" spans="1:10">
      <c r="A4" s="5">
        <v>45446</v>
      </c>
      <c r="B4" s="1" t="s">
        <v>27</v>
      </c>
      <c r="C4" s="9">
        <v>1472</v>
      </c>
      <c r="D4" s="9">
        <v>296</v>
      </c>
      <c r="E4" s="9">
        <v>370242</v>
      </c>
      <c r="F4" s="7">
        <v>7.72</v>
      </c>
      <c r="G4" s="9">
        <v>7810</v>
      </c>
      <c r="I4" s="23"/>
      <c r="J4" s="23"/>
    </row>
    <row r="5" spans="1:10">
      <c r="A5" s="5">
        <v>45453</v>
      </c>
      <c r="B5" s="1" t="s">
        <v>13</v>
      </c>
      <c r="C5" s="9">
        <v>1018</v>
      </c>
      <c r="D5" s="9">
        <v>90</v>
      </c>
      <c r="E5" s="9">
        <v>92474</v>
      </c>
      <c r="F5" s="7">
        <v>9.4</v>
      </c>
      <c r="G5" s="9">
        <v>11966</v>
      </c>
    </row>
    <row r="6" spans="1:10">
      <c r="A6" s="5">
        <v>45453</v>
      </c>
      <c r="B6" s="1" t="s">
        <v>22</v>
      </c>
      <c r="C6" s="9">
        <v>1461</v>
      </c>
      <c r="D6" s="9">
        <v>64</v>
      </c>
      <c r="E6" s="9">
        <v>328902</v>
      </c>
      <c r="F6" s="7">
        <v>9.02</v>
      </c>
      <c r="G6" s="9">
        <v>26298</v>
      </c>
    </row>
    <row r="7" spans="1:10">
      <c r="A7" s="5">
        <v>45453</v>
      </c>
      <c r="B7" s="1" t="s">
        <v>27</v>
      </c>
      <c r="C7" s="9">
        <v>545</v>
      </c>
      <c r="D7" s="9">
        <v>93</v>
      </c>
      <c r="E7" s="9">
        <v>391621</v>
      </c>
      <c r="F7" s="7">
        <v>9.9600000000000009</v>
      </c>
      <c r="G7" s="9">
        <v>22029</v>
      </c>
    </row>
    <row r="8" spans="1:10">
      <c r="A8" s="5">
        <v>45460</v>
      </c>
      <c r="B8" s="1" t="s">
        <v>13</v>
      </c>
      <c r="C8" s="9">
        <v>881</v>
      </c>
      <c r="D8" s="9">
        <v>291</v>
      </c>
      <c r="E8" s="9">
        <v>95885</v>
      </c>
      <c r="F8" s="7">
        <v>5.29</v>
      </c>
      <c r="G8" s="9">
        <v>12391</v>
      </c>
    </row>
    <row r="9" spans="1:10">
      <c r="A9" s="5">
        <v>45460</v>
      </c>
      <c r="B9" s="1" t="s">
        <v>22</v>
      </c>
      <c r="C9" s="9">
        <v>1414</v>
      </c>
      <c r="D9" s="9">
        <v>131</v>
      </c>
      <c r="E9" s="9">
        <v>245947</v>
      </c>
      <c r="F9" s="7">
        <v>8.3000000000000007</v>
      </c>
      <c r="G9" s="9">
        <v>14477</v>
      </c>
    </row>
    <row r="10" spans="1:10">
      <c r="A10" s="5">
        <v>45460</v>
      </c>
      <c r="B10" s="1" t="s">
        <v>27</v>
      </c>
      <c r="C10" s="9">
        <v>1472</v>
      </c>
      <c r="D10" s="9">
        <v>170</v>
      </c>
      <c r="E10" s="9">
        <v>250428</v>
      </c>
      <c r="F10" s="7">
        <v>4.66</v>
      </c>
      <c r="G10" s="9">
        <v>25040</v>
      </c>
    </row>
    <row r="11" spans="1:10">
      <c r="A11" s="5">
        <v>45467</v>
      </c>
      <c r="B11" s="1" t="s">
        <v>13</v>
      </c>
      <c r="C11" s="9">
        <v>809</v>
      </c>
      <c r="D11" s="9">
        <v>197</v>
      </c>
      <c r="E11" s="9">
        <v>87186</v>
      </c>
      <c r="F11" s="7">
        <v>9.48</v>
      </c>
      <c r="G11" s="9">
        <v>22619</v>
      </c>
    </row>
    <row r="12" spans="1:10">
      <c r="A12" s="5">
        <v>45467</v>
      </c>
      <c r="B12" s="1" t="s">
        <v>22</v>
      </c>
      <c r="C12" s="9">
        <v>1371</v>
      </c>
      <c r="D12" s="9">
        <v>250</v>
      </c>
      <c r="E12" s="9">
        <v>128620</v>
      </c>
      <c r="F12" s="7">
        <v>7.11</v>
      </c>
      <c r="G12" s="9">
        <v>12399</v>
      </c>
    </row>
    <row r="13" spans="1:10">
      <c r="A13" s="5">
        <v>45467</v>
      </c>
      <c r="B13" s="1" t="s">
        <v>27</v>
      </c>
      <c r="C13" s="9">
        <v>844</v>
      </c>
      <c r="D13" s="9">
        <v>144</v>
      </c>
      <c r="E13" s="9">
        <v>126015</v>
      </c>
      <c r="F13" s="7">
        <v>9.65</v>
      </c>
      <c r="G13" s="9">
        <v>22456</v>
      </c>
    </row>
    <row r="14" spans="1:10">
      <c r="A14" s="5">
        <v>45474</v>
      </c>
      <c r="B14" s="1" t="s">
        <v>13</v>
      </c>
      <c r="C14" s="9">
        <v>786</v>
      </c>
      <c r="D14" s="9">
        <v>72</v>
      </c>
      <c r="E14" s="9">
        <v>178615</v>
      </c>
      <c r="F14" s="7">
        <v>5.43</v>
      </c>
      <c r="G14" s="9">
        <v>19328</v>
      </c>
    </row>
    <row r="15" spans="1:10">
      <c r="A15" s="5">
        <v>45474</v>
      </c>
      <c r="B15" s="1" t="s">
        <v>22</v>
      </c>
      <c r="C15" s="9">
        <v>845</v>
      </c>
      <c r="D15" s="9">
        <v>250</v>
      </c>
      <c r="E15" s="9">
        <v>218228</v>
      </c>
      <c r="F15" s="7">
        <v>4.5199999999999996</v>
      </c>
      <c r="G15" s="9">
        <v>21107</v>
      </c>
    </row>
    <row r="16" spans="1:10">
      <c r="A16" s="5">
        <v>45474</v>
      </c>
      <c r="B16" s="1" t="s">
        <v>27</v>
      </c>
      <c r="C16" s="9">
        <v>1218</v>
      </c>
      <c r="D16" s="9">
        <v>101</v>
      </c>
      <c r="E16" s="9">
        <v>300397</v>
      </c>
      <c r="F16" s="7">
        <v>4.33</v>
      </c>
      <c r="G16" s="9">
        <v>12277</v>
      </c>
    </row>
    <row r="17" spans="1:7">
      <c r="A17" s="5">
        <v>45481</v>
      </c>
      <c r="B17" s="1" t="s">
        <v>13</v>
      </c>
      <c r="C17" s="9">
        <v>797</v>
      </c>
      <c r="D17" s="9">
        <v>130</v>
      </c>
      <c r="E17" s="9">
        <v>340121</v>
      </c>
      <c r="F17" s="7">
        <v>8.52</v>
      </c>
      <c r="G17" s="9">
        <v>11684</v>
      </c>
    </row>
    <row r="18" spans="1:7">
      <c r="A18" s="5">
        <v>45481</v>
      </c>
      <c r="B18" s="1" t="s">
        <v>22</v>
      </c>
      <c r="C18" s="9">
        <v>1471</v>
      </c>
      <c r="D18" s="9">
        <v>100</v>
      </c>
      <c r="E18" s="9">
        <v>76866</v>
      </c>
      <c r="F18" s="7">
        <v>8.5500000000000007</v>
      </c>
      <c r="G18" s="9">
        <v>14412</v>
      </c>
    </row>
    <row r="19" spans="1:7">
      <c r="A19" s="5">
        <v>45481</v>
      </c>
      <c r="B19" s="1" t="s">
        <v>27</v>
      </c>
      <c r="C19" s="9">
        <v>1253</v>
      </c>
      <c r="D19" s="9">
        <v>136</v>
      </c>
      <c r="E19" s="9">
        <v>193131</v>
      </c>
      <c r="F19" s="7">
        <v>7.99</v>
      </c>
      <c r="G19" s="9">
        <v>15924</v>
      </c>
    </row>
    <row r="20" spans="1:7">
      <c r="A20" s="5">
        <v>45488</v>
      </c>
      <c r="B20" s="1" t="s">
        <v>13</v>
      </c>
      <c r="C20" s="9">
        <v>616</v>
      </c>
      <c r="D20" s="9">
        <v>257</v>
      </c>
      <c r="E20" s="9">
        <v>169665</v>
      </c>
      <c r="F20" s="7">
        <v>6.31</v>
      </c>
      <c r="G20" s="9">
        <v>12390</v>
      </c>
    </row>
    <row r="21" spans="1:7" ht="15.75" customHeight="1">
      <c r="A21" s="5">
        <v>45488</v>
      </c>
      <c r="B21" s="1" t="s">
        <v>22</v>
      </c>
      <c r="C21" s="9">
        <v>1308</v>
      </c>
      <c r="D21" s="9">
        <v>210</v>
      </c>
      <c r="E21" s="9">
        <v>263729</v>
      </c>
      <c r="F21" s="7">
        <v>8.5299999999999994</v>
      </c>
      <c r="G21" s="9">
        <v>25742</v>
      </c>
    </row>
    <row r="22" spans="1:7" ht="15.75" customHeight="1">
      <c r="A22" s="5">
        <v>45488</v>
      </c>
      <c r="B22" s="1" t="s">
        <v>27</v>
      </c>
      <c r="C22" s="9">
        <v>981</v>
      </c>
      <c r="D22" s="9">
        <v>69</v>
      </c>
      <c r="E22" s="9">
        <v>206921</v>
      </c>
      <c r="F22" s="7">
        <v>8.42</v>
      </c>
      <c r="G22" s="9">
        <v>10495</v>
      </c>
    </row>
    <row r="23" spans="1:7" ht="15.75" customHeight="1">
      <c r="A23" s="5">
        <v>45495</v>
      </c>
      <c r="B23" s="1" t="s">
        <v>13</v>
      </c>
      <c r="C23" s="9">
        <v>866</v>
      </c>
      <c r="D23" s="9">
        <v>74</v>
      </c>
      <c r="E23" s="9">
        <v>204121</v>
      </c>
      <c r="F23" s="7">
        <v>9.34</v>
      </c>
      <c r="G23" s="9">
        <v>7797</v>
      </c>
    </row>
    <row r="24" spans="1:7" ht="15.75" customHeight="1">
      <c r="A24" s="5">
        <v>45495</v>
      </c>
      <c r="B24" s="1" t="s">
        <v>22</v>
      </c>
      <c r="C24" s="9">
        <v>547</v>
      </c>
      <c r="D24" s="9">
        <v>183</v>
      </c>
      <c r="E24" s="9">
        <v>266350</v>
      </c>
      <c r="F24" s="7">
        <v>5.65</v>
      </c>
      <c r="G24" s="9">
        <v>15595</v>
      </c>
    </row>
    <row r="25" spans="1:7" ht="15.75" customHeight="1">
      <c r="A25" s="5">
        <v>45495</v>
      </c>
      <c r="B25" s="1" t="s">
        <v>27</v>
      </c>
      <c r="C25" s="9">
        <v>1241</v>
      </c>
      <c r="D25" s="9">
        <v>116</v>
      </c>
      <c r="E25" s="9">
        <v>380606</v>
      </c>
      <c r="F25" s="7">
        <v>4.2</v>
      </c>
      <c r="G25" s="9">
        <v>24617</v>
      </c>
    </row>
    <row r="26" spans="1:7" ht="15.75" customHeight="1">
      <c r="A26" s="5">
        <v>45502</v>
      </c>
      <c r="B26" s="1" t="s">
        <v>13</v>
      </c>
      <c r="C26" s="9">
        <v>973</v>
      </c>
      <c r="D26" s="9">
        <v>104</v>
      </c>
      <c r="E26" s="9">
        <v>376358</v>
      </c>
      <c r="F26" s="7">
        <v>3.87</v>
      </c>
      <c r="G26" s="9">
        <v>9847</v>
      </c>
    </row>
    <row r="27" spans="1:7" ht="15.75" customHeight="1">
      <c r="A27" s="5">
        <v>45502</v>
      </c>
      <c r="B27" s="1" t="s">
        <v>22</v>
      </c>
      <c r="C27" s="9">
        <v>611</v>
      </c>
      <c r="D27" s="9">
        <v>197</v>
      </c>
      <c r="E27" s="9">
        <v>79423</v>
      </c>
      <c r="F27" s="7">
        <v>5.82</v>
      </c>
      <c r="G27" s="9">
        <v>13644</v>
      </c>
    </row>
    <row r="28" spans="1:7" ht="15.75" customHeight="1">
      <c r="A28" s="5">
        <v>45502</v>
      </c>
      <c r="B28" s="1" t="s">
        <v>27</v>
      </c>
      <c r="C28" s="9">
        <v>983</v>
      </c>
      <c r="D28" s="9">
        <v>134</v>
      </c>
      <c r="E28" s="9">
        <v>352178</v>
      </c>
      <c r="F28" s="7">
        <v>3.55</v>
      </c>
      <c r="G28" s="9">
        <v>11421</v>
      </c>
    </row>
    <row r="29" spans="1:7" ht="15.75" customHeight="1">
      <c r="A29" s="5">
        <v>45509</v>
      </c>
      <c r="B29" s="1" t="s">
        <v>13</v>
      </c>
      <c r="C29" s="9">
        <v>1449</v>
      </c>
      <c r="D29" s="9">
        <v>96</v>
      </c>
      <c r="E29" s="9">
        <v>200636</v>
      </c>
      <c r="F29" s="7">
        <v>9.92</v>
      </c>
      <c r="G29" s="9">
        <v>15613</v>
      </c>
    </row>
    <row r="30" spans="1:7" ht="15.75" customHeight="1">
      <c r="A30" s="5">
        <v>45509</v>
      </c>
      <c r="B30" s="1" t="s">
        <v>22</v>
      </c>
      <c r="C30" s="9">
        <v>752</v>
      </c>
      <c r="D30" s="9">
        <v>170</v>
      </c>
      <c r="E30" s="9">
        <v>132756</v>
      </c>
      <c r="F30" s="7">
        <v>8.17</v>
      </c>
      <c r="G30" s="9">
        <v>23900</v>
      </c>
    </row>
    <row r="31" spans="1:7" ht="15.75" customHeight="1">
      <c r="A31" s="5">
        <v>45509</v>
      </c>
      <c r="B31" s="1" t="s">
        <v>27</v>
      </c>
      <c r="C31" s="9">
        <v>937</v>
      </c>
      <c r="D31" s="9">
        <v>179</v>
      </c>
      <c r="E31" s="9">
        <v>318098</v>
      </c>
      <c r="F31" s="7">
        <v>5.3</v>
      </c>
      <c r="G31" s="9">
        <v>5836</v>
      </c>
    </row>
    <row r="32" spans="1:7" ht="15.75" customHeight="1">
      <c r="A32" s="5">
        <v>45516</v>
      </c>
      <c r="B32" s="1" t="s">
        <v>13</v>
      </c>
      <c r="C32" s="9">
        <v>1060</v>
      </c>
      <c r="D32" s="9">
        <v>83</v>
      </c>
      <c r="E32" s="9">
        <v>68724</v>
      </c>
      <c r="F32" s="7">
        <v>5.98</v>
      </c>
      <c r="G32" s="9">
        <v>5624</v>
      </c>
    </row>
    <row r="33" spans="1:7" ht="15.75" customHeight="1">
      <c r="A33" s="5">
        <v>45516</v>
      </c>
      <c r="B33" s="1" t="s">
        <v>22</v>
      </c>
      <c r="C33" s="9">
        <v>1456</v>
      </c>
      <c r="D33" s="9">
        <v>265</v>
      </c>
      <c r="E33" s="9">
        <v>115505</v>
      </c>
      <c r="F33" s="7">
        <v>7.49</v>
      </c>
      <c r="G33" s="9">
        <v>10311</v>
      </c>
    </row>
    <row r="34" spans="1:7" ht="15.75" customHeight="1">
      <c r="A34" s="5">
        <v>45516</v>
      </c>
      <c r="B34" s="1" t="s">
        <v>27</v>
      </c>
      <c r="C34" s="9">
        <v>1109</v>
      </c>
      <c r="D34" s="9">
        <v>205</v>
      </c>
      <c r="E34" s="9">
        <v>276722</v>
      </c>
      <c r="F34" s="7">
        <v>9.3800000000000008</v>
      </c>
      <c r="G34" s="9">
        <v>8274</v>
      </c>
    </row>
    <row r="35" spans="1:7" ht="15.75" customHeight="1">
      <c r="A35" s="5">
        <v>45523</v>
      </c>
      <c r="B35" s="1" t="s">
        <v>13</v>
      </c>
      <c r="C35" s="9">
        <v>1002</v>
      </c>
      <c r="D35" s="9">
        <v>93</v>
      </c>
      <c r="E35" s="9">
        <v>353538</v>
      </c>
      <c r="F35" s="7">
        <v>5.84</v>
      </c>
      <c r="G35" s="9">
        <v>6031</v>
      </c>
    </row>
    <row r="36" spans="1:7" ht="15.75" customHeight="1">
      <c r="A36" s="5">
        <v>45523</v>
      </c>
      <c r="B36" s="1" t="s">
        <v>22</v>
      </c>
      <c r="C36" s="9">
        <v>571</v>
      </c>
      <c r="D36" s="9">
        <v>189</v>
      </c>
      <c r="E36" s="9">
        <v>61445</v>
      </c>
      <c r="F36" s="7">
        <v>5.41</v>
      </c>
      <c r="G36" s="9">
        <v>27829</v>
      </c>
    </row>
    <row r="37" spans="1:7" ht="15.75" customHeight="1">
      <c r="A37" s="5">
        <v>45523</v>
      </c>
      <c r="B37" s="1" t="s">
        <v>27</v>
      </c>
      <c r="C37" s="9">
        <v>1240</v>
      </c>
      <c r="D37" s="9">
        <v>231</v>
      </c>
      <c r="E37" s="9">
        <v>165035</v>
      </c>
      <c r="F37" s="7">
        <v>6.05</v>
      </c>
      <c r="G37" s="9">
        <v>18267</v>
      </c>
    </row>
    <row r="38" spans="1:7" ht="15.75" customHeight="1">
      <c r="A38" s="5">
        <v>45530</v>
      </c>
      <c r="B38" s="1" t="s">
        <v>13</v>
      </c>
      <c r="C38" s="9">
        <v>1154</v>
      </c>
      <c r="D38" s="9">
        <v>132</v>
      </c>
      <c r="E38" s="9">
        <v>194595</v>
      </c>
      <c r="F38" s="7">
        <v>7.54</v>
      </c>
      <c r="G38" s="9">
        <v>26624</v>
      </c>
    </row>
    <row r="39" spans="1:7" ht="15.75" customHeight="1">
      <c r="A39" s="5">
        <v>45530</v>
      </c>
      <c r="B39" s="1" t="s">
        <v>22</v>
      </c>
      <c r="C39" s="9">
        <v>537</v>
      </c>
      <c r="D39" s="9">
        <v>275</v>
      </c>
      <c r="E39" s="9">
        <v>236238</v>
      </c>
      <c r="F39" s="7">
        <v>5.87</v>
      </c>
      <c r="G39" s="9">
        <v>26644</v>
      </c>
    </row>
    <row r="40" spans="1:7" ht="15.75" customHeight="1">
      <c r="A40" s="5">
        <v>45530</v>
      </c>
      <c r="B40" s="1" t="s">
        <v>27</v>
      </c>
      <c r="C40" s="9">
        <v>1456</v>
      </c>
      <c r="D40" s="9">
        <v>290</v>
      </c>
      <c r="E40" s="9">
        <v>271044</v>
      </c>
      <c r="F40" s="7">
        <v>7.17</v>
      </c>
      <c r="G40" s="9">
        <v>13051</v>
      </c>
    </row>
    <row r="41" spans="1:7" ht="15.75" customHeight="1">
      <c r="A41" s="5">
        <v>45537</v>
      </c>
      <c r="B41" s="1" t="s">
        <v>13</v>
      </c>
      <c r="C41" s="9">
        <v>721</v>
      </c>
      <c r="D41" s="9">
        <v>206</v>
      </c>
      <c r="E41" s="9">
        <v>334887</v>
      </c>
      <c r="F41" s="7">
        <v>6.05</v>
      </c>
      <c r="G41" s="9">
        <v>14217</v>
      </c>
    </row>
    <row r="42" spans="1:7" ht="15.75" customHeight="1">
      <c r="A42" s="5">
        <v>45537</v>
      </c>
      <c r="B42" s="1" t="s">
        <v>22</v>
      </c>
      <c r="C42" s="9">
        <v>1098</v>
      </c>
      <c r="D42" s="9">
        <v>142</v>
      </c>
      <c r="E42" s="9">
        <v>359150</v>
      </c>
      <c r="F42" s="7">
        <v>7.51</v>
      </c>
      <c r="G42" s="9">
        <v>16385</v>
      </c>
    </row>
    <row r="43" spans="1:7" ht="15.75" customHeight="1">
      <c r="A43" s="5">
        <v>45537</v>
      </c>
      <c r="B43" s="1" t="s">
        <v>27</v>
      </c>
      <c r="C43" s="9">
        <v>1096</v>
      </c>
      <c r="D43" s="9">
        <v>65</v>
      </c>
      <c r="E43" s="9">
        <v>358295</v>
      </c>
      <c r="F43" s="7">
        <v>7.66</v>
      </c>
      <c r="G43" s="9">
        <v>24548</v>
      </c>
    </row>
    <row r="44" spans="1:7" ht="15.75" customHeight="1">
      <c r="A44" s="5">
        <v>45544</v>
      </c>
      <c r="B44" s="1" t="s">
        <v>13</v>
      </c>
      <c r="C44" s="9">
        <v>912</v>
      </c>
      <c r="D44" s="9">
        <v>275</v>
      </c>
      <c r="E44" s="9">
        <v>368454</v>
      </c>
      <c r="F44" s="7">
        <v>6.03</v>
      </c>
      <c r="G44" s="9">
        <v>9195</v>
      </c>
    </row>
    <row r="45" spans="1:7" ht="15.75" customHeight="1">
      <c r="A45" s="5">
        <v>45544</v>
      </c>
      <c r="B45" s="1" t="s">
        <v>22</v>
      </c>
      <c r="C45" s="9">
        <v>1430</v>
      </c>
      <c r="D45" s="9">
        <v>162</v>
      </c>
      <c r="E45" s="9">
        <v>269082</v>
      </c>
      <c r="F45" s="7">
        <v>3.4</v>
      </c>
      <c r="G45" s="9">
        <v>18071</v>
      </c>
    </row>
    <row r="46" spans="1:7" ht="15.75" customHeight="1">
      <c r="A46" s="5">
        <v>45544</v>
      </c>
      <c r="B46" s="1" t="s">
        <v>27</v>
      </c>
      <c r="C46" s="9">
        <v>854</v>
      </c>
      <c r="D46" s="9">
        <v>129</v>
      </c>
      <c r="E46" s="9">
        <v>310903</v>
      </c>
      <c r="F46" s="7">
        <v>7.83</v>
      </c>
      <c r="G46" s="9">
        <v>16875</v>
      </c>
    </row>
    <row r="47" spans="1:7" ht="15.75" customHeight="1">
      <c r="A47" s="5">
        <v>45551</v>
      </c>
      <c r="B47" s="1" t="s">
        <v>13</v>
      </c>
      <c r="C47" s="9">
        <v>681</v>
      </c>
      <c r="D47" s="9">
        <v>210</v>
      </c>
      <c r="E47" s="9">
        <v>248581</v>
      </c>
      <c r="F47" s="7">
        <v>8.76</v>
      </c>
      <c r="G47" s="9">
        <v>9567</v>
      </c>
    </row>
    <row r="48" spans="1:7" ht="15.75" customHeight="1">
      <c r="A48" s="5">
        <v>45551</v>
      </c>
      <c r="B48" s="1" t="s">
        <v>22</v>
      </c>
      <c r="C48" s="9">
        <v>1373</v>
      </c>
      <c r="D48" s="9">
        <v>82</v>
      </c>
      <c r="E48" s="9">
        <v>371015</v>
      </c>
      <c r="F48" s="7">
        <v>9.52</v>
      </c>
      <c r="G48" s="9">
        <v>20306</v>
      </c>
    </row>
    <row r="49" spans="1:7" ht="15.75" customHeight="1">
      <c r="A49" s="5">
        <v>45551</v>
      </c>
      <c r="B49" s="1" t="s">
        <v>27</v>
      </c>
      <c r="C49" s="9">
        <v>685</v>
      </c>
      <c r="D49" s="9">
        <v>285</v>
      </c>
      <c r="E49" s="9">
        <v>177452</v>
      </c>
      <c r="F49" s="7">
        <v>3.36</v>
      </c>
      <c r="G49" s="9">
        <v>21134</v>
      </c>
    </row>
    <row r="50" spans="1:7" ht="15.75" customHeight="1">
      <c r="A50" s="5">
        <v>45558</v>
      </c>
      <c r="B50" s="1" t="s">
        <v>13</v>
      </c>
      <c r="C50" s="9">
        <v>1290</v>
      </c>
      <c r="D50" s="9">
        <v>177</v>
      </c>
      <c r="E50" s="9">
        <v>80745</v>
      </c>
      <c r="F50" s="7">
        <v>9.2200000000000006</v>
      </c>
      <c r="G50" s="9">
        <v>26872</v>
      </c>
    </row>
    <row r="51" spans="1:7" ht="15.75" customHeight="1">
      <c r="A51" s="5">
        <v>45558</v>
      </c>
      <c r="B51" s="1" t="s">
        <v>22</v>
      </c>
      <c r="C51" s="9">
        <v>1437</v>
      </c>
      <c r="D51" s="9">
        <v>239</v>
      </c>
      <c r="E51" s="9">
        <v>362441</v>
      </c>
      <c r="F51" s="7">
        <v>5.57</v>
      </c>
      <c r="G51" s="9">
        <v>10253</v>
      </c>
    </row>
    <row r="52" spans="1:7" ht="15.75" customHeight="1">
      <c r="A52" s="5">
        <v>45558</v>
      </c>
      <c r="B52" s="1" t="s">
        <v>27</v>
      </c>
      <c r="C52" s="9">
        <v>769</v>
      </c>
      <c r="D52" s="9">
        <v>295</v>
      </c>
      <c r="E52" s="9">
        <v>344771</v>
      </c>
      <c r="F52" s="7">
        <v>8.06</v>
      </c>
      <c r="G52" s="9">
        <v>23963</v>
      </c>
    </row>
    <row r="53" spans="1:7" ht="15.75" customHeight="1">
      <c r="A53" s="5">
        <v>45565</v>
      </c>
      <c r="B53" s="1" t="s">
        <v>13</v>
      </c>
      <c r="C53" s="9">
        <v>1416</v>
      </c>
      <c r="D53" s="9">
        <v>284</v>
      </c>
      <c r="E53" s="9">
        <v>374952</v>
      </c>
      <c r="F53" s="7">
        <v>3.45</v>
      </c>
      <c r="G53" s="9">
        <v>11335</v>
      </c>
    </row>
    <row r="54" spans="1:7" ht="15.75" customHeight="1">
      <c r="A54" s="5">
        <v>45565</v>
      </c>
      <c r="B54" s="1" t="s">
        <v>22</v>
      </c>
      <c r="C54" s="9">
        <v>998</v>
      </c>
      <c r="D54" s="9">
        <v>154</v>
      </c>
      <c r="E54" s="9">
        <v>179781</v>
      </c>
      <c r="F54" s="7">
        <v>9.58</v>
      </c>
      <c r="G54" s="9">
        <v>12115</v>
      </c>
    </row>
    <row r="55" spans="1:7" ht="15.75" customHeight="1">
      <c r="A55" s="5">
        <v>45565</v>
      </c>
      <c r="B55" s="1" t="s">
        <v>27</v>
      </c>
      <c r="C55" s="9">
        <v>1421</v>
      </c>
      <c r="D55" s="9">
        <v>246</v>
      </c>
      <c r="E55" s="9">
        <v>358581</v>
      </c>
      <c r="F55" s="7">
        <v>8.8800000000000008</v>
      </c>
      <c r="G55" s="9">
        <v>24358</v>
      </c>
    </row>
    <row r="56" spans="1:7" ht="15.75" customHeight="1">
      <c r="A56" s="5">
        <v>45572</v>
      </c>
      <c r="B56" s="1" t="s">
        <v>13</v>
      </c>
      <c r="C56" s="9">
        <v>764</v>
      </c>
      <c r="D56" s="9">
        <v>205</v>
      </c>
      <c r="E56" s="9">
        <v>319294</v>
      </c>
      <c r="F56" s="7">
        <v>6.23</v>
      </c>
      <c r="G56" s="9">
        <v>12181</v>
      </c>
    </row>
    <row r="57" spans="1:7" ht="15.75" customHeight="1">
      <c r="A57" s="5">
        <v>45572</v>
      </c>
      <c r="B57" s="1" t="s">
        <v>22</v>
      </c>
      <c r="C57" s="9">
        <v>678</v>
      </c>
      <c r="D57" s="9">
        <v>124</v>
      </c>
      <c r="E57" s="9">
        <v>192022</v>
      </c>
      <c r="F57" s="7">
        <v>8.4499999999999993</v>
      </c>
      <c r="G57" s="9">
        <v>17729</v>
      </c>
    </row>
    <row r="58" spans="1:7" ht="15.75" customHeight="1">
      <c r="A58" s="5">
        <v>45572</v>
      </c>
      <c r="B58" s="1" t="s">
        <v>27</v>
      </c>
      <c r="C58" s="9">
        <v>1328</v>
      </c>
      <c r="D58" s="9">
        <v>103</v>
      </c>
      <c r="E58" s="9">
        <v>151462</v>
      </c>
      <c r="F58" s="7">
        <v>8.4</v>
      </c>
      <c r="G58" s="9">
        <v>10881</v>
      </c>
    </row>
    <row r="59" spans="1:7" ht="15.75" customHeight="1">
      <c r="A59" s="5">
        <v>45579</v>
      </c>
      <c r="B59" s="1" t="s">
        <v>13</v>
      </c>
      <c r="C59" s="9">
        <v>1161</v>
      </c>
      <c r="D59" s="9">
        <v>269</v>
      </c>
      <c r="E59" s="9">
        <v>188193</v>
      </c>
      <c r="F59" s="7">
        <v>7.34</v>
      </c>
      <c r="G59" s="9">
        <v>18576</v>
      </c>
    </row>
    <row r="60" spans="1:7" ht="15.75" customHeight="1">
      <c r="A60" s="5">
        <v>45579</v>
      </c>
      <c r="B60" s="1" t="s">
        <v>22</v>
      </c>
      <c r="C60" s="9">
        <v>588</v>
      </c>
      <c r="D60" s="9">
        <v>52</v>
      </c>
      <c r="E60" s="9">
        <v>292040</v>
      </c>
      <c r="F60" s="7">
        <v>8.14</v>
      </c>
      <c r="G60" s="9">
        <v>9383</v>
      </c>
    </row>
    <row r="61" spans="1:7" ht="15.75" customHeight="1">
      <c r="A61" s="5">
        <v>45579</v>
      </c>
      <c r="B61" s="1" t="s">
        <v>27</v>
      </c>
      <c r="C61" s="9">
        <v>1457</v>
      </c>
      <c r="D61" s="9">
        <v>215</v>
      </c>
      <c r="E61" s="9">
        <v>325325</v>
      </c>
      <c r="F61" s="7">
        <v>9.58</v>
      </c>
      <c r="G61" s="9">
        <v>14178</v>
      </c>
    </row>
    <row r="62" spans="1:7" ht="15.75" customHeight="1">
      <c r="A62" s="5">
        <v>45586</v>
      </c>
      <c r="B62" s="1" t="s">
        <v>13</v>
      </c>
      <c r="C62" s="9">
        <v>1190</v>
      </c>
      <c r="D62" s="9">
        <v>242</v>
      </c>
      <c r="E62" s="9">
        <v>86849</v>
      </c>
      <c r="F62" s="7">
        <v>8.06</v>
      </c>
      <c r="G62" s="9">
        <v>21254</v>
      </c>
    </row>
    <row r="63" spans="1:7" ht="15.75" customHeight="1">
      <c r="A63" s="5">
        <v>45586</v>
      </c>
      <c r="B63" s="1" t="s">
        <v>22</v>
      </c>
      <c r="C63" s="9">
        <v>886</v>
      </c>
      <c r="D63" s="9">
        <v>124</v>
      </c>
      <c r="E63" s="9">
        <v>141161</v>
      </c>
      <c r="F63" s="7">
        <v>8.19</v>
      </c>
      <c r="G63" s="9">
        <v>14215</v>
      </c>
    </row>
    <row r="64" spans="1:7" ht="15.75" customHeight="1">
      <c r="A64" s="5">
        <v>45586</v>
      </c>
      <c r="B64" s="1" t="s">
        <v>27</v>
      </c>
      <c r="C64" s="9">
        <v>1237</v>
      </c>
      <c r="D64" s="9">
        <v>155</v>
      </c>
      <c r="E64" s="9">
        <v>149916</v>
      </c>
      <c r="F64" s="7">
        <v>4.4800000000000004</v>
      </c>
      <c r="G64" s="9">
        <v>16921</v>
      </c>
    </row>
    <row r="65" spans="1:7" ht="15.75" customHeight="1">
      <c r="A65" s="5">
        <v>45593</v>
      </c>
      <c r="B65" s="1" t="s">
        <v>13</v>
      </c>
      <c r="C65" s="9">
        <v>1435</v>
      </c>
      <c r="D65" s="9">
        <v>261</v>
      </c>
      <c r="E65" s="9">
        <v>308533</v>
      </c>
      <c r="F65" s="7">
        <v>4.5199999999999996</v>
      </c>
      <c r="G65" s="9">
        <v>25130</v>
      </c>
    </row>
    <row r="66" spans="1:7" ht="15.75" customHeight="1">
      <c r="A66" s="5">
        <v>45593</v>
      </c>
      <c r="B66" s="1" t="s">
        <v>22</v>
      </c>
      <c r="C66" s="9">
        <v>746</v>
      </c>
      <c r="D66" s="9">
        <v>282</v>
      </c>
      <c r="E66" s="9">
        <v>293894</v>
      </c>
      <c r="F66" s="7">
        <v>5.42</v>
      </c>
      <c r="G66" s="9">
        <v>25537</v>
      </c>
    </row>
    <row r="67" spans="1:7" ht="15.75" customHeight="1">
      <c r="A67" s="5">
        <v>45593</v>
      </c>
      <c r="B67" s="1" t="s">
        <v>27</v>
      </c>
      <c r="C67" s="9">
        <v>759</v>
      </c>
      <c r="D67" s="9">
        <v>216</v>
      </c>
      <c r="E67" s="9">
        <v>147656</v>
      </c>
      <c r="F67" s="7">
        <v>4.08</v>
      </c>
      <c r="G67" s="9">
        <v>24943</v>
      </c>
    </row>
    <row r="68" spans="1:7" ht="15.75" customHeight="1">
      <c r="A68" s="5">
        <v>45600</v>
      </c>
      <c r="B68" s="1" t="s">
        <v>13</v>
      </c>
      <c r="C68" s="9">
        <v>1437</v>
      </c>
      <c r="D68" s="9">
        <v>235</v>
      </c>
      <c r="E68" s="9">
        <v>326791</v>
      </c>
      <c r="F68" s="7">
        <v>4.0599999999999996</v>
      </c>
      <c r="G68" s="9">
        <v>14563</v>
      </c>
    </row>
    <row r="69" spans="1:7" ht="15.75" customHeight="1">
      <c r="A69" s="5">
        <v>45600</v>
      </c>
      <c r="B69" s="1" t="s">
        <v>22</v>
      </c>
      <c r="C69" s="9">
        <v>1463</v>
      </c>
      <c r="D69" s="9">
        <v>73</v>
      </c>
      <c r="E69" s="9">
        <v>348877</v>
      </c>
      <c r="F69" s="7">
        <v>9.91</v>
      </c>
      <c r="G69" s="9">
        <v>26273</v>
      </c>
    </row>
    <row r="70" spans="1:7" ht="15.75" customHeight="1">
      <c r="A70" s="5">
        <v>45600</v>
      </c>
      <c r="B70" s="1" t="s">
        <v>27</v>
      </c>
      <c r="C70" s="9">
        <v>1208</v>
      </c>
      <c r="D70" s="9">
        <v>224</v>
      </c>
      <c r="E70" s="9">
        <v>122730</v>
      </c>
      <c r="F70" s="7">
        <v>8.7200000000000006</v>
      </c>
      <c r="G70" s="9">
        <v>10858</v>
      </c>
    </row>
    <row r="71" spans="1:7" ht="15.75" customHeight="1">
      <c r="A71" s="5">
        <v>45607</v>
      </c>
      <c r="B71" s="1" t="s">
        <v>13</v>
      </c>
      <c r="C71" s="9">
        <v>1391</v>
      </c>
      <c r="D71" s="9">
        <v>187</v>
      </c>
      <c r="E71" s="9">
        <v>306508</v>
      </c>
      <c r="F71" s="7">
        <v>8.3800000000000008</v>
      </c>
      <c r="G71" s="9">
        <v>25038</v>
      </c>
    </row>
    <row r="72" spans="1:7" ht="15.75" customHeight="1">
      <c r="A72" s="5">
        <v>45607</v>
      </c>
      <c r="B72" s="1" t="s">
        <v>22</v>
      </c>
      <c r="C72" s="9">
        <v>655</v>
      </c>
      <c r="D72" s="9">
        <v>123</v>
      </c>
      <c r="E72" s="9">
        <v>202472</v>
      </c>
      <c r="F72" s="7">
        <v>7.56</v>
      </c>
      <c r="G72" s="9">
        <v>9092</v>
      </c>
    </row>
    <row r="73" spans="1:7" ht="15.75" customHeight="1">
      <c r="A73" s="5">
        <v>45607</v>
      </c>
      <c r="B73" s="1" t="s">
        <v>27</v>
      </c>
      <c r="C73" s="9">
        <v>1148</v>
      </c>
      <c r="D73" s="9">
        <v>90</v>
      </c>
      <c r="E73" s="9">
        <v>227249</v>
      </c>
      <c r="F73" s="7">
        <v>7.24</v>
      </c>
      <c r="G73" s="9">
        <v>17662</v>
      </c>
    </row>
    <row r="74" spans="1:7" ht="15.75" customHeight="1">
      <c r="A74" s="5">
        <v>45614</v>
      </c>
      <c r="B74" s="1" t="s">
        <v>13</v>
      </c>
      <c r="C74" s="9">
        <v>946</v>
      </c>
      <c r="D74" s="9">
        <v>270</v>
      </c>
      <c r="E74" s="9">
        <v>246567</v>
      </c>
      <c r="F74" s="7">
        <v>4.53</v>
      </c>
      <c r="G74" s="9">
        <v>5924</v>
      </c>
    </row>
    <row r="75" spans="1:7" ht="15.75" customHeight="1">
      <c r="A75" s="5">
        <v>45614</v>
      </c>
      <c r="B75" s="1" t="s">
        <v>22</v>
      </c>
      <c r="C75" s="9">
        <v>791</v>
      </c>
      <c r="D75" s="9">
        <v>214</v>
      </c>
      <c r="E75" s="9">
        <v>114738</v>
      </c>
      <c r="F75" s="7">
        <v>6.62</v>
      </c>
      <c r="G75" s="9">
        <v>25347</v>
      </c>
    </row>
    <row r="76" spans="1:7" ht="15.75" customHeight="1">
      <c r="A76" s="5">
        <v>45614</v>
      </c>
      <c r="B76" s="1" t="s">
        <v>27</v>
      </c>
      <c r="C76" s="9">
        <v>793</v>
      </c>
      <c r="D76" s="9">
        <v>111</v>
      </c>
      <c r="E76" s="9">
        <v>333500</v>
      </c>
      <c r="F76" s="7">
        <v>6.36</v>
      </c>
      <c r="G76" s="9">
        <v>8910</v>
      </c>
    </row>
    <row r="77" spans="1:7" ht="15.75" customHeight="1">
      <c r="A77" s="5">
        <v>45621</v>
      </c>
      <c r="B77" s="1" t="s">
        <v>13</v>
      </c>
      <c r="C77" s="9">
        <v>663</v>
      </c>
      <c r="D77" s="9">
        <v>213</v>
      </c>
      <c r="E77" s="9">
        <v>352677</v>
      </c>
      <c r="F77" s="7">
        <v>9</v>
      </c>
      <c r="G77" s="9">
        <v>20438</v>
      </c>
    </row>
    <row r="78" spans="1:7" ht="15.75" customHeight="1">
      <c r="A78" s="5">
        <v>45621</v>
      </c>
      <c r="B78" s="1" t="s">
        <v>22</v>
      </c>
      <c r="C78" s="9">
        <v>954</v>
      </c>
      <c r="D78" s="9">
        <v>271</v>
      </c>
      <c r="E78" s="9">
        <v>160936</v>
      </c>
      <c r="F78" s="7">
        <v>8.83</v>
      </c>
      <c r="G78" s="9">
        <v>8760</v>
      </c>
    </row>
    <row r="79" spans="1:7" ht="15.75" customHeight="1">
      <c r="A79" s="5">
        <v>45621</v>
      </c>
      <c r="B79" s="1" t="s">
        <v>27</v>
      </c>
      <c r="C79" s="9">
        <v>1313</v>
      </c>
      <c r="D79" s="9">
        <v>159</v>
      </c>
      <c r="E79" s="9">
        <v>197183</v>
      </c>
      <c r="F79" s="7">
        <v>9.7100000000000009</v>
      </c>
      <c r="G79" s="9">
        <v>6625</v>
      </c>
    </row>
    <row r="80" spans="1:7" ht="15.75" customHeight="1">
      <c r="A80" s="5">
        <v>45628</v>
      </c>
      <c r="B80" s="1" t="s">
        <v>13</v>
      </c>
      <c r="C80" s="9">
        <v>895</v>
      </c>
      <c r="D80" s="9">
        <v>87</v>
      </c>
      <c r="E80" s="9">
        <v>171271</v>
      </c>
      <c r="F80" s="7">
        <v>6.68</v>
      </c>
      <c r="G80" s="9">
        <v>23329</v>
      </c>
    </row>
    <row r="81" spans="1:7" ht="15.75" customHeight="1">
      <c r="A81" s="5">
        <v>45628</v>
      </c>
      <c r="B81" s="1" t="s">
        <v>22</v>
      </c>
      <c r="C81" s="9">
        <v>1027</v>
      </c>
      <c r="D81" s="9">
        <v>156</v>
      </c>
      <c r="E81" s="9">
        <v>111293</v>
      </c>
      <c r="F81" s="7">
        <v>5.51</v>
      </c>
      <c r="G81" s="9">
        <v>7299</v>
      </c>
    </row>
    <row r="82" spans="1:7" ht="15.75" customHeight="1">
      <c r="A82" s="5">
        <v>45628</v>
      </c>
      <c r="B82" s="1" t="s">
        <v>27</v>
      </c>
      <c r="C82" s="9">
        <v>990</v>
      </c>
      <c r="D82" s="9">
        <v>286</v>
      </c>
      <c r="E82" s="9">
        <v>351493</v>
      </c>
      <c r="F82" s="7">
        <v>7.97</v>
      </c>
      <c r="G82" s="9">
        <v>14496</v>
      </c>
    </row>
    <row r="83" spans="1:7" ht="15.75" customHeight="1">
      <c r="A83" s="5">
        <v>45635</v>
      </c>
      <c r="B83" s="1" t="s">
        <v>13</v>
      </c>
      <c r="C83" s="9">
        <v>875</v>
      </c>
      <c r="D83" s="9">
        <v>264</v>
      </c>
      <c r="E83" s="9">
        <v>345631</v>
      </c>
      <c r="F83" s="7">
        <v>9.18</v>
      </c>
      <c r="G83" s="9">
        <v>25703</v>
      </c>
    </row>
    <row r="84" spans="1:7" ht="15.75" customHeight="1">
      <c r="A84" s="5">
        <v>45635</v>
      </c>
      <c r="B84" s="1" t="s">
        <v>22</v>
      </c>
      <c r="C84" s="9">
        <v>599</v>
      </c>
      <c r="D84" s="9">
        <v>194</v>
      </c>
      <c r="E84" s="9">
        <v>105622</v>
      </c>
      <c r="F84" s="7">
        <v>6.44</v>
      </c>
      <c r="G84" s="9">
        <v>15108</v>
      </c>
    </row>
    <row r="85" spans="1:7" ht="15.75" customHeight="1">
      <c r="A85" s="5">
        <v>45635</v>
      </c>
      <c r="B85" s="1" t="s">
        <v>27</v>
      </c>
      <c r="C85" s="9">
        <v>630</v>
      </c>
      <c r="D85" s="9">
        <v>248</v>
      </c>
      <c r="E85" s="9">
        <v>119054</v>
      </c>
      <c r="F85" s="7">
        <v>5.0199999999999996</v>
      </c>
      <c r="G85" s="9">
        <v>18867</v>
      </c>
    </row>
    <row r="86" spans="1:7" ht="15.75" customHeight="1">
      <c r="A86" s="5">
        <v>45642</v>
      </c>
      <c r="B86" s="1" t="s">
        <v>13</v>
      </c>
      <c r="C86" s="9">
        <v>1350</v>
      </c>
      <c r="D86" s="9">
        <v>233</v>
      </c>
      <c r="E86" s="9">
        <v>171670</v>
      </c>
      <c r="F86" s="7">
        <v>4.53</v>
      </c>
      <c r="G86" s="9">
        <v>17574</v>
      </c>
    </row>
    <row r="87" spans="1:7" ht="15.75" customHeight="1">
      <c r="A87" s="5">
        <v>45642</v>
      </c>
      <c r="B87" s="1" t="s">
        <v>22</v>
      </c>
      <c r="C87" s="9">
        <v>632</v>
      </c>
      <c r="D87" s="9">
        <v>155</v>
      </c>
      <c r="E87" s="9">
        <v>170432</v>
      </c>
      <c r="F87" s="7">
        <v>9.17</v>
      </c>
      <c r="G87" s="9">
        <v>12840</v>
      </c>
    </row>
    <row r="88" spans="1:7" ht="15.75" customHeight="1">
      <c r="A88" s="5">
        <v>45642</v>
      </c>
      <c r="B88" s="1" t="s">
        <v>27</v>
      </c>
      <c r="C88" s="9">
        <v>1182</v>
      </c>
      <c r="D88" s="9">
        <v>83</v>
      </c>
      <c r="E88" s="9">
        <v>140300</v>
      </c>
      <c r="F88" s="7">
        <v>3.27</v>
      </c>
      <c r="G88" s="9">
        <v>21079</v>
      </c>
    </row>
    <row r="89" spans="1:7" ht="15.75" customHeight="1">
      <c r="A89" s="5">
        <v>45649</v>
      </c>
      <c r="B89" s="1" t="s">
        <v>13</v>
      </c>
      <c r="C89" s="9">
        <v>661</v>
      </c>
      <c r="D89" s="9">
        <v>94</v>
      </c>
      <c r="E89" s="9">
        <v>116538</v>
      </c>
      <c r="F89" s="7">
        <v>5.31</v>
      </c>
      <c r="G89" s="9">
        <v>23486</v>
      </c>
    </row>
    <row r="90" spans="1:7" ht="15.75" customHeight="1">
      <c r="A90" s="5">
        <v>45649</v>
      </c>
      <c r="B90" s="1" t="s">
        <v>22</v>
      </c>
      <c r="C90" s="9">
        <v>1360</v>
      </c>
      <c r="D90" s="9">
        <v>227</v>
      </c>
      <c r="E90" s="9">
        <v>176902</v>
      </c>
      <c r="F90" s="7">
        <v>6.03</v>
      </c>
      <c r="G90" s="9">
        <v>5960</v>
      </c>
    </row>
    <row r="91" spans="1:7" ht="15.75" customHeight="1">
      <c r="A91" s="5">
        <v>45649</v>
      </c>
      <c r="B91" s="1" t="s">
        <v>27</v>
      </c>
      <c r="C91" s="9">
        <v>935</v>
      </c>
      <c r="D91" s="9">
        <v>85</v>
      </c>
      <c r="E91" s="9">
        <v>326821</v>
      </c>
      <c r="F91" s="7">
        <v>8.89</v>
      </c>
      <c r="G91" s="9">
        <v>13301</v>
      </c>
    </row>
    <row r="92" spans="1:7" ht="15.75" customHeight="1">
      <c r="A92" s="5">
        <v>45656</v>
      </c>
      <c r="B92" s="1" t="s">
        <v>13</v>
      </c>
      <c r="C92" s="9">
        <v>664</v>
      </c>
      <c r="D92" s="9">
        <v>251</v>
      </c>
      <c r="E92" s="9">
        <v>240598</v>
      </c>
      <c r="F92" s="7">
        <v>4.79</v>
      </c>
      <c r="G92" s="9">
        <v>10563</v>
      </c>
    </row>
    <row r="93" spans="1:7" ht="15.75" customHeight="1">
      <c r="A93" s="5">
        <v>45656</v>
      </c>
      <c r="B93" s="1" t="s">
        <v>22</v>
      </c>
      <c r="C93" s="9">
        <v>1490</v>
      </c>
      <c r="D93" s="9">
        <v>103</v>
      </c>
      <c r="E93" s="9">
        <v>373274</v>
      </c>
      <c r="F93" s="7">
        <v>4.8</v>
      </c>
      <c r="G93" s="9">
        <v>19949</v>
      </c>
    </row>
    <row r="94" spans="1:7" ht="15.75" customHeight="1">
      <c r="A94" s="5">
        <v>45656</v>
      </c>
      <c r="B94" s="1" t="s">
        <v>27</v>
      </c>
      <c r="C94" s="9">
        <v>601</v>
      </c>
      <c r="D94" s="9">
        <v>64</v>
      </c>
      <c r="E94" s="9">
        <v>123272</v>
      </c>
      <c r="F94" s="7">
        <v>4.07</v>
      </c>
      <c r="G94" s="9">
        <v>14273</v>
      </c>
    </row>
    <row r="95" spans="1:7" ht="15.75" customHeight="1">
      <c r="A95" s="5">
        <v>45663</v>
      </c>
      <c r="B95" s="1" t="s">
        <v>13</v>
      </c>
      <c r="C95" s="9">
        <v>613</v>
      </c>
      <c r="D95" s="9">
        <v>170</v>
      </c>
      <c r="E95" s="9">
        <v>139266</v>
      </c>
      <c r="F95" s="7">
        <v>6.06</v>
      </c>
      <c r="G95" s="9">
        <v>9247</v>
      </c>
    </row>
    <row r="96" spans="1:7" ht="15.75" customHeight="1">
      <c r="A96" s="5">
        <v>45663</v>
      </c>
      <c r="B96" s="1" t="s">
        <v>22</v>
      </c>
      <c r="C96" s="9">
        <v>1340</v>
      </c>
      <c r="D96" s="9">
        <v>57</v>
      </c>
      <c r="E96" s="9">
        <v>155927</v>
      </c>
      <c r="F96" s="7">
        <v>7.79</v>
      </c>
      <c r="G96" s="9">
        <v>11972</v>
      </c>
    </row>
    <row r="97" spans="1:7" ht="15.75" customHeight="1">
      <c r="A97" s="5">
        <v>45663</v>
      </c>
      <c r="B97" s="1" t="s">
        <v>27</v>
      </c>
      <c r="C97" s="9">
        <v>953</v>
      </c>
      <c r="D97" s="9">
        <v>228</v>
      </c>
      <c r="E97" s="9">
        <v>258398</v>
      </c>
      <c r="F97" s="7">
        <v>9.0500000000000007</v>
      </c>
      <c r="G97" s="9">
        <v>13314</v>
      </c>
    </row>
    <row r="98" spans="1:7" ht="15.75" customHeight="1">
      <c r="A98" s="5">
        <v>45670</v>
      </c>
      <c r="B98" s="1" t="s">
        <v>13</v>
      </c>
      <c r="C98" s="9">
        <v>532</v>
      </c>
      <c r="D98" s="9">
        <v>65</v>
      </c>
      <c r="E98" s="9">
        <v>338561</v>
      </c>
      <c r="F98" s="7">
        <v>3.5</v>
      </c>
      <c r="G98" s="9">
        <v>14749</v>
      </c>
    </row>
    <row r="99" spans="1:7" ht="15.75" customHeight="1">
      <c r="A99" s="5">
        <v>45670</v>
      </c>
      <c r="B99" s="1" t="s">
        <v>22</v>
      </c>
      <c r="C99" s="9">
        <v>1414</v>
      </c>
      <c r="D99" s="9">
        <v>60</v>
      </c>
      <c r="E99" s="9">
        <v>341856</v>
      </c>
      <c r="F99" s="7">
        <v>8.76</v>
      </c>
      <c r="G99" s="9">
        <v>6868</v>
      </c>
    </row>
    <row r="100" spans="1:7" ht="15.75" customHeight="1">
      <c r="A100" s="5">
        <v>45670</v>
      </c>
      <c r="B100" s="1" t="s">
        <v>27</v>
      </c>
      <c r="C100" s="9">
        <v>685</v>
      </c>
      <c r="D100" s="9">
        <v>165</v>
      </c>
      <c r="E100" s="9">
        <v>175860</v>
      </c>
      <c r="F100" s="7">
        <v>6.26</v>
      </c>
      <c r="G100" s="9">
        <v>6027</v>
      </c>
    </row>
    <row r="101" spans="1:7" ht="15.75" customHeight="1">
      <c r="A101" s="5">
        <v>45677</v>
      </c>
      <c r="B101" s="1" t="s">
        <v>13</v>
      </c>
      <c r="C101" s="9">
        <v>601</v>
      </c>
      <c r="D101" s="9">
        <v>159</v>
      </c>
      <c r="E101" s="9">
        <v>327722</v>
      </c>
      <c r="F101" s="7">
        <v>3.33</v>
      </c>
      <c r="G101" s="9">
        <v>25267</v>
      </c>
    </row>
    <row r="102" spans="1:7" ht="15.75" customHeight="1">
      <c r="A102" s="5">
        <v>45677</v>
      </c>
      <c r="B102" s="1" t="s">
        <v>22</v>
      </c>
      <c r="C102" s="9">
        <v>841</v>
      </c>
      <c r="D102" s="9">
        <v>295</v>
      </c>
      <c r="E102" s="9">
        <v>271638</v>
      </c>
      <c r="F102" s="7">
        <v>9.15</v>
      </c>
      <c r="G102" s="9">
        <v>5900</v>
      </c>
    </row>
    <row r="103" spans="1:7" ht="15.75" customHeight="1">
      <c r="A103" s="5">
        <v>45677</v>
      </c>
      <c r="B103" s="1" t="s">
        <v>27</v>
      </c>
      <c r="C103" s="9">
        <v>1105</v>
      </c>
      <c r="D103" s="9">
        <v>261</v>
      </c>
      <c r="E103" s="9">
        <v>333851</v>
      </c>
      <c r="F103" s="7">
        <v>6.03</v>
      </c>
      <c r="G103" s="9">
        <v>11181</v>
      </c>
    </row>
    <row r="104" spans="1:7" ht="15.75" customHeight="1">
      <c r="A104" s="5">
        <v>45684</v>
      </c>
      <c r="B104" s="1" t="s">
        <v>13</v>
      </c>
      <c r="C104" s="9">
        <v>566</v>
      </c>
      <c r="D104" s="9">
        <v>225</v>
      </c>
      <c r="E104" s="9">
        <v>368984</v>
      </c>
      <c r="F104" s="7">
        <v>9.82</v>
      </c>
      <c r="G104" s="9">
        <v>9592</v>
      </c>
    </row>
    <row r="105" spans="1:7" ht="15.75" customHeight="1">
      <c r="A105" s="5">
        <v>45684</v>
      </c>
      <c r="B105" s="1" t="s">
        <v>22</v>
      </c>
      <c r="C105" s="9">
        <v>1149</v>
      </c>
      <c r="D105" s="9">
        <v>280</v>
      </c>
      <c r="E105" s="9">
        <v>167310</v>
      </c>
      <c r="F105" s="7">
        <v>3.7</v>
      </c>
      <c r="G105" s="9">
        <v>5291</v>
      </c>
    </row>
    <row r="106" spans="1:7" ht="15.75" customHeight="1">
      <c r="A106" s="5">
        <v>45684</v>
      </c>
      <c r="B106" s="1" t="s">
        <v>27</v>
      </c>
      <c r="C106" s="9">
        <v>819</v>
      </c>
      <c r="D106" s="9">
        <v>101</v>
      </c>
      <c r="E106" s="9">
        <v>194811</v>
      </c>
      <c r="F106" s="7">
        <v>3.35</v>
      </c>
      <c r="G106" s="9">
        <v>22244</v>
      </c>
    </row>
    <row r="107" spans="1:7" ht="15.75" customHeight="1">
      <c r="A107" s="5">
        <v>45691</v>
      </c>
      <c r="B107" s="1" t="s">
        <v>13</v>
      </c>
      <c r="C107" s="9">
        <v>795</v>
      </c>
      <c r="D107" s="9">
        <v>60</v>
      </c>
      <c r="E107" s="9">
        <v>314982</v>
      </c>
      <c r="F107" s="7">
        <v>7.31</v>
      </c>
      <c r="G107" s="9">
        <v>6824</v>
      </c>
    </row>
    <row r="108" spans="1:7" ht="15.75" customHeight="1">
      <c r="A108" s="5">
        <v>45691</v>
      </c>
      <c r="B108" s="1" t="s">
        <v>22</v>
      </c>
      <c r="C108" s="9">
        <v>681</v>
      </c>
      <c r="D108" s="9">
        <v>158</v>
      </c>
      <c r="E108" s="9">
        <v>75960</v>
      </c>
      <c r="F108" s="7">
        <v>3.13</v>
      </c>
      <c r="G108" s="9">
        <v>24112</v>
      </c>
    </row>
    <row r="109" spans="1:7" ht="15.75" customHeight="1">
      <c r="A109" s="5">
        <v>45691</v>
      </c>
      <c r="B109" s="1" t="s">
        <v>27</v>
      </c>
      <c r="C109" s="9">
        <v>534</v>
      </c>
      <c r="D109" s="9">
        <v>112</v>
      </c>
      <c r="E109" s="9">
        <v>360759</v>
      </c>
      <c r="F109" s="7">
        <v>4.8899999999999997</v>
      </c>
      <c r="G109" s="9">
        <v>25478</v>
      </c>
    </row>
    <row r="110" spans="1:7" ht="15.75" customHeight="1">
      <c r="A110" s="5">
        <v>45698</v>
      </c>
      <c r="B110" s="1" t="s">
        <v>13</v>
      </c>
      <c r="C110" s="9">
        <v>1066</v>
      </c>
      <c r="D110" s="9">
        <v>151</v>
      </c>
      <c r="E110" s="9">
        <v>297090</v>
      </c>
      <c r="F110" s="7">
        <v>8.6300000000000008</v>
      </c>
      <c r="G110" s="9">
        <v>11235</v>
      </c>
    </row>
    <row r="111" spans="1:7" ht="15.75" customHeight="1">
      <c r="A111" s="5">
        <v>45698</v>
      </c>
      <c r="B111" s="1" t="s">
        <v>22</v>
      </c>
      <c r="C111" s="9">
        <v>1270</v>
      </c>
      <c r="D111" s="9">
        <v>162</v>
      </c>
      <c r="E111" s="9">
        <v>92040</v>
      </c>
      <c r="F111" s="7">
        <v>8.0299999999999994</v>
      </c>
      <c r="G111" s="9">
        <v>6120</v>
      </c>
    </row>
    <row r="112" spans="1:7" ht="15.75" customHeight="1">
      <c r="A112" s="5">
        <v>45698</v>
      </c>
      <c r="B112" s="1" t="s">
        <v>27</v>
      </c>
      <c r="C112" s="9">
        <v>536</v>
      </c>
      <c r="D112" s="9">
        <v>198</v>
      </c>
      <c r="E112" s="9">
        <v>174610</v>
      </c>
      <c r="F112" s="7">
        <v>7.85</v>
      </c>
      <c r="G112" s="9">
        <v>20572</v>
      </c>
    </row>
    <row r="113" spans="1:7" ht="15.75" customHeight="1">
      <c r="A113" s="5">
        <v>45705</v>
      </c>
      <c r="B113" s="1" t="s">
        <v>13</v>
      </c>
      <c r="C113" s="9">
        <v>819</v>
      </c>
      <c r="D113" s="9">
        <v>95</v>
      </c>
      <c r="E113" s="9">
        <v>177376</v>
      </c>
      <c r="F113" s="7">
        <v>6.12</v>
      </c>
      <c r="G113" s="9">
        <v>14975</v>
      </c>
    </row>
    <row r="114" spans="1:7" ht="15.75" customHeight="1">
      <c r="A114" s="5">
        <v>45705</v>
      </c>
      <c r="B114" s="1" t="s">
        <v>22</v>
      </c>
      <c r="C114" s="9">
        <v>681</v>
      </c>
      <c r="D114" s="9">
        <v>218</v>
      </c>
      <c r="E114" s="9">
        <v>198882</v>
      </c>
      <c r="F114" s="7">
        <v>7.16</v>
      </c>
      <c r="G114" s="9">
        <v>22234</v>
      </c>
    </row>
    <row r="115" spans="1:7" ht="15.75" customHeight="1">
      <c r="A115" s="5">
        <v>45705</v>
      </c>
      <c r="B115" s="1" t="s">
        <v>27</v>
      </c>
      <c r="C115" s="9">
        <v>646</v>
      </c>
      <c r="D115" s="9">
        <v>290</v>
      </c>
      <c r="E115" s="9">
        <v>336383</v>
      </c>
      <c r="F115" s="7">
        <v>7.04</v>
      </c>
      <c r="G115" s="9">
        <v>6532</v>
      </c>
    </row>
    <row r="116" spans="1:7" ht="15.75" customHeight="1">
      <c r="A116" s="5">
        <v>45712</v>
      </c>
      <c r="B116" s="1" t="s">
        <v>13</v>
      </c>
      <c r="C116" s="9">
        <v>645</v>
      </c>
      <c r="D116" s="9">
        <v>267</v>
      </c>
      <c r="E116" s="9">
        <v>346890</v>
      </c>
      <c r="F116" s="7">
        <v>3.71</v>
      </c>
      <c r="G116" s="9">
        <v>24858</v>
      </c>
    </row>
    <row r="117" spans="1:7" ht="15.75" customHeight="1">
      <c r="A117" s="5">
        <v>45712</v>
      </c>
      <c r="B117" s="1" t="s">
        <v>22</v>
      </c>
      <c r="C117" s="9">
        <v>886</v>
      </c>
      <c r="D117" s="9">
        <v>250</v>
      </c>
      <c r="E117" s="9">
        <v>168170</v>
      </c>
      <c r="F117" s="7">
        <v>4.12</v>
      </c>
      <c r="G117" s="9">
        <v>13883</v>
      </c>
    </row>
    <row r="118" spans="1:7" ht="15.75" customHeight="1">
      <c r="A118" s="5">
        <v>45712</v>
      </c>
      <c r="B118" s="1" t="s">
        <v>27</v>
      </c>
      <c r="C118" s="9">
        <v>978</v>
      </c>
      <c r="D118" s="9">
        <v>279</v>
      </c>
      <c r="E118" s="9">
        <v>368872</v>
      </c>
      <c r="F118" s="7">
        <v>6.82</v>
      </c>
      <c r="G118" s="9">
        <v>18654</v>
      </c>
    </row>
    <row r="119" spans="1:7" ht="15.75" customHeight="1">
      <c r="A119" s="5">
        <v>45719</v>
      </c>
      <c r="B119" s="1" t="s">
        <v>13</v>
      </c>
      <c r="C119" s="9">
        <v>1444</v>
      </c>
      <c r="D119" s="9">
        <v>165</v>
      </c>
      <c r="E119" s="9">
        <v>116436</v>
      </c>
      <c r="F119" s="7">
        <v>8.2200000000000006</v>
      </c>
      <c r="G119" s="9">
        <v>25234</v>
      </c>
    </row>
    <row r="120" spans="1:7" ht="15.75" customHeight="1">
      <c r="A120" s="5">
        <v>45719</v>
      </c>
      <c r="B120" s="1" t="s">
        <v>22</v>
      </c>
      <c r="C120" s="9">
        <v>1234</v>
      </c>
      <c r="D120" s="9">
        <v>228</v>
      </c>
      <c r="E120" s="9">
        <v>127502</v>
      </c>
      <c r="F120" s="7">
        <v>7.71</v>
      </c>
      <c r="G120" s="9">
        <v>6772</v>
      </c>
    </row>
    <row r="121" spans="1:7" ht="15.75" customHeight="1">
      <c r="A121" s="5">
        <v>45719</v>
      </c>
      <c r="B121" s="1" t="s">
        <v>27</v>
      </c>
      <c r="C121" s="9">
        <v>665</v>
      </c>
      <c r="D121" s="9">
        <v>187</v>
      </c>
      <c r="E121" s="9">
        <v>274567</v>
      </c>
      <c r="F121" s="7">
        <v>7.39</v>
      </c>
      <c r="G121" s="9">
        <v>22428</v>
      </c>
    </row>
    <row r="122" spans="1:7" ht="15.75" customHeight="1">
      <c r="A122" s="5">
        <v>45726</v>
      </c>
      <c r="B122" s="1" t="s">
        <v>13</v>
      </c>
      <c r="C122" s="9">
        <v>631</v>
      </c>
      <c r="D122" s="9">
        <v>86</v>
      </c>
      <c r="E122" s="9">
        <v>295090</v>
      </c>
      <c r="F122" s="7">
        <v>7.89</v>
      </c>
      <c r="G122" s="9">
        <v>11911</v>
      </c>
    </row>
    <row r="123" spans="1:7" ht="15.75" customHeight="1">
      <c r="A123" s="5">
        <v>45726</v>
      </c>
      <c r="B123" s="1" t="s">
        <v>22</v>
      </c>
      <c r="C123" s="9">
        <v>1159</v>
      </c>
      <c r="D123" s="9">
        <v>154</v>
      </c>
      <c r="E123" s="9">
        <v>194994</v>
      </c>
      <c r="F123" s="7">
        <v>6.39</v>
      </c>
      <c r="G123" s="9">
        <v>21900</v>
      </c>
    </row>
    <row r="124" spans="1:7" ht="15.75" customHeight="1">
      <c r="A124" s="5">
        <v>45726</v>
      </c>
      <c r="B124" s="1" t="s">
        <v>27</v>
      </c>
      <c r="C124" s="9">
        <v>950</v>
      </c>
      <c r="D124" s="9">
        <v>185</v>
      </c>
      <c r="E124" s="9">
        <v>340750</v>
      </c>
      <c r="F124" s="7">
        <v>6.77</v>
      </c>
      <c r="G124" s="9">
        <v>25542</v>
      </c>
    </row>
    <row r="125" spans="1:7" ht="15.75" customHeight="1">
      <c r="A125" s="5">
        <v>45733</v>
      </c>
      <c r="B125" s="1" t="s">
        <v>13</v>
      </c>
      <c r="C125" s="9">
        <v>693</v>
      </c>
      <c r="D125" s="9">
        <v>129</v>
      </c>
      <c r="E125" s="9">
        <v>296031</v>
      </c>
      <c r="F125" s="7">
        <v>3.41</v>
      </c>
      <c r="G125" s="9">
        <v>7140</v>
      </c>
    </row>
    <row r="126" spans="1:7" ht="15.75" customHeight="1">
      <c r="A126" s="5">
        <v>45733</v>
      </c>
      <c r="B126" s="1" t="s">
        <v>22</v>
      </c>
      <c r="C126" s="9">
        <v>576</v>
      </c>
      <c r="D126" s="9">
        <v>80</v>
      </c>
      <c r="E126" s="9">
        <v>345688</v>
      </c>
      <c r="F126" s="7">
        <v>4.1100000000000003</v>
      </c>
      <c r="G126" s="9">
        <v>20474</v>
      </c>
    </row>
    <row r="127" spans="1:7" ht="15.75" customHeight="1">
      <c r="A127" s="5">
        <v>45733</v>
      </c>
      <c r="B127" s="1" t="s">
        <v>27</v>
      </c>
      <c r="C127" s="9">
        <v>1274</v>
      </c>
      <c r="D127" s="9">
        <v>146</v>
      </c>
      <c r="E127" s="9">
        <v>263488</v>
      </c>
      <c r="F127" s="7">
        <v>9.58</v>
      </c>
      <c r="G127" s="9">
        <v>8698</v>
      </c>
    </row>
    <row r="128" spans="1:7" ht="15.75" customHeight="1">
      <c r="A128" s="5">
        <v>45740</v>
      </c>
      <c r="B128" s="1" t="s">
        <v>13</v>
      </c>
      <c r="C128" s="9">
        <v>818</v>
      </c>
      <c r="D128" s="9">
        <v>253</v>
      </c>
      <c r="E128" s="9">
        <v>184911</v>
      </c>
      <c r="F128" s="7">
        <v>3.39</v>
      </c>
      <c r="G128" s="9">
        <v>10402</v>
      </c>
    </row>
    <row r="129" spans="1:7" ht="15.75" customHeight="1">
      <c r="A129" s="5">
        <v>45740</v>
      </c>
      <c r="B129" s="1" t="s">
        <v>22</v>
      </c>
      <c r="C129" s="9">
        <v>975</v>
      </c>
      <c r="D129" s="9">
        <v>162</v>
      </c>
      <c r="E129" s="9">
        <v>124497</v>
      </c>
      <c r="F129" s="7">
        <v>9.58</v>
      </c>
      <c r="G129" s="9">
        <v>26618</v>
      </c>
    </row>
    <row r="130" spans="1:7" ht="15.75" customHeight="1">
      <c r="A130" s="5">
        <v>45740</v>
      </c>
      <c r="B130" s="1" t="s">
        <v>27</v>
      </c>
      <c r="C130" s="9">
        <v>1398</v>
      </c>
      <c r="D130" s="9">
        <v>97</v>
      </c>
      <c r="E130" s="9">
        <v>397607</v>
      </c>
      <c r="F130" s="7">
        <v>5.09</v>
      </c>
      <c r="G130" s="9">
        <v>7975</v>
      </c>
    </row>
    <row r="131" spans="1:7" ht="15.75" customHeight="1">
      <c r="A131" s="5">
        <v>45747</v>
      </c>
      <c r="B131" s="1" t="s">
        <v>13</v>
      </c>
      <c r="C131" s="9">
        <v>591</v>
      </c>
      <c r="D131" s="9">
        <v>155</v>
      </c>
      <c r="E131" s="9">
        <v>138521</v>
      </c>
      <c r="F131" s="7">
        <v>7.85</v>
      </c>
      <c r="G131" s="9">
        <v>19054</v>
      </c>
    </row>
    <row r="132" spans="1:7" ht="15.75" customHeight="1">
      <c r="A132" s="5">
        <v>45747</v>
      </c>
      <c r="B132" s="1" t="s">
        <v>22</v>
      </c>
      <c r="C132" s="9">
        <v>1232</v>
      </c>
      <c r="D132" s="9">
        <v>254</v>
      </c>
      <c r="E132" s="9">
        <v>107718</v>
      </c>
      <c r="F132" s="7">
        <v>9.7100000000000009</v>
      </c>
      <c r="G132" s="9">
        <v>13740</v>
      </c>
    </row>
    <row r="133" spans="1:7" ht="15.75" customHeight="1">
      <c r="A133" s="5">
        <v>45747</v>
      </c>
      <c r="B133" s="1" t="s">
        <v>27</v>
      </c>
      <c r="C133" s="9">
        <v>1425</v>
      </c>
      <c r="D133" s="9">
        <v>58</v>
      </c>
      <c r="E133" s="9">
        <v>202234</v>
      </c>
      <c r="F133" s="7">
        <v>6.67</v>
      </c>
      <c r="G133" s="9">
        <v>18442</v>
      </c>
    </row>
    <row r="134" spans="1:7" ht="15.75" customHeight="1">
      <c r="A134" s="5">
        <v>45754</v>
      </c>
      <c r="B134" s="1" t="s">
        <v>13</v>
      </c>
      <c r="C134" s="9">
        <v>1417</v>
      </c>
      <c r="D134" s="9">
        <v>80</v>
      </c>
      <c r="E134" s="9">
        <v>340987</v>
      </c>
      <c r="F134" s="7">
        <v>6.13</v>
      </c>
      <c r="G134" s="9">
        <v>10104</v>
      </c>
    </row>
    <row r="135" spans="1:7" ht="15.75" customHeight="1">
      <c r="A135" s="5">
        <v>45754</v>
      </c>
      <c r="B135" s="1" t="s">
        <v>22</v>
      </c>
      <c r="C135" s="9">
        <v>1222</v>
      </c>
      <c r="D135" s="9">
        <v>208</v>
      </c>
      <c r="E135" s="9">
        <v>340098</v>
      </c>
      <c r="F135" s="7">
        <v>7.34</v>
      </c>
      <c r="G135" s="9">
        <v>21771</v>
      </c>
    </row>
    <row r="136" spans="1:7" ht="15.75" customHeight="1">
      <c r="A136" s="5">
        <v>45754</v>
      </c>
      <c r="B136" s="1" t="s">
        <v>27</v>
      </c>
      <c r="C136" s="9">
        <v>1071</v>
      </c>
      <c r="D136" s="9">
        <v>131</v>
      </c>
      <c r="E136" s="9">
        <v>254727</v>
      </c>
      <c r="F136" s="7">
        <v>6.87</v>
      </c>
      <c r="G136" s="9">
        <v>22191</v>
      </c>
    </row>
    <row r="137" spans="1:7" ht="15.75" customHeight="1">
      <c r="A137" s="5">
        <v>45761</v>
      </c>
      <c r="B137" s="1" t="s">
        <v>13</v>
      </c>
      <c r="C137" s="9">
        <v>772</v>
      </c>
      <c r="D137" s="9">
        <v>82</v>
      </c>
      <c r="E137" s="9">
        <v>345659</v>
      </c>
      <c r="F137" s="7">
        <v>3.52</v>
      </c>
      <c r="G137" s="9">
        <v>27753</v>
      </c>
    </row>
    <row r="138" spans="1:7" ht="15.75" customHeight="1">
      <c r="A138" s="5">
        <v>45761</v>
      </c>
      <c r="B138" s="1" t="s">
        <v>22</v>
      </c>
      <c r="C138" s="9">
        <v>1472</v>
      </c>
      <c r="D138" s="9">
        <v>137</v>
      </c>
      <c r="E138" s="9">
        <v>213950</v>
      </c>
      <c r="F138" s="7">
        <v>6.96</v>
      </c>
      <c r="G138" s="9">
        <v>23736</v>
      </c>
    </row>
    <row r="139" spans="1:7" ht="15.75" customHeight="1">
      <c r="A139" s="5">
        <v>45761</v>
      </c>
      <c r="B139" s="1" t="s">
        <v>27</v>
      </c>
      <c r="C139" s="9">
        <v>1472</v>
      </c>
      <c r="D139" s="9">
        <v>281</v>
      </c>
      <c r="E139" s="9">
        <v>258115</v>
      </c>
      <c r="F139" s="7">
        <v>7.23</v>
      </c>
      <c r="G139" s="9">
        <v>27393</v>
      </c>
    </row>
    <row r="140" spans="1:7" ht="15.75" customHeight="1">
      <c r="A140" s="5">
        <v>45768</v>
      </c>
      <c r="B140" s="1" t="s">
        <v>13</v>
      </c>
      <c r="C140" s="9">
        <v>585</v>
      </c>
      <c r="D140" s="9">
        <v>232</v>
      </c>
      <c r="E140" s="9">
        <v>321258</v>
      </c>
      <c r="F140" s="7">
        <v>7.42</v>
      </c>
      <c r="G140" s="9">
        <v>10343</v>
      </c>
    </row>
    <row r="141" spans="1:7" ht="15.75" customHeight="1">
      <c r="A141" s="5">
        <v>45768</v>
      </c>
      <c r="B141" s="1" t="s">
        <v>22</v>
      </c>
      <c r="C141" s="9">
        <v>747</v>
      </c>
      <c r="D141" s="9">
        <v>261</v>
      </c>
      <c r="E141" s="9">
        <v>338650</v>
      </c>
      <c r="F141" s="7">
        <v>7.73</v>
      </c>
      <c r="G141" s="9">
        <v>25259</v>
      </c>
    </row>
    <row r="142" spans="1:7" ht="15.75" customHeight="1">
      <c r="A142" s="5">
        <v>45768</v>
      </c>
      <c r="B142" s="1" t="s">
        <v>27</v>
      </c>
      <c r="C142" s="9">
        <v>1113</v>
      </c>
      <c r="D142" s="9">
        <v>224</v>
      </c>
      <c r="E142" s="9">
        <v>272989</v>
      </c>
      <c r="F142" s="7">
        <v>5.13</v>
      </c>
      <c r="G142" s="9">
        <v>24827</v>
      </c>
    </row>
    <row r="143" spans="1:7" ht="15.75" customHeight="1">
      <c r="A143" s="5">
        <v>45775</v>
      </c>
      <c r="B143" s="1" t="s">
        <v>13</v>
      </c>
      <c r="C143" s="9">
        <v>1100</v>
      </c>
      <c r="D143" s="9">
        <v>117</v>
      </c>
      <c r="E143" s="9">
        <v>260204</v>
      </c>
      <c r="F143" s="7">
        <v>4.4000000000000004</v>
      </c>
      <c r="G143" s="9">
        <v>11908</v>
      </c>
    </row>
    <row r="144" spans="1:7" ht="15.75" customHeight="1">
      <c r="A144" s="5">
        <v>45775</v>
      </c>
      <c r="B144" s="1" t="s">
        <v>22</v>
      </c>
      <c r="C144" s="9">
        <v>751</v>
      </c>
      <c r="D144" s="9">
        <v>170</v>
      </c>
      <c r="E144" s="9">
        <v>283278</v>
      </c>
      <c r="F144" s="7">
        <v>3.49</v>
      </c>
      <c r="G144" s="9">
        <v>11005</v>
      </c>
    </row>
    <row r="145" spans="1:7" ht="15.75" customHeight="1">
      <c r="A145" s="5">
        <v>45775</v>
      </c>
      <c r="B145" s="1" t="s">
        <v>27</v>
      </c>
      <c r="C145" s="9">
        <v>864</v>
      </c>
      <c r="D145" s="9">
        <v>50</v>
      </c>
      <c r="E145" s="9">
        <v>277445</v>
      </c>
      <c r="F145" s="7">
        <v>3.57</v>
      </c>
      <c r="G145" s="9">
        <v>26333</v>
      </c>
    </row>
    <row r="146" spans="1:7" ht="15.75" customHeight="1">
      <c r="A146" s="5">
        <v>45782</v>
      </c>
      <c r="B146" s="1" t="s">
        <v>13</v>
      </c>
      <c r="C146" s="9">
        <v>1146</v>
      </c>
      <c r="D146" s="9">
        <v>227</v>
      </c>
      <c r="E146" s="9">
        <v>353781</v>
      </c>
      <c r="F146" s="7">
        <v>6.41</v>
      </c>
      <c r="G146" s="9">
        <v>5495</v>
      </c>
    </row>
    <row r="147" spans="1:7" ht="15.75" customHeight="1">
      <c r="A147" s="5">
        <v>45782</v>
      </c>
      <c r="B147" s="1" t="s">
        <v>22</v>
      </c>
      <c r="C147" s="9">
        <v>883</v>
      </c>
      <c r="D147" s="9">
        <v>207</v>
      </c>
      <c r="E147" s="9">
        <v>265019</v>
      </c>
      <c r="F147" s="7">
        <v>6.04</v>
      </c>
      <c r="G147" s="9">
        <v>15655</v>
      </c>
    </row>
    <row r="148" spans="1:7" ht="15.75" customHeight="1">
      <c r="A148" s="5">
        <v>45782</v>
      </c>
      <c r="B148" s="1" t="s">
        <v>27</v>
      </c>
      <c r="C148" s="9">
        <v>622</v>
      </c>
      <c r="D148" s="9">
        <v>163</v>
      </c>
      <c r="E148" s="9">
        <v>231925</v>
      </c>
      <c r="F148" s="7">
        <v>9.18</v>
      </c>
      <c r="G148" s="9">
        <v>13763</v>
      </c>
    </row>
    <row r="149" spans="1:7" ht="15.75" customHeight="1">
      <c r="A149" s="5">
        <v>45789</v>
      </c>
      <c r="B149" s="1" t="s">
        <v>13</v>
      </c>
      <c r="C149" s="9">
        <v>837</v>
      </c>
      <c r="D149" s="9">
        <v>261</v>
      </c>
      <c r="E149" s="9">
        <v>366149</v>
      </c>
      <c r="F149" s="7">
        <v>6.54</v>
      </c>
      <c r="G149" s="9">
        <v>26073</v>
      </c>
    </row>
    <row r="150" spans="1:7" ht="15.75" customHeight="1">
      <c r="A150" s="5">
        <v>45789</v>
      </c>
      <c r="B150" s="1" t="s">
        <v>22</v>
      </c>
      <c r="C150" s="9">
        <v>544</v>
      </c>
      <c r="D150" s="9">
        <v>97</v>
      </c>
      <c r="E150" s="9">
        <v>168375</v>
      </c>
      <c r="F150" s="7">
        <v>8.66</v>
      </c>
      <c r="G150" s="9">
        <v>12774</v>
      </c>
    </row>
    <row r="151" spans="1:7" ht="15.75" customHeight="1">
      <c r="A151" s="5">
        <v>45789</v>
      </c>
      <c r="B151" s="1" t="s">
        <v>27</v>
      </c>
      <c r="C151" s="9">
        <v>624</v>
      </c>
      <c r="D151" s="9">
        <v>247</v>
      </c>
      <c r="E151" s="9">
        <v>252763</v>
      </c>
      <c r="F151" s="7">
        <v>3.89</v>
      </c>
      <c r="G151" s="9">
        <v>19000</v>
      </c>
    </row>
    <row r="152" spans="1:7" ht="15.75" customHeight="1">
      <c r="A152" s="5">
        <v>45796</v>
      </c>
      <c r="B152" s="1" t="s">
        <v>13</v>
      </c>
      <c r="C152" s="9">
        <v>1073</v>
      </c>
      <c r="D152" s="9">
        <v>141</v>
      </c>
      <c r="E152" s="9">
        <v>118393</v>
      </c>
      <c r="F152" s="7">
        <v>7.95</v>
      </c>
      <c r="G152" s="9">
        <v>14051</v>
      </c>
    </row>
    <row r="153" spans="1:7" ht="15.75" customHeight="1">
      <c r="A153" s="5">
        <v>45796</v>
      </c>
      <c r="B153" s="1" t="s">
        <v>22</v>
      </c>
      <c r="C153" s="9">
        <v>1430</v>
      </c>
      <c r="D153" s="9">
        <v>74</v>
      </c>
      <c r="E153" s="9">
        <v>327012</v>
      </c>
      <c r="F153" s="7">
        <v>6.66</v>
      </c>
      <c r="G153" s="9">
        <v>27782</v>
      </c>
    </row>
    <row r="154" spans="1:7" ht="15.75" customHeight="1">
      <c r="A154" s="5">
        <v>45796</v>
      </c>
      <c r="B154" s="1" t="s">
        <v>27</v>
      </c>
      <c r="C154" s="9">
        <v>1358</v>
      </c>
      <c r="D154" s="9">
        <v>77</v>
      </c>
      <c r="E154" s="9">
        <v>169688</v>
      </c>
      <c r="F154" s="7">
        <v>5.25</v>
      </c>
      <c r="G154" s="9">
        <v>7859</v>
      </c>
    </row>
    <row r="155" spans="1:7" ht="15.75" customHeight="1">
      <c r="A155" s="5">
        <v>45803</v>
      </c>
      <c r="B155" s="1" t="s">
        <v>13</v>
      </c>
      <c r="C155" s="9">
        <v>1242</v>
      </c>
      <c r="D155" s="9">
        <v>201</v>
      </c>
      <c r="E155" s="9">
        <v>271935</v>
      </c>
      <c r="F155" s="7">
        <v>5.07</v>
      </c>
      <c r="G155" s="9">
        <v>15773</v>
      </c>
    </row>
    <row r="156" spans="1:7" ht="15.75" customHeight="1">
      <c r="A156" s="5">
        <v>45803</v>
      </c>
      <c r="B156" s="1" t="s">
        <v>22</v>
      </c>
      <c r="C156" s="9">
        <v>1389</v>
      </c>
      <c r="D156" s="9">
        <v>205</v>
      </c>
      <c r="E156" s="9">
        <v>315981</v>
      </c>
      <c r="F156" s="7">
        <v>7.62</v>
      </c>
      <c r="G156" s="9">
        <v>20595</v>
      </c>
    </row>
    <row r="157" spans="1:7" ht="15.75" customHeight="1">
      <c r="A157" s="5">
        <v>45803</v>
      </c>
      <c r="B157" s="1" t="s">
        <v>27</v>
      </c>
      <c r="C157" s="9">
        <v>826</v>
      </c>
      <c r="D157" s="9">
        <v>142</v>
      </c>
      <c r="E157" s="9">
        <v>341016</v>
      </c>
      <c r="F157" s="7">
        <v>7.44</v>
      </c>
      <c r="G157" s="9">
        <v>12031</v>
      </c>
    </row>
    <row r="158" spans="1:7" ht="15.75" customHeight="1">
      <c r="A158" s="5">
        <v>45810</v>
      </c>
      <c r="B158" s="1" t="s">
        <v>13</v>
      </c>
      <c r="C158" s="9">
        <v>618</v>
      </c>
      <c r="D158" s="9">
        <v>264</v>
      </c>
      <c r="E158" s="9">
        <v>285164</v>
      </c>
      <c r="F158" s="7">
        <v>4.8600000000000003</v>
      </c>
      <c r="G158" s="9">
        <v>15128</v>
      </c>
    </row>
    <row r="159" spans="1:7" ht="15.75" customHeight="1">
      <c r="A159" s="5">
        <v>45810</v>
      </c>
      <c r="B159" s="1" t="s">
        <v>22</v>
      </c>
      <c r="C159" s="9">
        <v>1419</v>
      </c>
      <c r="D159" s="9">
        <v>293</v>
      </c>
      <c r="E159" s="9">
        <v>116632</v>
      </c>
      <c r="F159" s="7">
        <v>6.93</v>
      </c>
      <c r="G159" s="9">
        <v>11826</v>
      </c>
    </row>
    <row r="160" spans="1:7" ht="15.75" customHeight="1">
      <c r="A160" s="5">
        <v>45810</v>
      </c>
      <c r="B160" s="1" t="s">
        <v>27</v>
      </c>
      <c r="C160" s="9">
        <v>637</v>
      </c>
      <c r="D160" s="9">
        <v>68</v>
      </c>
      <c r="E160" s="9">
        <v>115694</v>
      </c>
      <c r="F160" s="7">
        <v>9.99</v>
      </c>
      <c r="G160" s="9">
        <v>12562</v>
      </c>
    </row>
    <row r="161" spans="1:7" ht="15.75" customHeight="1">
      <c r="A161" s="5">
        <v>45817</v>
      </c>
      <c r="B161" s="1" t="s">
        <v>13</v>
      </c>
      <c r="C161" s="9">
        <v>917</v>
      </c>
      <c r="D161" s="9">
        <v>187</v>
      </c>
      <c r="E161" s="9">
        <v>64444</v>
      </c>
      <c r="F161" s="7">
        <v>5.22</v>
      </c>
      <c r="G161" s="9">
        <v>13013</v>
      </c>
    </row>
    <row r="162" spans="1:7" ht="15.75" customHeight="1">
      <c r="A162" s="5">
        <v>45817</v>
      </c>
      <c r="B162" s="1" t="s">
        <v>22</v>
      </c>
      <c r="C162" s="9">
        <v>810</v>
      </c>
      <c r="D162" s="9">
        <v>232</v>
      </c>
      <c r="E162" s="9">
        <v>362559</v>
      </c>
      <c r="F162" s="7">
        <v>5.17</v>
      </c>
      <c r="G162" s="9">
        <v>12937</v>
      </c>
    </row>
    <row r="163" spans="1:7" ht="15.75" customHeight="1">
      <c r="A163" s="5">
        <v>45817</v>
      </c>
      <c r="B163" s="1" t="s">
        <v>27</v>
      </c>
      <c r="C163" s="9">
        <v>1183</v>
      </c>
      <c r="D163" s="9">
        <v>248</v>
      </c>
      <c r="E163" s="9">
        <v>226881</v>
      </c>
      <c r="F163" s="7">
        <v>5.17</v>
      </c>
      <c r="G163" s="9">
        <v>14534</v>
      </c>
    </row>
    <row r="164" spans="1:7" ht="15.75" customHeight="1">
      <c r="A164" s="5">
        <v>45824</v>
      </c>
      <c r="B164" s="1" t="s">
        <v>13</v>
      </c>
      <c r="C164" s="9">
        <v>765</v>
      </c>
      <c r="D164" s="9">
        <v>67</v>
      </c>
      <c r="E164" s="9">
        <v>283537</v>
      </c>
      <c r="F164" s="7">
        <v>6.18</v>
      </c>
      <c r="G164" s="9">
        <v>8182</v>
      </c>
    </row>
    <row r="165" spans="1:7" ht="15.75" customHeight="1">
      <c r="A165" s="5">
        <v>45824</v>
      </c>
      <c r="B165" s="1" t="s">
        <v>22</v>
      </c>
      <c r="C165" s="9">
        <v>540</v>
      </c>
      <c r="D165" s="9">
        <v>215</v>
      </c>
      <c r="E165" s="9">
        <v>62837</v>
      </c>
      <c r="F165" s="7">
        <v>5.3</v>
      </c>
      <c r="G165" s="9">
        <v>10615</v>
      </c>
    </row>
    <row r="166" spans="1:7" ht="15.75" customHeight="1">
      <c r="A166" s="5">
        <v>45824</v>
      </c>
      <c r="B166" s="1" t="s">
        <v>27</v>
      </c>
      <c r="C166" s="9">
        <v>1145</v>
      </c>
      <c r="D166" s="9">
        <v>151</v>
      </c>
      <c r="E166" s="9">
        <v>182759</v>
      </c>
      <c r="F166" s="7">
        <v>5.99</v>
      </c>
      <c r="G166" s="9">
        <v>20109</v>
      </c>
    </row>
    <row r="167" spans="1:7" ht="15.75" customHeight="1">
      <c r="A167" s="5">
        <v>45831</v>
      </c>
      <c r="B167" s="1" t="s">
        <v>13</v>
      </c>
      <c r="C167" s="9">
        <v>564</v>
      </c>
      <c r="D167" s="9">
        <v>244</v>
      </c>
      <c r="E167" s="9">
        <v>279405</v>
      </c>
      <c r="F167" s="7">
        <v>8.43</v>
      </c>
      <c r="G167" s="9">
        <v>26024</v>
      </c>
    </row>
    <row r="168" spans="1:7" ht="15.75" customHeight="1">
      <c r="A168" s="5">
        <v>45831</v>
      </c>
      <c r="B168" s="1" t="s">
        <v>22</v>
      </c>
      <c r="C168" s="9">
        <v>668</v>
      </c>
      <c r="D168" s="9">
        <v>124</v>
      </c>
      <c r="E168" s="9">
        <v>257485</v>
      </c>
      <c r="F168" s="7">
        <v>7.55</v>
      </c>
      <c r="G168" s="9">
        <v>26730</v>
      </c>
    </row>
    <row r="169" spans="1:7" ht="15.75" customHeight="1">
      <c r="A169" s="5">
        <v>45831</v>
      </c>
      <c r="B169" s="1" t="s">
        <v>27</v>
      </c>
      <c r="C169" s="9">
        <v>761</v>
      </c>
      <c r="D169" s="9">
        <v>241</v>
      </c>
      <c r="E169" s="9">
        <v>154977</v>
      </c>
      <c r="F169" s="7">
        <v>5.63</v>
      </c>
      <c r="G169" s="9">
        <v>10563</v>
      </c>
    </row>
    <row r="170" spans="1:7" ht="15.75" customHeight="1">
      <c r="A170" s="5">
        <v>45838</v>
      </c>
      <c r="B170" s="1" t="s">
        <v>13</v>
      </c>
      <c r="C170" s="9">
        <v>593</v>
      </c>
      <c r="D170" s="9">
        <v>108</v>
      </c>
      <c r="E170" s="9">
        <v>216500</v>
      </c>
      <c r="F170" s="7">
        <v>4.71</v>
      </c>
      <c r="G170" s="9">
        <v>27575</v>
      </c>
    </row>
    <row r="171" spans="1:7" ht="15.75" customHeight="1">
      <c r="A171" s="5">
        <v>45838</v>
      </c>
      <c r="B171" s="1" t="s">
        <v>22</v>
      </c>
      <c r="C171" s="9">
        <v>1349</v>
      </c>
      <c r="D171" s="9">
        <v>115</v>
      </c>
      <c r="E171" s="9">
        <v>102102</v>
      </c>
      <c r="F171" s="7">
        <v>5.28</v>
      </c>
      <c r="G171" s="9">
        <v>14479</v>
      </c>
    </row>
    <row r="172" spans="1:7" ht="15.75" customHeight="1">
      <c r="A172" s="5">
        <v>45838</v>
      </c>
      <c r="B172" s="1" t="s">
        <v>27</v>
      </c>
      <c r="C172" s="9">
        <v>693</v>
      </c>
      <c r="D172" s="9">
        <v>97</v>
      </c>
      <c r="E172" s="9">
        <v>92025</v>
      </c>
      <c r="F172" s="7">
        <v>5.95</v>
      </c>
      <c r="G172" s="9">
        <v>15915</v>
      </c>
    </row>
    <row r="173" spans="1:7" ht="15.75" customHeight="1">
      <c r="A173" s="5">
        <v>45845</v>
      </c>
      <c r="B173" s="1" t="s">
        <v>13</v>
      </c>
      <c r="C173" s="9">
        <v>974</v>
      </c>
      <c r="D173" s="9">
        <v>143</v>
      </c>
      <c r="E173" s="9">
        <v>247965</v>
      </c>
      <c r="F173" s="7">
        <v>9.98</v>
      </c>
      <c r="G173" s="9">
        <v>12767</v>
      </c>
    </row>
    <row r="174" spans="1:7" ht="15.75" customHeight="1">
      <c r="A174" s="5">
        <v>45845</v>
      </c>
      <c r="B174" s="1" t="s">
        <v>22</v>
      </c>
      <c r="C174" s="9">
        <v>1155</v>
      </c>
      <c r="D174" s="9">
        <v>122</v>
      </c>
      <c r="E174" s="9">
        <v>387352</v>
      </c>
      <c r="F174" s="7">
        <v>9.93</v>
      </c>
      <c r="G174" s="9">
        <v>12170</v>
      </c>
    </row>
    <row r="175" spans="1:7" ht="15.75" customHeight="1">
      <c r="A175" s="5">
        <v>45845</v>
      </c>
      <c r="B175" s="1" t="s">
        <v>27</v>
      </c>
      <c r="C175" s="9">
        <v>1051</v>
      </c>
      <c r="D175" s="9">
        <v>246</v>
      </c>
      <c r="E175" s="9">
        <v>253985</v>
      </c>
      <c r="F175" s="7">
        <v>9.08</v>
      </c>
      <c r="G175" s="9">
        <v>7245</v>
      </c>
    </row>
    <row r="176" spans="1:7" ht="15.75" customHeight="1">
      <c r="A176" s="5">
        <v>45852</v>
      </c>
      <c r="B176" s="1" t="s">
        <v>13</v>
      </c>
      <c r="C176" s="9">
        <v>1457</v>
      </c>
      <c r="D176" s="9">
        <v>183</v>
      </c>
      <c r="E176" s="9">
        <v>129640</v>
      </c>
      <c r="F176" s="7">
        <v>7.98</v>
      </c>
      <c r="G176" s="9">
        <v>12985</v>
      </c>
    </row>
    <row r="177" spans="1:7" ht="15.75" customHeight="1">
      <c r="A177" s="5">
        <v>45852</v>
      </c>
      <c r="B177" s="1" t="s">
        <v>22</v>
      </c>
      <c r="C177" s="9">
        <v>670</v>
      </c>
      <c r="D177" s="9">
        <v>242</v>
      </c>
      <c r="E177" s="9">
        <v>281913</v>
      </c>
      <c r="F177" s="7">
        <v>9.6199999999999992</v>
      </c>
      <c r="G177" s="9">
        <v>16377</v>
      </c>
    </row>
    <row r="178" spans="1:7" ht="15.75" customHeight="1">
      <c r="A178" s="5">
        <v>45852</v>
      </c>
      <c r="B178" s="1" t="s">
        <v>27</v>
      </c>
      <c r="C178" s="9">
        <v>1111</v>
      </c>
      <c r="D178" s="9">
        <v>159</v>
      </c>
      <c r="E178" s="9">
        <v>360770</v>
      </c>
      <c r="F178" s="7">
        <v>8.7100000000000009</v>
      </c>
      <c r="G178" s="9">
        <v>11453</v>
      </c>
    </row>
    <row r="179" spans="1:7" ht="15.75" customHeight="1">
      <c r="A179" s="5">
        <v>45859</v>
      </c>
      <c r="B179" s="1" t="s">
        <v>13</v>
      </c>
      <c r="C179" s="9">
        <v>1197</v>
      </c>
      <c r="D179" s="9">
        <v>246</v>
      </c>
      <c r="E179" s="9">
        <v>127273</v>
      </c>
      <c r="F179" s="7">
        <v>6.69</v>
      </c>
      <c r="G179" s="9">
        <v>12323</v>
      </c>
    </row>
    <row r="180" spans="1:7" ht="15.75" customHeight="1">
      <c r="A180" s="5">
        <v>45859</v>
      </c>
      <c r="B180" s="1" t="s">
        <v>22</v>
      </c>
      <c r="C180" s="9">
        <v>754</v>
      </c>
      <c r="D180" s="9">
        <v>150</v>
      </c>
      <c r="E180" s="9">
        <v>189622</v>
      </c>
      <c r="F180" s="7">
        <v>4.25</v>
      </c>
      <c r="G180" s="9">
        <v>11911</v>
      </c>
    </row>
    <row r="181" spans="1:7" ht="15.75" customHeight="1">
      <c r="A181" s="5">
        <v>45859</v>
      </c>
      <c r="B181" s="1" t="s">
        <v>27</v>
      </c>
      <c r="C181" s="9">
        <v>1246</v>
      </c>
      <c r="D181" s="9">
        <v>107</v>
      </c>
      <c r="E181" s="9">
        <v>350949</v>
      </c>
      <c r="F181" s="7">
        <v>4.9800000000000004</v>
      </c>
      <c r="G181" s="9">
        <v>27809</v>
      </c>
    </row>
    <row r="182" spans="1:7" ht="15.75" customHeight="1">
      <c r="A182" s="5">
        <v>45866</v>
      </c>
      <c r="B182" s="1" t="s">
        <v>13</v>
      </c>
      <c r="C182" s="9">
        <v>780</v>
      </c>
      <c r="D182" s="9">
        <v>213</v>
      </c>
      <c r="E182" s="9">
        <v>121431</v>
      </c>
      <c r="F182" s="7">
        <v>4.97</v>
      </c>
      <c r="G182" s="9">
        <v>21464</v>
      </c>
    </row>
    <row r="183" spans="1:7" ht="15.75" customHeight="1">
      <c r="A183" s="5">
        <v>45866</v>
      </c>
      <c r="B183" s="1" t="s">
        <v>22</v>
      </c>
      <c r="C183" s="9">
        <v>1425</v>
      </c>
      <c r="D183" s="9">
        <v>143</v>
      </c>
      <c r="E183" s="9">
        <v>116742</v>
      </c>
      <c r="F183" s="7">
        <v>3.71</v>
      </c>
      <c r="G183" s="9">
        <v>27126</v>
      </c>
    </row>
    <row r="184" spans="1:7" ht="15.75" customHeight="1">
      <c r="A184" s="5">
        <v>45866</v>
      </c>
      <c r="B184" s="1" t="s">
        <v>27</v>
      </c>
      <c r="C184" s="9">
        <v>1490</v>
      </c>
      <c r="D184" s="9">
        <v>103</v>
      </c>
      <c r="E184" s="9">
        <v>81184</v>
      </c>
      <c r="F184" s="7">
        <v>7.79</v>
      </c>
      <c r="G184" s="9">
        <v>10681</v>
      </c>
    </row>
    <row r="185" spans="1:7" ht="15.75" customHeight="1">
      <c r="A185" s="5">
        <v>45873</v>
      </c>
      <c r="B185" s="1" t="s">
        <v>13</v>
      </c>
      <c r="C185" s="9">
        <v>949</v>
      </c>
      <c r="D185" s="9">
        <v>282</v>
      </c>
      <c r="E185" s="9">
        <v>87126</v>
      </c>
      <c r="F185" s="7">
        <v>4.96</v>
      </c>
      <c r="G185" s="9">
        <v>5413</v>
      </c>
    </row>
    <row r="186" spans="1:7" ht="15.75" customHeight="1">
      <c r="A186" s="5">
        <v>45873</v>
      </c>
      <c r="B186" s="1" t="s">
        <v>22</v>
      </c>
      <c r="C186" s="9">
        <v>640</v>
      </c>
      <c r="D186" s="9">
        <v>141</v>
      </c>
      <c r="E186" s="9">
        <v>267546</v>
      </c>
      <c r="F186" s="7">
        <v>8.58</v>
      </c>
      <c r="G186" s="9">
        <v>25058</v>
      </c>
    </row>
    <row r="187" spans="1:7" ht="15.75" customHeight="1">
      <c r="A187" s="5">
        <v>45873</v>
      </c>
      <c r="B187" s="1" t="s">
        <v>27</v>
      </c>
      <c r="C187" s="9">
        <v>616</v>
      </c>
      <c r="D187" s="9">
        <v>93</v>
      </c>
      <c r="E187" s="9">
        <v>133082</v>
      </c>
      <c r="F187" s="7">
        <v>8.51</v>
      </c>
      <c r="G187" s="9">
        <v>18303</v>
      </c>
    </row>
    <row r="188" spans="1:7" ht="15.75" customHeight="1">
      <c r="A188" s="5">
        <v>45880</v>
      </c>
      <c r="B188" s="1" t="s">
        <v>13</v>
      </c>
      <c r="C188" s="9">
        <v>1080</v>
      </c>
      <c r="D188" s="9">
        <v>184</v>
      </c>
      <c r="E188" s="9">
        <v>340557</v>
      </c>
      <c r="F188" s="7">
        <v>5.41</v>
      </c>
      <c r="G188" s="9">
        <v>5526</v>
      </c>
    </row>
    <row r="189" spans="1:7" ht="15.75" customHeight="1">
      <c r="A189" s="5">
        <v>45880</v>
      </c>
      <c r="B189" s="1" t="s">
        <v>22</v>
      </c>
      <c r="C189" s="9">
        <v>938</v>
      </c>
      <c r="D189" s="9">
        <v>236</v>
      </c>
      <c r="E189" s="9">
        <v>116472</v>
      </c>
      <c r="F189" s="7">
        <v>8.7200000000000006</v>
      </c>
      <c r="G189" s="9">
        <v>17460</v>
      </c>
    </row>
    <row r="190" spans="1:7" ht="15.75" customHeight="1">
      <c r="A190" s="5">
        <v>45880</v>
      </c>
      <c r="B190" s="1" t="s">
        <v>27</v>
      </c>
      <c r="C190" s="9">
        <v>1007</v>
      </c>
      <c r="D190" s="9">
        <v>258</v>
      </c>
      <c r="E190" s="9">
        <v>113412</v>
      </c>
      <c r="F190" s="7">
        <v>7.71</v>
      </c>
      <c r="G190" s="9">
        <v>14475</v>
      </c>
    </row>
    <row r="191" spans="1:7" ht="15.75" customHeight="1">
      <c r="A191" s="5">
        <v>45887</v>
      </c>
      <c r="B191" s="1" t="s">
        <v>13</v>
      </c>
      <c r="C191" s="9">
        <v>541</v>
      </c>
      <c r="D191" s="9">
        <v>208</v>
      </c>
      <c r="E191" s="9">
        <v>157547</v>
      </c>
      <c r="F191" s="7">
        <v>8.35</v>
      </c>
      <c r="G191" s="9">
        <v>20162</v>
      </c>
    </row>
    <row r="192" spans="1:7" ht="15.75" customHeight="1">
      <c r="A192" s="5">
        <v>45887</v>
      </c>
      <c r="B192" s="1" t="s">
        <v>22</v>
      </c>
      <c r="C192" s="9">
        <v>745</v>
      </c>
      <c r="D192" s="9">
        <v>98</v>
      </c>
      <c r="E192" s="9">
        <v>354816</v>
      </c>
      <c r="F192" s="7">
        <v>4.03</v>
      </c>
      <c r="G192" s="9">
        <v>17103</v>
      </c>
    </row>
    <row r="193" spans="1:7" ht="15.75" customHeight="1">
      <c r="A193" s="5">
        <v>45887</v>
      </c>
      <c r="B193" s="1" t="s">
        <v>27</v>
      </c>
      <c r="C193" s="9">
        <v>936</v>
      </c>
      <c r="D193" s="9">
        <v>97</v>
      </c>
      <c r="E193" s="9">
        <v>151799</v>
      </c>
      <c r="F193" s="7">
        <v>9.3699999999999992</v>
      </c>
      <c r="G193" s="9">
        <v>15461</v>
      </c>
    </row>
    <row r="194" spans="1:7" ht="15.75" customHeight="1">
      <c r="A194" s="5">
        <v>45894</v>
      </c>
      <c r="B194" s="1" t="s">
        <v>13</v>
      </c>
      <c r="C194" s="9">
        <v>1183</v>
      </c>
      <c r="D194" s="9">
        <v>223</v>
      </c>
      <c r="E194" s="9">
        <v>143811</v>
      </c>
      <c r="F194" s="7">
        <v>6.07</v>
      </c>
      <c r="G194" s="9">
        <v>22103</v>
      </c>
    </row>
    <row r="195" spans="1:7" ht="15.75" customHeight="1">
      <c r="A195" s="5">
        <v>45894</v>
      </c>
      <c r="B195" s="1" t="s">
        <v>22</v>
      </c>
      <c r="C195" s="9">
        <v>1413</v>
      </c>
      <c r="D195" s="9">
        <v>245</v>
      </c>
      <c r="E195" s="9">
        <v>296450</v>
      </c>
      <c r="F195" s="7">
        <v>6.52</v>
      </c>
      <c r="G195" s="9">
        <v>11625</v>
      </c>
    </row>
    <row r="196" spans="1:7" ht="15.75" customHeight="1">
      <c r="A196" s="5">
        <v>45894</v>
      </c>
      <c r="B196" s="1" t="s">
        <v>27</v>
      </c>
      <c r="C196" s="9">
        <v>791</v>
      </c>
      <c r="D196" s="9">
        <v>273</v>
      </c>
      <c r="E196" s="9">
        <v>144049</v>
      </c>
      <c r="F196" s="7">
        <v>3.08</v>
      </c>
      <c r="G196" s="9">
        <v>5281</v>
      </c>
    </row>
    <row r="197" spans="1:7" ht="15.75" customHeight="1">
      <c r="A197" s="5">
        <v>45901</v>
      </c>
      <c r="B197" s="1" t="s">
        <v>13</v>
      </c>
      <c r="C197" s="9">
        <v>1052</v>
      </c>
      <c r="D197" s="9">
        <v>180</v>
      </c>
      <c r="E197" s="9">
        <v>272534</v>
      </c>
      <c r="F197" s="7">
        <v>5.34</v>
      </c>
      <c r="G197" s="9">
        <v>13424</v>
      </c>
    </row>
    <row r="198" spans="1:7" ht="15.75" customHeight="1">
      <c r="A198" s="5">
        <v>45901</v>
      </c>
      <c r="B198" s="1" t="s">
        <v>22</v>
      </c>
      <c r="C198" s="9">
        <v>572</v>
      </c>
      <c r="D198" s="9">
        <v>270</v>
      </c>
      <c r="E198" s="9">
        <v>82265</v>
      </c>
      <c r="F198" s="7">
        <v>3.65</v>
      </c>
      <c r="G198" s="9">
        <v>13140</v>
      </c>
    </row>
    <row r="199" spans="1:7" ht="15.75" customHeight="1">
      <c r="A199" s="5">
        <v>45901</v>
      </c>
      <c r="B199" s="1" t="s">
        <v>27</v>
      </c>
      <c r="C199" s="9">
        <v>503</v>
      </c>
      <c r="D199" s="9">
        <v>253</v>
      </c>
      <c r="E199" s="9">
        <v>313562</v>
      </c>
      <c r="F199" s="7">
        <v>4.18</v>
      </c>
      <c r="G199" s="9">
        <v>19538</v>
      </c>
    </row>
    <row r="200" spans="1:7" ht="15.75" customHeight="1">
      <c r="A200" s="5">
        <v>45908</v>
      </c>
      <c r="B200" s="1" t="s">
        <v>13</v>
      </c>
      <c r="C200" s="9">
        <v>1017</v>
      </c>
      <c r="D200" s="9">
        <v>197</v>
      </c>
      <c r="E200" s="9">
        <v>89918</v>
      </c>
      <c r="F200" s="7">
        <v>3.91</v>
      </c>
      <c r="G200" s="9">
        <v>7881</v>
      </c>
    </row>
    <row r="201" spans="1:7" ht="15.75" customHeight="1">
      <c r="A201" s="5">
        <v>45908</v>
      </c>
      <c r="B201" s="1" t="s">
        <v>22</v>
      </c>
      <c r="C201" s="9">
        <v>860</v>
      </c>
      <c r="D201" s="9">
        <v>244</v>
      </c>
      <c r="E201" s="9">
        <v>348686</v>
      </c>
      <c r="F201" s="7">
        <v>5.12</v>
      </c>
      <c r="G201" s="9">
        <v>11418</v>
      </c>
    </row>
    <row r="202" spans="1:7" ht="15.75" customHeight="1"/>
    <row r="203" spans="1:7" ht="15.75" customHeight="1"/>
    <row r="204" spans="1:7" ht="15.75" customHeight="1"/>
    <row r="205" spans="1:7" ht="15.75" customHeight="1"/>
    <row r="206" spans="1:7" ht="15.75" customHeight="1"/>
    <row r="207" spans="1:7" ht="15.75" customHeight="1"/>
    <row r="208" spans="1:7"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9F52B-495F-4B38-B68A-9A501FC76722}">
  <dimension ref="A1:Q1000"/>
  <sheetViews>
    <sheetView topLeftCell="I1" zoomScale="85" zoomScaleNormal="85" workbookViewId="0">
      <pane ySplit="1" topLeftCell="A11" activePane="bottomLeft" state="frozen"/>
      <selection pane="bottomLeft" activeCell="T19" sqref="T19"/>
    </sheetView>
  </sheetViews>
  <sheetFormatPr defaultColWidth="14.42578125" defaultRowHeight="15" customHeight="1"/>
  <cols>
    <col min="1" max="1" width="23.28515625" style="43" bestFit="1" customWidth="1"/>
    <col min="2" max="2" width="14" style="2" bestFit="1" customWidth="1"/>
    <col min="3" max="3" width="21.140625" style="10" bestFit="1" customWidth="1"/>
    <col min="4" max="4" width="15.5703125" style="10" bestFit="1" customWidth="1"/>
    <col min="5" max="5" width="22" style="10" bestFit="1" customWidth="1"/>
    <col min="6" max="6" width="24.42578125" style="8" bestFit="1" customWidth="1"/>
    <col min="7" max="7" width="15.85546875" style="10" bestFit="1" customWidth="1"/>
    <col min="8" max="8" width="23.85546875" style="2" bestFit="1" customWidth="1"/>
    <col min="9" max="10" width="23.85546875" style="2" customWidth="1"/>
    <col min="11" max="11" width="14.85546875" style="2" bestFit="1" customWidth="1"/>
    <col min="12" max="12" width="14.28515625" style="2" bestFit="1" customWidth="1"/>
    <col min="13" max="13" width="11.140625" style="2" customWidth="1"/>
    <col min="14" max="14" width="19" style="2" bestFit="1" customWidth="1"/>
    <col min="15" max="15" width="21.85546875" style="2" bestFit="1" customWidth="1"/>
    <col min="16" max="16" width="18.85546875" style="2" bestFit="1" customWidth="1"/>
    <col min="17" max="27" width="8.7109375" style="2" customWidth="1"/>
    <col min="28" max="16384" width="14.42578125" style="2"/>
  </cols>
  <sheetData>
    <row r="1" spans="1:17">
      <c r="A1" s="1" t="s">
        <v>331</v>
      </c>
      <c r="B1" s="1" t="s">
        <v>1</v>
      </c>
      <c r="C1" s="9" t="s">
        <v>332</v>
      </c>
      <c r="D1" s="9" t="s">
        <v>333</v>
      </c>
      <c r="E1" s="9" t="s">
        <v>334</v>
      </c>
      <c r="F1" s="7" t="s">
        <v>335</v>
      </c>
      <c r="G1" s="9" t="s">
        <v>336</v>
      </c>
      <c r="H1" s="9" t="s">
        <v>385</v>
      </c>
      <c r="I1" s="9"/>
      <c r="J1" s="9"/>
    </row>
    <row r="2" spans="1:17">
      <c r="A2" s="42">
        <v>45446</v>
      </c>
      <c r="B2" s="1" t="s">
        <v>13</v>
      </c>
      <c r="C2" s="9">
        <v>1402</v>
      </c>
      <c r="D2" s="9">
        <v>68</v>
      </c>
      <c r="E2" s="9">
        <v>124562</v>
      </c>
      <c r="F2" s="7">
        <v>9.92</v>
      </c>
      <c r="G2" s="9">
        <v>23125</v>
      </c>
      <c r="H2" s="9">
        <f>(tbl_summary[[#This Row],[Engagement_Rate]]/100)*tbl_summary[[#This Row],[Total_Followers]]</f>
        <v>12356.5504</v>
      </c>
      <c r="I2" s="9"/>
      <c r="J2" s="9"/>
      <c r="K2" s="23"/>
    </row>
    <row r="3" spans="1:17">
      <c r="A3" s="42">
        <v>45446</v>
      </c>
      <c r="B3" s="1" t="s">
        <v>22</v>
      </c>
      <c r="C3" s="9">
        <v>995</v>
      </c>
      <c r="D3" s="9">
        <v>86</v>
      </c>
      <c r="E3" s="9">
        <v>227958</v>
      </c>
      <c r="F3" s="7">
        <v>8.0500000000000007</v>
      </c>
      <c r="G3" s="9">
        <v>22788</v>
      </c>
      <c r="H3" s="9">
        <f>(tbl_summary[[#This Row],[Engagement_Rate]]/100)*tbl_summary[[#This Row],[Total_Followers]]</f>
        <v>18350.618999999999</v>
      </c>
      <c r="I3" s="9"/>
      <c r="J3" s="9"/>
      <c r="K3" s="48" t="s">
        <v>388</v>
      </c>
      <c r="L3" s="48" t="s">
        <v>386</v>
      </c>
      <c r="M3" s="48" t="s">
        <v>387</v>
      </c>
      <c r="N3" s="48" t="s">
        <v>1</v>
      </c>
      <c r="O3" s="48" t="s">
        <v>377</v>
      </c>
      <c r="P3" s="48" t="s">
        <v>389</v>
      </c>
      <c r="Q3" s="48" t="s">
        <v>384</v>
      </c>
    </row>
    <row r="4" spans="1:17">
      <c r="A4" s="42">
        <v>45446</v>
      </c>
      <c r="B4" s="1" t="s">
        <v>27</v>
      </c>
      <c r="C4" s="9">
        <v>1472</v>
      </c>
      <c r="D4" s="9">
        <v>296</v>
      </c>
      <c r="E4" s="9">
        <v>370242</v>
      </c>
      <c r="F4" s="7">
        <v>7.72</v>
      </c>
      <c r="G4" s="9">
        <v>7810</v>
      </c>
      <c r="H4" s="9">
        <f>(tbl_summary[[#This Row],[Engagement_Rate]]/100)*tbl_summary[[#This Row],[Total_Followers]]</f>
        <v>28582.682399999998</v>
      </c>
      <c r="I4" s="9"/>
      <c r="J4" s="9"/>
      <c r="K4" s="36" t="s">
        <v>16</v>
      </c>
      <c r="L4" s="39">
        <v>45667</v>
      </c>
      <c r="M4" s="39">
        <v>45698</v>
      </c>
      <c r="N4" s="36" t="s">
        <v>353</v>
      </c>
      <c r="O4" s="36">
        <f>SUMIFS(tbl_summary[Engagement Rate],tbl_summary[Week_Start_Date],"&gt;="&amp;$L4,tbl_summary[Week_Start_Date],"&lt;=" &amp; $M4,tbl_summary[Platform],"Instagram")+SUMIFS(tbl_summary[Engagement Rate],tbl_summary[Week_Start_Date],"&gt;=" &amp;$L4,tbl_summary[Week_Start_Date],"&lt;=" &amp; $M4,tbl_summary[Platform],"Twitter")</f>
        <v>178421.35019999999</v>
      </c>
      <c r="P4" s="36">
        <f>SUMIFS(tbl_summary[Ad_Spend],tbl_summary[Week_Start_Date],"&gt;="&amp;$L4,tbl_summary[Week_Start_Date],"&lt;=" &amp; $M4,tbl_summary[Platform],"Twitter")+SUMIFS(tbl_summary[Ad_Spend],tbl_summary[Week_Start_Date],"&gt;=" &amp;$L4,tbl_summary[Week_Start_Date],"&lt;=" &amp; $M4,tbl_summary[Platform],"YouTube")</f>
        <v>133793</v>
      </c>
      <c r="Q4" s="36">
        <f>Table9[[#This Row],[Total Engagement]]/Table9[[#This Row],[Total ad spend]]</f>
        <v>1.3335626691979401</v>
      </c>
    </row>
    <row r="5" spans="1:17">
      <c r="A5" s="42">
        <v>45453</v>
      </c>
      <c r="B5" s="1" t="s">
        <v>13</v>
      </c>
      <c r="C5" s="9">
        <v>1018</v>
      </c>
      <c r="D5" s="9">
        <v>90</v>
      </c>
      <c r="E5" s="9">
        <v>92474</v>
      </c>
      <c r="F5" s="7">
        <v>9.4</v>
      </c>
      <c r="G5" s="9">
        <v>11966</v>
      </c>
      <c r="H5" s="9">
        <f>(tbl_summary[[#This Row],[Engagement_Rate]]/100)*tbl_summary[[#This Row],[Total_Followers]]</f>
        <v>8692.5560000000005</v>
      </c>
      <c r="I5" s="9"/>
      <c r="J5" s="9"/>
      <c r="K5" s="37" t="s">
        <v>46</v>
      </c>
      <c r="L5" s="40">
        <v>45627</v>
      </c>
      <c r="M5" s="40">
        <v>45657</v>
      </c>
      <c r="N5" s="37" t="s">
        <v>349</v>
      </c>
      <c r="O5" s="8">
        <f>SUMIFS(tbl_summary[Engagement Rate],tbl_summary[Week_Start_Date],"&gt;="&amp;$L$5,tbl_summary[Week_Start_Date],"&lt;=" &amp; $M$5,tbl_summary[Platform],"Twitter")+SUMIFS(tbl_summary[Engagement Rate],tbl_summary[Week_Start_Date],"&gt;=" &amp;$L$5,tbl_summary[Week_Start_Date],"&lt;=" &amp; $M$5,tbl_summary[Platform],"YouTube")</f>
        <v>129797.1283</v>
      </c>
      <c r="P5" s="8">
        <f>SUMIFS(tbl_summary[Ad_Spend],tbl_summary[Week_Start_Date],"&gt;="&amp;$L5,tbl_summary[Week_Start_Date],"&lt;=" &amp; $M5,tbl_summary[Platform],"Twitter")+SUMIFS(tbl_summary[Ad_Spend],tbl_summary[Week_Start_Date],"&gt;=" &amp;$L5,tbl_summary[Week_Start_Date],"&lt;=" &amp; $M5,tbl_summary[Platform],"YouTube")</f>
        <v>143172</v>
      </c>
      <c r="Q5" s="2">
        <f>Table9[[#This Row],[Total Engagement]]/Table9[[#This Row],[Total ad spend]]</f>
        <v>0.9065817918308049</v>
      </c>
    </row>
    <row r="6" spans="1:17">
      <c r="A6" s="42">
        <v>45453</v>
      </c>
      <c r="B6" s="1" t="s">
        <v>22</v>
      </c>
      <c r="C6" s="9">
        <v>1461</v>
      </c>
      <c r="D6" s="9">
        <v>64</v>
      </c>
      <c r="E6" s="9">
        <v>328902</v>
      </c>
      <c r="F6" s="7">
        <v>9.02</v>
      </c>
      <c r="G6" s="9">
        <v>26298</v>
      </c>
      <c r="H6" s="9">
        <f>(tbl_summary[[#This Row],[Engagement_Rate]]/100)*tbl_summary[[#This Row],[Total_Followers]]</f>
        <v>29666.9604</v>
      </c>
      <c r="I6" s="9"/>
      <c r="J6" s="9"/>
      <c r="K6" s="36" t="s">
        <v>49</v>
      </c>
      <c r="L6" s="39">
        <v>45458</v>
      </c>
      <c r="M6" s="39">
        <v>45488</v>
      </c>
      <c r="N6" s="36" t="s">
        <v>345</v>
      </c>
      <c r="O6" s="36">
        <f>SUMIFS(tbl_summary[Engagement Rate],tbl_summary[Week_Start_Date],"&gt;="&amp;$L6,tbl_summary[Week_Start_Date],"&lt;=" &amp; $M6,tbl_summary[Platform],"Twitter")+SUMIFS(tbl_summary[Engagement Rate],tbl_summary[Week_Start_Date],"&gt;=" &amp;$L6,tbl_summary[Week_Start_Date],"&lt;=" &amp; $M6,tbl_summary[Platform],"YouTube")</f>
        <v>138182.0128</v>
      </c>
      <c r="P6" s="36">
        <f>SUMIFS(tbl_summary[Ad_Spend],tbl_summary[Week_Start_Date],"&gt;="&amp;$L6,tbl_summary[Week_Start_Date],"&lt;=" &amp; $M6,tbl_summary[Platform],"Twitter")+SUMIFS(tbl_summary[Ad_Spend],tbl_summary[Week_Start_Date],"&gt;=" &amp;$L6,tbl_summary[Week_Start_Date],"&lt;=" &amp; $M6,tbl_summary[Platform],"YouTube")</f>
        <v>174329</v>
      </c>
      <c r="Q6" s="36">
        <f>Table9[[#This Row],[Total Engagement]]/Table9[[#This Row],[Total ad spend]]</f>
        <v>0.79265075116589889</v>
      </c>
    </row>
    <row r="7" spans="1:17">
      <c r="A7" s="42">
        <v>45453</v>
      </c>
      <c r="B7" s="1" t="s">
        <v>27</v>
      </c>
      <c r="C7" s="9">
        <v>545</v>
      </c>
      <c r="D7" s="9">
        <v>93</v>
      </c>
      <c r="E7" s="9">
        <v>391621</v>
      </c>
      <c r="F7" s="7">
        <v>9.9600000000000009</v>
      </c>
      <c r="G7" s="9">
        <v>22029</v>
      </c>
      <c r="H7" s="9">
        <f>(tbl_summary[[#This Row],[Engagement_Rate]]/100)*tbl_summary[[#This Row],[Total_Followers]]</f>
        <v>39005.4516</v>
      </c>
      <c r="I7" s="9"/>
      <c r="J7" s="9"/>
      <c r="K7" s="38" t="s">
        <v>20</v>
      </c>
      <c r="L7" s="41">
        <v>45717</v>
      </c>
      <c r="M7" s="41">
        <v>45747</v>
      </c>
      <c r="N7" s="38" t="s">
        <v>357</v>
      </c>
      <c r="O7" s="8">
        <f>SUMIFS(tbl_summary[Engagement Rate],tbl_summary[Week_Start_Date],"&gt;="&amp;$L7,tbl_summary[Week_Start_Date],"&lt;=" &amp; $M7,tbl_summary[Platform],"Facebook")+SUMIFS(tbl_summary[Engagement Rate],tbl_summary[Week_Start_Date],"&gt;=" &amp;$L7,tbl_summary[Week_Start_Date],"&lt;=" &amp; $M7,tbl_summary[Platform],"Instagram")</f>
        <v>60090.678700000004</v>
      </c>
      <c r="P7" s="8">
        <f>SUMIFS(tbl_summary[Ad_Spend],tbl_summary[Week_Start_Date],"&gt;="&amp;$L7,tbl_summary[Week_Start_Date],"&lt;=" &amp; $M7,tbl_summary[Platform],"Twitter")+SUMIFS(tbl_summary[Ad_Spend],tbl_summary[Week_Start_Date],"&gt;=" &amp;$L7,tbl_summary[Week_Start_Date],"&lt;=" &amp; $M7,tbl_summary[Platform],"YouTube")</f>
        <v>172589</v>
      </c>
      <c r="Q7" s="2">
        <f>Table9[[#This Row],[Total Engagement]]/Table9[[#This Row],[Total ad spend]]</f>
        <v>0.34817212394764441</v>
      </c>
    </row>
    <row r="8" spans="1:17">
      <c r="A8" s="42">
        <v>45460</v>
      </c>
      <c r="B8" s="1" t="s">
        <v>13</v>
      </c>
      <c r="C8" s="9">
        <v>881</v>
      </c>
      <c r="D8" s="9">
        <v>291</v>
      </c>
      <c r="E8" s="9">
        <v>95885</v>
      </c>
      <c r="F8" s="7">
        <v>5.29</v>
      </c>
      <c r="G8" s="9">
        <v>12391</v>
      </c>
      <c r="H8" s="9">
        <f>(tbl_summary[[#This Row],[Engagement_Rate]]/100)*tbl_summary[[#This Row],[Total_Followers]]</f>
        <v>5072.3164999999999</v>
      </c>
      <c r="I8" s="9"/>
      <c r="J8" s="9"/>
    </row>
    <row r="9" spans="1:17">
      <c r="A9" s="42">
        <v>45460</v>
      </c>
      <c r="B9" s="1" t="s">
        <v>22</v>
      </c>
      <c r="C9" s="9">
        <v>1414</v>
      </c>
      <c r="D9" s="9">
        <v>131</v>
      </c>
      <c r="E9" s="9">
        <v>245947</v>
      </c>
      <c r="F9" s="7">
        <v>8.3000000000000007</v>
      </c>
      <c r="G9" s="9">
        <v>14477</v>
      </c>
      <c r="H9" s="9">
        <f>(tbl_summary[[#This Row],[Engagement_Rate]]/100)*tbl_summary[[#This Row],[Total_Followers]]</f>
        <v>20413.601000000002</v>
      </c>
      <c r="I9" s="9"/>
      <c r="J9" s="9"/>
    </row>
    <row r="10" spans="1:17">
      <c r="A10" s="42">
        <v>45460</v>
      </c>
      <c r="B10" s="1" t="s">
        <v>27</v>
      </c>
      <c r="C10" s="9">
        <v>1472</v>
      </c>
      <c r="D10" s="9">
        <v>170</v>
      </c>
      <c r="E10" s="9">
        <v>250428</v>
      </c>
      <c r="F10" s="7">
        <v>4.66</v>
      </c>
      <c r="G10" s="9">
        <v>25040</v>
      </c>
      <c r="H10" s="9">
        <f>(tbl_summary[[#This Row],[Engagement_Rate]]/100)*tbl_summary[[#This Row],[Total_Followers]]</f>
        <v>11669.944800000001</v>
      </c>
      <c r="I10" s="9"/>
      <c r="J10" s="9"/>
    </row>
    <row r="11" spans="1:17">
      <c r="A11" s="42">
        <v>45467</v>
      </c>
      <c r="B11" s="1" t="s">
        <v>13</v>
      </c>
      <c r="C11" s="9">
        <v>809</v>
      </c>
      <c r="D11" s="9">
        <v>197</v>
      </c>
      <c r="E11" s="9">
        <v>87186</v>
      </c>
      <c r="F11" s="7">
        <v>9.48</v>
      </c>
      <c r="G11" s="9">
        <v>22619</v>
      </c>
      <c r="H11" s="9">
        <f>(tbl_summary[[#This Row],[Engagement_Rate]]/100)*tbl_summary[[#This Row],[Total_Followers]]</f>
        <v>8265.2328000000016</v>
      </c>
      <c r="I11" s="9"/>
      <c r="J11" s="9"/>
    </row>
    <row r="12" spans="1:17">
      <c r="A12" s="42">
        <v>45467</v>
      </c>
      <c r="B12" s="1" t="s">
        <v>22</v>
      </c>
      <c r="C12" s="9">
        <v>1371</v>
      </c>
      <c r="D12" s="9">
        <v>250</v>
      </c>
      <c r="E12" s="9">
        <v>128620</v>
      </c>
      <c r="F12" s="7">
        <v>7.11</v>
      </c>
      <c r="G12" s="9">
        <v>12399</v>
      </c>
      <c r="H12" s="9">
        <f>(tbl_summary[[#This Row],[Engagement_Rate]]/100)*tbl_summary[[#This Row],[Total_Followers]]</f>
        <v>9144.8819999999996</v>
      </c>
      <c r="I12" s="9"/>
      <c r="J12" s="9"/>
    </row>
    <row r="13" spans="1:17">
      <c r="A13" s="42">
        <v>45467</v>
      </c>
      <c r="B13" s="1" t="s">
        <v>27</v>
      </c>
      <c r="C13" s="9">
        <v>844</v>
      </c>
      <c r="D13" s="9">
        <v>144</v>
      </c>
      <c r="E13" s="9">
        <v>126015</v>
      </c>
      <c r="F13" s="7">
        <v>9.65</v>
      </c>
      <c r="G13" s="9">
        <v>22456</v>
      </c>
      <c r="H13" s="9">
        <f>(tbl_summary[[#This Row],[Engagement_Rate]]/100)*tbl_summary[[#This Row],[Total_Followers]]</f>
        <v>12160.4475</v>
      </c>
      <c r="I13" s="9"/>
      <c r="J13" s="9"/>
    </row>
    <row r="14" spans="1:17">
      <c r="A14" s="42">
        <v>45474</v>
      </c>
      <c r="B14" s="1" t="s">
        <v>13</v>
      </c>
      <c r="C14" s="9">
        <v>786</v>
      </c>
      <c r="D14" s="9">
        <v>72</v>
      </c>
      <c r="E14" s="9">
        <v>178615</v>
      </c>
      <c r="F14" s="7">
        <v>5.43</v>
      </c>
      <c r="G14" s="9">
        <v>19328</v>
      </c>
      <c r="H14" s="9">
        <f>(tbl_summary[[#This Row],[Engagement_Rate]]/100)*tbl_summary[[#This Row],[Total_Followers]]</f>
        <v>9698.7944999999982</v>
      </c>
      <c r="I14" s="9"/>
      <c r="J14" s="9"/>
    </row>
    <row r="15" spans="1:17">
      <c r="A15" s="42">
        <v>45474</v>
      </c>
      <c r="B15" s="1" t="s">
        <v>22</v>
      </c>
      <c r="C15" s="9">
        <v>845</v>
      </c>
      <c r="D15" s="9">
        <v>250</v>
      </c>
      <c r="E15" s="9">
        <v>218228</v>
      </c>
      <c r="F15" s="7">
        <v>4.5199999999999996</v>
      </c>
      <c r="G15" s="9">
        <v>21107</v>
      </c>
      <c r="H15" s="9">
        <f>(tbl_summary[[#This Row],[Engagement_Rate]]/100)*tbl_summary[[#This Row],[Total_Followers]]</f>
        <v>9863.9056</v>
      </c>
      <c r="I15" s="9"/>
      <c r="J15" s="9"/>
    </row>
    <row r="16" spans="1:17">
      <c r="A16" s="42">
        <v>45474</v>
      </c>
      <c r="B16" s="1" t="s">
        <v>27</v>
      </c>
      <c r="C16" s="9">
        <v>1218</v>
      </c>
      <c r="D16" s="9">
        <v>101</v>
      </c>
      <c r="E16" s="9">
        <v>300397</v>
      </c>
      <c r="F16" s="7">
        <v>4.33</v>
      </c>
      <c r="G16" s="9">
        <v>12277</v>
      </c>
      <c r="H16" s="9">
        <f>(tbl_summary[[#This Row],[Engagement_Rate]]/100)*tbl_summary[[#This Row],[Total_Followers]]</f>
        <v>13007.1901</v>
      </c>
      <c r="I16" s="9"/>
      <c r="J16" s="9"/>
    </row>
    <row r="17" spans="1:10">
      <c r="A17" s="42">
        <v>45481</v>
      </c>
      <c r="B17" s="1" t="s">
        <v>13</v>
      </c>
      <c r="C17" s="9">
        <v>797</v>
      </c>
      <c r="D17" s="9">
        <v>130</v>
      </c>
      <c r="E17" s="9">
        <v>340121</v>
      </c>
      <c r="F17" s="7">
        <v>8.52</v>
      </c>
      <c r="G17" s="9">
        <v>11684</v>
      </c>
      <c r="H17" s="9">
        <f>(tbl_summary[[#This Row],[Engagement_Rate]]/100)*tbl_summary[[#This Row],[Total_Followers]]</f>
        <v>28978.3092</v>
      </c>
      <c r="I17" s="9"/>
      <c r="J17" s="9"/>
    </row>
    <row r="18" spans="1:10">
      <c r="A18" s="42">
        <v>45481</v>
      </c>
      <c r="B18" s="1" t="s">
        <v>22</v>
      </c>
      <c r="C18" s="9">
        <v>1471</v>
      </c>
      <c r="D18" s="9">
        <v>100</v>
      </c>
      <c r="E18" s="9">
        <v>76866</v>
      </c>
      <c r="F18" s="7">
        <v>8.5500000000000007</v>
      </c>
      <c r="G18" s="9">
        <v>14412</v>
      </c>
      <c r="H18" s="9">
        <f>(tbl_summary[[#This Row],[Engagement_Rate]]/100)*tbl_summary[[#This Row],[Total_Followers]]</f>
        <v>6572.0430000000006</v>
      </c>
      <c r="I18" s="9"/>
      <c r="J18" s="9"/>
    </row>
    <row r="19" spans="1:10">
      <c r="A19" s="42">
        <v>45481</v>
      </c>
      <c r="B19" s="1" t="s">
        <v>27</v>
      </c>
      <c r="C19" s="9">
        <v>1253</v>
      </c>
      <c r="D19" s="9">
        <v>136</v>
      </c>
      <c r="E19" s="9">
        <v>193131</v>
      </c>
      <c r="F19" s="7">
        <v>7.99</v>
      </c>
      <c r="G19" s="9">
        <v>15924</v>
      </c>
      <c r="H19" s="9">
        <f>(tbl_summary[[#This Row],[Engagement_Rate]]/100)*tbl_summary[[#This Row],[Total_Followers]]</f>
        <v>15431.1669</v>
      </c>
      <c r="I19" s="9"/>
      <c r="J19" s="9"/>
    </row>
    <row r="20" spans="1:10">
      <c r="A20" s="42">
        <v>45488</v>
      </c>
      <c r="B20" s="1" t="s">
        <v>13</v>
      </c>
      <c r="C20" s="9">
        <v>616</v>
      </c>
      <c r="D20" s="9">
        <v>257</v>
      </c>
      <c r="E20" s="9">
        <v>169665</v>
      </c>
      <c r="F20" s="7">
        <v>6.31</v>
      </c>
      <c r="G20" s="9">
        <v>12390</v>
      </c>
      <c r="H20" s="9">
        <f>(tbl_summary[[#This Row],[Engagement_Rate]]/100)*tbl_summary[[#This Row],[Total_Followers]]</f>
        <v>10705.861499999999</v>
      </c>
      <c r="I20" s="9"/>
      <c r="J20" s="9"/>
    </row>
    <row r="21" spans="1:10" ht="15.75" customHeight="1">
      <c r="A21" s="42">
        <v>45488</v>
      </c>
      <c r="B21" s="1" t="s">
        <v>22</v>
      </c>
      <c r="C21" s="9">
        <v>1308</v>
      </c>
      <c r="D21" s="9">
        <v>210</v>
      </c>
      <c r="E21" s="9">
        <v>263729</v>
      </c>
      <c r="F21" s="7">
        <v>8.5299999999999994</v>
      </c>
      <c r="G21" s="9">
        <v>25742</v>
      </c>
      <c r="H21" s="9">
        <f>(tbl_summary[[#This Row],[Engagement_Rate]]/100)*tbl_summary[[#This Row],[Total_Followers]]</f>
        <v>22496.083699999996</v>
      </c>
      <c r="I21" s="9"/>
      <c r="J21" s="9"/>
    </row>
    <row r="22" spans="1:10" ht="15.75" customHeight="1">
      <c r="A22" s="42">
        <v>45488</v>
      </c>
      <c r="B22" s="1" t="s">
        <v>27</v>
      </c>
      <c r="C22" s="9">
        <v>981</v>
      </c>
      <c r="D22" s="9">
        <v>69</v>
      </c>
      <c r="E22" s="9">
        <v>206921</v>
      </c>
      <c r="F22" s="7">
        <v>8.42</v>
      </c>
      <c r="G22" s="9">
        <v>10495</v>
      </c>
      <c r="H22" s="9">
        <f>(tbl_summary[[#This Row],[Engagement_Rate]]/100)*tbl_summary[[#This Row],[Total_Followers]]</f>
        <v>17422.748199999998</v>
      </c>
      <c r="I22" s="9"/>
      <c r="J22" s="9"/>
    </row>
    <row r="23" spans="1:10" ht="15.75" customHeight="1">
      <c r="A23" s="42">
        <v>45495</v>
      </c>
      <c r="B23" s="1" t="s">
        <v>13</v>
      </c>
      <c r="C23" s="9">
        <v>866</v>
      </c>
      <c r="D23" s="9">
        <v>74</v>
      </c>
      <c r="E23" s="9">
        <v>204121</v>
      </c>
      <c r="F23" s="7">
        <v>9.34</v>
      </c>
      <c r="G23" s="9">
        <v>7797</v>
      </c>
      <c r="H23" s="9">
        <f>(tbl_summary[[#This Row],[Engagement_Rate]]/100)*tbl_summary[[#This Row],[Total_Followers]]</f>
        <v>19064.901399999999</v>
      </c>
      <c r="I23" s="9"/>
      <c r="J23" s="9"/>
    </row>
    <row r="24" spans="1:10" ht="15.75" customHeight="1">
      <c r="A24" s="42">
        <v>45495</v>
      </c>
      <c r="B24" s="1" t="s">
        <v>22</v>
      </c>
      <c r="C24" s="9">
        <v>547</v>
      </c>
      <c r="D24" s="9">
        <v>183</v>
      </c>
      <c r="E24" s="9">
        <v>266350</v>
      </c>
      <c r="F24" s="7">
        <v>5.65</v>
      </c>
      <c r="G24" s="9">
        <v>15595</v>
      </c>
      <c r="H24" s="9">
        <f>(tbl_summary[[#This Row],[Engagement_Rate]]/100)*tbl_summary[[#This Row],[Total_Followers]]</f>
        <v>15048.775</v>
      </c>
      <c r="I24" s="9"/>
      <c r="J24" s="9"/>
    </row>
    <row r="25" spans="1:10" ht="15.75" customHeight="1">
      <c r="A25" s="42">
        <v>45495</v>
      </c>
      <c r="B25" s="1" t="s">
        <v>27</v>
      </c>
      <c r="C25" s="9">
        <v>1241</v>
      </c>
      <c r="D25" s="9">
        <v>116</v>
      </c>
      <c r="E25" s="9">
        <v>380606</v>
      </c>
      <c r="F25" s="7">
        <v>4.2</v>
      </c>
      <c r="G25" s="9">
        <v>24617</v>
      </c>
      <c r="H25" s="9">
        <f>(tbl_summary[[#This Row],[Engagement_Rate]]/100)*tbl_summary[[#This Row],[Total_Followers]]</f>
        <v>15985.452000000001</v>
      </c>
      <c r="I25" s="9"/>
      <c r="J25" s="9"/>
    </row>
    <row r="26" spans="1:10" ht="15.75" customHeight="1">
      <c r="A26" s="42">
        <v>45502</v>
      </c>
      <c r="B26" s="1" t="s">
        <v>13</v>
      </c>
      <c r="C26" s="9">
        <v>973</v>
      </c>
      <c r="D26" s="9">
        <v>104</v>
      </c>
      <c r="E26" s="9">
        <v>376358</v>
      </c>
      <c r="F26" s="7">
        <v>3.87</v>
      </c>
      <c r="G26" s="9">
        <v>9847</v>
      </c>
      <c r="H26" s="9">
        <f>(tbl_summary[[#This Row],[Engagement_Rate]]/100)*tbl_summary[[#This Row],[Total_Followers]]</f>
        <v>14565.054599999999</v>
      </c>
      <c r="I26" s="9"/>
      <c r="J26" s="9"/>
    </row>
    <row r="27" spans="1:10" ht="15.75" customHeight="1">
      <c r="A27" s="42">
        <v>45502</v>
      </c>
      <c r="B27" s="1" t="s">
        <v>22</v>
      </c>
      <c r="C27" s="9">
        <v>611</v>
      </c>
      <c r="D27" s="9">
        <v>197</v>
      </c>
      <c r="E27" s="9">
        <v>79423</v>
      </c>
      <c r="F27" s="7">
        <v>5.82</v>
      </c>
      <c r="G27" s="9">
        <v>13644</v>
      </c>
      <c r="H27" s="9">
        <f>(tbl_summary[[#This Row],[Engagement_Rate]]/100)*tbl_summary[[#This Row],[Total_Followers]]</f>
        <v>4622.4186</v>
      </c>
      <c r="I27" s="9"/>
      <c r="J27" s="9"/>
    </row>
    <row r="28" spans="1:10" ht="15.75" customHeight="1">
      <c r="A28" s="42">
        <v>45502</v>
      </c>
      <c r="B28" s="1" t="s">
        <v>27</v>
      </c>
      <c r="C28" s="9">
        <v>983</v>
      </c>
      <c r="D28" s="9">
        <v>134</v>
      </c>
      <c r="E28" s="9">
        <v>352178</v>
      </c>
      <c r="F28" s="7">
        <v>3.55</v>
      </c>
      <c r="G28" s="9">
        <v>11421</v>
      </c>
      <c r="H28" s="9">
        <f>(tbl_summary[[#This Row],[Engagement_Rate]]/100)*tbl_summary[[#This Row],[Total_Followers]]</f>
        <v>12502.319</v>
      </c>
      <c r="I28" s="9"/>
      <c r="J28" s="9"/>
    </row>
    <row r="29" spans="1:10" ht="15.75" customHeight="1">
      <c r="A29" s="42">
        <v>45509</v>
      </c>
      <c r="B29" s="1" t="s">
        <v>13</v>
      </c>
      <c r="C29" s="9">
        <v>1449</v>
      </c>
      <c r="D29" s="9">
        <v>96</v>
      </c>
      <c r="E29" s="9">
        <v>200636</v>
      </c>
      <c r="F29" s="7">
        <v>9.92</v>
      </c>
      <c r="G29" s="9">
        <v>15613</v>
      </c>
      <c r="H29" s="9">
        <f>(tbl_summary[[#This Row],[Engagement_Rate]]/100)*tbl_summary[[#This Row],[Total_Followers]]</f>
        <v>19903.091199999999</v>
      </c>
      <c r="I29" s="9"/>
      <c r="J29" s="9"/>
    </row>
    <row r="30" spans="1:10" ht="15.75" customHeight="1">
      <c r="A30" s="42">
        <v>45509</v>
      </c>
      <c r="B30" s="1" t="s">
        <v>22</v>
      </c>
      <c r="C30" s="9">
        <v>752</v>
      </c>
      <c r="D30" s="9">
        <v>170</v>
      </c>
      <c r="E30" s="9">
        <v>132756</v>
      </c>
      <c r="F30" s="7">
        <v>8.17</v>
      </c>
      <c r="G30" s="9">
        <v>23900</v>
      </c>
      <c r="H30" s="9">
        <f>(tbl_summary[[#This Row],[Engagement_Rate]]/100)*tbl_summary[[#This Row],[Total_Followers]]</f>
        <v>10846.165199999999</v>
      </c>
      <c r="I30" s="9"/>
      <c r="J30" s="9"/>
    </row>
    <row r="31" spans="1:10" ht="15.75" customHeight="1">
      <c r="A31" s="42">
        <v>45509</v>
      </c>
      <c r="B31" s="1" t="s">
        <v>27</v>
      </c>
      <c r="C31" s="9">
        <v>937</v>
      </c>
      <c r="D31" s="9">
        <v>179</v>
      </c>
      <c r="E31" s="9">
        <v>318098</v>
      </c>
      <c r="F31" s="7">
        <v>5.3</v>
      </c>
      <c r="G31" s="9">
        <v>5836</v>
      </c>
      <c r="H31" s="9">
        <f>(tbl_summary[[#This Row],[Engagement_Rate]]/100)*tbl_summary[[#This Row],[Total_Followers]]</f>
        <v>16859.194</v>
      </c>
      <c r="I31" s="9"/>
      <c r="J31" s="9"/>
    </row>
    <row r="32" spans="1:10" ht="15.75" customHeight="1">
      <c r="A32" s="42">
        <v>45516</v>
      </c>
      <c r="B32" s="1" t="s">
        <v>13</v>
      </c>
      <c r="C32" s="9">
        <v>1060</v>
      </c>
      <c r="D32" s="9">
        <v>83</v>
      </c>
      <c r="E32" s="9">
        <v>68724</v>
      </c>
      <c r="F32" s="7">
        <v>5.98</v>
      </c>
      <c r="G32" s="9">
        <v>5624</v>
      </c>
      <c r="H32" s="9">
        <f>(tbl_summary[[#This Row],[Engagement_Rate]]/100)*tbl_summary[[#This Row],[Total_Followers]]</f>
        <v>4109.6952000000001</v>
      </c>
      <c r="I32" s="9"/>
      <c r="J32" s="9"/>
    </row>
    <row r="33" spans="1:10" ht="15.75" customHeight="1">
      <c r="A33" s="42">
        <v>45516</v>
      </c>
      <c r="B33" s="1" t="s">
        <v>22</v>
      </c>
      <c r="C33" s="9">
        <v>1456</v>
      </c>
      <c r="D33" s="9">
        <v>265</v>
      </c>
      <c r="E33" s="9">
        <v>115505</v>
      </c>
      <c r="F33" s="7">
        <v>7.49</v>
      </c>
      <c r="G33" s="9">
        <v>10311</v>
      </c>
      <c r="H33" s="9">
        <f>(tbl_summary[[#This Row],[Engagement_Rate]]/100)*tbl_summary[[#This Row],[Total_Followers]]</f>
        <v>8651.3245000000006</v>
      </c>
      <c r="I33" s="9"/>
      <c r="J33" s="9"/>
    </row>
    <row r="34" spans="1:10" ht="15.75" customHeight="1">
      <c r="A34" s="42">
        <v>45516</v>
      </c>
      <c r="B34" s="1" t="s">
        <v>27</v>
      </c>
      <c r="C34" s="9">
        <v>1109</v>
      </c>
      <c r="D34" s="9">
        <v>205</v>
      </c>
      <c r="E34" s="9">
        <v>276722</v>
      </c>
      <c r="F34" s="7">
        <v>9.3800000000000008</v>
      </c>
      <c r="G34" s="9">
        <v>8274</v>
      </c>
      <c r="H34" s="9">
        <f>(tbl_summary[[#This Row],[Engagement_Rate]]/100)*tbl_summary[[#This Row],[Total_Followers]]</f>
        <v>25956.523600000004</v>
      </c>
      <c r="I34" s="9"/>
      <c r="J34" s="9"/>
    </row>
    <row r="35" spans="1:10" ht="15.75" customHeight="1">
      <c r="A35" s="42">
        <v>45523</v>
      </c>
      <c r="B35" s="1" t="s">
        <v>13</v>
      </c>
      <c r="C35" s="9">
        <v>1002</v>
      </c>
      <c r="D35" s="9">
        <v>93</v>
      </c>
      <c r="E35" s="9">
        <v>353538</v>
      </c>
      <c r="F35" s="7">
        <v>5.84</v>
      </c>
      <c r="G35" s="9">
        <v>6031</v>
      </c>
      <c r="H35" s="9">
        <f>(tbl_summary[[#This Row],[Engagement_Rate]]/100)*tbl_summary[[#This Row],[Total_Followers]]</f>
        <v>20646.619200000001</v>
      </c>
      <c r="I35" s="9"/>
      <c r="J35" s="9"/>
    </row>
    <row r="36" spans="1:10" ht="15.75" customHeight="1">
      <c r="A36" s="42">
        <v>45523</v>
      </c>
      <c r="B36" s="1" t="s">
        <v>22</v>
      </c>
      <c r="C36" s="9">
        <v>571</v>
      </c>
      <c r="D36" s="9">
        <v>189</v>
      </c>
      <c r="E36" s="9">
        <v>61445</v>
      </c>
      <c r="F36" s="7">
        <v>5.41</v>
      </c>
      <c r="G36" s="9">
        <v>27829</v>
      </c>
      <c r="H36" s="9">
        <f>(tbl_summary[[#This Row],[Engagement_Rate]]/100)*tbl_summary[[#This Row],[Total_Followers]]</f>
        <v>3324.1745000000001</v>
      </c>
      <c r="I36" s="9"/>
      <c r="J36" s="9"/>
    </row>
    <row r="37" spans="1:10" ht="15.75" customHeight="1">
      <c r="A37" s="42">
        <v>45523</v>
      </c>
      <c r="B37" s="1" t="s">
        <v>27</v>
      </c>
      <c r="C37" s="9">
        <v>1240</v>
      </c>
      <c r="D37" s="9">
        <v>231</v>
      </c>
      <c r="E37" s="9">
        <v>165035</v>
      </c>
      <c r="F37" s="7">
        <v>6.05</v>
      </c>
      <c r="G37" s="9">
        <v>18267</v>
      </c>
      <c r="H37" s="9">
        <f>(tbl_summary[[#This Row],[Engagement_Rate]]/100)*tbl_summary[[#This Row],[Total_Followers]]</f>
        <v>9984.6175000000003</v>
      </c>
      <c r="I37" s="9"/>
      <c r="J37" s="9"/>
    </row>
    <row r="38" spans="1:10" ht="15.75" customHeight="1">
      <c r="A38" s="42">
        <v>45530</v>
      </c>
      <c r="B38" s="1" t="s">
        <v>13</v>
      </c>
      <c r="C38" s="9">
        <v>1154</v>
      </c>
      <c r="D38" s="9">
        <v>132</v>
      </c>
      <c r="E38" s="9">
        <v>194595</v>
      </c>
      <c r="F38" s="7">
        <v>7.54</v>
      </c>
      <c r="G38" s="9">
        <v>26624</v>
      </c>
      <c r="H38" s="9">
        <f>(tbl_summary[[#This Row],[Engagement_Rate]]/100)*tbl_summary[[#This Row],[Total_Followers]]</f>
        <v>14672.463</v>
      </c>
      <c r="I38" s="9"/>
      <c r="J38" s="9"/>
    </row>
    <row r="39" spans="1:10" ht="15.75" customHeight="1">
      <c r="A39" s="42">
        <v>45530</v>
      </c>
      <c r="B39" s="1" t="s">
        <v>22</v>
      </c>
      <c r="C39" s="9">
        <v>537</v>
      </c>
      <c r="D39" s="9">
        <v>275</v>
      </c>
      <c r="E39" s="9">
        <v>236238</v>
      </c>
      <c r="F39" s="7">
        <v>5.87</v>
      </c>
      <c r="G39" s="9">
        <v>26644</v>
      </c>
      <c r="H39" s="9">
        <f>(tbl_summary[[#This Row],[Engagement_Rate]]/100)*tbl_summary[[#This Row],[Total_Followers]]</f>
        <v>13867.170600000001</v>
      </c>
      <c r="I39" s="9"/>
      <c r="J39" s="9"/>
    </row>
    <row r="40" spans="1:10" ht="15.75" customHeight="1">
      <c r="A40" s="42">
        <v>45530</v>
      </c>
      <c r="B40" s="1" t="s">
        <v>27</v>
      </c>
      <c r="C40" s="9">
        <v>1456</v>
      </c>
      <c r="D40" s="9">
        <v>290</v>
      </c>
      <c r="E40" s="9">
        <v>271044</v>
      </c>
      <c r="F40" s="7">
        <v>7.17</v>
      </c>
      <c r="G40" s="9">
        <v>13051</v>
      </c>
      <c r="H40" s="9">
        <f>(tbl_summary[[#This Row],[Engagement_Rate]]/100)*tbl_summary[[#This Row],[Total_Followers]]</f>
        <v>19433.854800000001</v>
      </c>
      <c r="I40" s="9"/>
      <c r="J40" s="9"/>
    </row>
    <row r="41" spans="1:10" ht="15.75" customHeight="1">
      <c r="A41" s="42">
        <v>45537</v>
      </c>
      <c r="B41" s="1" t="s">
        <v>13</v>
      </c>
      <c r="C41" s="9">
        <v>721</v>
      </c>
      <c r="D41" s="9">
        <v>206</v>
      </c>
      <c r="E41" s="9">
        <v>334887</v>
      </c>
      <c r="F41" s="7">
        <v>6.05</v>
      </c>
      <c r="G41" s="9">
        <v>14217</v>
      </c>
      <c r="H41" s="9">
        <f>(tbl_summary[[#This Row],[Engagement_Rate]]/100)*tbl_summary[[#This Row],[Total_Followers]]</f>
        <v>20260.663499999999</v>
      </c>
      <c r="I41" s="9"/>
      <c r="J41" s="9"/>
    </row>
    <row r="42" spans="1:10" ht="15.75" customHeight="1">
      <c r="A42" s="42">
        <v>45537</v>
      </c>
      <c r="B42" s="1" t="s">
        <v>22</v>
      </c>
      <c r="C42" s="9">
        <v>1098</v>
      </c>
      <c r="D42" s="9">
        <v>142</v>
      </c>
      <c r="E42" s="9">
        <v>359150</v>
      </c>
      <c r="F42" s="7">
        <v>7.51</v>
      </c>
      <c r="G42" s="9">
        <v>16385</v>
      </c>
      <c r="H42" s="9">
        <f>(tbl_summary[[#This Row],[Engagement_Rate]]/100)*tbl_summary[[#This Row],[Total_Followers]]</f>
        <v>26972.165000000001</v>
      </c>
      <c r="I42" s="9"/>
      <c r="J42" s="9"/>
    </row>
    <row r="43" spans="1:10" ht="15.75" customHeight="1">
      <c r="A43" s="42">
        <v>45537</v>
      </c>
      <c r="B43" s="1" t="s">
        <v>27</v>
      </c>
      <c r="C43" s="9">
        <v>1096</v>
      </c>
      <c r="D43" s="9">
        <v>65</v>
      </c>
      <c r="E43" s="9">
        <v>358295</v>
      </c>
      <c r="F43" s="7">
        <v>7.66</v>
      </c>
      <c r="G43" s="9">
        <v>24548</v>
      </c>
      <c r="H43" s="9">
        <f>(tbl_summary[[#This Row],[Engagement_Rate]]/100)*tbl_summary[[#This Row],[Total_Followers]]</f>
        <v>27445.397000000001</v>
      </c>
      <c r="I43" s="9"/>
      <c r="J43" s="9"/>
    </row>
    <row r="44" spans="1:10" ht="15.75" customHeight="1">
      <c r="A44" s="42">
        <v>45544</v>
      </c>
      <c r="B44" s="1" t="s">
        <v>13</v>
      </c>
      <c r="C44" s="9">
        <v>912</v>
      </c>
      <c r="D44" s="9">
        <v>275</v>
      </c>
      <c r="E44" s="9">
        <v>368454</v>
      </c>
      <c r="F44" s="7">
        <v>6.03</v>
      </c>
      <c r="G44" s="9">
        <v>9195</v>
      </c>
      <c r="H44" s="9">
        <f>(tbl_summary[[#This Row],[Engagement_Rate]]/100)*tbl_summary[[#This Row],[Total_Followers]]</f>
        <v>22217.7762</v>
      </c>
      <c r="I44" s="9"/>
      <c r="J44" s="9"/>
    </row>
    <row r="45" spans="1:10" ht="15.75" customHeight="1">
      <c r="A45" s="42">
        <v>45544</v>
      </c>
      <c r="B45" s="1" t="s">
        <v>22</v>
      </c>
      <c r="C45" s="9">
        <v>1430</v>
      </c>
      <c r="D45" s="9">
        <v>162</v>
      </c>
      <c r="E45" s="9">
        <v>269082</v>
      </c>
      <c r="F45" s="7">
        <v>3.4</v>
      </c>
      <c r="G45" s="9">
        <v>18071</v>
      </c>
      <c r="H45" s="9">
        <f>(tbl_summary[[#This Row],[Engagement_Rate]]/100)*tbl_summary[[#This Row],[Total_Followers]]</f>
        <v>9148.7880000000005</v>
      </c>
      <c r="I45" s="9"/>
      <c r="J45" s="9"/>
    </row>
    <row r="46" spans="1:10" ht="15.75" customHeight="1">
      <c r="A46" s="42">
        <v>45544</v>
      </c>
      <c r="B46" s="1" t="s">
        <v>27</v>
      </c>
      <c r="C46" s="9">
        <v>854</v>
      </c>
      <c r="D46" s="9">
        <v>129</v>
      </c>
      <c r="E46" s="9">
        <v>310903</v>
      </c>
      <c r="F46" s="7">
        <v>7.83</v>
      </c>
      <c r="G46" s="9">
        <v>16875</v>
      </c>
      <c r="H46" s="9">
        <f>(tbl_summary[[#This Row],[Engagement_Rate]]/100)*tbl_summary[[#This Row],[Total_Followers]]</f>
        <v>24343.704899999997</v>
      </c>
      <c r="I46" s="9"/>
      <c r="J46" s="9"/>
    </row>
    <row r="47" spans="1:10" ht="15.75" customHeight="1">
      <c r="A47" s="42">
        <v>45551</v>
      </c>
      <c r="B47" s="1" t="s">
        <v>13</v>
      </c>
      <c r="C47" s="9">
        <v>681</v>
      </c>
      <c r="D47" s="9">
        <v>210</v>
      </c>
      <c r="E47" s="9">
        <v>248581</v>
      </c>
      <c r="F47" s="7">
        <v>8.76</v>
      </c>
      <c r="G47" s="9">
        <v>9567</v>
      </c>
      <c r="H47" s="9">
        <f>(tbl_summary[[#This Row],[Engagement_Rate]]/100)*tbl_summary[[#This Row],[Total_Followers]]</f>
        <v>21775.695599999999</v>
      </c>
      <c r="I47" s="9"/>
      <c r="J47" s="9"/>
    </row>
    <row r="48" spans="1:10" ht="15.75" customHeight="1">
      <c r="A48" s="42">
        <v>45551</v>
      </c>
      <c r="B48" s="1" t="s">
        <v>22</v>
      </c>
      <c r="C48" s="9">
        <v>1373</v>
      </c>
      <c r="D48" s="9">
        <v>82</v>
      </c>
      <c r="E48" s="9">
        <v>371015</v>
      </c>
      <c r="F48" s="7">
        <v>9.52</v>
      </c>
      <c r="G48" s="9">
        <v>20306</v>
      </c>
      <c r="H48" s="9">
        <f>(tbl_summary[[#This Row],[Engagement_Rate]]/100)*tbl_summary[[#This Row],[Total_Followers]]</f>
        <v>35320.627999999997</v>
      </c>
      <c r="I48" s="9"/>
      <c r="J48" s="9"/>
    </row>
    <row r="49" spans="1:10" ht="15.75" customHeight="1">
      <c r="A49" s="42">
        <v>45551</v>
      </c>
      <c r="B49" s="1" t="s">
        <v>27</v>
      </c>
      <c r="C49" s="9">
        <v>685</v>
      </c>
      <c r="D49" s="9">
        <v>285</v>
      </c>
      <c r="E49" s="9">
        <v>177452</v>
      </c>
      <c r="F49" s="7">
        <v>3.36</v>
      </c>
      <c r="G49" s="9">
        <v>21134</v>
      </c>
      <c r="H49" s="9">
        <f>(tbl_summary[[#This Row],[Engagement_Rate]]/100)*tbl_summary[[#This Row],[Total_Followers]]</f>
        <v>5962.3871999999992</v>
      </c>
      <c r="I49" s="9"/>
      <c r="J49" s="9"/>
    </row>
    <row r="50" spans="1:10" ht="15.75" customHeight="1">
      <c r="A50" s="42">
        <v>45558</v>
      </c>
      <c r="B50" s="1" t="s">
        <v>13</v>
      </c>
      <c r="C50" s="9">
        <v>1290</v>
      </c>
      <c r="D50" s="9">
        <v>177</v>
      </c>
      <c r="E50" s="9">
        <v>80745</v>
      </c>
      <c r="F50" s="7">
        <v>9.2200000000000006</v>
      </c>
      <c r="G50" s="9">
        <v>26872</v>
      </c>
      <c r="H50" s="9">
        <f>(tbl_summary[[#This Row],[Engagement_Rate]]/100)*tbl_summary[[#This Row],[Total_Followers]]</f>
        <v>7444.6890000000003</v>
      </c>
      <c r="I50" s="9"/>
      <c r="J50" s="9"/>
    </row>
    <row r="51" spans="1:10" ht="15.75" customHeight="1">
      <c r="A51" s="42">
        <v>45558</v>
      </c>
      <c r="B51" s="1" t="s">
        <v>22</v>
      </c>
      <c r="C51" s="9">
        <v>1437</v>
      </c>
      <c r="D51" s="9">
        <v>239</v>
      </c>
      <c r="E51" s="9">
        <v>362441</v>
      </c>
      <c r="F51" s="7">
        <v>5.57</v>
      </c>
      <c r="G51" s="9">
        <v>10253</v>
      </c>
      <c r="H51" s="9">
        <f>(tbl_summary[[#This Row],[Engagement_Rate]]/100)*tbl_summary[[#This Row],[Total_Followers]]</f>
        <v>20187.9637</v>
      </c>
      <c r="I51" s="9"/>
      <c r="J51" s="9"/>
    </row>
    <row r="52" spans="1:10" ht="15.75" customHeight="1">
      <c r="A52" s="42">
        <v>45558</v>
      </c>
      <c r="B52" s="1" t="s">
        <v>27</v>
      </c>
      <c r="C52" s="9">
        <v>769</v>
      </c>
      <c r="D52" s="9">
        <v>295</v>
      </c>
      <c r="E52" s="9">
        <v>344771</v>
      </c>
      <c r="F52" s="7">
        <v>8.06</v>
      </c>
      <c r="G52" s="9">
        <v>23963</v>
      </c>
      <c r="H52" s="9">
        <f>(tbl_summary[[#This Row],[Engagement_Rate]]/100)*tbl_summary[[#This Row],[Total_Followers]]</f>
        <v>27788.542600000001</v>
      </c>
      <c r="I52" s="9"/>
      <c r="J52" s="9"/>
    </row>
    <row r="53" spans="1:10" ht="15.75" customHeight="1">
      <c r="A53" s="42">
        <v>45565</v>
      </c>
      <c r="B53" s="1" t="s">
        <v>13</v>
      </c>
      <c r="C53" s="9">
        <v>1416</v>
      </c>
      <c r="D53" s="9">
        <v>284</v>
      </c>
      <c r="E53" s="9">
        <v>374952</v>
      </c>
      <c r="F53" s="7">
        <v>3.45</v>
      </c>
      <c r="G53" s="9">
        <v>11335</v>
      </c>
      <c r="H53" s="9">
        <f>(tbl_summary[[#This Row],[Engagement_Rate]]/100)*tbl_summary[[#This Row],[Total_Followers]]</f>
        <v>12935.844000000001</v>
      </c>
      <c r="I53" s="9"/>
      <c r="J53" s="9"/>
    </row>
    <row r="54" spans="1:10" ht="15.75" customHeight="1">
      <c r="A54" s="42">
        <v>45565</v>
      </c>
      <c r="B54" s="1" t="s">
        <v>22</v>
      </c>
      <c r="C54" s="9">
        <v>998</v>
      </c>
      <c r="D54" s="9">
        <v>154</v>
      </c>
      <c r="E54" s="9">
        <v>179781</v>
      </c>
      <c r="F54" s="7">
        <v>9.58</v>
      </c>
      <c r="G54" s="9">
        <v>12115</v>
      </c>
      <c r="H54" s="9">
        <f>(tbl_summary[[#This Row],[Engagement_Rate]]/100)*tbl_summary[[#This Row],[Total_Followers]]</f>
        <v>17223.019799999998</v>
      </c>
      <c r="I54" s="9"/>
      <c r="J54" s="9"/>
    </row>
    <row r="55" spans="1:10" ht="15.75" customHeight="1">
      <c r="A55" s="42">
        <v>45565</v>
      </c>
      <c r="B55" s="1" t="s">
        <v>27</v>
      </c>
      <c r="C55" s="9">
        <v>1421</v>
      </c>
      <c r="D55" s="9">
        <v>246</v>
      </c>
      <c r="E55" s="9">
        <v>358581</v>
      </c>
      <c r="F55" s="7">
        <v>8.8800000000000008</v>
      </c>
      <c r="G55" s="9">
        <v>24358</v>
      </c>
      <c r="H55" s="9">
        <f>(tbl_summary[[#This Row],[Engagement_Rate]]/100)*tbl_summary[[#This Row],[Total_Followers]]</f>
        <v>31841.9928</v>
      </c>
      <c r="I55" s="9"/>
      <c r="J55" s="9"/>
    </row>
    <row r="56" spans="1:10" ht="15.75" customHeight="1">
      <c r="A56" s="42">
        <v>45572</v>
      </c>
      <c r="B56" s="1" t="s">
        <v>13</v>
      </c>
      <c r="C56" s="9">
        <v>764</v>
      </c>
      <c r="D56" s="9">
        <v>205</v>
      </c>
      <c r="E56" s="9">
        <v>319294</v>
      </c>
      <c r="F56" s="7">
        <v>6.23</v>
      </c>
      <c r="G56" s="9">
        <v>12181</v>
      </c>
      <c r="H56" s="9">
        <f>(tbl_summary[[#This Row],[Engagement_Rate]]/100)*tbl_summary[[#This Row],[Total_Followers]]</f>
        <v>19892.016200000002</v>
      </c>
      <c r="I56" s="9"/>
      <c r="J56" s="9"/>
    </row>
    <row r="57" spans="1:10" ht="15.75" customHeight="1">
      <c r="A57" s="42">
        <v>45572</v>
      </c>
      <c r="B57" s="1" t="s">
        <v>22</v>
      </c>
      <c r="C57" s="9">
        <v>678</v>
      </c>
      <c r="D57" s="9">
        <v>124</v>
      </c>
      <c r="E57" s="9">
        <v>192022</v>
      </c>
      <c r="F57" s="7">
        <v>8.4499999999999993</v>
      </c>
      <c r="G57" s="9">
        <v>17729</v>
      </c>
      <c r="H57" s="9">
        <f>(tbl_summary[[#This Row],[Engagement_Rate]]/100)*tbl_summary[[#This Row],[Total_Followers]]</f>
        <v>16225.858999999999</v>
      </c>
      <c r="I57" s="9"/>
      <c r="J57" s="9"/>
    </row>
    <row r="58" spans="1:10" ht="15.75" customHeight="1">
      <c r="A58" s="42">
        <v>45572</v>
      </c>
      <c r="B58" s="1" t="s">
        <v>27</v>
      </c>
      <c r="C58" s="9">
        <v>1328</v>
      </c>
      <c r="D58" s="9">
        <v>103</v>
      </c>
      <c r="E58" s="9">
        <v>151462</v>
      </c>
      <c r="F58" s="7">
        <v>8.4</v>
      </c>
      <c r="G58" s="9">
        <v>10881</v>
      </c>
      <c r="H58" s="9">
        <f>(tbl_summary[[#This Row],[Engagement_Rate]]/100)*tbl_summary[[#This Row],[Total_Followers]]</f>
        <v>12722.808000000001</v>
      </c>
      <c r="I58" s="9"/>
      <c r="J58" s="9"/>
    </row>
    <row r="59" spans="1:10" ht="15.75" customHeight="1">
      <c r="A59" s="42">
        <v>45579</v>
      </c>
      <c r="B59" s="1" t="s">
        <v>13</v>
      </c>
      <c r="C59" s="9">
        <v>1161</v>
      </c>
      <c r="D59" s="9">
        <v>269</v>
      </c>
      <c r="E59" s="9">
        <v>188193</v>
      </c>
      <c r="F59" s="7">
        <v>7.34</v>
      </c>
      <c r="G59" s="9">
        <v>18576</v>
      </c>
      <c r="H59" s="9">
        <f>(tbl_summary[[#This Row],[Engagement_Rate]]/100)*tbl_summary[[#This Row],[Total_Followers]]</f>
        <v>13813.366199999999</v>
      </c>
      <c r="I59" s="9"/>
      <c r="J59" s="9"/>
    </row>
    <row r="60" spans="1:10" ht="15.75" customHeight="1">
      <c r="A60" s="42">
        <v>45579</v>
      </c>
      <c r="B60" s="1" t="s">
        <v>22</v>
      </c>
      <c r="C60" s="9">
        <v>588</v>
      </c>
      <c r="D60" s="9">
        <v>52</v>
      </c>
      <c r="E60" s="9">
        <v>292040</v>
      </c>
      <c r="F60" s="7">
        <v>8.14</v>
      </c>
      <c r="G60" s="9">
        <v>9383</v>
      </c>
      <c r="H60" s="9">
        <f>(tbl_summary[[#This Row],[Engagement_Rate]]/100)*tbl_summary[[#This Row],[Total_Followers]]</f>
        <v>23772.056</v>
      </c>
      <c r="I60" s="9"/>
      <c r="J60" s="9"/>
    </row>
    <row r="61" spans="1:10" ht="15.75" customHeight="1">
      <c r="A61" s="42">
        <v>45579</v>
      </c>
      <c r="B61" s="1" t="s">
        <v>27</v>
      </c>
      <c r="C61" s="9">
        <v>1457</v>
      </c>
      <c r="D61" s="9">
        <v>215</v>
      </c>
      <c r="E61" s="9">
        <v>325325</v>
      </c>
      <c r="F61" s="7">
        <v>9.58</v>
      </c>
      <c r="G61" s="9">
        <v>14178</v>
      </c>
      <c r="H61" s="9">
        <f>(tbl_summary[[#This Row],[Engagement_Rate]]/100)*tbl_summary[[#This Row],[Total_Followers]]</f>
        <v>31166.134999999998</v>
      </c>
      <c r="I61" s="9"/>
      <c r="J61" s="9"/>
    </row>
    <row r="62" spans="1:10" ht="15.75" customHeight="1">
      <c r="A62" s="42">
        <v>45586</v>
      </c>
      <c r="B62" s="1" t="s">
        <v>13</v>
      </c>
      <c r="C62" s="9">
        <v>1190</v>
      </c>
      <c r="D62" s="9">
        <v>242</v>
      </c>
      <c r="E62" s="9">
        <v>86849</v>
      </c>
      <c r="F62" s="7">
        <v>8.06</v>
      </c>
      <c r="G62" s="9">
        <v>21254</v>
      </c>
      <c r="H62" s="9">
        <f>(tbl_summary[[#This Row],[Engagement_Rate]]/100)*tbl_summary[[#This Row],[Total_Followers]]</f>
        <v>7000.0294000000004</v>
      </c>
      <c r="I62" s="9"/>
      <c r="J62" s="9"/>
    </row>
    <row r="63" spans="1:10" ht="15.75" customHeight="1">
      <c r="A63" s="42">
        <v>45586</v>
      </c>
      <c r="B63" s="1" t="s">
        <v>22</v>
      </c>
      <c r="C63" s="9">
        <v>886</v>
      </c>
      <c r="D63" s="9">
        <v>124</v>
      </c>
      <c r="E63" s="9">
        <v>141161</v>
      </c>
      <c r="F63" s="7">
        <v>8.19</v>
      </c>
      <c r="G63" s="9">
        <v>14215</v>
      </c>
      <c r="H63" s="9">
        <f>(tbl_summary[[#This Row],[Engagement_Rate]]/100)*tbl_summary[[#This Row],[Total_Followers]]</f>
        <v>11561.0859</v>
      </c>
      <c r="I63" s="9"/>
      <c r="J63" s="9"/>
    </row>
    <row r="64" spans="1:10" ht="15.75" customHeight="1">
      <c r="A64" s="42">
        <v>45586</v>
      </c>
      <c r="B64" s="1" t="s">
        <v>27</v>
      </c>
      <c r="C64" s="9">
        <v>1237</v>
      </c>
      <c r="D64" s="9">
        <v>155</v>
      </c>
      <c r="E64" s="9">
        <v>149916</v>
      </c>
      <c r="F64" s="7">
        <v>4.4800000000000004</v>
      </c>
      <c r="G64" s="9">
        <v>16921</v>
      </c>
      <c r="H64" s="9">
        <f>(tbl_summary[[#This Row],[Engagement_Rate]]/100)*tbl_summary[[#This Row],[Total_Followers]]</f>
        <v>6716.2368000000006</v>
      </c>
      <c r="I64" s="9"/>
      <c r="J64" s="9"/>
    </row>
    <row r="65" spans="1:10" ht="15.75" customHeight="1">
      <c r="A65" s="42">
        <v>45593</v>
      </c>
      <c r="B65" s="1" t="s">
        <v>13</v>
      </c>
      <c r="C65" s="9">
        <v>1435</v>
      </c>
      <c r="D65" s="9">
        <v>261</v>
      </c>
      <c r="E65" s="9">
        <v>308533</v>
      </c>
      <c r="F65" s="7">
        <v>4.5199999999999996</v>
      </c>
      <c r="G65" s="9">
        <v>25130</v>
      </c>
      <c r="H65" s="9">
        <f>(tbl_summary[[#This Row],[Engagement_Rate]]/100)*tbl_summary[[#This Row],[Total_Followers]]</f>
        <v>13945.691599999998</v>
      </c>
      <c r="I65" s="9"/>
      <c r="J65" s="9"/>
    </row>
    <row r="66" spans="1:10" ht="15.75" customHeight="1">
      <c r="A66" s="42">
        <v>45593</v>
      </c>
      <c r="B66" s="1" t="s">
        <v>22</v>
      </c>
      <c r="C66" s="9">
        <v>746</v>
      </c>
      <c r="D66" s="9">
        <v>282</v>
      </c>
      <c r="E66" s="9">
        <v>293894</v>
      </c>
      <c r="F66" s="7">
        <v>5.42</v>
      </c>
      <c r="G66" s="9">
        <v>25537</v>
      </c>
      <c r="H66" s="9">
        <f>(tbl_summary[[#This Row],[Engagement_Rate]]/100)*tbl_summary[[#This Row],[Total_Followers]]</f>
        <v>15929.0548</v>
      </c>
      <c r="I66" s="9"/>
      <c r="J66" s="9"/>
    </row>
    <row r="67" spans="1:10" ht="15.75" customHeight="1">
      <c r="A67" s="42">
        <v>45593</v>
      </c>
      <c r="B67" s="1" t="s">
        <v>27</v>
      </c>
      <c r="C67" s="9">
        <v>759</v>
      </c>
      <c r="D67" s="9">
        <v>216</v>
      </c>
      <c r="E67" s="9">
        <v>147656</v>
      </c>
      <c r="F67" s="7">
        <v>4.08</v>
      </c>
      <c r="G67" s="9">
        <v>24943</v>
      </c>
      <c r="H67" s="9">
        <f>(tbl_summary[[#This Row],[Engagement_Rate]]/100)*tbl_summary[[#This Row],[Total_Followers]]</f>
        <v>6024.3648000000003</v>
      </c>
      <c r="I67" s="9"/>
      <c r="J67" s="9"/>
    </row>
    <row r="68" spans="1:10" ht="15.75" customHeight="1">
      <c r="A68" s="42">
        <v>45600</v>
      </c>
      <c r="B68" s="1" t="s">
        <v>13</v>
      </c>
      <c r="C68" s="9">
        <v>1437</v>
      </c>
      <c r="D68" s="9">
        <v>235</v>
      </c>
      <c r="E68" s="9">
        <v>326791</v>
      </c>
      <c r="F68" s="7">
        <v>4.0599999999999996</v>
      </c>
      <c r="G68" s="9">
        <v>14563</v>
      </c>
      <c r="H68" s="9">
        <f>(tbl_summary[[#This Row],[Engagement_Rate]]/100)*tbl_summary[[#This Row],[Total_Followers]]</f>
        <v>13267.714599999999</v>
      </c>
      <c r="I68" s="9"/>
      <c r="J68" s="9"/>
    </row>
    <row r="69" spans="1:10" ht="15.75" customHeight="1">
      <c r="A69" s="42">
        <v>45600</v>
      </c>
      <c r="B69" s="1" t="s">
        <v>22</v>
      </c>
      <c r="C69" s="9">
        <v>1463</v>
      </c>
      <c r="D69" s="9">
        <v>73</v>
      </c>
      <c r="E69" s="9">
        <v>348877</v>
      </c>
      <c r="F69" s="7">
        <v>9.91</v>
      </c>
      <c r="G69" s="9">
        <v>26273</v>
      </c>
      <c r="H69" s="9">
        <f>(tbl_summary[[#This Row],[Engagement_Rate]]/100)*tbl_summary[[#This Row],[Total_Followers]]</f>
        <v>34573.710700000003</v>
      </c>
      <c r="I69" s="9"/>
      <c r="J69" s="9"/>
    </row>
    <row r="70" spans="1:10" ht="15.75" customHeight="1">
      <c r="A70" s="42">
        <v>45600</v>
      </c>
      <c r="B70" s="1" t="s">
        <v>27</v>
      </c>
      <c r="C70" s="9">
        <v>1208</v>
      </c>
      <c r="D70" s="9">
        <v>224</v>
      </c>
      <c r="E70" s="9">
        <v>122730</v>
      </c>
      <c r="F70" s="7">
        <v>8.7200000000000006</v>
      </c>
      <c r="G70" s="9">
        <v>10858</v>
      </c>
      <c r="H70" s="9">
        <f>(tbl_summary[[#This Row],[Engagement_Rate]]/100)*tbl_summary[[#This Row],[Total_Followers]]</f>
        <v>10702.056</v>
      </c>
      <c r="I70" s="9"/>
      <c r="J70" s="9"/>
    </row>
    <row r="71" spans="1:10" ht="15.75" customHeight="1">
      <c r="A71" s="42">
        <v>45607</v>
      </c>
      <c r="B71" s="1" t="s">
        <v>13</v>
      </c>
      <c r="C71" s="9">
        <v>1391</v>
      </c>
      <c r="D71" s="9">
        <v>187</v>
      </c>
      <c r="E71" s="9">
        <v>306508</v>
      </c>
      <c r="F71" s="7">
        <v>8.3800000000000008</v>
      </c>
      <c r="G71" s="9">
        <v>25038</v>
      </c>
      <c r="H71" s="9">
        <f>(tbl_summary[[#This Row],[Engagement_Rate]]/100)*tbl_summary[[#This Row],[Total_Followers]]</f>
        <v>25685.370400000003</v>
      </c>
      <c r="I71" s="9"/>
      <c r="J71" s="9"/>
    </row>
    <row r="72" spans="1:10" ht="15.75" customHeight="1">
      <c r="A72" s="42">
        <v>45607</v>
      </c>
      <c r="B72" s="1" t="s">
        <v>22</v>
      </c>
      <c r="C72" s="9">
        <v>655</v>
      </c>
      <c r="D72" s="9">
        <v>123</v>
      </c>
      <c r="E72" s="9">
        <v>202472</v>
      </c>
      <c r="F72" s="7">
        <v>7.56</v>
      </c>
      <c r="G72" s="9">
        <v>9092</v>
      </c>
      <c r="H72" s="9">
        <f>(tbl_summary[[#This Row],[Engagement_Rate]]/100)*tbl_summary[[#This Row],[Total_Followers]]</f>
        <v>15306.8832</v>
      </c>
      <c r="I72" s="9"/>
      <c r="J72" s="9"/>
    </row>
    <row r="73" spans="1:10" ht="15.75" customHeight="1">
      <c r="A73" s="42">
        <v>45607</v>
      </c>
      <c r="B73" s="1" t="s">
        <v>27</v>
      </c>
      <c r="C73" s="9">
        <v>1148</v>
      </c>
      <c r="D73" s="9">
        <v>90</v>
      </c>
      <c r="E73" s="9">
        <v>227249</v>
      </c>
      <c r="F73" s="7">
        <v>7.24</v>
      </c>
      <c r="G73" s="9">
        <v>17662</v>
      </c>
      <c r="H73" s="9">
        <f>(tbl_summary[[#This Row],[Engagement_Rate]]/100)*tbl_summary[[#This Row],[Total_Followers]]</f>
        <v>16452.827600000001</v>
      </c>
      <c r="I73" s="9"/>
      <c r="J73" s="9"/>
    </row>
    <row r="74" spans="1:10" ht="15.75" customHeight="1">
      <c r="A74" s="42">
        <v>45614</v>
      </c>
      <c r="B74" s="1" t="s">
        <v>13</v>
      </c>
      <c r="C74" s="9">
        <v>946</v>
      </c>
      <c r="D74" s="9">
        <v>270</v>
      </c>
      <c r="E74" s="9">
        <v>246567</v>
      </c>
      <c r="F74" s="7">
        <v>4.53</v>
      </c>
      <c r="G74" s="9">
        <v>5924</v>
      </c>
      <c r="H74" s="9">
        <f>(tbl_summary[[#This Row],[Engagement_Rate]]/100)*tbl_summary[[#This Row],[Total_Followers]]</f>
        <v>11169.4851</v>
      </c>
      <c r="I74" s="9"/>
      <c r="J74" s="9"/>
    </row>
    <row r="75" spans="1:10" ht="15.75" customHeight="1">
      <c r="A75" s="42">
        <v>45614</v>
      </c>
      <c r="B75" s="1" t="s">
        <v>22</v>
      </c>
      <c r="C75" s="9">
        <v>791</v>
      </c>
      <c r="D75" s="9">
        <v>214</v>
      </c>
      <c r="E75" s="9">
        <v>114738</v>
      </c>
      <c r="F75" s="7">
        <v>6.62</v>
      </c>
      <c r="G75" s="9">
        <v>25347</v>
      </c>
      <c r="H75" s="9">
        <f>(tbl_summary[[#This Row],[Engagement_Rate]]/100)*tbl_summary[[#This Row],[Total_Followers]]</f>
        <v>7595.6555999999991</v>
      </c>
      <c r="I75" s="9"/>
      <c r="J75" s="9"/>
    </row>
    <row r="76" spans="1:10" ht="15.75" customHeight="1">
      <c r="A76" s="42">
        <v>45614</v>
      </c>
      <c r="B76" s="1" t="s">
        <v>27</v>
      </c>
      <c r="C76" s="9">
        <v>793</v>
      </c>
      <c r="D76" s="9">
        <v>111</v>
      </c>
      <c r="E76" s="9">
        <v>333500</v>
      </c>
      <c r="F76" s="7">
        <v>6.36</v>
      </c>
      <c r="G76" s="9">
        <v>8910</v>
      </c>
      <c r="H76" s="9">
        <f>(tbl_summary[[#This Row],[Engagement_Rate]]/100)*tbl_summary[[#This Row],[Total_Followers]]</f>
        <v>21210.600000000002</v>
      </c>
      <c r="I76" s="9"/>
      <c r="J76" s="9"/>
    </row>
    <row r="77" spans="1:10" ht="15.75" customHeight="1">
      <c r="A77" s="42">
        <v>45621</v>
      </c>
      <c r="B77" s="1" t="s">
        <v>13</v>
      </c>
      <c r="C77" s="9">
        <v>663</v>
      </c>
      <c r="D77" s="9">
        <v>213</v>
      </c>
      <c r="E77" s="9">
        <v>352677</v>
      </c>
      <c r="F77" s="7">
        <v>9</v>
      </c>
      <c r="G77" s="9">
        <v>20438</v>
      </c>
      <c r="H77" s="9">
        <f>(tbl_summary[[#This Row],[Engagement_Rate]]/100)*tbl_summary[[#This Row],[Total_Followers]]</f>
        <v>31740.93</v>
      </c>
      <c r="I77" s="9"/>
      <c r="J77" s="9"/>
    </row>
    <row r="78" spans="1:10" ht="15.75" customHeight="1">
      <c r="A78" s="42">
        <v>45621</v>
      </c>
      <c r="B78" s="1" t="s">
        <v>22</v>
      </c>
      <c r="C78" s="9">
        <v>954</v>
      </c>
      <c r="D78" s="9">
        <v>271</v>
      </c>
      <c r="E78" s="9">
        <v>160936</v>
      </c>
      <c r="F78" s="7">
        <v>8.83</v>
      </c>
      <c r="G78" s="9">
        <v>8760</v>
      </c>
      <c r="H78" s="9">
        <f>(tbl_summary[[#This Row],[Engagement_Rate]]/100)*tbl_summary[[#This Row],[Total_Followers]]</f>
        <v>14210.648800000001</v>
      </c>
      <c r="I78" s="9"/>
      <c r="J78" s="9"/>
    </row>
    <row r="79" spans="1:10" ht="15.75" customHeight="1">
      <c r="A79" s="42">
        <v>45621</v>
      </c>
      <c r="B79" s="1" t="s">
        <v>27</v>
      </c>
      <c r="C79" s="9">
        <v>1313</v>
      </c>
      <c r="D79" s="9">
        <v>159</v>
      </c>
      <c r="E79" s="9">
        <v>197183</v>
      </c>
      <c r="F79" s="7">
        <v>9.7100000000000009</v>
      </c>
      <c r="G79" s="9">
        <v>6625</v>
      </c>
      <c r="H79" s="9">
        <f>(tbl_summary[[#This Row],[Engagement_Rate]]/100)*tbl_summary[[#This Row],[Total_Followers]]</f>
        <v>19146.469300000001</v>
      </c>
      <c r="I79" s="9"/>
      <c r="J79" s="9"/>
    </row>
    <row r="80" spans="1:10" ht="15.75" customHeight="1">
      <c r="A80" s="42">
        <v>45628</v>
      </c>
      <c r="B80" s="1" t="s">
        <v>13</v>
      </c>
      <c r="C80" s="9">
        <v>895</v>
      </c>
      <c r="D80" s="9">
        <v>87</v>
      </c>
      <c r="E80" s="9">
        <v>171271</v>
      </c>
      <c r="F80" s="7">
        <v>6.68</v>
      </c>
      <c r="G80" s="9">
        <v>23329</v>
      </c>
      <c r="H80" s="9">
        <f>(tbl_summary[[#This Row],[Engagement_Rate]]/100)*tbl_summary[[#This Row],[Total_Followers]]</f>
        <v>11440.9028</v>
      </c>
      <c r="I80" s="9"/>
      <c r="J80" s="9"/>
    </row>
    <row r="81" spans="1:10" ht="15.75" customHeight="1">
      <c r="A81" s="42">
        <v>45628</v>
      </c>
      <c r="B81" s="1" t="s">
        <v>22</v>
      </c>
      <c r="C81" s="9">
        <v>1027</v>
      </c>
      <c r="D81" s="9">
        <v>156</v>
      </c>
      <c r="E81" s="9">
        <v>111293</v>
      </c>
      <c r="F81" s="7">
        <v>5.51</v>
      </c>
      <c r="G81" s="9">
        <v>7299</v>
      </c>
      <c r="H81" s="9">
        <f>(tbl_summary[[#This Row],[Engagement_Rate]]/100)*tbl_summary[[#This Row],[Total_Followers]]</f>
        <v>6132.2442999999994</v>
      </c>
      <c r="I81" s="9"/>
      <c r="J81" s="9"/>
    </row>
    <row r="82" spans="1:10" ht="15.75" customHeight="1">
      <c r="A82" s="42">
        <v>45628</v>
      </c>
      <c r="B82" s="1" t="s">
        <v>27</v>
      </c>
      <c r="C82" s="9">
        <v>990</v>
      </c>
      <c r="D82" s="9">
        <v>286</v>
      </c>
      <c r="E82" s="9">
        <v>351493</v>
      </c>
      <c r="F82" s="7">
        <v>7.97</v>
      </c>
      <c r="G82" s="9">
        <v>14496</v>
      </c>
      <c r="H82" s="9">
        <f>(tbl_summary[[#This Row],[Engagement_Rate]]/100)*tbl_summary[[#This Row],[Total_Followers]]</f>
        <v>28013.992099999996</v>
      </c>
      <c r="I82" s="9"/>
      <c r="J82" s="9"/>
    </row>
    <row r="83" spans="1:10" ht="15.75" customHeight="1">
      <c r="A83" s="42">
        <v>45635</v>
      </c>
      <c r="B83" s="1" t="s">
        <v>13</v>
      </c>
      <c r="C83" s="9">
        <v>875</v>
      </c>
      <c r="D83" s="9">
        <v>264</v>
      </c>
      <c r="E83" s="9">
        <v>345631</v>
      </c>
      <c r="F83" s="7">
        <v>9.18</v>
      </c>
      <c r="G83" s="9">
        <v>25703</v>
      </c>
      <c r="H83" s="9">
        <f>(tbl_summary[[#This Row],[Engagement_Rate]]/100)*tbl_summary[[#This Row],[Total_Followers]]</f>
        <v>31728.925799999997</v>
      </c>
      <c r="I83" s="9"/>
      <c r="J83" s="9"/>
    </row>
    <row r="84" spans="1:10" ht="15.75" customHeight="1">
      <c r="A84" s="42">
        <v>45635</v>
      </c>
      <c r="B84" s="1" t="s">
        <v>22</v>
      </c>
      <c r="C84" s="9">
        <v>599</v>
      </c>
      <c r="D84" s="9">
        <v>194</v>
      </c>
      <c r="E84" s="9">
        <v>105622</v>
      </c>
      <c r="F84" s="7">
        <v>6.44</v>
      </c>
      <c r="G84" s="9">
        <v>15108</v>
      </c>
      <c r="H84" s="9">
        <f>(tbl_summary[[#This Row],[Engagement_Rate]]/100)*tbl_summary[[#This Row],[Total_Followers]]</f>
        <v>6802.0568000000003</v>
      </c>
      <c r="I84" s="9"/>
      <c r="J84" s="9"/>
    </row>
    <row r="85" spans="1:10" ht="15.75" customHeight="1">
      <c r="A85" s="42">
        <v>45635</v>
      </c>
      <c r="B85" s="1" t="s">
        <v>27</v>
      </c>
      <c r="C85" s="9">
        <v>630</v>
      </c>
      <c r="D85" s="9">
        <v>248</v>
      </c>
      <c r="E85" s="9">
        <v>119054</v>
      </c>
      <c r="F85" s="7">
        <v>5.0199999999999996</v>
      </c>
      <c r="G85" s="9">
        <v>18867</v>
      </c>
      <c r="H85" s="9">
        <f>(tbl_summary[[#This Row],[Engagement_Rate]]/100)*tbl_summary[[#This Row],[Total_Followers]]</f>
        <v>5976.5107999999991</v>
      </c>
      <c r="I85" s="9"/>
      <c r="J85" s="9"/>
    </row>
    <row r="86" spans="1:10" ht="15.75" customHeight="1">
      <c r="A86" s="42">
        <v>45642</v>
      </c>
      <c r="B86" s="1" t="s">
        <v>13</v>
      </c>
      <c r="C86" s="9">
        <v>1350</v>
      </c>
      <c r="D86" s="9">
        <v>233</v>
      </c>
      <c r="E86" s="9">
        <v>171670</v>
      </c>
      <c r="F86" s="7">
        <v>4.53</v>
      </c>
      <c r="G86" s="9">
        <v>17574</v>
      </c>
      <c r="H86" s="9">
        <f>(tbl_summary[[#This Row],[Engagement_Rate]]/100)*tbl_summary[[#This Row],[Total_Followers]]</f>
        <v>7776.6509999999998</v>
      </c>
      <c r="I86" s="9"/>
      <c r="J86" s="9"/>
    </row>
    <row r="87" spans="1:10" ht="15.75" customHeight="1">
      <c r="A87" s="42">
        <v>45642</v>
      </c>
      <c r="B87" s="1" t="s">
        <v>22</v>
      </c>
      <c r="C87" s="9">
        <v>632</v>
      </c>
      <c r="D87" s="9">
        <v>155</v>
      </c>
      <c r="E87" s="9">
        <v>170432</v>
      </c>
      <c r="F87" s="7">
        <v>9.17</v>
      </c>
      <c r="G87" s="9">
        <v>12840</v>
      </c>
      <c r="H87" s="9">
        <f>(tbl_summary[[#This Row],[Engagement_Rate]]/100)*tbl_summary[[#This Row],[Total_Followers]]</f>
        <v>15628.6144</v>
      </c>
      <c r="I87" s="9"/>
      <c r="J87" s="9"/>
    </row>
    <row r="88" spans="1:10" ht="15.75" customHeight="1">
      <c r="A88" s="42">
        <v>45642</v>
      </c>
      <c r="B88" s="1" t="s">
        <v>27</v>
      </c>
      <c r="C88" s="9">
        <v>1182</v>
      </c>
      <c r="D88" s="9">
        <v>83</v>
      </c>
      <c r="E88" s="9">
        <v>140300</v>
      </c>
      <c r="F88" s="7">
        <v>3.27</v>
      </c>
      <c r="G88" s="9">
        <v>21079</v>
      </c>
      <c r="H88" s="9">
        <f>(tbl_summary[[#This Row],[Engagement_Rate]]/100)*tbl_summary[[#This Row],[Total_Followers]]</f>
        <v>4587.8100000000004</v>
      </c>
      <c r="I88" s="9"/>
      <c r="J88" s="9"/>
    </row>
    <row r="89" spans="1:10" ht="15.75" customHeight="1">
      <c r="A89" s="42">
        <v>45649</v>
      </c>
      <c r="B89" s="1" t="s">
        <v>13</v>
      </c>
      <c r="C89" s="9">
        <v>661</v>
      </c>
      <c r="D89" s="9">
        <v>94</v>
      </c>
      <c r="E89" s="9">
        <v>116538</v>
      </c>
      <c r="F89" s="7">
        <v>5.31</v>
      </c>
      <c r="G89" s="9">
        <v>23486</v>
      </c>
      <c r="H89" s="9">
        <f>(tbl_summary[[#This Row],[Engagement_Rate]]/100)*tbl_summary[[#This Row],[Total_Followers]]</f>
        <v>6188.1677999999993</v>
      </c>
      <c r="I89" s="9"/>
      <c r="J89" s="9"/>
    </row>
    <row r="90" spans="1:10" ht="15.75" customHeight="1">
      <c r="A90" s="42">
        <v>45649</v>
      </c>
      <c r="B90" s="1" t="s">
        <v>22</v>
      </c>
      <c r="C90" s="9">
        <v>1360</v>
      </c>
      <c r="D90" s="9">
        <v>227</v>
      </c>
      <c r="E90" s="9">
        <v>176902</v>
      </c>
      <c r="F90" s="7">
        <v>6.03</v>
      </c>
      <c r="G90" s="9">
        <v>5960</v>
      </c>
      <c r="H90" s="9">
        <f>(tbl_summary[[#This Row],[Engagement_Rate]]/100)*tbl_summary[[#This Row],[Total_Followers]]</f>
        <v>10667.1906</v>
      </c>
      <c r="I90" s="9"/>
      <c r="J90" s="9"/>
    </row>
    <row r="91" spans="1:10" ht="15.75" customHeight="1">
      <c r="A91" s="42">
        <v>45649</v>
      </c>
      <c r="B91" s="1" t="s">
        <v>27</v>
      </c>
      <c r="C91" s="9">
        <v>935</v>
      </c>
      <c r="D91" s="9">
        <v>85</v>
      </c>
      <c r="E91" s="9">
        <v>326821</v>
      </c>
      <c r="F91" s="7">
        <v>8.89</v>
      </c>
      <c r="G91" s="9">
        <v>13301</v>
      </c>
      <c r="H91" s="9">
        <f>(tbl_summary[[#This Row],[Engagement_Rate]]/100)*tbl_summary[[#This Row],[Total_Followers]]</f>
        <v>29054.386900000001</v>
      </c>
      <c r="I91" s="9"/>
      <c r="J91" s="9"/>
    </row>
    <row r="92" spans="1:10" ht="15.75" customHeight="1">
      <c r="A92" s="42">
        <v>45656</v>
      </c>
      <c r="B92" s="1" t="s">
        <v>13</v>
      </c>
      <c r="C92" s="9">
        <v>664</v>
      </c>
      <c r="D92" s="9">
        <v>251</v>
      </c>
      <c r="E92" s="9">
        <v>240598</v>
      </c>
      <c r="F92" s="7">
        <v>4.79</v>
      </c>
      <c r="G92" s="9">
        <v>10563</v>
      </c>
      <c r="H92" s="9">
        <f>(tbl_summary[[#This Row],[Engagement_Rate]]/100)*tbl_summary[[#This Row],[Total_Followers]]</f>
        <v>11524.644199999999</v>
      </c>
      <c r="I92" s="9"/>
      <c r="J92" s="9"/>
    </row>
    <row r="93" spans="1:10" ht="15.75" customHeight="1">
      <c r="A93" s="42">
        <v>45656</v>
      </c>
      <c r="B93" s="1" t="s">
        <v>22</v>
      </c>
      <c r="C93" s="9">
        <v>1490</v>
      </c>
      <c r="D93" s="9">
        <v>103</v>
      </c>
      <c r="E93" s="9">
        <v>373274</v>
      </c>
      <c r="F93" s="7">
        <v>4.8</v>
      </c>
      <c r="G93" s="9">
        <v>19949</v>
      </c>
      <c r="H93" s="9">
        <f>(tbl_summary[[#This Row],[Engagement_Rate]]/100)*tbl_summary[[#This Row],[Total_Followers]]</f>
        <v>17917.152000000002</v>
      </c>
      <c r="I93" s="9"/>
      <c r="J93" s="9"/>
    </row>
    <row r="94" spans="1:10" ht="15.75" customHeight="1">
      <c r="A94" s="42">
        <v>45656</v>
      </c>
      <c r="B94" s="1" t="s">
        <v>27</v>
      </c>
      <c r="C94" s="9">
        <v>601</v>
      </c>
      <c r="D94" s="9">
        <v>64</v>
      </c>
      <c r="E94" s="9">
        <v>123272</v>
      </c>
      <c r="F94" s="7">
        <v>4.07</v>
      </c>
      <c r="G94" s="9">
        <v>14273</v>
      </c>
      <c r="H94" s="9">
        <f>(tbl_summary[[#This Row],[Engagement_Rate]]/100)*tbl_summary[[#This Row],[Total_Followers]]</f>
        <v>5017.1704</v>
      </c>
      <c r="I94" s="9"/>
      <c r="J94" s="9"/>
    </row>
    <row r="95" spans="1:10" ht="15.75" customHeight="1">
      <c r="A95" s="42">
        <v>45663</v>
      </c>
      <c r="B95" s="1" t="s">
        <v>13</v>
      </c>
      <c r="C95" s="9">
        <v>613</v>
      </c>
      <c r="D95" s="9">
        <v>170</v>
      </c>
      <c r="E95" s="9">
        <v>139266</v>
      </c>
      <c r="F95" s="7">
        <v>6.06</v>
      </c>
      <c r="G95" s="9">
        <v>9247</v>
      </c>
      <c r="H95" s="9">
        <f>(tbl_summary[[#This Row],[Engagement_Rate]]/100)*tbl_summary[[#This Row],[Total_Followers]]</f>
        <v>8439.5195999999996</v>
      </c>
      <c r="I95" s="9"/>
      <c r="J95" s="9"/>
    </row>
    <row r="96" spans="1:10" ht="15.75" customHeight="1">
      <c r="A96" s="42">
        <v>45663</v>
      </c>
      <c r="B96" s="1" t="s">
        <v>22</v>
      </c>
      <c r="C96" s="9">
        <v>1340</v>
      </c>
      <c r="D96" s="9">
        <v>57</v>
      </c>
      <c r="E96" s="9">
        <v>155927</v>
      </c>
      <c r="F96" s="7">
        <v>7.79</v>
      </c>
      <c r="G96" s="9">
        <v>11972</v>
      </c>
      <c r="H96" s="9">
        <f>(tbl_summary[[#This Row],[Engagement_Rate]]/100)*tbl_summary[[#This Row],[Total_Followers]]</f>
        <v>12146.713299999999</v>
      </c>
      <c r="I96" s="9"/>
      <c r="J96" s="9"/>
    </row>
    <row r="97" spans="1:10" ht="15.75" customHeight="1">
      <c r="A97" s="42">
        <v>45663</v>
      </c>
      <c r="B97" s="1" t="s">
        <v>27</v>
      </c>
      <c r="C97" s="9">
        <v>953</v>
      </c>
      <c r="D97" s="9">
        <v>228</v>
      </c>
      <c r="E97" s="9">
        <v>258398</v>
      </c>
      <c r="F97" s="7">
        <v>9.0500000000000007</v>
      </c>
      <c r="G97" s="9">
        <v>13314</v>
      </c>
      <c r="H97" s="9">
        <f>(tbl_summary[[#This Row],[Engagement_Rate]]/100)*tbl_summary[[#This Row],[Total_Followers]]</f>
        <v>23385.019000000004</v>
      </c>
      <c r="I97" s="9"/>
      <c r="J97" s="9"/>
    </row>
    <row r="98" spans="1:10" ht="15.75" customHeight="1">
      <c r="A98" s="42">
        <v>45670</v>
      </c>
      <c r="B98" s="1" t="s">
        <v>13</v>
      </c>
      <c r="C98" s="9">
        <v>532</v>
      </c>
      <c r="D98" s="9">
        <v>65</v>
      </c>
      <c r="E98" s="9">
        <v>338561</v>
      </c>
      <c r="F98" s="7">
        <v>3.5</v>
      </c>
      <c r="G98" s="9">
        <v>14749</v>
      </c>
      <c r="H98" s="9">
        <f>(tbl_summary[[#This Row],[Engagement_Rate]]/100)*tbl_summary[[#This Row],[Total_Followers]]</f>
        <v>11849.635000000002</v>
      </c>
      <c r="I98" s="9"/>
      <c r="J98" s="9"/>
    </row>
    <row r="99" spans="1:10" ht="15.75" customHeight="1">
      <c r="A99" s="42">
        <v>45670</v>
      </c>
      <c r="B99" s="1" t="s">
        <v>22</v>
      </c>
      <c r="C99" s="9">
        <v>1414</v>
      </c>
      <c r="D99" s="9">
        <v>60</v>
      </c>
      <c r="E99" s="9">
        <v>341856</v>
      </c>
      <c r="F99" s="7">
        <v>8.76</v>
      </c>
      <c r="G99" s="9">
        <v>6868</v>
      </c>
      <c r="H99" s="9">
        <f>(tbl_summary[[#This Row],[Engagement_Rate]]/100)*tbl_summary[[#This Row],[Total_Followers]]</f>
        <v>29946.585599999999</v>
      </c>
      <c r="I99" s="9"/>
      <c r="J99" s="9"/>
    </row>
    <row r="100" spans="1:10" ht="15.75" customHeight="1">
      <c r="A100" s="42">
        <v>45670</v>
      </c>
      <c r="B100" s="1" t="s">
        <v>27</v>
      </c>
      <c r="C100" s="9">
        <v>685</v>
      </c>
      <c r="D100" s="9">
        <v>165</v>
      </c>
      <c r="E100" s="9">
        <v>175860</v>
      </c>
      <c r="F100" s="7">
        <v>6.26</v>
      </c>
      <c r="G100" s="9">
        <v>6027</v>
      </c>
      <c r="H100" s="9">
        <f>(tbl_summary[[#This Row],[Engagement_Rate]]/100)*tbl_summary[[#This Row],[Total_Followers]]</f>
        <v>11008.836000000001</v>
      </c>
      <c r="I100" s="9"/>
      <c r="J100" s="9"/>
    </row>
    <row r="101" spans="1:10" ht="15.75" customHeight="1">
      <c r="A101" s="42">
        <v>45677</v>
      </c>
      <c r="B101" s="1" t="s">
        <v>13</v>
      </c>
      <c r="C101" s="9">
        <v>601</v>
      </c>
      <c r="D101" s="9">
        <v>159</v>
      </c>
      <c r="E101" s="9">
        <v>327722</v>
      </c>
      <c r="F101" s="7">
        <v>3.33</v>
      </c>
      <c r="G101" s="9">
        <v>25267</v>
      </c>
      <c r="H101" s="9">
        <f>(tbl_summary[[#This Row],[Engagement_Rate]]/100)*tbl_summary[[#This Row],[Total_Followers]]</f>
        <v>10913.142600000001</v>
      </c>
      <c r="I101" s="9"/>
      <c r="J101" s="9"/>
    </row>
    <row r="102" spans="1:10" ht="15.75" customHeight="1">
      <c r="A102" s="42">
        <v>45677</v>
      </c>
      <c r="B102" s="1" t="s">
        <v>22</v>
      </c>
      <c r="C102" s="9">
        <v>841</v>
      </c>
      <c r="D102" s="9">
        <v>295</v>
      </c>
      <c r="E102" s="9">
        <v>271638</v>
      </c>
      <c r="F102" s="7">
        <v>9.15</v>
      </c>
      <c r="G102" s="9">
        <v>5900</v>
      </c>
      <c r="H102" s="9">
        <f>(tbl_summary[[#This Row],[Engagement_Rate]]/100)*tbl_summary[[#This Row],[Total_Followers]]</f>
        <v>24854.877</v>
      </c>
      <c r="I102" s="9"/>
      <c r="J102" s="9"/>
    </row>
    <row r="103" spans="1:10" ht="15.75" customHeight="1">
      <c r="A103" s="42">
        <v>45677</v>
      </c>
      <c r="B103" s="1" t="s">
        <v>27</v>
      </c>
      <c r="C103" s="9">
        <v>1105</v>
      </c>
      <c r="D103" s="9">
        <v>261</v>
      </c>
      <c r="E103" s="9">
        <v>333851</v>
      </c>
      <c r="F103" s="7">
        <v>6.03</v>
      </c>
      <c r="G103" s="9">
        <v>11181</v>
      </c>
      <c r="H103" s="9">
        <f>(tbl_summary[[#This Row],[Engagement_Rate]]/100)*tbl_summary[[#This Row],[Total_Followers]]</f>
        <v>20131.2153</v>
      </c>
      <c r="I103" s="9"/>
      <c r="J103" s="9"/>
    </row>
    <row r="104" spans="1:10" ht="15.75" customHeight="1">
      <c r="A104" s="42">
        <v>45684</v>
      </c>
      <c r="B104" s="1" t="s">
        <v>13</v>
      </c>
      <c r="C104" s="9">
        <v>566</v>
      </c>
      <c r="D104" s="9">
        <v>225</v>
      </c>
      <c r="E104" s="9">
        <v>368984</v>
      </c>
      <c r="F104" s="7">
        <v>9.82</v>
      </c>
      <c r="G104" s="9">
        <v>9592</v>
      </c>
      <c r="H104" s="9">
        <f>(tbl_summary[[#This Row],[Engagement_Rate]]/100)*tbl_summary[[#This Row],[Total_Followers]]</f>
        <v>36234.228800000004</v>
      </c>
      <c r="I104" s="9"/>
      <c r="J104" s="9"/>
    </row>
    <row r="105" spans="1:10" ht="15.75" customHeight="1">
      <c r="A105" s="42">
        <v>45684</v>
      </c>
      <c r="B105" s="1" t="s">
        <v>22</v>
      </c>
      <c r="C105" s="9">
        <v>1149</v>
      </c>
      <c r="D105" s="9">
        <v>280</v>
      </c>
      <c r="E105" s="9">
        <v>167310</v>
      </c>
      <c r="F105" s="7">
        <v>3.7</v>
      </c>
      <c r="G105" s="9">
        <v>5291</v>
      </c>
      <c r="H105" s="9">
        <f>(tbl_summary[[#This Row],[Engagement_Rate]]/100)*tbl_summary[[#This Row],[Total_Followers]]</f>
        <v>6190.4700000000012</v>
      </c>
      <c r="I105" s="9"/>
      <c r="J105" s="9"/>
    </row>
    <row r="106" spans="1:10" ht="15.75" customHeight="1">
      <c r="A106" s="42">
        <v>45684</v>
      </c>
      <c r="B106" s="1" t="s">
        <v>27</v>
      </c>
      <c r="C106" s="9">
        <v>819</v>
      </c>
      <c r="D106" s="9">
        <v>101</v>
      </c>
      <c r="E106" s="9">
        <v>194811</v>
      </c>
      <c r="F106" s="7">
        <v>3.35</v>
      </c>
      <c r="G106" s="9">
        <v>22244</v>
      </c>
      <c r="H106" s="9">
        <f>(tbl_summary[[#This Row],[Engagement_Rate]]/100)*tbl_summary[[#This Row],[Total_Followers]]</f>
        <v>6526.1685000000007</v>
      </c>
      <c r="I106" s="9"/>
      <c r="J106" s="9"/>
    </row>
    <row r="107" spans="1:10" ht="15.75" customHeight="1">
      <c r="A107" s="42">
        <v>45691</v>
      </c>
      <c r="B107" s="1" t="s">
        <v>13</v>
      </c>
      <c r="C107" s="9">
        <v>795</v>
      </c>
      <c r="D107" s="9">
        <v>60</v>
      </c>
      <c r="E107" s="9">
        <v>314982</v>
      </c>
      <c r="F107" s="7">
        <v>7.31</v>
      </c>
      <c r="G107" s="9">
        <v>6824</v>
      </c>
      <c r="H107" s="9">
        <f>(tbl_summary[[#This Row],[Engagement_Rate]]/100)*tbl_summary[[#This Row],[Total_Followers]]</f>
        <v>23025.1842</v>
      </c>
      <c r="I107" s="9"/>
      <c r="J107" s="9"/>
    </row>
    <row r="108" spans="1:10" ht="15.75" customHeight="1">
      <c r="A108" s="42">
        <v>45691</v>
      </c>
      <c r="B108" s="1" t="s">
        <v>22</v>
      </c>
      <c r="C108" s="9">
        <v>681</v>
      </c>
      <c r="D108" s="9">
        <v>158</v>
      </c>
      <c r="E108" s="9">
        <v>75960</v>
      </c>
      <c r="F108" s="7">
        <v>3.13</v>
      </c>
      <c r="G108" s="9">
        <v>24112</v>
      </c>
      <c r="H108" s="9">
        <f>(tbl_summary[[#This Row],[Engagement_Rate]]/100)*tbl_summary[[#This Row],[Total_Followers]]</f>
        <v>2377.5480000000002</v>
      </c>
      <c r="I108" s="9"/>
      <c r="J108" s="9"/>
    </row>
    <row r="109" spans="1:10" ht="15.75" customHeight="1">
      <c r="A109" s="42">
        <v>45691</v>
      </c>
      <c r="B109" s="1" t="s">
        <v>27</v>
      </c>
      <c r="C109" s="9">
        <v>534</v>
      </c>
      <c r="D109" s="9">
        <v>112</v>
      </c>
      <c r="E109" s="9">
        <v>360759</v>
      </c>
      <c r="F109" s="7">
        <v>4.8899999999999997</v>
      </c>
      <c r="G109" s="9">
        <v>25478</v>
      </c>
      <c r="H109" s="9">
        <f>(tbl_summary[[#This Row],[Engagement_Rate]]/100)*tbl_summary[[#This Row],[Total_Followers]]</f>
        <v>17641.115099999999</v>
      </c>
      <c r="I109" s="9"/>
      <c r="J109" s="9"/>
    </row>
    <row r="110" spans="1:10" ht="15.75" customHeight="1">
      <c r="A110" s="42">
        <v>45698</v>
      </c>
      <c r="B110" s="1" t="s">
        <v>13</v>
      </c>
      <c r="C110" s="9">
        <v>1066</v>
      </c>
      <c r="D110" s="9">
        <v>151</v>
      </c>
      <c r="E110" s="9">
        <v>297090</v>
      </c>
      <c r="F110" s="7">
        <v>8.6300000000000008</v>
      </c>
      <c r="G110" s="9">
        <v>11235</v>
      </c>
      <c r="H110" s="9">
        <f>(tbl_summary[[#This Row],[Engagement_Rate]]/100)*tbl_summary[[#This Row],[Total_Followers]]</f>
        <v>25638.867000000002</v>
      </c>
      <c r="I110" s="9"/>
      <c r="J110" s="9"/>
    </row>
    <row r="111" spans="1:10" ht="15.75" customHeight="1">
      <c r="A111" s="42">
        <v>45698</v>
      </c>
      <c r="B111" s="1" t="s">
        <v>22</v>
      </c>
      <c r="C111" s="9">
        <v>1270</v>
      </c>
      <c r="D111" s="9">
        <v>162</v>
      </c>
      <c r="E111" s="9">
        <v>92040</v>
      </c>
      <c r="F111" s="7">
        <v>8.0299999999999994</v>
      </c>
      <c r="G111" s="9">
        <v>6120</v>
      </c>
      <c r="H111" s="9">
        <f>(tbl_summary[[#This Row],[Engagement_Rate]]/100)*tbl_summary[[#This Row],[Total_Followers]]</f>
        <v>7390.8119999999999</v>
      </c>
      <c r="I111" s="9"/>
      <c r="J111" s="9"/>
    </row>
    <row r="112" spans="1:10" ht="15.75" customHeight="1">
      <c r="A112" s="42">
        <v>45698</v>
      </c>
      <c r="B112" s="1" t="s">
        <v>27</v>
      </c>
      <c r="C112" s="9">
        <v>536</v>
      </c>
      <c r="D112" s="9">
        <v>198</v>
      </c>
      <c r="E112" s="9">
        <v>174610</v>
      </c>
      <c r="F112" s="7">
        <v>7.85</v>
      </c>
      <c r="G112" s="9">
        <v>20572</v>
      </c>
      <c r="H112" s="9">
        <f>(tbl_summary[[#This Row],[Engagement_Rate]]/100)*tbl_summary[[#This Row],[Total_Followers]]</f>
        <v>13706.885</v>
      </c>
      <c r="I112" s="9"/>
      <c r="J112" s="9"/>
    </row>
    <row r="113" spans="1:10" ht="15.75" customHeight="1">
      <c r="A113" s="42">
        <v>45705</v>
      </c>
      <c r="B113" s="1" t="s">
        <v>13</v>
      </c>
      <c r="C113" s="9">
        <v>819</v>
      </c>
      <c r="D113" s="9">
        <v>95</v>
      </c>
      <c r="E113" s="9">
        <v>177376</v>
      </c>
      <c r="F113" s="7">
        <v>6.12</v>
      </c>
      <c r="G113" s="9">
        <v>14975</v>
      </c>
      <c r="H113" s="9">
        <f>(tbl_summary[[#This Row],[Engagement_Rate]]/100)*tbl_summary[[#This Row],[Total_Followers]]</f>
        <v>10855.4112</v>
      </c>
      <c r="I113" s="9"/>
      <c r="J113" s="9"/>
    </row>
    <row r="114" spans="1:10" ht="15.75" customHeight="1">
      <c r="A114" s="42">
        <v>45705</v>
      </c>
      <c r="B114" s="1" t="s">
        <v>22</v>
      </c>
      <c r="C114" s="9">
        <v>681</v>
      </c>
      <c r="D114" s="9">
        <v>218</v>
      </c>
      <c r="E114" s="9">
        <v>198882</v>
      </c>
      <c r="F114" s="7">
        <v>7.16</v>
      </c>
      <c r="G114" s="9">
        <v>22234</v>
      </c>
      <c r="H114" s="9">
        <f>(tbl_summary[[#This Row],[Engagement_Rate]]/100)*tbl_summary[[#This Row],[Total_Followers]]</f>
        <v>14239.9512</v>
      </c>
      <c r="I114" s="9"/>
      <c r="J114" s="9"/>
    </row>
    <row r="115" spans="1:10" ht="15.75" customHeight="1">
      <c r="A115" s="42">
        <v>45705</v>
      </c>
      <c r="B115" s="1" t="s">
        <v>27</v>
      </c>
      <c r="C115" s="9">
        <v>646</v>
      </c>
      <c r="D115" s="9">
        <v>290</v>
      </c>
      <c r="E115" s="9">
        <v>336383</v>
      </c>
      <c r="F115" s="7">
        <v>7.04</v>
      </c>
      <c r="G115" s="9">
        <v>6532</v>
      </c>
      <c r="H115" s="9">
        <f>(tbl_summary[[#This Row],[Engagement_Rate]]/100)*tbl_summary[[#This Row],[Total_Followers]]</f>
        <v>23681.3632</v>
      </c>
      <c r="I115" s="9"/>
      <c r="J115" s="9"/>
    </row>
    <row r="116" spans="1:10" ht="15.75" customHeight="1">
      <c r="A116" s="42">
        <v>45712</v>
      </c>
      <c r="B116" s="1" t="s">
        <v>13</v>
      </c>
      <c r="C116" s="9">
        <v>645</v>
      </c>
      <c r="D116" s="9">
        <v>267</v>
      </c>
      <c r="E116" s="9">
        <v>346890</v>
      </c>
      <c r="F116" s="7">
        <v>3.71</v>
      </c>
      <c r="G116" s="9">
        <v>24858</v>
      </c>
      <c r="H116" s="9">
        <f>(tbl_summary[[#This Row],[Engagement_Rate]]/100)*tbl_summary[[#This Row],[Total_Followers]]</f>
        <v>12869.619000000001</v>
      </c>
      <c r="I116" s="9"/>
      <c r="J116" s="9"/>
    </row>
    <row r="117" spans="1:10" ht="15.75" customHeight="1">
      <c r="A117" s="42">
        <v>45712</v>
      </c>
      <c r="B117" s="1" t="s">
        <v>22</v>
      </c>
      <c r="C117" s="9">
        <v>886</v>
      </c>
      <c r="D117" s="9">
        <v>250</v>
      </c>
      <c r="E117" s="9">
        <v>168170</v>
      </c>
      <c r="F117" s="7">
        <v>4.12</v>
      </c>
      <c r="G117" s="9">
        <v>13883</v>
      </c>
      <c r="H117" s="9">
        <f>(tbl_summary[[#This Row],[Engagement_Rate]]/100)*tbl_summary[[#This Row],[Total_Followers]]</f>
        <v>6928.6040000000003</v>
      </c>
      <c r="I117" s="9"/>
      <c r="J117" s="9"/>
    </row>
    <row r="118" spans="1:10" ht="15.75" customHeight="1">
      <c r="A118" s="42">
        <v>45712</v>
      </c>
      <c r="B118" s="1" t="s">
        <v>27</v>
      </c>
      <c r="C118" s="9">
        <v>978</v>
      </c>
      <c r="D118" s="9">
        <v>279</v>
      </c>
      <c r="E118" s="9">
        <v>368872</v>
      </c>
      <c r="F118" s="7">
        <v>6.82</v>
      </c>
      <c r="G118" s="9">
        <v>18654</v>
      </c>
      <c r="H118" s="9">
        <f>(tbl_summary[[#This Row],[Engagement_Rate]]/100)*tbl_summary[[#This Row],[Total_Followers]]</f>
        <v>25157.070400000001</v>
      </c>
      <c r="I118" s="9"/>
      <c r="J118" s="9"/>
    </row>
    <row r="119" spans="1:10" ht="15.75" customHeight="1">
      <c r="A119" s="42">
        <v>45719</v>
      </c>
      <c r="B119" s="1" t="s">
        <v>13</v>
      </c>
      <c r="C119" s="9">
        <v>1444</v>
      </c>
      <c r="D119" s="9">
        <v>165</v>
      </c>
      <c r="E119" s="9">
        <v>116436</v>
      </c>
      <c r="F119" s="7">
        <v>8.2200000000000006</v>
      </c>
      <c r="G119" s="9">
        <v>25234</v>
      </c>
      <c r="H119" s="9">
        <f>(tbl_summary[[#This Row],[Engagement_Rate]]/100)*tbl_summary[[#This Row],[Total_Followers]]</f>
        <v>9571.0392000000011</v>
      </c>
      <c r="I119" s="9"/>
      <c r="J119" s="9"/>
    </row>
    <row r="120" spans="1:10" ht="15.75" customHeight="1">
      <c r="A120" s="42">
        <v>45719</v>
      </c>
      <c r="B120" s="1" t="s">
        <v>22</v>
      </c>
      <c r="C120" s="9">
        <v>1234</v>
      </c>
      <c r="D120" s="9">
        <v>228</v>
      </c>
      <c r="E120" s="9">
        <v>127502</v>
      </c>
      <c r="F120" s="7">
        <v>7.71</v>
      </c>
      <c r="G120" s="9">
        <v>6772</v>
      </c>
      <c r="H120" s="9">
        <f>(tbl_summary[[#This Row],[Engagement_Rate]]/100)*tbl_summary[[#This Row],[Total_Followers]]</f>
        <v>9830.4042000000009</v>
      </c>
      <c r="I120" s="9"/>
      <c r="J120" s="9"/>
    </row>
    <row r="121" spans="1:10" ht="15.75" customHeight="1">
      <c r="A121" s="42">
        <v>45719</v>
      </c>
      <c r="B121" s="1" t="s">
        <v>27</v>
      </c>
      <c r="C121" s="9">
        <v>665</v>
      </c>
      <c r="D121" s="9">
        <v>187</v>
      </c>
      <c r="E121" s="9">
        <v>274567</v>
      </c>
      <c r="F121" s="7">
        <v>7.39</v>
      </c>
      <c r="G121" s="9">
        <v>22428</v>
      </c>
      <c r="H121" s="9">
        <f>(tbl_summary[[#This Row],[Engagement_Rate]]/100)*tbl_summary[[#This Row],[Total_Followers]]</f>
        <v>20290.5013</v>
      </c>
      <c r="I121" s="9"/>
      <c r="J121" s="9"/>
    </row>
    <row r="122" spans="1:10" ht="15.75" customHeight="1">
      <c r="A122" s="42">
        <v>45726</v>
      </c>
      <c r="B122" s="1" t="s">
        <v>13</v>
      </c>
      <c r="C122" s="9">
        <v>631</v>
      </c>
      <c r="D122" s="9">
        <v>86</v>
      </c>
      <c r="E122" s="9">
        <v>295090</v>
      </c>
      <c r="F122" s="7">
        <v>7.89</v>
      </c>
      <c r="G122" s="9">
        <v>11911</v>
      </c>
      <c r="H122" s="9">
        <f>(tbl_summary[[#This Row],[Engagement_Rate]]/100)*tbl_summary[[#This Row],[Total_Followers]]</f>
        <v>23282.600999999999</v>
      </c>
      <c r="I122" s="9"/>
      <c r="J122" s="9"/>
    </row>
    <row r="123" spans="1:10" ht="15.75" customHeight="1">
      <c r="A123" s="42">
        <v>45726</v>
      </c>
      <c r="B123" s="1" t="s">
        <v>22</v>
      </c>
      <c r="C123" s="9">
        <v>1159</v>
      </c>
      <c r="D123" s="9">
        <v>154</v>
      </c>
      <c r="E123" s="9">
        <v>194994</v>
      </c>
      <c r="F123" s="7">
        <v>6.39</v>
      </c>
      <c r="G123" s="9">
        <v>21900</v>
      </c>
      <c r="H123" s="9">
        <f>(tbl_summary[[#This Row],[Engagement_Rate]]/100)*tbl_summary[[#This Row],[Total_Followers]]</f>
        <v>12460.116599999999</v>
      </c>
      <c r="I123" s="9"/>
      <c r="J123" s="9"/>
    </row>
    <row r="124" spans="1:10" ht="15.75" customHeight="1">
      <c r="A124" s="42">
        <v>45726</v>
      </c>
      <c r="B124" s="1" t="s">
        <v>27</v>
      </c>
      <c r="C124" s="9">
        <v>950</v>
      </c>
      <c r="D124" s="9">
        <v>185</v>
      </c>
      <c r="E124" s="9">
        <v>340750</v>
      </c>
      <c r="F124" s="7">
        <v>6.77</v>
      </c>
      <c r="G124" s="9">
        <v>25542</v>
      </c>
      <c r="H124" s="9">
        <f>(tbl_summary[[#This Row],[Engagement_Rate]]/100)*tbl_summary[[#This Row],[Total_Followers]]</f>
        <v>23068.774999999998</v>
      </c>
      <c r="I124" s="9"/>
      <c r="J124" s="9"/>
    </row>
    <row r="125" spans="1:10" ht="15.75" customHeight="1">
      <c r="A125" s="42">
        <v>45733</v>
      </c>
      <c r="B125" s="1" t="s">
        <v>13</v>
      </c>
      <c r="C125" s="9">
        <v>693</v>
      </c>
      <c r="D125" s="9">
        <v>129</v>
      </c>
      <c r="E125" s="9">
        <v>296031</v>
      </c>
      <c r="F125" s="7">
        <v>3.41</v>
      </c>
      <c r="G125" s="9">
        <v>7140</v>
      </c>
      <c r="H125" s="9">
        <f>(tbl_summary[[#This Row],[Engagement_Rate]]/100)*tbl_summary[[#This Row],[Total_Followers]]</f>
        <v>10094.6571</v>
      </c>
      <c r="I125" s="9"/>
      <c r="J125" s="9"/>
    </row>
    <row r="126" spans="1:10" ht="15.75" customHeight="1">
      <c r="A126" s="42">
        <v>45733</v>
      </c>
      <c r="B126" s="1" t="s">
        <v>22</v>
      </c>
      <c r="C126" s="9">
        <v>576</v>
      </c>
      <c r="D126" s="9">
        <v>80</v>
      </c>
      <c r="E126" s="9">
        <v>345688</v>
      </c>
      <c r="F126" s="7">
        <v>4.1100000000000003</v>
      </c>
      <c r="G126" s="9">
        <v>20474</v>
      </c>
      <c r="H126" s="9">
        <f>(tbl_summary[[#This Row],[Engagement_Rate]]/100)*tbl_summary[[#This Row],[Total_Followers]]</f>
        <v>14207.776800000001</v>
      </c>
      <c r="I126" s="9"/>
      <c r="J126" s="9"/>
    </row>
    <row r="127" spans="1:10" ht="15.75" customHeight="1">
      <c r="A127" s="42">
        <v>45733</v>
      </c>
      <c r="B127" s="1" t="s">
        <v>27</v>
      </c>
      <c r="C127" s="9">
        <v>1274</v>
      </c>
      <c r="D127" s="9">
        <v>146</v>
      </c>
      <c r="E127" s="9">
        <v>263488</v>
      </c>
      <c r="F127" s="7">
        <v>9.58</v>
      </c>
      <c r="G127" s="9">
        <v>8698</v>
      </c>
      <c r="H127" s="9">
        <f>(tbl_summary[[#This Row],[Engagement_Rate]]/100)*tbl_summary[[#This Row],[Total_Followers]]</f>
        <v>25242.150399999999</v>
      </c>
      <c r="I127" s="9"/>
      <c r="J127" s="9"/>
    </row>
    <row r="128" spans="1:10" ht="15.75" customHeight="1">
      <c r="A128" s="42">
        <v>45740</v>
      </c>
      <c r="B128" s="1" t="s">
        <v>13</v>
      </c>
      <c r="C128" s="9">
        <v>818</v>
      </c>
      <c r="D128" s="9">
        <v>253</v>
      </c>
      <c r="E128" s="9">
        <v>184911</v>
      </c>
      <c r="F128" s="7">
        <v>3.39</v>
      </c>
      <c r="G128" s="9">
        <v>10402</v>
      </c>
      <c r="H128" s="9">
        <f>(tbl_summary[[#This Row],[Engagement_Rate]]/100)*tbl_summary[[#This Row],[Total_Followers]]</f>
        <v>6268.4829</v>
      </c>
      <c r="I128" s="9"/>
      <c r="J128" s="9"/>
    </row>
    <row r="129" spans="1:10" ht="15.75" customHeight="1">
      <c r="A129" s="42">
        <v>45740</v>
      </c>
      <c r="B129" s="1" t="s">
        <v>22</v>
      </c>
      <c r="C129" s="9">
        <v>975</v>
      </c>
      <c r="D129" s="9">
        <v>162</v>
      </c>
      <c r="E129" s="9">
        <v>124497</v>
      </c>
      <c r="F129" s="7">
        <v>9.58</v>
      </c>
      <c r="G129" s="9">
        <v>26618</v>
      </c>
      <c r="H129" s="9">
        <f>(tbl_summary[[#This Row],[Engagement_Rate]]/100)*tbl_summary[[#This Row],[Total_Followers]]</f>
        <v>11926.812599999999</v>
      </c>
      <c r="I129" s="9"/>
      <c r="J129" s="9"/>
    </row>
    <row r="130" spans="1:10" ht="15.75" customHeight="1">
      <c r="A130" s="42">
        <v>45740</v>
      </c>
      <c r="B130" s="1" t="s">
        <v>27</v>
      </c>
      <c r="C130" s="9">
        <v>1398</v>
      </c>
      <c r="D130" s="9">
        <v>97</v>
      </c>
      <c r="E130" s="9">
        <v>397607</v>
      </c>
      <c r="F130" s="7">
        <v>5.09</v>
      </c>
      <c r="G130" s="9">
        <v>7975</v>
      </c>
      <c r="H130" s="9">
        <f>(tbl_summary[[#This Row],[Engagement_Rate]]/100)*tbl_summary[[#This Row],[Total_Followers]]</f>
        <v>20238.1963</v>
      </c>
      <c r="I130" s="9"/>
      <c r="J130" s="9"/>
    </row>
    <row r="131" spans="1:10" ht="15.75" customHeight="1">
      <c r="A131" s="42">
        <v>45747</v>
      </c>
      <c r="B131" s="1" t="s">
        <v>13</v>
      </c>
      <c r="C131" s="9">
        <v>591</v>
      </c>
      <c r="D131" s="9">
        <v>155</v>
      </c>
      <c r="E131" s="9">
        <v>138521</v>
      </c>
      <c r="F131" s="7">
        <v>7.85</v>
      </c>
      <c r="G131" s="9">
        <v>19054</v>
      </c>
      <c r="H131" s="9">
        <f>(tbl_summary[[#This Row],[Engagement_Rate]]/100)*tbl_summary[[#This Row],[Total_Followers]]</f>
        <v>10873.898499999999</v>
      </c>
      <c r="I131" s="9"/>
      <c r="J131" s="9"/>
    </row>
    <row r="132" spans="1:10" ht="15.75" customHeight="1">
      <c r="A132" s="42">
        <v>45747</v>
      </c>
      <c r="B132" s="1" t="s">
        <v>22</v>
      </c>
      <c r="C132" s="9">
        <v>1232</v>
      </c>
      <c r="D132" s="9">
        <v>254</v>
      </c>
      <c r="E132" s="9">
        <v>107718</v>
      </c>
      <c r="F132" s="7">
        <v>9.7100000000000009</v>
      </c>
      <c r="G132" s="9">
        <v>13740</v>
      </c>
      <c r="H132" s="9">
        <f>(tbl_summary[[#This Row],[Engagement_Rate]]/100)*tbl_summary[[#This Row],[Total_Followers]]</f>
        <v>10459.417800000001</v>
      </c>
      <c r="I132" s="9"/>
      <c r="J132" s="9"/>
    </row>
    <row r="133" spans="1:10" ht="15.75" customHeight="1">
      <c r="A133" s="42">
        <v>45747</v>
      </c>
      <c r="B133" s="1" t="s">
        <v>27</v>
      </c>
      <c r="C133" s="9">
        <v>1425</v>
      </c>
      <c r="D133" s="9">
        <v>58</v>
      </c>
      <c r="E133" s="9">
        <v>202234</v>
      </c>
      <c r="F133" s="7">
        <v>6.67</v>
      </c>
      <c r="G133" s="9">
        <v>18442</v>
      </c>
      <c r="H133" s="9">
        <f>(tbl_summary[[#This Row],[Engagement_Rate]]/100)*tbl_summary[[#This Row],[Total_Followers]]</f>
        <v>13489.007799999999</v>
      </c>
      <c r="I133" s="9"/>
      <c r="J133" s="9"/>
    </row>
    <row r="134" spans="1:10" ht="15.75" customHeight="1">
      <c r="A134" s="42">
        <v>45754</v>
      </c>
      <c r="B134" s="1" t="s">
        <v>13</v>
      </c>
      <c r="C134" s="9">
        <v>1417</v>
      </c>
      <c r="D134" s="9">
        <v>80</v>
      </c>
      <c r="E134" s="9">
        <v>340987</v>
      </c>
      <c r="F134" s="7">
        <v>6.13</v>
      </c>
      <c r="G134" s="9">
        <v>10104</v>
      </c>
      <c r="H134" s="9">
        <f>(tbl_summary[[#This Row],[Engagement_Rate]]/100)*tbl_summary[[#This Row],[Total_Followers]]</f>
        <v>20902.503100000002</v>
      </c>
      <c r="I134" s="9"/>
      <c r="J134" s="9"/>
    </row>
    <row r="135" spans="1:10" ht="15.75" customHeight="1">
      <c r="A135" s="42">
        <v>45754</v>
      </c>
      <c r="B135" s="1" t="s">
        <v>22</v>
      </c>
      <c r="C135" s="9">
        <v>1222</v>
      </c>
      <c r="D135" s="9">
        <v>208</v>
      </c>
      <c r="E135" s="9">
        <v>340098</v>
      </c>
      <c r="F135" s="7">
        <v>7.34</v>
      </c>
      <c r="G135" s="9">
        <v>21771</v>
      </c>
      <c r="H135" s="9">
        <f>(tbl_summary[[#This Row],[Engagement_Rate]]/100)*tbl_summary[[#This Row],[Total_Followers]]</f>
        <v>24963.193199999998</v>
      </c>
      <c r="I135" s="9"/>
      <c r="J135" s="9"/>
    </row>
    <row r="136" spans="1:10" ht="15.75" customHeight="1">
      <c r="A136" s="42">
        <v>45754</v>
      </c>
      <c r="B136" s="1" t="s">
        <v>27</v>
      </c>
      <c r="C136" s="9">
        <v>1071</v>
      </c>
      <c r="D136" s="9">
        <v>131</v>
      </c>
      <c r="E136" s="9">
        <v>254727</v>
      </c>
      <c r="F136" s="7">
        <v>6.87</v>
      </c>
      <c r="G136" s="9">
        <v>22191</v>
      </c>
      <c r="H136" s="9">
        <f>(tbl_summary[[#This Row],[Engagement_Rate]]/100)*tbl_summary[[#This Row],[Total_Followers]]</f>
        <v>17499.744899999998</v>
      </c>
      <c r="I136" s="9"/>
      <c r="J136" s="9"/>
    </row>
    <row r="137" spans="1:10" ht="15.75" customHeight="1">
      <c r="A137" s="42">
        <v>45761</v>
      </c>
      <c r="B137" s="1" t="s">
        <v>13</v>
      </c>
      <c r="C137" s="9">
        <v>772</v>
      </c>
      <c r="D137" s="9">
        <v>82</v>
      </c>
      <c r="E137" s="9">
        <v>345659</v>
      </c>
      <c r="F137" s="7">
        <v>3.52</v>
      </c>
      <c r="G137" s="9">
        <v>27753</v>
      </c>
      <c r="H137" s="9">
        <f>(tbl_summary[[#This Row],[Engagement_Rate]]/100)*tbl_summary[[#This Row],[Total_Followers]]</f>
        <v>12167.196800000002</v>
      </c>
      <c r="I137" s="9"/>
      <c r="J137" s="9"/>
    </row>
    <row r="138" spans="1:10" ht="15.75" customHeight="1">
      <c r="A138" s="42">
        <v>45761</v>
      </c>
      <c r="B138" s="1" t="s">
        <v>22</v>
      </c>
      <c r="C138" s="9">
        <v>1472</v>
      </c>
      <c r="D138" s="9">
        <v>137</v>
      </c>
      <c r="E138" s="9">
        <v>213950</v>
      </c>
      <c r="F138" s="7">
        <v>6.96</v>
      </c>
      <c r="G138" s="9">
        <v>23736</v>
      </c>
      <c r="H138" s="9">
        <f>(tbl_summary[[#This Row],[Engagement_Rate]]/100)*tbl_summary[[#This Row],[Total_Followers]]</f>
        <v>14890.919999999998</v>
      </c>
      <c r="I138" s="9"/>
      <c r="J138" s="9"/>
    </row>
    <row r="139" spans="1:10" ht="15.75" customHeight="1">
      <c r="A139" s="42">
        <v>45761</v>
      </c>
      <c r="B139" s="1" t="s">
        <v>27</v>
      </c>
      <c r="C139" s="9">
        <v>1472</v>
      </c>
      <c r="D139" s="9">
        <v>281</v>
      </c>
      <c r="E139" s="9">
        <v>258115</v>
      </c>
      <c r="F139" s="7">
        <v>7.23</v>
      </c>
      <c r="G139" s="9">
        <v>27393</v>
      </c>
      <c r="H139" s="9">
        <f>(tbl_summary[[#This Row],[Engagement_Rate]]/100)*tbl_summary[[#This Row],[Total_Followers]]</f>
        <v>18661.714500000002</v>
      </c>
      <c r="I139" s="9"/>
      <c r="J139" s="9"/>
    </row>
    <row r="140" spans="1:10" ht="15.75" customHeight="1">
      <c r="A140" s="42">
        <v>45768</v>
      </c>
      <c r="B140" s="1" t="s">
        <v>13</v>
      </c>
      <c r="C140" s="9">
        <v>585</v>
      </c>
      <c r="D140" s="9">
        <v>232</v>
      </c>
      <c r="E140" s="9">
        <v>321258</v>
      </c>
      <c r="F140" s="7">
        <v>7.42</v>
      </c>
      <c r="G140" s="9">
        <v>10343</v>
      </c>
      <c r="H140" s="9">
        <f>(tbl_summary[[#This Row],[Engagement_Rate]]/100)*tbl_summary[[#This Row],[Total_Followers]]</f>
        <v>23837.3436</v>
      </c>
      <c r="I140" s="9"/>
      <c r="J140" s="9"/>
    </row>
    <row r="141" spans="1:10" ht="15.75" customHeight="1">
      <c r="A141" s="42">
        <v>45768</v>
      </c>
      <c r="B141" s="1" t="s">
        <v>22</v>
      </c>
      <c r="C141" s="9">
        <v>747</v>
      </c>
      <c r="D141" s="9">
        <v>261</v>
      </c>
      <c r="E141" s="9">
        <v>338650</v>
      </c>
      <c r="F141" s="7">
        <v>7.73</v>
      </c>
      <c r="G141" s="9">
        <v>25259</v>
      </c>
      <c r="H141" s="9">
        <f>(tbl_summary[[#This Row],[Engagement_Rate]]/100)*tbl_summary[[#This Row],[Total_Followers]]</f>
        <v>26177.645000000004</v>
      </c>
      <c r="I141" s="9"/>
      <c r="J141" s="9"/>
    </row>
    <row r="142" spans="1:10" ht="15.75" customHeight="1">
      <c r="A142" s="42">
        <v>45768</v>
      </c>
      <c r="B142" s="1" t="s">
        <v>27</v>
      </c>
      <c r="C142" s="9">
        <v>1113</v>
      </c>
      <c r="D142" s="9">
        <v>224</v>
      </c>
      <c r="E142" s="9">
        <v>272989</v>
      </c>
      <c r="F142" s="7">
        <v>5.13</v>
      </c>
      <c r="G142" s="9">
        <v>24827</v>
      </c>
      <c r="H142" s="9">
        <f>(tbl_summary[[#This Row],[Engagement_Rate]]/100)*tbl_summary[[#This Row],[Total_Followers]]</f>
        <v>14004.3357</v>
      </c>
      <c r="I142" s="9"/>
      <c r="J142" s="9"/>
    </row>
    <row r="143" spans="1:10" ht="15.75" customHeight="1">
      <c r="A143" s="42">
        <v>45775</v>
      </c>
      <c r="B143" s="1" t="s">
        <v>13</v>
      </c>
      <c r="C143" s="9">
        <v>1100</v>
      </c>
      <c r="D143" s="9">
        <v>117</v>
      </c>
      <c r="E143" s="9">
        <v>260204</v>
      </c>
      <c r="F143" s="7">
        <v>4.4000000000000004</v>
      </c>
      <c r="G143" s="9">
        <v>11908</v>
      </c>
      <c r="H143" s="9">
        <f>(tbl_summary[[#This Row],[Engagement_Rate]]/100)*tbl_summary[[#This Row],[Total_Followers]]</f>
        <v>11448.976000000001</v>
      </c>
      <c r="I143" s="9"/>
      <c r="J143" s="9"/>
    </row>
    <row r="144" spans="1:10" ht="15.75" customHeight="1">
      <c r="A144" s="42">
        <v>45775</v>
      </c>
      <c r="B144" s="1" t="s">
        <v>22</v>
      </c>
      <c r="C144" s="9">
        <v>751</v>
      </c>
      <c r="D144" s="9">
        <v>170</v>
      </c>
      <c r="E144" s="9">
        <v>283278</v>
      </c>
      <c r="F144" s="7">
        <v>3.49</v>
      </c>
      <c r="G144" s="9">
        <v>11005</v>
      </c>
      <c r="H144" s="9">
        <f>(tbl_summary[[#This Row],[Engagement_Rate]]/100)*tbl_summary[[#This Row],[Total_Followers]]</f>
        <v>9886.4022000000004</v>
      </c>
      <c r="I144" s="9"/>
      <c r="J144" s="9"/>
    </row>
    <row r="145" spans="1:10" ht="15.75" customHeight="1">
      <c r="A145" s="42">
        <v>45775</v>
      </c>
      <c r="B145" s="1" t="s">
        <v>27</v>
      </c>
      <c r="C145" s="9">
        <v>864</v>
      </c>
      <c r="D145" s="9">
        <v>50</v>
      </c>
      <c r="E145" s="9">
        <v>277445</v>
      </c>
      <c r="F145" s="7">
        <v>3.57</v>
      </c>
      <c r="G145" s="9">
        <v>26333</v>
      </c>
      <c r="H145" s="9">
        <f>(tbl_summary[[#This Row],[Engagement_Rate]]/100)*tbl_summary[[#This Row],[Total_Followers]]</f>
        <v>9904.7864999999983</v>
      </c>
      <c r="I145" s="9"/>
      <c r="J145" s="9"/>
    </row>
    <row r="146" spans="1:10" ht="15.75" customHeight="1">
      <c r="A146" s="42">
        <v>45782</v>
      </c>
      <c r="B146" s="1" t="s">
        <v>13</v>
      </c>
      <c r="C146" s="9">
        <v>1146</v>
      </c>
      <c r="D146" s="9">
        <v>227</v>
      </c>
      <c r="E146" s="9">
        <v>353781</v>
      </c>
      <c r="F146" s="7">
        <v>6.41</v>
      </c>
      <c r="G146" s="9">
        <v>5495</v>
      </c>
      <c r="H146" s="9">
        <f>(tbl_summary[[#This Row],[Engagement_Rate]]/100)*tbl_summary[[#This Row],[Total_Followers]]</f>
        <v>22677.362100000002</v>
      </c>
      <c r="I146" s="9"/>
      <c r="J146" s="9"/>
    </row>
    <row r="147" spans="1:10" ht="15.75" customHeight="1">
      <c r="A147" s="42">
        <v>45782</v>
      </c>
      <c r="B147" s="1" t="s">
        <v>22</v>
      </c>
      <c r="C147" s="9">
        <v>883</v>
      </c>
      <c r="D147" s="9">
        <v>207</v>
      </c>
      <c r="E147" s="9">
        <v>265019</v>
      </c>
      <c r="F147" s="7">
        <v>6.04</v>
      </c>
      <c r="G147" s="9">
        <v>15655</v>
      </c>
      <c r="H147" s="9">
        <f>(tbl_summary[[#This Row],[Engagement_Rate]]/100)*tbl_summary[[#This Row],[Total_Followers]]</f>
        <v>16007.1476</v>
      </c>
      <c r="I147" s="9"/>
      <c r="J147" s="9"/>
    </row>
    <row r="148" spans="1:10" ht="15.75" customHeight="1">
      <c r="A148" s="42">
        <v>45782</v>
      </c>
      <c r="B148" s="1" t="s">
        <v>27</v>
      </c>
      <c r="C148" s="9">
        <v>622</v>
      </c>
      <c r="D148" s="9">
        <v>163</v>
      </c>
      <c r="E148" s="9">
        <v>231925</v>
      </c>
      <c r="F148" s="7">
        <v>9.18</v>
      </c>
      <c r="G148" s="9">
        <v>13763</v>
      </c>
      <c r="H148" s="9">
        <f>(tbl_summary[[#This Row],[Engagement_Rate]]/100)*tbl_summary[[#This Row],[Total_Followers]]</f>
        <v>21290.714999999997</v>
      </c>
      <c r="I148" s="9"/>
      <c r="J148" s="9"/>
    </row>
    <row r="149" spans="1:10" ht="15.75" customHeight="1">
      <c r="A149" s="42">
        <v>45789</v>
      </c>
      <c r="B149" s="1" t="s">
        <v>13</v>
      </c>
      <c r="C149" s="9">
        <v>837</v>
      </c>
      <c r="D149" s="9">
        <v>261</v>
      </c>
      <c r="E149" s="9">
        <v>366149</v>
      </c>
      <c r="F149" s="7">
        <v>6.54</v>
      </c>
      <c r="G149" s="9">
        <v>26073</v>
      </c>
      <c r="H149" s="9">
        <f>(tbl_summary[[#This Row],[Engagement_Rate]]/100)*tbl_summary[[#This Row],[Total_Followers]]</f>
        <v>23946.1446</v>
      </c>
      <c r="I149" s="9"/>
      <c r="J149" s="9"/>
    </row>
    <row r="150" spans="1:10" ht="15.75" customHeight="1">
      <c r="A150" s="42">
        <v>45789</v>
      </c>
      <c r="B150" s="1" t="s">
        <v>22</v>
      </c>
      <c r="C150" s="9">
        <v>544</v>
      </c>
      <c r="D150" s="9">
        <v>97</v>
      </c>
      <c r="E150" s="9">
        <v>168375</v>
      </c>
      <c r="F150" s="7">
        <v>8.66</v>
      </c>
      <c r="G150" s="9">
        <v>12774</v>
      </c>
      <c r="H150" s="9">
        <f>(tbl_summary[[#This Row],[Engagement_Rate]]/100)*tbl_summary[[#This Row],[Total_Followers]]</f>
        <v>14581.275</v>
      </c>
      <c r="I150" s="9"/>
      <c r="J150" s="9"/>
    </row>
    <row r="151" spans="1:10" ht="15.75" customHeight="1">
      <c r="A151" s="42">
        <v>45789</v>
      </c>
      <c r="B151" s="1" t="s">
        <v>27</v>
      </c>
      <c r="C151" s="9">
        <v>624</v>
      </c>
      <c r="D151" s="9">
        <v>247</v>
      </c>
      <c r="E151" s="9">
        <v>252763</v>
      </c>
      <c r="F151" s="7">
        <v>3.89</v>
      </c>
      <c r="G151" s="9">
        <v>19000</v>
      </c>
      <c r="H151" s="9">
        <f>(tbl_summary[[#This Row],[Engagement_Rate]]/100)*tbl_summary[[#This Row],[Total_Followers]]</f>
        <v>9832.4807000000019</v>
      </c>
      <c r="I151" s="9"/>
      <c r="J151" s="9"/>
    </row>
    <row r="152" spans="1:10" ht="15.75" customHeight="1">
      <c r="A152" s="42">
        <v>45796</v>
      </c>
      <c r="B152" s="1" t="s">
        <v>13</v>
      </c>
      <c r="C152" s="9">
        <v>1073</v>
      </c>
      <c r="D152" s="9">
        <v>141</v>
      </c>
      <c r="E152" s="9">
        <v>118393</v>
      </c>
      <c r="F152" s="7">
        <v>7.95</v>
      </c>
      <c r="G152" s="9">
        <v>14051</v>
      </c>
      <c r="H152" s="9">
        <f>(tbl_summary[[#This Row],[Engagement_Rate]]/100)*tbl_summary[[#This Row],[Total_Followers]]</f>
        <v>9412.2435000000005</v>
      </c>
      <c r="I152" s="9"/>
      <c r="J152" s="9"/>
    </row>
    <row r="153" spans="1:10" ht="15.75" customHeight="1">
      <c r="A153" s="42">
        <v>45796</v>
      </c>
      <c r="B153" s="1" t="s">
        <v>22</v>
      </c>
      <c r="C153" s="9">
        <v>1430</v>
      </c>
      <c r="D153" s="9">
        <v>74</v>
      </c>
      <c r="E153" s="9">
        <v>327012</v>
      </c>
      <c r="F153" s="7">
        <v>6.66</v>
      </c>
      <c r="G153" s="9">
        <v>27782</v>
      </c>
      <c r="H153" s="9">
        <f>(tbl_summary[[#This Row],[Engagement_Rate]]/100)*tbl_summary[[#This Row],[Total_Followers]]</f>
        <v>21778.999200000002</v>
      </c>
      <c r="I153" s="9"/>
      <c r="J153" s="9"/>
    </row>
    <row r="154" spans="1:10" ht="15.75" customHeight="1">
      <c r="A154" s="42">
        <v>45796</v>
      </c>
      <c r="B154" s="1" t="s">
        <v>27</v>
      </c>
      <c r="C154" s="9">
        <v>1358</v>
      </c>
      <c r="D154" s="9">
        <v>77</v>
      </c>
      <c r="E154" s="9">
        <v>169688</v>
      </c>
      <c r="F154" s="7">
        <v>5.25</v>
      </c>
      <c r="G154" s="9">
        <v>7859</v>
      </c>
      <c r="H154" s="9">
        <f>(tbl_summary[[#This Row],[Engagement_Rate]]/100)*tbl_summary[[#This Row],[Total_Followers]]</f>
        <v>8908.619999999999</v>
      </c>
      <c r="I154" s="9"/>
      <c r="J154" s="9"/>
    </row>
    <row r="155" spans="1:10" ht="15.75" customHeight="1">
      <c r="A155" s="42">
        <v>45803</v>
      </c>
      <c r="B155" s="1" t="s">
        <v>13</v>
      </c>
      <c r="C155" s="9">
        <v>1242</v>
      </c>
      <c r="D155" s="9">
        <v>201</v>
      </c>
      <c r="E155" s="9">
        <v>271935</v>
      </c>
      <c r="F155" s="7">
        <v>5.07</v>
      </c>
      <c r="G155" s="9">
        <v>15773</v>
      </c>
      <c r="H155" s="9">
        <f>(tbl_summary[[#This Row],[Engagement_Rate]]/100)*tbl_summary[[#This Row],[Total_Followers]]</f>
        <v>13787.104500000001</v>
      </c>
      <c r="I155" s="9"/>
      <c r="J155" s="9"/>
    </row>
    <row r="156" spans="1:10" ht="15.75" customHeight="1">
      <c r="A156" s="42">
        <v>45803</v>
      </c>
      <c r="B156" s="1" t="s">
        <v>22</v>
      </c>
      <c r="C156" s="9">
        <v>1389</v>
      </c>
      <c r="D156" s="9">
        <v>205</v>
      </c>
      <c r="E156" s="9">
        <v>315981</v>
      </c>
      <c r="F156" s="7">
        <v>7.62</v>
      </c>
      <c r="G156" s="9">
        <v>20595</v>
      </c>
      <c r="H156" s="9">
        <f>(tbl_summary[[#This Row],[Engagement_Rate]]/100)*tbl_summary[[#This Row],[Total_Followers]]</f>
        <v>24077.752200000003</v>
      </c>
      <c r="I156" s="9"/>
      <c r="J156" s="9"/>
    </row>
    <row r="157" spans="1:10" ht="15.75" customHeight="1">
      <c r="A157" s="42">
        <v>45803</v>
      </c>
      <c r="B157" s="1" t="s">
        <v>27</v>
      </c>
      <c r="C157" s="9">
        <v>826</v>
      </c>
      <c r="D157" s="9">
        <v>142</v>
      </c>
      <c r="E157" s="9">
        <v>341016</v>
      </c>
      <c r="F157" s="7">
        <v>7.44</v>
      </c>
      <c r="G157" s="9">
        <v>12031</v>
      </c>
      <c r="H157" s="9">
        <f>(tbl_summary[[#This Row],[Engagement_Rate]]/100)*tbl_summary[[#This Row],[Total_Followers]]</f>
        <v>25371.590400000001</v>
      </c>
      <c r="I157" s="9"/>
      <c r="J157" s="9"/>
    </row>
    <row r="158" spans="1:10" ht="15.75" customHeight="1">
      <c r="A158" s="42">
        <v>45810</v>
      </c>
      <c r="B158" s="1" t="s">
        <v>13</v>
      </c>
      <c r="C158" s="9">
        <v>618</v>
      </c>
      <c r="D158" s="9">
        <v>264</v>
      </c>
      <c r="E158" s="9">
        <v>285164</v>
      </c>
      <c r="F158" s="7">
        <v>4.8600000000000003</v>
      </c>
      <c r="G158" s="9">
        <v>15128</v>
      </c>
      <c r="H158" s="9">
        <f>(tbl_summary[[#This Row],[Engagement_Rate]]/100)*tbl_summary[[#This Row],[Total_Followers]]</f>
        <v>13858.970400000002</v>
      </c>
      <c r="I158" s="9"/>
      <c r="J158" s="9"/>
    </row>
    <row r="159" spans="1:10" ht="15.75" customHeight="1">
      <c r="A159" s="42">
        <v>45810</v>
      </c>
      <c r="B159" s="1" t="s">
        <v>22</v>
      </c>
      <c r="C159" s="9">
        <v>1419</v>
      </c>
      <c r="D159" s="9">
        <v>293</v>
      </c>
      <c r="E159" s="9">
        <v>116632</v>
      </c>
      <c r="F159" s="7">
        <v>6.93</v>
      </c>
      <c r="G159" s="9">
        <v>11826</v>
      </c>
      <c r="H159" s="9">
        <f>(tbl_summary[[#This Row],[Engagement_Rate]]/100)*tbl_summary[[#This Row],[Total_Followers]]</f>
        <v>8082.5976000000001</v>
      </c>
      <c r="I159" s="9"/>
      <c r="J159" s="9"/>
    </row>
    <row r="160" spans="1:10" ht="15.75" customHeight="1">
      <c r="A160" s="42">
        <v>45810</v>
      </c>
      <c r="B160" s="1" t="s">
        <v>27</v>
      </c>
      <c r="C160" s="9">
        <v>637</v>
      </c>
      <c r="D160" s="9">
        <v>68</v>
      </c>
      <c r="E160" s="9">
        <v>115694</v>
      </c>
      <c r="F160" s="7">
        <v>9.99</v>
      </c>
      <c r="G160" s="9">
        <v>12562</v>
      </c>
      <c r="H160" s="9">
        <f>(tbl_summary[[#This Row],[Engagement_Rate]]/100)*tbl_summary[[#This Row],[Total_Followers]]</f>
        <v>11557.830600000001</v>
      </c>
      <c r="I160" s="9"/>
      <c r="J160" s="9"/>
    </row>
    <row r="161" spans="1:10" ht="15.75" customHeight="1">
      <c r="A161" s="42">
        <v>45817</v>
      </c>
      <c r="B161" s="1" t="s">
        <v>13</v>
      </c>
      <c r="C161" s="9">
        <v>917</v>
      </c>
      <c r="D161" s="9">
        <v>187</v>
      </c>
      <c r="E161" s="9">
        <v>64444</v>
      </c>
      <c r="F161" s="7">
        <v>5.22</v>
      </c>
      <c r="G161" s="9">
        <v>13013</v>
      </c>
      <c r="H161" s="9">
        <f>(tbl_summary[[#This Row],[Engagement_Rate]]/100)*tbl_summary[[#This Row],[Total_Followers]]</f>
        <v>3363.9767999999999</v>
      </c>
      <c r="I161" s="9"/>
      <c r="J161" s="9"/>
    </row>
    <row r="162" spans="1:10" ht="15.75" customHeight="1">
      <c r="A162" s="42">
        <v>45817</v>
      </c>
      <c r="B162" s="1" t="s">
        <v>22</v>
      </c>
      <c r="C162" s="9">
        <v>810</v>
      </c>
      <c r="D162" s="9">
        <v>232</v>
      </c>
      <c r="E162" s="9">
        <v>362559</v>
      </c>
      <c r="F162" s="7">
        <v>5.17</v>
      </c>
      <c r="G162" s="9">
        <v>12937</v>
      </c>
      <c r="H162" s="9">
        <f>(tbl_summary[[#This Row],[Engagement_Rate]]/100)*tbl_summary[[#This Row],[Total_Followers]]</f>
        <v>18744.300299999999</v>
      </c>
      <c r="I162" s="9"/>
      <c r="J162" s="9"/>
    </row>
    <row r="163" spans="1:10" ht="15.75" customHeight="1">
      <c r="A163" s="42">
        <v>45817</v>
      </c>
      <c r="B163" s="1" t="s">
        <v>27</v>
      </c>
      <c r="C163" s="9">
        <v>1183</v>
      </c>
      <c r="D163" s="9">
        <v>248</v>
      </c>
      <c r="E163" s="9">
        <v>226881</v>
      </c>
      <c r="F163" s="7">
        <v>5.17</v>
      </c>
      <c r="G163" s="9">
        <v>14534</v>
      </c>
      <c r="H163" s="9">
        <f>(tbl_summary[[#This Row],[Engagement_Rate]]/100)*tbl_summary[[#This Row],[Total_Followers]]</f>
        <v>11729.7477</v>
      </c>
      <c r="I163" s="9"/>
      <c r="J163" s="9"/>
    </row>
    <row r="164" spans="1:10" ht="15.75" customHeight="1">
      <c r="A164" s="42">
        <v>45824</v>
      </c>
      <c r="B164" s="1" t="s">
        <v>13</v>
      </c>
      <c r="C164" s="9">
        <v>765</v>
      </c>
      <c r="D164" s="9">
        <v>67</v>
      </c>
      <c r="E164" s="9">
        <v>283537</v>
      </c>
      <c r="F164" s="7">
        <v>6.18</v>
      </c>
      <c r="G164" s="9">
        <v>8182</v>
      </c>
      <c r="H164" s="9">
        <f>(tbl_summary[[#This Row],[Engagement_Rate]]/100)*tbl_summary[[#This Row],[Total_Followers]]</f>
        <v>17522.586599999999</v>
      </c>
      <c r="I164" s="9"/>
      <c r="J164" s="9"/>
    </row>
    <row r="165" spans="1:10" ht="15.75" customHeight="1">
      <c r="A165" s="42">
        <v>45824</v>
      </c>
      <c r="B165" s="1" t="s">
        <v>22</v>
      </c>
      <c r="C165" s="9">
        <v>540</v>
      </c>
      <c r="D165" s="9">
        <v>215</v>
      </c>
      <c r="E165" s="9">
        <v>62837</v>
      </c>
      <c r="F165" s="7">
        <v>5.3</v>
      </c>
      <c r="G165" s="9">
        <v>10615</v>
      </c>
      <c r="H165" s="9">
        <f>(tbl_summary[[#This Row],[Engagement_Rate]]/100)*tbl_summary[[#This Row],[Total_Followers]]</f>
        <v>3330.3609999999999</v>
      </c>
      <c r="I165" s="9"/>
      <c r="J165" s="9"/>
    </row>
    <row r="166" spans="1:10" ht="15.75" customHeight="1">
      <c r="A166" s="42">
        <v>45824</v>
      </c>
      <c r="B166" s="1" t="s">
        <v>27</v>
      </c>
      <c r="C166" s="9">
        <v>1145</v>
      </c>
      <c r="D166" s="9">
        <v>151</v>
      </c>
      <c r="E166" s="9">
        <v>182759</v>
      </c>
      <c r="F166" s="7">
        <v>5.99</v>
      </c>
      <c r="G166" s="9">
        <v>20109</v>
      </c>
      <c r="H166" s="9">
        <f>(tbl_summary[[#This Row],[Engagement_Rate]]/100)*tbl_summary[[#This Row],[Total_Followers]]</f>
        <v>10947.2641</v>
      </c>
      <c r="I166" s="9"/>
      <c r="J166" s="9"/>
    </row>
    <row r="167" spans="1:10" ht="15.75" customHeight="1">
      <c r="A167" s="42">
        <v>45831</v>
      </c>
      <c r="B167" s="1" t="s">
        <v>13</v>
      </c>
      <c r="C167" s="9">
        <v>564</v>
      </c>
      <c r="D167" s="9">
        <v>244</v>
      </c>
      <c r="E167" s="9">
        <v>279405</v>
      </c>
      <c r="F167" s="7">
        <v>8.43</v>
      </c>
      <c r="G167" s="9">
        <v>26024</v>
      </c>
      <c r="H167" s="9">
        <f>(tbl_summary[[#This Row],[Engagement_Rate]]/100)*tbl_summary[[#This Row],[Total_Followers]]</f>
        <v>23553.841499999999</v>
      </c>
      <c r="I167" s="9"/>
      <c r="J167" s="9"/>
    </row>
    <row r="168" spans="1:10" ht="15.75" customHeight="1">
      <c r="A168" s="42">
        <v>45831</v>
      </c>
      <c r="B168" s="1" t="s">
        <v>22</v>
      </c>
      <c r="C168" s="9">
        <v>668</v>
      </c>
      <c r="D168" s="9">
        <v>124</v>
      </c>
      <c r="E168" s="9">
        <v>257485</v>
      </c>
      <c r="F168" s="7">
        <v>7.55</v>
      </c>
      <c r="G168" s="9">
        <v>26730</v>
      </c>
      <c r="H168" s="9">
        <f>(tbl_summary[[#This Row],[Engagement_Rate]]/100)*tbl_summary[[#This Row],[Total_Followers]]</f>
        <v>19440.1175</v>
      </c>
      <c r="I168" s="9"/>
      <c r="J168" s="9"/>
    </row>
    <row r="169" spans="1:10" ht="15.75" customHeight="1">
      <c r="A169" s="42">
        <v>45831</v>
      </c>
      <c r="B169" s="1" t="s">
        <v>27</v>
      </c>
      <c r="C169" s="9">
        <v>761</v>
      </c>
      <c r="D169" s="9">
        <v>241</v>
      </c>
      <c r="E169" s="9">
        <v>154977</v>
      </c>
      <c r="F169" s="7">
        <v>5.63</v>
      </c>
      <c r="G169" s="9">
        <v>10563</v>
      </c>
      <c r="H169" s="9">
        <f>(tbl_summary[[#This Row],[Engagement_Rate]]/100)*tbl_summary[[#This Row],[Total_Followers]]</f>
        <v>8725.2050999999992</v>
      </c>
      <c r="I169" s="9"/>
      <c r="J169" s="9"/>
    </row>
    <row r="170" spans="1:10" ht="15.75" customHeight="1">
      <c r="A170" s="42">
        <v>45838</v>
      </c>
      <c r="B170" s="1" t="s">
        <v>13</v>
      </c>
      <c r="C170" s="9">
        <v>593</v>
      </c>
      <c r="D170" s="9">
        <v>108</v>
      </c>
      <c r="E170" s="9">
        <v>216500</v>
      </c>
      <c r="F170" s="7">
        <v>4.71</v>
      </c>
      <c r="G170" s="9">
        <v>27575</v>
      </c>
      <c r="H170" s="9">
        <f>(tbl_summary[[#This Row],[Engagement_Rate]]/100)*tbl_summary[[#This Row],[Total_Followers]]</f>
        <v>10197.150000000001</v>
      </c>
      <c r="I170" s="9"/>
      <c r="J170" s="9"/>
    </row>
    <row r="171" spans="1:10" ht="15.75" customHeight="1">
      <c r="A171" s="42">
        <v>45838</v>
      </c>
      <c r="B171" s="1" t="s">
        <v>22</v>
      </c>
      <c r="C171" s="9">
        <v>1349</v>
      </c>
      <c r="D171" s="9">
        <v>115</v>
      </c>
      <c r="E171" s="9">
        <v>102102</v>
      </c>
      <c r="F171" s="7">
        <v>5.28</v>
      </c>
      <c r="G171" s="9">
        <v>14479</v>
      </c>
      <c r="H171" s="9">
        <f>(tbl_summary[[#This Row],[Engagement_Rate]]/100)*tbl_summary[[#This Row],[Total_Followers]]</f>
        <v>5390.9856</v>
      </c>
      <c r="I171" s="9"/>
      <c r="J171" s="9"/>
    </row>
    <row r="172" spans="1:10" ht="15.75" customHeight="1">
      <c r="A172" s="42">
        <v>45838</v>
      </c>
      <c r="B172" s="1" t="s">
        <v>27</v>
      </c>
      <c r="C172" s="9">
        <v>693</v>
      </c>
      <c r="D172" s="9">
        <v>97</v>
      </c>
      <c r="E172" s="9">
        <v>92025</v>
      </c>
      <c r="F172" s="7">
        <v>5.95</v>
      </c>
      <c r="G172" s="9">
        <v>15915</v>
      </c>
      <c r="H172" s="9">
        <f>(tbl_summary[[#This Row],[Engagement_Rate]]/100)*tbl_summary[[#This Row],[Total_Followers]]</f>
        <v>5475.4875000000002</v>
      </c>
      <c r="I172" s="9"/>
      <c r="J172" s="9"/>
    </row>
    <row r="173" spans="1:10" ht="15.75" customHeight="1">
      <c r="A173" s="42">
        <v>45845</v>
      </c>
      <c r="B173" s="1" t="s">
        <v>13</v>
      </c>
      <c r="C173" s="9">
        <v>974</v>
      </c>
      <c r="D173" s="9">
        <v>143</v>
      </c>
      <c r="E173" s="9">
        <v>247965</v>
      </c>
      <c r="F173" s="7">
        <v>9.98</v>
      </c>
      <c r="G173" s="9">
        <v>12767</v>
      </c>
      <c r="H173" s="9">
        <f>(tbl_summary[[#This Row],[Engagement_Rate]]/100)*tbl_summary[[#This Row],[Total_Followers]]</f>
        <v>24746.906999999999</v>
      </c>
      <c r="I173" s="9"/>
      <c r="J173" s="9"/>
    </row>
    <row r="174" spans="1:10" ht="15.75" customHeight="1">
      <c r="A174" s="42">
        <v>45845</v>
      </c>
      <c r="B174" s="1" t="s">
        <v>22</v>
      </c>
      <c r="C174" s="9">
        <v>1155</v>
      </c>
      <c r="D174" s="9">
        <v>122</v>
      </c>
      <c r="E174" s="9">
        <v>387352</v>
      </c>
      <c r="F174" s="7">
        <v>9.93</v>
      </c>
      <c r="G174" s="9">
        <v>12170</v>
      </c>
      <c r="H174" s="9">
        <f>(tbl_summary[[#This Row],[Engagement_Rate]]/100)*tbl_summary[[#This Row],[Total_Followers]]</f>
        <v>38464.053599999999</v>
      </c>
      <c r="I174" s="9"/>
      <c r="J174" s="9"/>
    </row>
    <row r="175" spans="1:10" ht="15.75" customHeight="1">
      <c r="A175" s="42">
        <v>45845</v>
      </c>
      <c r="B175" s="1" t="s">
        <v>27</v>
      </c>
      <c r="C175" s="9">
        <v>1051</v>
      </c>
      <c r="D175" s="9">
        <v>246</v>
      </c>
      <c r="E175" s="9">
        <v>253985</v>
      </c>
      <c r="F175" s="7">
        <v>9.08</v>
      </c>
      <c r="G175" s="9">
        <v>7245</v>
      </c>
      <c r="H175" s="9">
        <f>(tbl_summary[[#This Row],[Engagement_Rate]]/100)*tbl_summary[[#This Row],[Total_Followers]]</f>
        <v>23061.838</v>
      </c>
      <c r="I175" s="9"/>
      <c r="J175" s="9"/>
    </row>
    <row r="176" spans="1:10" ht="15.75" customHeight="1">
      <c r="A176" s="42">
        <v>45852</v>
      </c>
      <c r="B176" s="1" t="s">
        <v>13</v>
      </c>
      <c r="C176" s="9">
        <v>1457</v>
      </c>
      <c r="D176" s="9">
        <v>183</v>
      </c>
      <c r="E176" s="9">
        <v>129640</v>
      </c>
      <c r="F176" s="7">
        <v>7.98</v>
      </c>
      <c r="G176" s="9">
        <v>12985</v>
      </c>
      <c r="H176" s="9">
        <f>(tbl_summary[[#This Row],[Engagement_Rate]]/100)*tbl_summary[[#This Row],[Total_Followers]]</f>
        <v>10345.272000000001</v>
      </c>
      <c r="I176" s="9"/>
      <c r="J176" s="9"/>
    </row>
    <row r="177" spans="1:10" ht="15.75" customHeight="1">
      <c r="A177" s="42">
        <v>45852</v>
      </c>
      <c r="B177" s="1" t="s">
        <v>22</v>
      </c>
      <c r="C177" s="9">
        <v>670</v>
      </c>
      <c r="D177" s="9">
        <v>242</v>
      </c>
      <c r="E177" s="9">
        <v>281913</v>
      </c>
      <c r="F177" s="7">
        <v>9.6199999999999992</v>
      </c>
      <c r="G177" s="9">
        <v>16377</v>
      </c>
      <c r="H177" s="9">
        <f>(tbl_summary[[#This Row],[Engagement_Rate]]/100)*tbl_summary[[#This Row],[Total_Followers]]</f>
        <v>27120.030599999998</v>
      </c>
      <c r="I177" s="9"/>
      <c r="J177" s="9"/>
    </row>
    <row r="178" spans="1:10" ht="15.75" customHeight="1">
      <c r="A178" s="42">
        <v>45852</v>
      </c>
      <c r="B178" s="1" t="s">
        <v>27</v>
      </c>
      <c r="C178" s="9">
        <v>1111</v>
      </c>
      <c r="D178" s="9">
        <v>159</v>
      </c>
      <c r="E178" s="9">
        <v>360770</v>
      </c>
      <c r="F178" s="7">
        <v>8.7100000000000009</v>
      </c>
      <c r="G178" s="9">
        <v>11453</v>
      </c>
      <c r="H178" s="9">
        <f>(tbl_summary[[#This Row],[Engagement_Rate]]/100)*tbl_summary[[#This Row],[Total_Followers]]</f>
        <v>31423.067000000003</v>
      </c>
      <c r="I178" s="9"/>
      <c r="J178" s="9"/>
    </row>
    <row r="179" spans="1:10" ht="15.75" customHeight="1">
      <c r="A179" s="42">
        <v>45859</v>
      </c>
      <c r="B179" s="1" t="s">
        <v>13</v>
      </c>
      <c r="C179" s="9">
        <v>1197</v>
      </c>
      <c r="D179" s="9">
        <v>246</v>
      </c>
      <c r="E179" s="9">
        <v>127273</v>
      </c>
      <c r="F179" s="7">
        <v>6.69</v>
      </c>
      <c r="G179" s="9">
        <v>12323</v>
      </c>
      <c r="H179" s="9">
        <f>(tbl_summary[[#This Row],[Engagement_Rate]]/100)*tbl_summary[[#This Row],[Total_Followers]]</f>
        <v>8514.5637000000006</v>
      </c>
      <c r="I179" s="9"/>
      <c r="J179" s="9"/>
    </row>
    <row r="180" spans="1:10" ht="15.75" customHeight="1">
      <c r="A180" s="42">
        <v>45859</v>
      </c>
      <c r="B180" s="1" t="s">
        <v>22</v>
      </c>
      <c r="C180" s="9">
        <v>754</v>
      </c>
      <c r="D180" s="9">
        <v>150</v>
      </c>
      <c r="E180" s="9">
        <v>189622</v>
      </c>
      <c r="F180" s="7">
        <v>4.25</v>
      </c>
      <c r="G180" s="9">
        <v>11911</v>
      </c>
      <c r="H180" s="9">
        <f>(tbl_summary[[#This Row],[Engagement_Rate]]/100)*tbl_summary[[#This Row],[Total_Followers]]</f>
        <v>8058.9350000000004</v>
      </c>
      <c r="I180" s="9"/>
      <c r="J180" s="9"/>
    </row>
    <row r="181" spans="1:10" ht="15.75" customHeight="1">
      <c r="A181" s="42">
        <v>45859</v>
      </c>
      <c r="B181" s="1" t="s">
        <v>27</v>
      </c>
      <c r="C181" s="9">
        <v>1246</v>
      </c>
      <c r="D181" s="9">
        <v>107</v>
      </c>
      <c r="E181" s="9">
        <v>350949</v>
      </c>
      <c r="F181" s="7">
        <v>4.9800000000000004</v>
      </c>
      <c r="G181" s="9">
        <v>27809</v>
      </c>
      <c r="H181" s="9">
        <f>(tbl_summary[[#This Row],[Engagement_Rate]]/100)*tbl_summary[[#This Row],[Total_Followers]]</f>
        <v>17477.260200000001</v>
      </c>
      <c r="I181" s="9"/>
      <c r="J181" s="9"/>
    </row>
    <row r="182" spans="1:10" ht="15.75" customHeight="1">
      <c r="A182" s="42">
        <v>45866</v>
      </c>
      <c r="B182" s="1" t="s">
        <v>13</v>
      </c>
      <c r="C182" s="9">
        <v>780</v>
      </c>
      <c r="D182" s="9">
        <v>213</v>
      </c>
      <c r="E182" s="9">
        <v>121431</v>
      </c>
      <c r="F182" s="7">
        <v>4.97</v>
      </c>
      <c r="G182" s="9">
        <v>21464</v>
      </c>
      <c r="H182" s="9">
        <f>(tbl_summary[[#This Row],[Engagement_Rate]]/100)*tbl_summary[[#This Row],[Total_Followers]]</f>
        <v>6035.1206999999995</v>
      </c>
      <c r="I182" s="9"/>
      <c r="J182" s="9"/>
    </row>
    <row r="183" spans="1:10" ht="15.75" customHeight="1">
      <c r="A183" s="42">
        <v>45866</v>
      </c>
      <c r="B183" s="1" t="s">
        <v>22</v>
      </c>
      <c r="C183" s="9">
        <v>1425</v>
      </c>
      <c r="D183" s="9">
        <v>143</v>
      </c>
      <c r="E183" s="9">
        <v>116742</v>
      </c>
      <c r="F183" s="7">
        <v>3.71</v>
      </c>
      <c r="G183" s="9">
        <v>27126</v>
      </c>
      <c r="H183" s="9">
        <f>(tbl_summary[[#This Row],[Engagement_Rate]]/100)*tbl_summary[[#This Row],[Total_Followers]]</f>
        <v>4331.1282000000001</v>
      </c>
      <c r="I183" s="9"/>
      <c r="J183" s="9"/>
    </row>
    <row r="184" spans="1:10" ht="15.75" customHeight="1">
      <c r="A184" s="42">
        <v>45866</v>
      </c>
      <c r="B184" s="1" t="s">
        <v>27</v>
      </c>
      <c r="C184" s="9">
        <v>1490</v>
      </c>
      <c r="D184" s="9">
        <v>103</v>
      </c>
      <c r="E184" s="9">
        <v>81184</v>
      </c>
      <c r="F184" s="7">
        <v>7.79</v>
      </c>
      <c r="G184" s="9">
        <v>10681</v>
      </c>
      <c r="H184" s="9">
        <f>(tbl_summary[[#This Row],[Engagement_Rate]]/100)*tbl_summary[[#This Row],[Total_Followers]]</f>
        <v>6324.2335999999996</v>
      </c>
      <c r="I184" s="9"/>
      <c r="J184" s="9"/>
    </row>
    <row r="185" spans="1:10" ht="15.75" customHeight="1">
      <c r="A185" s="42">
        <v>45873</v>
      </c>
      <c r="B185" s="1" t="s">
        <v>13</v>
      </c>
      <c r="C185" s="9">
        <v>949</v>
      </c>
      <c r="D185" s="9">
        <v>282</v>
      </c>
      <c r="E185" s="9">
        <v>87126</v>
      </c>
      <c r="F185" s="7">
        <v>4.96</v>
      </c>
      <c r="G185" s="9">
        <v>5413</v>
      </c>
      <c r="H185" s="9">
        <f>(tbl_summary[[#This Row],[Engagement_Rate]]/100)*tbl_summary[[#This Row],[Total_Followers]]</f>
        <v>4321.4495999999999</v>
      </c>
      <c r="I185" s="9"/>
      <c r="J185" s="9"/>
    </row>
    <row r="186" spans="1:10" ht="15.75" customHeight="1">
      <c r="A186" s="42">
        <v>45873</v>
      </c>
      <c r="B186" s="1" t="s">
        <v>22</v>
      </c>
      <c r="C186" s="9">
        <v>640</v>
      </c>
      <c r="D186" s="9">
        <v>141</v>
      </c>
      <c r="E186" s="9">
        <v>267546</v>
      </c>
      <c r="F186" s="7">
        <v>8.58</v>
      </c>
      <c r="G186" s="9">
        <v>25058</v>
      </c>
      <c r="H186" s="9">
        <f>(tbl_summary[[#This Row],[Engagement_Rate]]/100)*tbl_summary[[#This Row],[Total_Followers]]</f>
        <v>22955.446800000002</v>
      </c>
      <c r="I186" s="9"/>
      <c r="J186" s="9"/>
    </row>
    <row r="187" spans="1:10" ht="15.75" customHeight="1">
      <c r="A187" s="42">
        <v>45873</v>
      </c>
      <c r="B187" s="1" t="s">
        <v>27</v>
      </c>
      <c r="C187" s="9">
        <v>616</v>
      </c>
      <c r="D187" s="9">
        <v>93</v>
      </c>
      <c r="E187" s="9">
        <v>133082</v>
      </c>
      <c r="F187" s="7">
        <v>8.51</v>
      </c>
      <c r="G187" s="9">
        <v>18303</v>
      </c>
      <c r="H187" s="9">
        <f>(tbl_summary[[#This Row],[Engagement_Rate]]/100)*tbl_summary[[#This Row],[Total_Followers]]</f>
        <v>11325.278199999999</v>
      </c>
      <c r="I187" s="9"/>
      <c r="J187" s="9"/>
    </row>
    <row r="188" spans="1:10" ht="15.75" customHeight="1">
      <c r="A188" s="42">
        <v>45880</v>
      </c>
      <c r="B188" s="1" t="s">
        <v>13</v>
      </c>
      <c r="C188" s="9">
        <v>1080</v>
      </c>
      <c r="D188" s="9">
        <v>184</v>
      </c>
      <c r="E188" s="9">
        <v>340557</v>
      </c>
      <c r="F188" s="7">
        <v>5.41</v>
      </c>
      <c r="G188" s="9">
        <v>5526</v>
      </c>
      <c r="H188" s="9">
        <f>(tbl_summary[[#This Row],[Engagement_Rate]]/100)*tbl_summary[[#This Row],[Total_Followers]]</f>
        <v>18424.133700000002</v>
      </c>
      <c r="I188" s="9"/>
      <c r="J188" s="9"/>
    </row>
    <row r="189" spans="1:10" ht="15.75" customHeight="1">
      <c r="A189" s="42">
        <v>45880</v>
      </c>
      <c r="B189" s="1" t="s">
        <v>22</v>
      </c>
      <c r="C189" s="9">
        <v>938</v>
      </c>
      <c r="D189" s="9">
        <v>236</v>
      </c>
      <c r="E189" s="9">
        <v>116472</v>
      </c>
      <c r="F189" s="7">
        <v>8.7200000000000006</v>
      </c>
      <c r="G189" s="9">
        <v>17460</v>
      </c>
      <c r="H189" s="9">
        <f>(tbl_summary[[#This Row],[Engagement_Rate]]/100)*tbl_summary[[#This Row],[Total_Followers]]</f>
        <v>10156.358399999999</v>
      </c>
      <c r="I189" s="9"/>
      <c r="J189" s="9"/>
    </row>
    <row r="190" spans="1:10" ht="15.75" customHeight="1">
      <c r="A190" s="42">
        <v>45880</v>
      </c>
      <c r="B190" s="1" t="s">
        <v>27</v>
      </c>
      <c r="C190" s="9">
        <v>1007</v>
      </c>
      <c r="D190" s="9">
        <v>258</v>
      </c>
      <c r="E190" s="9">
        <v>113412</v>
      </c>
      <c r="F190" s="7">
        <v>7.71</v>
      </c>
      <c r="G190" s="9">
        <v>14475</v>
      </c>
      <c r="H190" s="9">
        <f>(tbl_summary[[#This Row],[Engagement_Rate]]/100)*tbl_summary[[#This Row],[Total_Followers]]</f>
        <v>8744.0652000000009</v>
      </c>
      <c r="I190" s="9"/>
      <c r="J190" s="9"/>
    </row>
    <row r="191" spans="1:10" ht="15.75" customHeight="1">
      <c r="A191" s="42">
        <v>45887</v>
      </c>
      <c r="B191" s="1" t="s">
        <v>13</v>
      </c>
      <c r="C191" s="9">
        <v>541</v>
      </c>
      <c r="D191" s="9">
        <v>208</v>
      </c>
      <c r="E191" s="9">
        <v>157547</v>
      </c>
      <c r="F191" s="7">
        <v>8.35</v>
      </c>
      <c r="G191" s="9">
        <v>20162</v>
      </c>
      <c r="H191" s="9">
        <f>(tbl_summary[[#This Row],[Engagement_Rate]]/100)*tbl_summary[[#This Row],[Total_Followers]]</f>
        <v>13155.174499999999</v>
      </c>
      <c r="I191" s="9"/>
      <c r="J191" s="9"/>
    </row>
    <row r="192" spans="1:10" ht="15.75" customHeight="1">
      <c r="A192" s="42">
        <v>45887</v>
      </c>
      <c r="B192" s="1" t="s">
        <v>22</v>
      </c>
      <c r="C192" s="9">
        <v>745</v>
      </c>
      <c r="D192" s="9">
        <v>98</v>
      </c>
      <c r="E192" s="9">
        <v>354816</v>
      </c>
      <c r="F192" s="7">
        <v>4.03</v>
      </c>
      <c r="G192" s="9">
        <v>17103</v>
      </c>
      <c r="H192" s="9">
        <f>(tbl_summary[[#This Row],[Engagement_Rate]]/100)*tbl_summary[[#This Row],[Total_Followers]]</f>
        <v>14299.084800000001</v>
      </c>
      <c r="I192" s="9"/>
      <c r="J192" s="9"/>
    </row>
    <row r="193" spans="1:10" ht="15.75" customHeight="1">
      <c r="A193" s="42">
        <v>45887</v>
      </c>
      <c r="B193" s="1" t="s">
        <v>27</v>
      </c>
      <c r="C193" s="9">
        <v>936</v>
      </c>
      <c r="D193" s="9">
        <v>97</v>
      </c>
      <c r="E193" s="9">
        <v>151799</v>
      </c>
      <c r="F193" s="7">
        <v>9.3699999999999992</v>
      </c>
      <c r="G193" s="9">
        <v>15461</v>
      </c>
      <c r="H193" s="9">
        <f>(tbl_summary[[#This Row],[Engagement_Rate]]/100)*tbl_summary[[#This Row],[Total_Followers]]</f>
        <v>14223.566299999999</v>
      </c>
      <c r="I193" s="9"/>
      <c r="J193" s="9"/>
    </row>
    <row r="194" spans="1:10" ht="15.75" customHeight="1">
      <c r="A194" s="42">
        <v>45894</v>
      </c>
      <c r="B194" s="1" t="s">
        <v>13</v>
      </c>
      <c r="C194" s="9">
        <v>1183</v>
      </c>
      <c r="D194" s="9">
        <v>223</v>
      </c>
      <c r="E194" s="9">
        <v>143811</v>
      </c>
      <c r="F194" s="7">
        <v>6.07</v>
      </c>
      <c r="G194" s="9">
        <v>22103</v>
      </c>
      <c r="H194" s="9">
        <f>(tbl_summary[[#This Row],[Engagement_Rate]]/100)*tbl_summary[[#This Row],[Total_Followers]]</f>
        <v>8729.3276999999998</v>
      </c>
      <c r="I194" s="9"/>
      <c r="J194" s="9"/>
    </row>
    <row r="195" spans="1:10" ht="15.75" customHeight="1">
      <c r="A195" s="42">
        <v>45894</v>
      </c>
      <c r="B195" s="1" t="s">
        <v>22</v>
      </c>
      <c r="C195" s="9">
        <v>1413</v>
      </c>
      <c r="D195" s="9">
        <v>245</v>
      </c>
      <c r="E195" s="9">
        <v>296450</v>
      </c>
      <c r="F195" s="7">
        <v>6.52</v>
      </c>
      <c r="G195" s="9">
        <v>11625</v>
      </c>
      <c r="H195" s="9">
        <f>(tbl_summary[[#This Row],[Engagement_Rate]]/100)*tbl_summary[[#This Row],[Total_Followers]]</f>
        <v>19328.539999999997</v>
      </c>
      <c r="I195" s="9"/>
      <c r="J195" s="9"/>
    </row>
    <row r="196" spans="1:10" ht="15.75" customHeight="1">
      <c r="A196" s="42">
        <v>45894</v>
      </c>
      <c r="B196" s="1" t="s">
        <v>27</v>
      </c>
      <c r="C196" s="9">
        <v>791</v>
      </c>
      <c r="D196" s="9">
        <v>273</v>
      </c>
      <c r="E196" s="9">
        <v>144049</v>
      </c>
      <c r="F196" s="7">
        <v>3.08</v>
      </c>
      <c r="G196" s="9">
        <v>5281</v>
      </c>
      <c r="H196" s="9">
        <f>(tbl_summary[[#This Row],[Engagement_Rate]]/100)*tbl_summary[[#This Row],[Total_Followers]]</f>
        <v>4436.7092000000002</v>
      </c>
      <c r="I196" s="9"/>
      <c r="J196" s="9"/>
    </row>
    <row r="197" spans="1:10" ht="15.75" customHeight="1">
      <c r="A197" s="42">
        <v>45901</v>
      </c>
      <c r="B197" s="1" t="s">
        <v>13</v>
      </c>
      <c r="C197" s="9">
        <v>1052</v>
      </c>
      <c r="D197" s="9">
        <v>180</v>
      </c>
      <c r="E197" s="9">
        <v>272534</v>
      </c>
      <c r="F197" s="7">
        <v>5.34</v>
      </c>
      <c r="G197" s="9">
        <v>13424</v>
      </c>
      <c r="H197" s="9">
        <f>(tbl_summary[[#This Row],[Engagement_Rate]]/100)*tbl_summary[[#This Row],[Total_Followers]]</f>
        <v>14553.315599999998</v>
      </c>
      <c r="I197" s="9"/>
      <c r="J197" s="9"/>
    </row>
    <row r="198" spans="1:10" ht="15.75" customHeight="1">
      <c r="A198" s="42">
        <v>45901</v>
      </c>
      <c r="B198" s="1" t="s">
        <v>22</v>
      </c>
      <c r="C198" s="9">
        <v>572</v>
      </c>
      <c r="D198" s="9">
        <v>270</v>
      </c>
      <c r="E198" s="9">
        <v>82265</v>
      </c>
      <c r="F198" s="7">
        <v>3.65</v>
      </c>
      <c r="G198" s="9">
        <v>13140</v>
      </c>
      <c r="H198" s="9">
        <f>(tbl_summary[[#This Row],[Engagement_Rate]]/100)*tbl_summary[[#This Row],[Total_Followers]]</f>
        <v>3002.6724999999997</v>
      </c>
      <c r="I198" s="9"/>
      <c r="J198" s="9"/>
    </row>
    <row r="199" spans="1:10" ht="15.75" customHeight="1">
      <c r="A199" s="42">
        <v>45901</v>
      </c>
      <c r="B199" s="1" t="s">
        <v>27</v>
      </c>
      <c r="C199" s="9">
        <v>503</v>
      </c>
      <c r="D199" s="9">
        <v>253</v>
      </c>
      <c r="E199" s="9">
        <v>313562</v>
      </c>
      <c r="F199" s="7">
        <v>4.18</v>
      </c>
      <c r="G199" s="9">
        <v>19538</v>
      </c>
      <c r="H199" s="9">
        <f>(tbl_summary[[#This Row],[Engagement_Rate]]/100)*tbl_summary[[#This Row],[Total_Followers]]</f>
        <v>13106.891599999999</v>
      </c>
      <c r="I199" s="9"/>
      <c r="J199" s="9"/>
    </row>
    <row r="200" spans="1:10" ht="15.75" customHeight="1">
      <c r="A200" s="42">
        <v>45908</v>
      </c>
      <c r="B200" s="1" t="s">
        <v>13</v>
      </c>
      <c r="C200" s="9">
        <v>1017</v>
      </c>
      <c r="D200" s="9">
        <v>197</v>
      </c>
      <c r="E200" s="9">
        <v>89918</v>
      </c>
      <c r="F200" s="7">
        <v>3.91</v>
      </c>
      <c r="G200" s="9">
        <v>7881</v>
      </c>
      <c r="H200" s="9">
        <f>(tbl_summary[[#This Row],[Engagement_Rate]]/100)*tbl_summary[[#This Row],[Total_Followers]]</f>
        <v>3515.7938000000004</v>
      </c>
      <c r="I200" s="9"/>
      <c r="J200" s="9"/>
    </row>
    <row r="201" spans="1:10" ht="15.75" customHeight="1">
      <c r="A201" s="42">
        <v>45908</v>
      </c>
      <c r="B201" s="1" t="s">
        <v>22</v>
      </c>
      <c r="C201" s="9">
        <v>860</v>
      </c>
      <c r="D201" s="9">
        <v>244</v>
      </c>
      <c r="E201" s="9">
        <v>348686</v>
      </c>
      <c r="F201" s="7">
        <v>5.12</v>
      </c>
      <c r="G201" s="9">
        <v>11418</v>
      </c>
      <c r="H201" s="9">
        <f>(tbl_summary[[#This Row],[Engagement_Rate]]/100)*tbl_summary[[#This Row],[Total_Followers]]</f>
        <v>17852.7232</v>
      </c>
      <c r="I201" s="9"/>
      <c r="J201" s="9"/>
    </row>
    <row r="202" spans="1:10" ht="15.75" customHeight="1"/>
    <row r="203" spans="1:10" ht="15.75" customHeight="1"/>
    <row r="204" spans="1:10" ht="15.75" customHeight="1"/>
    <row r="205" spans="1:10" ht="15.75" customHeight="1"/>
    <row r="206" spans="1:10" ht="15.75" customHeight="1"/>
    <row r="207" spans="1:10" ht="15.75" customHeight="1"/>
    <row r="208" spans="1:10"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honeticPr fontId="11" type="noConversion"/>
  <pageMargins left="0.7" right="0.7" top="0.75" bottom="0.75" header="0" footer="0"/>
  <pageSetup orientation="landscape"/>
  <ignoredErrors>
    <ignoredError sqref="O4:O7" calculatedColumn="1"/>
  </ignoredErrors>
  <drawing r:id="rId1"/>
  <tableParts count="2">
    <tablePart r:id="rId2"/>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E83D1-7B91-4F55-BB58-A377C3EB3D48}">
  <dimension ref="A1:M1000"/>
  <sheetViews>
    <sheetView topLeftCell="K1" zoomScale="85" zoomScaleNormal="85" workbookViewId="0">
      <pane ySplit="1" topLeftCell="A5" activePane="bottomLeft" state="frozen"/>
      <selection pane="bottomLeft" activeCell="Q27" sqref="Q27"/>
    </sheetView>
  </sheetViews>
  <sheetFormatPr defaultColWidth="14.42578125" defaultRowHeight="15" customHeight="1"/>
  <cols>
    <col min="1" max="1" width="23.28515625" style="6" bestFit="1" customWidth="1"/>
    <col min="2" max="2" width="14" style="2" bestFit="1" customWidth="1"/>
    <col min="3" max="3" width="21.140625" style="10" bestFit="1" customWidth="1"/>
    <col min="4" max="4" width="15.5703125" style="10" hidden="1" customWidth="1"/>
    <col min="5" max="5" width="22" style="10" hidden="1" customWidth="1"/>
    <col min="6" max="6" width="24.42578125" style="8" hidden="1" customWidth="1"/>
    <col min="7" max="7" width="15.85546875" style="10" hidden="1" customWidth="1"/>
    <col min="8" max="8" width="22.7109375" style="2" bestFit="1" customWidth="1"/>
    <col min="9" max="9" width="16.28515625" style="2" bestFit="1" customWidth="1"/>
    <col min="10" max="10" width="15.42578125" style="2" bestFit="1" customWidth="1"/>
    <col min="11" max="11" width="23.28515625" style="2" bestFit="1" customWidth="1"/>
    <col min="12" max="12" width="25.28515625" style="2" bestFit="1" customWidth="1"/>
    <col min="13" max="13" width="34.5703125" style="2" bestFit="1" customWidth="1"/>
    <col min="14" max="25" width="8.7109375" style="2" customWidth="1"/>
    <col min="26" max="16384" width="14.42578125" style="2"/>
  </cols>
  <sheetData>
    <row r="1" spans="1:13">
      <c r="A1" s="5" t="s">
        <v>331</v>
      </c>
      <c r="B1" s="1" t="s">
        <v>1</v>
      </c>
      <c r="C1" s="9" t="s">
        <v>332</v>
      </c>
      <c r="D1" s="9" t="s">
        <v>333</v>
      </c>
      <c r="E1" s="9" t="s">
        <v>334</v>
      </c>
      <c r="F1" s="7" t="s">
        <v>335</v>
      </c>
      <c r="G1" s="9" t="s">
        <v>336</v>
      </c>
      <c r="H1" s="45" t="s">
        <v>11</v>
      </c>
      <c r="I1" s="45" t="s">
        <v>337</v>
      </c>
      <c r="J1" s="45" t="s">
        <v>338</v>
      </c>
      <c r="K1" s="45" t="s">
        <v>341</v>
      </c>
      <c r="L1" s="9" t="s">
        <v>391</v>
      </c>
      <c r="M1" s="9" t="s">
        <v>392</v>
      </c>
    </row>
    <row r="2" spans="1:13">
      <c r="A2" s="5">
        <v>45446</v>
      </c>
      <c r="B2" s="1" t="s">
        <v>13</v>
      </c>
      <c r="C2" s="9">
        <v>1402</v>
      </c>
      <c r="D2" s="9">
        <v>68</v>
      </c>
      <c r="E2" s="9">
        <v>124562</v>
      </c>
      <c r="F2" s="7">
        <v>9.92</v>
      </c>
      <c r="G2" s="9">
        <v>23125</v>
      </c>
      <c r="H2" s="9" t="s">
        <v>49</v>
      </c>
      <c r="I2" s="46" t="s">
        <v>342</v>
      </c>
      <c r="J2" s="9" t="s">
        <v>343</v>
      </c>
      <c r="K2" s="9" t="s">
        <v>345</v>
      </c>
      <c r="L2" s="9">
        <v>9657</v>
      </c>
      <c r="M2" s="9">
        <f>SUMIF(Table1[Campaign_Name],"SummerBeats",Table1[Clicks])</f>
        <v>5557</v>
      </c>
    </row>
    <row r="3" spans="1:13">
      <c r="A3" s="5">
        <v>45446</v>
      </c>
      <c r="B3" s="1" t="s">
        <v>22</v>
      </c>
      <c r="C3" s="9">
        <v>995</v>
      </c>
      <c r="D3" s="9">
        <v>86</v>
      </c>
      <c r="E3" s="9">
        <v>227958</v>
      </c>
      <c r="F3" s="7">
        <v>8.0500000000000007</v>
      </c>
      <c r="G3" s="9">
        <v>22788</v>
      </c>
      <c r="H3" s="9" t="s">
        <v>46</v>
      </c>
      <c r="I3" s="9" t="s">
        <v>346</v>
      </c>
      <c r="J3" s="9" t="s">
        <v>347</v>
      </c>
      <c r="K3" s="9" t="s">
        <v>349</v>
      </c>
      <c r="L3" s="9">
        <v>9446</v>
      </c>
      <c r="M3" s="9">
        <f>SUMIF(Table1[Campaign_Name],"Wrapped2024",Table1[Clicks])</f>
        <v>4614</v>
      </c>
    </row>
    <row r="4" spans="1:13">
      <c r="A4" s="5">
        <v>45446</v>
      </c>
      <c r="B4" s="1" t="s">
        <v>27</v>
      </c>
      <c r="C4" s="9">
        <v>1472</v>
      </c>
      <c r="D4" s="9">
        <v>296</v>
      </c>
      <c r="E4" s="9">
        <v>370242</v>
      </c>
      <c r="F4" s="7">
        <v>7.72</v>
      </c>
      <c r="G4" s="9">
        <v>7810</v>
      </c>
      <c r="H4" s="9" t="s">
        <v>16</v>
      </c>
      <c r="I4" s="9" t="s">
        <v>350</v>
      </c>
      <c r="J4" s="9" t="s">
        <v>351</v>
      </c>
      <c r="K4" s="9" t="s">
        <v>353</v>
      </c>
      <c r="L4" s="9">
        <v>8915</v>
      </c>
      <c r="M4" s="9">
        <f>SUMIF(Table1[Campaign_Name],"ChillVibes",Table1[Clicks])</f>
        <v>28708</v>
      </c>
    </row>
    <row r="5" spans="1:13">
      <c r="A5" s="5">
        <v>45453</v>
      </c>
      <c r="B5" s="1" t="s">
        <v>13</v>
      </c>
      <c r="C5" s="9">
        <v>1018</v>
      </c>
      <c r="D5" s="9">
        <v>90</v>
      </c>
      <c r="E5" s="9">
        <v>92474</v>
      </c>
      <c r="F5" s="7">
        <v>9.4</v>
      </c>
      <c r="G5" s="9">
        <v>11966</v>
      </c>
      <c r="H5" s="9" t="s">
        <v>20</v>
      </c>
      <c r="I5" s="9" t="s">
        <v>354</v>
      </c>
      <c r="J5" s="9" t="s">
        <v>355</v>
      </c>
      <c r="K5" s="9" t="s">
        <v>357</v>
      </c>
      <c r="L5" s="9">
        <v>4177</v>
      </c>
      <c r="M5" s="9">
        <f>SUMIF(Table1[Campaign_Name],"IndieWave",Table1[Clicks])</f>
        <v>18717</v>
      </c>
    </row>
    <row r="6" spans="1:13">
      <c r="A6" s="5">
        <v>45453</v>
      </c>
      <c r="B6" s="1" t="s">
        <v>22</v>
      </c>
      <c r="C6" s="9">
        <v>1461</v>
      </c>
      <c r="D6" s="9">
        <v>64</v>
      </c>
      <c r="E6" s="9">
        <v>328902</v>
      </c>
      <c r="F6" s="7">
        <v>9.02</v>
      </c>
      <c r="G6" s="9">
        <v>26298</v>
      </c>
      <c r="H6" s="9"/>
      <c r="I6" s="9"/>
      <c r="J6" s="9"/>
      <c r="K6" s="9"/>
      <c r="L6" s="9"/>
      <c r="M6" s="9"/>
    </row>
    <row r="7" spans="1:13">
      <c r="A7" s="5">
        <v>45453</v>
      </c>
      <c r="B7" s="1" t="s">
        <v>27</v>
      </c>
      <c r="C7" s="9">
        <v>545</v>
      </c>
      <c r="D7" s="9">
        <v>93</v>
      </c>
      <c r="E7" s="9">
        <v>391621</v>
      </c>
      <c r="F7" s="7">
        <v>9.9600000000000009</v>
      </c>
      <c r="G7" s="9">
        <v>22029</v>
      </c>
      <c r="H7" s="9"/>
      <c r="I7" s="9"/>
      <c r="J7" s="9"/>
      <c r="K7" s="9"/>
      <c r="L7" s="9"/>
      <c r="M7" s="9"/>
    </row>
    <row r="8" spans="1:13">
      <c r="A8" s="5">
        <v>45460</v>
      </c>
      <c r="B8" s="1" t="s">
        <v>13</v>
      </c>
      <c r="C8" s="9">
        <v>881</v>
      </c>
      <c r="D8" s="9">
        <v>291</v>
      </c>
      <c r="E8" s="9">
        <v>95885</v>
      </c>
      <c r="F8" s="7">
        <v>5.29</v>
      </c>
      <c r="G8" s="9">
        <v>12391</v>
      </c>
      <c r="H8" s="9"/>
      <c r="I8" s="9"/>
      <c r="J8" s="9"/>
      <c r="K8" s="9"/>
      <c r="L8" s="9"/>
      <c r="M8" s="9"/>
    </row>
    <row r="9" spans="1:13">
      <c r="A9" s="5">
        <v>45460</v>
      </c>
      <c r="B9" s="1" t="s">
        <v>22</v>
      </c>
      <c r="C9" s="9">
        <v>1414</v>
      </c>
      <c r="D9" s="9">
        <v>131</v>
      </c>
      <c r="E9" s="9">
        <v>245947</v>
      </c>
      <c r="F9" s="7">
        <v>8.3000000000000007</v>
      </c>
      <c r="G9" s="9">
        <v>14477</v>
      </c>
      <c r="H9" s="9"/>
      <c r="I9" s="9"/>
      <c r="J9" s="9"/>
      <c r="K9" s="9"/>
      <c r="L9" s="9"/>
      <c r="M9" s="9"/>
    </row>
    <row r="10" spans="1:13">
      <c r="A10" s="5">
        <v>45460</v>
      </c>
      <c r="B10" s="1" t="s">
        <v>27</v>
      </c>
      <c r="C10" s="9">
        <v>1472</v>
      </c>
      <c r="D10" s="9">
        <v>170</v>
      </c>
      <c r="E10" s="9">
        <v>250428</v>
      </c>
      <c r="F10" s="7">
        <v>4.66</v>
      </c>
      <c r="G10" s="9">
        <v>25040</v>
      </c>
      <c r="H10" s="9"/>
      <c r="I10" s="9"/>
      <c r="J10" s="9"/>
      <c r="K10" s="9"/>
      <c r="L10" s="9"/>
      <c r="M10" s="9"/>
    </row>
    <row r="11" spans="1:13">
      <c r="A11" s="5">
        <v>45467</v>
      </c>
      <c r="B11" s="1" t="s">
        <v>13</v>
      </c>
      <c r="C11" s="9">
        <v>809</v>
      </c>
      <c r="D11" s="9">
        <v>197</v>
      </c>
      <c r="E11" s="9">
        <v>87186</v>
      </c>
      <c r="F11" s="7">
        <v>9.48</v>
      </c>
      <c r="G11" s="9">
        <v>22619</v>
      </c>
      <c r="H11" s="9"/>
      <c r="I11" s="9"/>
      <c r="J11" s="9"/>
      <c r="K11" s="9"/>
      <c r="L11" s="9"/>
      <c r="M11" s="9"/>
    </row>
    <row r="12" spans="1:13">
      <c r="A12" s="5">
        <v>45467</v>
      </c>
      <c r="B12" s="1" t="s">
        <v>22</v>
      </c>
      <c r="C12" s="9">
        <v>1371</v>
      </c>
      <c r="D12" s="9">
        <v>250</v>
      </c>
      <c r="E12" s="9">
        <v>128620</v>
      </c>
      <c r="F12" s="7">
        <v>7.11</v>
      </c>
      <c r="G12" s="9">
        <v>12399</v>
      </c>
      <c r="H12" s="9"/>
      <c r="I12" s="9"/>
      <c r="J12" s="9"/>
      <c r="K12" s="9"/>
      <c r="L12" s="9"/>
      <c r="M12" s="9"/>
    </row>
    <row r="13" spans="1:13">
      <c r="A13" s="5">
        <v>45467</v>
      </c>
      <c r="B13" s="1" t="s">
        <v>27</v>
      </c>
      <c r="C13" s="9">
        <v>844</v>
      </c>
      <c r="D13" s="9">
        <v>144</v>
      </c>
      <c r="E13" s="9">
        <v>126015</v>
      </c>
      <c r="F13" s="7">
        <v>9.65</v>
      </c>
      <c r="G13" s="9">
        <v>22456</v>
      </c>
      <c r="H13" s="9"/>
      <c r="I13" s="9"/>
      <c r="J13" s="9"/>
      <c r="K13" s="9"/>
      <c r="L13" s="9"/>
      <c r="M13" s="9"/>
    </row>
    <row r="14" spans="1:13">
      <c r="A14" s="5">
        <v>45474</v>
      </c>
      <c r="B14" s="1" t="s">
        <v>13</v>
      </c>
      <c r="C14" s="9">
        <v>786</v>
      </c>
      <c r="D14" s="9">
        <v>72</v>
      </c>
      <c r="E14" s="9">
        <v>178615</v>
      </c>
      <c r="F14" s="7">
        <v>5.43</v>
      </c>
      <c r="G14" s="9">
        <v>19328</v>
      </c>
      <c r="H14" s="9"/>
      <c r="I14" s="9"/>
      <c r="J14" s="9"/>
      <c r="K14" s="9"/>
      <c r="L14" s="9"/>
      <c r="M14" s="9"/>
    </row>
    <row r="15" spans="1:13">
      <c r="A15" s="5">
        <v>45474</v>
      </c>
      <c r="B15" s="1" t="s">
        <v>22</v>
      </c>
      <c r="C15" s="9">
        <v>845</v>
      </c>
      <c r="D15" s="9">
        <v>250</v>
      </c>
      <c r="E15" s="9">
        <v>218228</v>
      </c>
      <c r="F15" s="7">
        <v>4.5199999999999996</v>
      </c>
      <c r="G15" s="9">
        <v>21107</v>
      </c>
      <c r="H15" s="9"/>
      <c r="I15" s="9"/>
      <c r="J15" s="9"/>
      <c r="K15" s="9"/>
      <c r="L15" s="9"/>
      <c r="M15" s="9"/>
    </row>
    <row r="16" spans="1:13">
      <c r="A16" s="5">
        <v>45474</v>
      </c>
      <c r="B16" s="1" t="s">
        <v>27</v>
      </c>
      <c r="C16" s="9">
        <v>1218</v>
      </c>
      <c r="D16" s="9">
        <v>101</v>
      </c>
      <c r="E16" s="9">
        <v>300397</v>
      </c>
      <c r="F16" s="7">
        <v>4.33</v>
      </c>
      <c r="G16" s="9">
        <v>12277</v>
      </c>
      <c r="H16" s="9"/>
      <c r="I16" s="9"/>
      <c r="J16" s="9"/>
      <c r="K16" s="9"/>
      <c r="L16" s="9"/>
      <c r="M16" s="9"/>
    </row>
    <row r="17" spans="1:13">
      <c r="A17" s="5">
        <v>45481</v>
      </c>
      <c r="B17" s="1" t="s">
        <v>13</v>
      </c>
      <c r="C17" s="9">
        <v>797</v>
      </c>
      <c r="D17" s="9">
        <v>130</v>
      </c>
      <c r="E17" s="9">
        <v>340121</v>
      </c>
      <c r="F17" s="7">
        <v>8.52</v>
      </c>
      <c r="G17" s="9">
        <v>11684</v>
      </c>
      <c r="H17" s="9"/>
      <c r="I17" s="9"/>
      <c r="J17" s="9"/>
      <c r="K17" s="9"/>
      <c r="L17" s="9"/>
      <c r="M17" s="9"/>
    </row>
    <row r="18" spans="1:13">
      <c r="A18" s="5">
        <v>45481</v>
      </c>
      <c r="B18" s="1" t="s">
        <v>22</v>
      </c>
      <c r="C18" s="9">
        <v>1471</v>
      </c>
      <c r="D18" s="9">
        <v>100</v>
      </c>
      <c r="E18" s="9">
        <v>76866</v>
      </c>
      <c r="F18" s="7">
        <v>8.5500000000000007</v>
      </c>
      <c r="G18" s="9">
        <v>14412</v>
      </c>
      <c r="H18" s="9"/>
      <c r="I18" s="9"/>
      <c r="J18" s="9"/>
      <c r="K18" s="9"/>
      <c r="L18" s="9"/>
      <c r="M18" s="9"/>
    </row>
    <row r="19" spans="1:13">
      <c r="A19" s="5">
        <v>45481</v>
      </c>
      <c r="B19" s="1" t="s">
        <v>27</v>
      </c>
      <c r="C19" s="9">
        <v>1253</v>
      </c>
      <c r="D19" s="9">
        <v>136</v>
      </c>
      <c r="E19" s="9">
        <v>193131</v>
      </c>
      <c r="F19" s="7">
        <v>7.99</v>
      </c>
      <c r="G19" s="9">
        <v>15924</v>
      </c>
      <c r="H19" s="9"/>
      <c r="I19" s="9"/>
      <c r="J19" s="9"/>
      <c r="K19" s="9"/>
      <c r="L19" s="9"/>
      <c r="M19" s="9"/>
    </row>
    <row r="20" spans="1:13">
      <c r="A20" s="5">
        <v>45488</v>
      </c>
      <c r="B20" s="1" t="s">
        <v>13</v>
      </c>
      <c r="C20" s="9">
        <v>616</v>
      </c>
      <c r="D20" s="9">
        <v>257</v>
      </c>
      <c r="E20" s="9">
        <v>169665</v>
      </c>
      <c r="F20" s="7">
        <v>6.31</v>
      </c>
      <c r="G20" s="9">
        <v>12390</v>
      </c>
      <c r="H20" s="9"/>
      <c r="I20" s="9"/>
      <c r="J20" s="9"/>
      <c r="K20" s="9"/>
      <c r="L20" s="9"/>
      <c r="M20" s="9"/>
    </row>
    <row r="21" spans="1:13" ht="15.75" customHeight="1">
      <c r="A21" s="5">
        <v>45488</v>
      </c>
      <c r="B21" s="1" t="s">
        <v>22</v>
      </c>
      <c r="C21" s="9">
        <v>1308</v>
      </c>
      <c r="D21" s="9">
        <v>210</v>
      </c>
      <c r="E21" s="9">
        <v>263729</v>
      </c>
      <c r="F21" s="7">
        <v>8.5299999999999994</v>
      </c>
      <c r="G21" s="9">
        <v>25742</v>
      </c>
      <c r="H21" s="9"/>
      <c r="I21" s="9"/>
      <c r="J21" s="9"/>
      <c r="K21" s="9"/>
      <c r="L21" s="9"/>
      <c r="M21" s="9"/>
    </row>
    <row r="22" spans="1:13" ht="15.75" customHeight="1">
      <c r="A22" s="5">
        <v>45488</v>
      </c>
      <c r="B22" s="1" t="s">
        <v>27</v>
      </c>
      <c r="C22" s="9">
        <v>981</v>
      </c>
      <c r="D22" s="9">
        <v>69</v>
      </c>
      <c r="E22" s="9">
        <v>206921</v>
      </c>
      <c r="F22" s="7">
        <v>8.42</v>
      </c>
      <c r="G22" s="9">
        <v>10495</v>
      </c>
      <c r="H22" s="9"/>
      <c r="I22" s="9"/>
      <c r="J22" s="9"/>
      <c r="K22" s="9"/>
      <c r="L22" s="9"/>
      <c r="M22" s="9"/>
    </row>
    <row r="23" spans="1:13" ht="15.75" customHeight="1">
      <c r="A23" s="5">
        <v>45495</v>
      </c>
      <c r="B23" s="1" t="s">
        <v>13</v>
      </c>
      <c r="C23" s="9">
        <v>866</v>
      </c>
      <c r="D23" s="9">
        <v>74</v>
      </c>
      <c r="E23" s="9">
        <v>204121</v>
      </c>
      <c r="F23" s="7">
        <v>9.34</v>
      </c>
      <c r="G23" s="9">
        <v>7797</v>
      </c>
      <c r="H23" s="9"/>
      <c r="I23" s="9"/>
      <c r="J23" s="9"/>
      <c r="K23" s="9"/>
      <c r="L23" s="9"/>
      <c r="M23" s="9"/>
    </row>
    <row r="24" spans="1:13" ht="15.75" customHeight="1">
      <c r="A24" s="5">
        <v>45495</v>
      </c>
      <c r="B24" s="1" t="s">
        <v>22</v>
      </c>
      <c r="C24" s="9">
        <v>547</v>
      </c>
      <c r="D24" s="9">
        <v>183</v>
      </c>
      <c r="E24" s="9">
        <v>266350</v>
      </c>
      <c r="F24" s="7">
        <v>5.65</v>
      </c>
      <c r="G24" s="9">
        <v>15595</v>
      </c>
      <c r="H24" s="9"/>
      <c r="I24" s="9"/>
      <c r="J24" s="9"/>
      <c r="K24" s="9"/>
      <c r="L24" s="9"/>
      <c r="M24" s="9"/>
    </row>
    <row r="25" spans="1:13" ht="15.75" customHeight="1">
      <c r="A25" s="5">
        <v>45495</v>
      </c>
      <c r="B25" s="1" t="s">
        <v>27</v>
      </c>
      <c r="C25" s="9">
        <v>1241</v>
      </c>
      <c r="D25" s="9">
        <v>116</v>
      </c>
      <c r="E25" s="9">
        <v>380606</v>
      </c>
      <c r="F25" s="7">
        <v>4.2</v>
      </c>
      <c r="G25" s="9">
        <v>24617</v>
      </c>
      <c r="H25" s="9"/>
      <c r="I25" s="9"/>
      <c r="J25" s="9"/>
      <c r="K25" s="9"/>
      <c r="L25" s="9"/>
      <c r="M25" s="9"/>
    </row>
    <row r="26" spans="1:13" ht="15.75" customHeight="1">
      <c r="A26" s="5">
        <v>45502</v>
      </c>
      <c r="B26" s="1" t="s">
        <v>13</v>
      </c>
      <c r="C26" s="9">
        <v>973</v>
      </c>
      <c r="D26" s="9">
        <v>104</v>
      </c>
      <c r="E26" s="9">
        <v>376358</v>
      </c>
      <c r="F26" s="7">
        <v>3.87</v>
      </c>
      <c r="G26" s="9">
        <v>9847</v>
      </c>
      <c r="H26" s="9"/>
      <c r="I26" s="9"/>
      <c r="J26" s="9"/>
      <c r="K26" s="9"/>
      <c r="L26" s="9"/>
      <c r="M26" s="9"/>
    </row>
    <row r="27" spans="1:13" ht="15.75" customHeight="1">
      <c r="A27" s="5">
        <v>45502</v>
      </c>
      <c r="B27" s="1" t="s">
        <v>22</v>
      </c>
      <c r="C27" s="9">
        <v>611</v>
      </c>
      <c r="D27" s="9">
        <v>197</v>
      </c>
      <c r="E27" s="9">
        <v>79423</v>
      </c>
      <c r="F27" s="7">
        <v>5.82</v>
      </c>
      <c r="G27" s="9">
        <v>13644</v>
      </c>
      <c r="H27" s="9"/>
      <c r="I27" s="9"/>
      <c r="J27" s="9"/>
      <c r="K27" s="9"/>
      <c r="L27" s="9"/>
      <c r="M27" s="9"/>
    </row>
    <row r="28" spans="1:13" ht="15.75" customHeight="1">
      <c r="A28" s="5">
        <v>45502</v>
      </c>
      <c r="B28" s="1" t="s">
        <v>27</v>
      </c>
      <c r="C28" s="9">
        <v>983</v>
      </c>
      <c r="D28" s="9">
        <v>134</v>
      </c>
      <c r="E28" s="9">
        <v>352178</v>
      </c>
      <c r="F28" s="7">
        <v>3.55</v>
      </c>
      <c r="G28" s="9">
        <v>11421</v>
      </c>
      <c r="H28" s="9"/>
      <c r="I28" s="9"/>
      <c r="J28" s="9"/>
      <c r="K28" s="9"/>
      <c r="L28" s="9"/>
      <c r="M28" s="9"/>
    </row>
    <row r="29" spans="1:13" ht="15.75" customHeight="1">
      <c r="A29" s="5">
        <v>45509</v>
      </c>
      <c r="B29" s="1" t="s">
        <v>13</v>
      </c>
      <c r="C29" s="9">
        <v>1449</v>
      </c>
      <c r="D29" s="9">
        <v>96</v>
      </c>
      <c r="E29" s="9">
        <v>200636</v>
      </c>
      <c r="F29" s="7">
        <v>9.92</v>
      </c>
      <c r="G29" s="9">
        <v>15613</v>
      </c>
      <c r="H29" s="9"/>
      <c r="I29" s="9"/>
      <c r="J29" s="9"/>
      <c r="K29" s="9"/>
      <c r="L29" s="9"/>
      <c r="M29" s="9"/>
    </row>
    <row r="30" spans="1:13" ht="15.75" customHeight="1">
      <c r="A30" s="5">
        <v>45509</v>
      </c>
      <c r="B30" s="1" t="s">
        <v>22</v>
      </c>
      <c r="C30" s="9">
        <v>752</v>
      </c>
      <c r="D30" s="9">
        <v>170</v>
      </c>
      <c r="E30" s="9">
        <v>132756</v>
      </c>
      <c r="F30" s="7">
        <v>8.17</v>
      </c>
      <c r="G30" s="9">
        <v>23900</v>
      </c>
      <c r="H30" s="9"/>
      <c r="I30" s="9"/>
      <c r="J30" s="9"/>
      <c r="K30" s="9"/>
      <c r="L30" s="9"/>
      <c r="M30" s="9"/>
    </row>
    <row r="31" spans="1:13" ht="15.75" customHeight="1">
      <c r="A31" s="5">
        <v>45509</v>
      </c>
      <c r="B31" s="1" t="s">
        <v>27</v>
      </c>
      <c r="C31" s="9">
        <v>937</v>
      </c>
      <c r="D31" s="9">
        <v>179</v>
      </c>
      <c r="E31" s="9">
        <v>318098</v>
      </c>
      <c r="F31" s="7">
        <v>5.3</v>
      </c>
      <c r="G31" s="9">
        <v>5836</v>
      </c>
      <c r="H31" s="9"/>
      <c r="I31" s="9"/>
      <c r="J31" s="9"/>
      <c r="K31" s="9"/>
      <c r="L31" s="9"/>
      <c r="M31" s="9"/>
    </row>
    <row r="32" spans="1:13" ht="15.75" customHeight="1">
      <c r="A32" s="5">
        <v>45516</v>
      </c>
      <c r="B32" s="1" t="s">
        <v>13</v>
      </c>
      <c r="C32" s="9">
        <v>1060</v>
      </c>
      <c r="D32" s="9">
        <v>83</v>
      </c>
      <c r="E32" s="9">
        <v>68724</v>
      </c>
      <c r="F32" s="7">
        <v>5.98</v>
      </c>
      <c r="G32" s="9">
        <v>5624</v>
      </c>
      <c r="H32" s="9"/>
      <c r="I32" s="9"/>
      <c r="J32" s="9"/>
      <c r="K32" s="9"/>
      <c r="L32" s="9"/>
      <c r="M32" s="9"/>
    </row>
    <row r="33" spans="1:13" ht="15.75" customHeight="1">
      <c r="A33" s="5">
        <v>45516</v>
      </c>
      <c r="B33" s="1" t="s">
        <v>22</v>
      </c>
      <c r="C33" s="9">
        <v>1456</v>
      </c>
      <c r="D33" s="9">
        <v>265</v>
      </c>
      <c r="E33" s="9">
        <v>115505</v>
      </c>
      <c r="F33" s="7">
        <v>7.49</v>
      </c>
      <c r="G33" s="9">
        <v>10311</v>
      </c>
      <c r="H33" s="9"/>
      <c r="I33" s="9"/>
      <c r="J33" s="9"/>
      <c r="K33" s="9"/>
      <c r="L33" s="9"/>
      <c r="M33" s="9"/>
    </row>
    <row r="34" spans="1:13" ht="15.75" customHeight="1">
      <c r="A34" s="5">
        <v>45516</v>
      </c>
      <c r="B34" s="1" t="s">
        <v>27</v>
      </c>
      <c r="C34" s="9">
        <v>1109</v>
      </c>
      <c r="D34" s="9">
        <v>205</v>
      </c>
      <c r="E34" s="9">
        <v>276722</v>
      </c>
      <c r="F34" s="7">
        <v>9.3800000000000008</v>
      </c>
      <c r="G34" s="9">
        <v>8274</v>
      </c>
      <c r="H34" s="9"/>
      <c r="I34" s="9"/>
      <c r="J34" s="9"/>
      <c r="K34" s="9"/>
      <c r="L34" s="9"/>
      <c r="M34" s="9"/>
    </row>
    <row r="35" spans="1:13" ht="15.75" customHeight="1">
      <c r="A35" s="5">
        <v>45523</v>
      </c>
      <c r="B35" s="1" t="s">
        <v>13</v>
      </c>
      <c r="C35" s="9">
        <v>1002</v>
      </c>
      <c r="D35" s="9">
        <v>93</v>
      </c>
      <c r="E35" s="9">
        <v>353538</v>
      </c>
      <c r="F35" s="7">
        <v>5.84</v>
      </c>
      <c r="G35" s="9">
        <v>6031</v>
      </c>
      <c r="H35" s="9"/>
      <c r="I35" s="9"/>
      <c r="J35" s="9"/>
      <c r="K35" s="9"/>
      <c r="L35" s="9"/>
      <c r="M35" s="9"/>
    </row>
    <row r="36" spans="1:13" ht="15.75" customHeight="1">
      <c r="A36" s="5">
        <v>45523</v>
      </c>
      <c r="B36" s="1" t="s">
        <v>22</v>
      </c>
      <c r="C36" s="9">
        <v>571</v>
      </c>
      <c r="D36" s="9">
        <v>189</v>
      </c>
      <c r="E36" s="9">
        <v>61445</v>
      </c>
      <c r="F36" s="7">
        <v>5.41</v>
      </c>
      <c r="G36" s="9">
        <v>27829</v>
      </c>
      <c r="H36" s="9"/>
      <c r="I36" s="9"/>
      <c r="J36" s="9"/>
      <c r="K36" s="9"/>
      <c r="L36" s="9"/>
      <c r="M36" s="9"/>
    </row>
    <row r="37" spans="1:13" ht="15.75" customHeight="1">
      <c r="A37" s="5">
        <v>45523</v>
      </c>
      <c r="B37" s="1" t="s">
        <v>27</v>
      </c>
      <c r="C37" s="9">
        <v>1240</v>
      </c>
      <c r="D37" s="9">
        <v>231</v>
      </c>
      <c r="E37" s="9">
        <v>165035</v>
      </c>
      <c r="F37" s="7">
        <v>6.05</v>
      </c>
      <c r="G37" s="9">
        <v>18267</v>
      </c>
      <c r="H37" s="9"/>
      <c r="I37" s="9"/>
      <c r="J37" s="9"/>
      <c r="K37" s="9"/>
      <c r="L37" s="9"/>
      <c r="M37" s="9"/>
    </row>
    <row r="38" spans="1:13" ht="15.75" customHeight="1">
      <c r="A38" s="5">
        <v>45530</v>
      </c>
      <c r="B38" s="1" t="s">
        <v>13</v>
      </c>
      <c r="C38" s="9">
        <v>1154</v>
      </c>
      <c r="D38" s="9">
        <v>132</v>
      </c>
      <c r="E38" s="9">
        <v>194595</v>
      </c>
      <c r="F38" s="7">
        <v>7.54</v>
      </c>
      <c r="G38" s="9">
        <v>26624</v>
      </c>
      <c r="H38" s="9"/>
      <c r="I38" s="9"/>
      <c r="J38" s="9"/>
      <c r="K38" s="9"/>
      <c r="L38" s="9"/>
      <c r="M38" s="9"/>
    </row>
    <row r="39" spans="1:13" ht="15.75" customHeight="1">
      <c r="A39" s="5">
        <v>45530</v>
      </c>
      <c r="B39" s="1" t="s">
        <v>22</v>
      </c>
      <c r="C39" s="9">
        <v>537</v>
      </c>
      <c r="D39" s="9">
        <v>275</v>
      </c>
      <c r="E39" s="9">
        <v>236238</v>
      </c>
      <c r="F39" s="7">
        <v>5.87</v>
      </c>
      <c r="G39" s="9">
        <v>26644</v>
      </c>
      <c r="H39" s="9"/>
      <c r="I39" s="9"/>
      <c r="J39" s="9"/>
      <c r="K39" s="9"/>
      <c r="L39" s="9"/>
      <c r="M39" s="9"/>
    </row>
    <row r="40" spans="1:13" ht="15.75" customHeight="1">
      <c r="A40" s="5">
        <v>45530</v>
      </c>
      <c r="B40" s="1" t="s">
        <v>27</v>
      </c>
      <c r="C40" s="9">
        <v>1456</v>
      </c>
      <c r="D40" s="9">
        <v>290</v>
      </c>
      <c r="E40" s="9">
        <v>271044</v>
      </c>
      <c r="F40" s="7">
        <v>7.17</v>
      </c>
      <c r="G40" s="9">
        <v>13051</v>
      </c>
      <c r="H40" s="9"/>
      <c r="I40" s="9"/>
      <c r="J40" s="9"/>
      <c r="K40" s="9"/>
      <c r="L40" s="9"/>
      <c r="M40" s="9"/>
    </row>
    <row r="41" spans="1:13" ht="15.75" customHeight="1">
      <c r="A41" s="5">
        <v>45537</v>
      </c>
      <c r="B41" s="1" t="s">
        <v>13</v>
      </c>
      <c r="C41" s="9">
        <v>721</v>
      </c>
      <c r="D41" s="9">
        <v>206</v>
      </c>
      <c r="E41" s="9">
        <v>334887</v>
      </c>
      <c r="F41" s="7">
        <v>6.05</v>
      </c>
      <c r="G41" s="9">
        <v>14217</v>
      </c>
      <c r="H41" s="9"/>
      <c r="I41" s="9"/>
      <c r="J41" s="9"/>
      <c r="K41" s="9"/>
      <c r="L41" s="9"/>
      <c r="M41" s="9"/>
    </row>
    <row r="42" spans="1:13" ht="15.75" customHeight="1">
      <c r="A42" s="5">
        <v>45537</v>
      </c>
      <c r="B42" s="1" t="s">
        <v>22</v>
      </c>
      <c r="C42" s="9">
        <v>1098</v>
      </c>
      <c r="D42" s="9">
        <v>142</v>
      </c>
      <c r="E42" s="9">
        <v>359150</v>
      </c>
      <c r="F42" s="7">
        <v>7.51</v>
      </c>
      <c r="G42" s="9">
        <v>16385</v>
      </c>
      <c r="H42" s="9"/>
      <c r="I42" s="9"/>
      <c r="J42" s="9"/>
      <c r="K42" s="9"/>
      <c r="L42" s="9"/>
      <c r="M42" s="9"/>
    </row>
    <row r="43" spans="1:13" ht="15.75" customHeight="1">
      <c r="A43" s="5">
        <v>45537</v>
      </c>
      <c r="B43" s="1" t="s">
        <v>27</v>
      </c>
      <c r="C43" s="9">
        <v>1096</v>
      </c>
      <c r="D43" s="9">
        <v>65</v>
      </c>
      <c r="E43" s="9">
        <v>358295</v>
      </c>
      <c r="F43" s="7">
        <v>7.66</v>
      </c>
      <c r="G43" s="9">
        <v>24548</v>
      </c>
      <c r="H43" s="9"/>
      <c r="I43" s="9"/>
      <c r="J43" s="9"/>
      <c r="K43" s="9"/>
      <c r="L43" s="9"/>
      <c r="M43" s="9"/>
    </row>
    <row r="44" spans="1:13" ht="15.75" customHeight="1">
      <c r="A44" s="5">
        <v>45544</v>
      </c>
      <c r="B44" s="1" t="s">
        <v>13</v>
      </c>
      <c r="C44" s="9">
        <v>912</v>
      </c>
      <c r="D44" s="9">
        <v>275</v>
      </c>
      <c r="E44" s="9">
        <v>368454</v>
      </c>
      <c r="F44" s="7">
        <v>6.03</v>
      </c>
      <c r="G44" s="9">
        <v>9195</v>
      </c>
      <c r="H44" s="9"/>
      <c r="I44" s="9"/>
      <c r="J44" s="9"/>
      <c r="K44" s="9"/>
      <c r="L44" s="9"/>
      <c r="M44" s="9"/>
    </row>
    <row r="45" spans="1:13" ht="15.75" customHeight="1">
      <c r="A45" s="5">
        <v>45544</v>
      </c>
      <c r="B45" s="1" t="s">
        <v>22</v>
      </c>
      <c r="C45" s="9">
        <v>1430</v>
      </c>
      <c r="D45" s="9">
        <v>162</v>
      </c>
      <c r="E45" s="9">
        <v>269082</v>
      </c>
      <c r="F45" s="7">
        <v>3.4</v>
      </c>
      <c r="G45" s="9">
        <v>18071</v>
      </c>
      <c r="H45" s="9"/>
      <c r="I45" s="9"/>
      <c r="J45" s="9"/>
      <c r="K45" s="9"/>
      <c r="L45" s="9"/>
      <c r="M45" s="9"/>
    </row>
    <row r="46" spans="1:13" ht="15.75" customHeight="1">
      <c r="A46" s="5">
        <v>45544</v>
      </c>
      <c r="B46" s="1" t="s">
        <v>27</v>
      </c>
      <c r="C46" s="9">
        <v>854</v>
      </c>
      <c r="D46" s="9">
        <v>129</v>
      </c>
      <c r="E46" s="9">
        <v>310903</v>
      </c>
      <c r="F46" s="7">
        <v>7.83</v>
      </c>
      <c r="G46" s="9">
        <v>16875</v>
      </c>
      <c r="H46" s="9"/>
      <c r="I46" s="9"/>
      <c r="J46" s="9"/>
      <c r="K46" s="9"/>
      <c r="L46" s="9"/>
      <c r="M46" s="9"/>
    </row>
    <row r="47" spans="1:13" ht="15.75" customHeight="1">
      <c r="A47" s="5">
        <v>45551</v>
      </c>
      <c r="B47" s="1" t="s">
        <v>13</v>
      </c>
      <c r="C47" s="9">
        <v>681</v>
      </c>
      <c r="D47" s="9">
        <v>210</v>
      </c>
      <c r="E47" s="9">
        <v>248581</v>
      </c>
      <c r="F47" s="7">
        <v>8.76</v>
      </c>
      <c r="G47" s="9">
        <v>9567</v>
      </c>
      <c r="H47" s="9"/>
      <c r="I47" s="9"/>
      <c r="J47" s="9"/>
      <c r="K47" s="9"/>
      <c r="L47" s="9"/>
      <c r="M47" s="9"/>
    </row>
    <row r="48" spans="1:13" ht="15.75" customHeight="1">
      <c r="A48" s="5">
        <v>45551</v>
      </c>
      <c r="B48" s="1" t="s">
        <v>22</v>
      </c>
      <c r="C48" s="9">
        <v>1373</v>
      </c>
      <c r="D48" s="9">
        <v>82</v>
      </c>
      <c r="E48" s="9">
        <v>371015</v>
      </c>
      <c r="F48" s="7">
        <v>9.52</v>
      </c>
      <c r="G48" s="9">
        <v>20306</v>
      </c>
      <c r="H48" s="9"/>
      <c r="I48" s="9"/>
      <c r="J48" s="9"/>
      <c r="K48" s="9"/>
      <c r="L48" s="9"/>
      <c r="M48" s="9"/>
    </row>
    <row r="49" spans="1:13" ht="15.75" customHeight="1">
      <c r="A49" s="5">
        <v>45551</v>
      </c>
      <c r="B49" s="1" t="s">
        <v>27</v>
      </c>
      <c r="C49" s="9">
        <v>685</v>
      </c>
      <c r="D49" s="9">
        <v>285</v>
      </c>
      <c r="E49" s="9">
        <v>177452</v>
      </c>
      <c r="F49" s="7">
        <v>3.36</v>
      </c>
      <c r="G49" s="9">
        <v>21134</v>
      </c>
      <c r="H49" s="9"/>
      <c r="I49" s="9"/>
      <c r="J49" s="9"/>
      <c r="K49" s="9"/>
      <c r="L49" s="9"/>
      <c r="M49" s="9"/>
    </row>
    <row r="50" spans="1:13" ht="15.75" customHeight="1">
      <c r="A50" s="5">
        <v>45558</v>
      </c>
      <c r="B50" s="1" t="s">
        <v>13</v>
      </c>
      <c r="C50" s="9">
        <v>1290</v>
      </c>
      <c r="D50" s="9">
        <v>177</v>
      </c>
      <c r="E50" s="9">
        <v>80745</v>
      </c>
      <c r="F50" s="7">
        <v>9.2200000000000006</v>
      </c>
      <c r="G50" s="9">
        <v>26872</v>
      </c>
      <c r="H50" s="9"/>
      <c r="I50" s="9"/>
      <c r="J50" s="9"/>
      <c r="K50" s="9"/>
      <c r="L50" s="9"/>
      <c r="M50" s="9"/>
    </row>
    <row r="51" spans="1:13" ht="15.75" customHeight="1">
      <c r="A51" s="5">
        <v>45558</v>
      </c>
      <c r="B51" s="1" t="s">
        <v>22</v>
      </c>
      <c r="C51" s="9">
        <v>1437</v>
      </c>
      <c r="D51" s="9">
        <v>239</v>
      </c>
      <c r="E51" s="9">
        <v>362441</v>
      </c>
      <c r="F51" s="7">
        <v>5.57</v>
      </c>
      <c r="G51" s="9">
        <v>10253</v>
      </c>
      <c r="H51" s="9"/>
      <c r="I51" s="9"/>
      <c r="J51" s="9"/>
      <c r="K51" s="9"/>
      <c r="L51" s="9"/>
      <c r="M51" s="9"/>
    </row>
    <row r="52" spans="1:13" ht="15.75" customHeight="1">
      <c r="A52" s="5">
        <v>45558</v>
      </c>
      <c r="B52" s="1" t="s">
        <v>27</v>
      </c>
      <c r="C52" s="9">
        <v>769</v>
      </c>
      <c r="D52" s="9">
        <v>295</v>
      </c>
      <c r="E52" s="9">
        <v>344771</v>
      </c>
      <c r="F52" s="7">
        <v>8.06</v>
      </c>
      <c r="G52" s="9">
        <v>23963</v>
      </c>
      <c r="H52" s="9"/>
      <c r="I52" s="9"/>
      <c r="J52" s="9"/>
      <c r="K52" s="9"/>
      <c r="L52" s="9"/>
      <c r="M52" s="9"/>
    </row>
    <row r="53" spans="1:13" ht="15.75" customHeight="1">
      <c r="A53" s="5">
        <v>45565</v>
      </c>
      <c r="B53" s="1" t="s">
        <v>13</v>
      </c>
      <c r="C53" s="9">
        <v>1416</v>
      </c>
      <c r="D53" s="9">
        <v>284</v>
      </c>
      <c r="E53" s="9">
        <v>374952</v>
      </c>
      <c r="F53" s="7">
        <v>3.45</v>
      </c>
      <c r="G53" s="9">
        <v>11335</v>
      </c>
      <c r="H53" s="9"/>
      <c r="I53" s="9"/>
      <c r="J53" s="9"/>
      <c r="K53" s="9"/>
      <c r="L53" s="9"/>
      <c r="M53" s="9"/>
    </row>
    <row r="54" spans="1:13" ht="15.75" customHeight="1">
      <c r="A54" s="5">
        <v>45565</v>
      </c>
      <c r="B54" s="1" t="s">
        <v>22</v>
      </c>
      <c r="C54" s="9">
        <v>998</v>
      </c>
      <c r="D54" s="9">
        <v>154</v>
      </c>
      <c r="E54" s="9">
        <v>179781</v>
      </c>
      <c r="F54" s="7">
        <v>9.58</v>
      </c>
      <c r="G54" s="9">
        <v>12115</v>
      </c>
      <c r="H54" s="9"/>
      <c r="I54" s="9"/>
      <c r="J54" s="9"/>
      <c r="K54" s="9"/>
      <c r="L54" s="9"/>
      <c r="M54" s="9"/>
    </row>
    <row r="55" spans="1:13" ht="15.75" customHeight="1">
      <c r="A55" s="5">
        <v>45565</v>
      </c>
      <c r="B55" s="1" t="s">
        <v>27</v>
      </c>
      <c r="C55" s="9">
        <v>1421</v>
      </c>
      <c r="D55" s="9">
        <v>246</v>
      </c>
      <c r="E55" s="9">
        <v>358581</v>
      </c>
      <c r="F55" s="7">
        <v>8.8800000000000008</v>
      </c>
      <c r="G55" s="9">
        <v>24358</v>
      </c>
      <c r="H55" s="9"/>
      <c r="I55" s="9"/>
      <c r="J55" s="9"/>
      <c r="K55" s="9"/>
      <c r="L55" s="9"/>
      <c r="M55" s="9"/>
    </row>
    <row r="56" spans="1:13" ht="15.75" customHeight="1">
      <c r="A56" s="5">
        <v>45572</v>
      </c>
      <c r="B56" s="1" t="s">
        <v>13</v>
      </c>
      <c r="C56" s="9">
        <v>764</v>
      </c>
      <c r="D56" s="9">
        <v>205</v>
      </c>
      <c r="E56" s="9">
        <v>319294</v>
      </c>
      <c r="F56" s="7">
        <v>6.23</v>
      </c>
      <c r="G56" s="9">
        <v>12181</v>
      </c>
      <c r="H56" s="9"/>
      <c r="I56" s="9"/>
      <c r="J56" s="9"/>
      <c r="K56" s="9"/>
      <c r="L56" s="9"/>
      <c r="M56" s="9"/>
    </row>
    <row r="57" spans="1:13" ht="15.75" customHeight="1">
      <c r="A57" s="5">
        <v>45572</v>
      </c>
      <c r="B57" s="1" t="s">
        <v>22</v>
      </c>
      <c r="C57" s="9">
        <v>678</v>
      </c>
      <c r="D57" s="9">
        <v>124</v>
      </c>
      <c r="E57" s="9">
        <v>192022</v>
      </c>
      <c r="F57" s="7">
        <v>8.4499999999999993</v>
      </c>
      <c r="G57" s="9">
        <v>17729</v>
      </c>
      <c r="H57" s="9"/>
      <c r="I57" s="9"/>
      <c r="J57" s="9"/>
      <c r="K57" s="9"/>
      <c r="L57" s="9"/>
      <c r="M57" s="9"/>
    </row>
    <row r="58" spans="1:13" ht="15.75" customHeight="1">
      <c r="A58" s="5">
        <v>45572</v>
      </c>
      <c r="B58" s="1" t="s">
        <v>27</v>
      </c>
      <c r="C58" s="9">
        <v>1328</v>
      </c>
      <c r="D58" s="9">
        <v>103</v>
      </c>
      <c r="E58" s="9">
        <v>151462</v>
      </c>
      <c r="F58" s="7">
        <v>8.4</v>
      </c>
      <c r="G58" s="9">
        <v>10881</v>
      </c>
      <c r="H58" s="9"/>
      <c r="I58" s="9"/>
      <c r="J58" s="9"/>
      <c r="K58" s="9"/>
      <c r="L58" s="9"/>
      <c r="M58" s="9"/>
    </row>
    <row r="59" spans="1:13" ht="15.75" customHeight="1">
      <c r="A59" s="5">
        <v>45579</v>
      </c>
      <c r="B59" s="1" t="s">
        <v>13</v>
      </c>
      <c r="C59" s="9">
        <v>1161</v>
      </c>
      <c r="D59" s="9">
        <v>269</v>
      </c>
      <c r="E59" s="9">
        <v>188193</v>
      </c>
      <c r="F59" s="7">
        <v>7.34</v>
      </c>
      <c r="G59" s="9">
        <v>18576</v>
      </c>
      <c r="H59" s="9"/>
      <c r="I59" s="9"/>
      <c r="J59" s="9"/>
      <c r="K59" s="9"/>
      <c r="L59" s="9"/>
      <c r="M59" s="9"/>
    </row>
    <row r="60" spans="1:13" ht="15.75" customHeight="1">
      <c r="A60" s="5">
        <v>45579</v>
      </c>
      <c r="B60" s="1" t="s">
        <v>22</v>
      </c>
      <c r="C60" s="9">
        <v>588</v>
      </c>
      <c r="D60" s="9">
        <v>52</v>
      </c>
      <c r="E60" s="9">
        <v>292040</v>
      </c>
      <c r="F60" s="7">
        <v>8.14</v>
      </c>
      <c r="G60" s="9">
        <v>9383</v>
      </c>
      <c r="H60" s="9"/>
      <c r="I60" s="9"/>
      <c r="J60" s="9"/>
      <c r="K60" s="9"/>
      <c r="L60" s="9"/>
      <c r="M60" s="9"/>
    </row>
    <row r="61" spans="1:13" ht="15.75" customHeight="1">
      <c r="A61" s="5">
        <v>45579</v>
      </c>
      <c r="B61" s="1" t="s">
        <v>27</v>
      </c>
      <c r="C61" s="9">
        <v>1457</v>
      </c>
      <c r="D61" s="9">
        <v>215</v>
      </c>
      <c r="E61" s="9">
        <v>325325</v>
      </c>
      <c r="F61" s="7">
        <v>9.58</v>
      </c>
      <c r="G61" s="9">
        <v>14178</v>
      </c>
      <c r="H61" s="9"/>
      <c r="I61" s="9"/>
      <c r="J61" s="9"/>
      <c r="K61" s="9"/>
      <c r="L61" s="9"/>
      <c r="M61" s="9"/>
    </row>
    <row r="62" spans="1:13" ht="15.75" customHeight="1">
      <c r="A62" s="5">
        <v>45586</v>
      </c>
      <c r="B62" s="1" t="s">
        <v>13</v>
      </c>
      <c r="C62" s="9">
        <v>1190</v>
      </c>
      <c r="D62" s="9">
        <v>242</v>
      </c>
      <c r="E62" s="9">
        <v>86849</v>
      </c>
      <c r="F62" s="7">
        <v>8.06</v>
      </c>
      <c r="G62" s="9">
        <v>21254</v>
      </c>
      <c r="H62" s="9"/>
      <c r="I62" s="9"/>
      <c r="J62" s="9"/>
      <c r="K62" s="9"/>
      <c r="L62" s="9"/>
      <c r="M62" s="9"/>
    </row>
    <row r="63" spans="1:13" ht="15.75" customHeight="1">
      <c r="A63" s="5">
        <v>45586</v>
      </c>
      <c r="B63" s="1" t="s">
        <v>22</v>
      </c>
      <c r="C63" s="9">
        <v>886</v>
      </c>
      <c r="D63" s="9">
        <v>124</v>
      </c>
      <c r="E63" s="9">
        <v>141161</v>
      </c>
      <c r="F63" s="7">
        <v>8.19</v>
      </c>
      <c r="G63" s="9">
        <v>14215</v>
      </c>
      <c r="H63" s="9"/>
      <c r="I63" s="9"/>
      <c r="J63" s="9"/>
      <c r="K63" s="9"/>
      <c r="L63" s="9"/>
      <c r="M63" s="9"/>
    </row>
    <row r="64" spans="1:13" ht="15.75" customHeight="1">
      <c r="A64" s="5">
        <v>45586</v>
      </c>
      <c r="B64" s="1" t="s">
        <v>27</v>
      </c>
      <c r="C64" s="9">
        <v>1237</v>
      </c>
      <c r="D64" s="9">
        <v>155</v>
      </c>
      <c r="E64" s="9">
        <v>149916</v>
      </c>
      <c r="F64" s="7">
        <v>4.4800000000000004</v>
      </c>
      <c r="G64" s="9">
        <v>16921</v>
      </c>
      <c r="H64" s="9"/>
      <c r="I64" s="9"/>
      <c r="J64" s="9"/>
      <c r="K64" s="9"/>
      <c r="L64" s="9"/>
      <c r="M64" s="9"/>
    </row>
    <row r="65" spans="1:13" ht="15.75" customHeight="1">
      <c r="A65" s="5">
        <v>45593</v>
      </c>
      <c r="B65" s="1" t="s">
        <v>13</v>
      </c>
      <c r="C65" s="9">
        <v>1435</v>
      </c>
      <c r="D65" s="9">
        <v>261</v>
      </c>
      <c r="E65" s="9">
        <v>308533</v>
      </c>
      <c r="F65" s="7">
        <v>4.5199999999999996</v>
      </c>
      <c r="G65" s="9">
        <v>25130</v>
      </c>
      <c r="H65" s="9"/>
      <c r="I65" s="9"/>
      <c r="J65" s="9"/>
      <c r="K65" s="9"/>
      <c r="L65" s="9"/>
      <c r="M65" s="9"/>
    </row>
    <row r="66" spans="1:13" ht="15.75" customHeight="1">
      <c r="A66" s="5">
        <v>45593</v>
      </c>
      <c r="B66" s="1" t="s">
        <v>22</v>
      </c>
      <c r="C66" s="9">
        <v>746</v>
      </c>
      <c r="D66" s="9">
        <v>282</v>
      </c>
      <c r="E66" s="9">
        <v>293894</v>
      </c>
      <c r="F66" s="7">
        <v>5.42</v>
      </c>
      <c r="G66" s="9">
        <v>25537</v>
      </c>
      <c r="H66" s="9"/>
      <c r="I66" s="9"/>
      <c r="J66" s="9"/>
      <c r="K66" s="9"/>
      <c r="L66" s="9"/>
      <c r="M66" s="9"/>
    </row>
    <row r="67" spans="1:13" ht="15.75" customHeight="1">
      <c r="A67" s="5">
        <v>45593</v>
      </c>
      <c r="B67" s="1" t="s">
        <v>27</v>
      </c>
      <c r="C67" s="9">
        <v>759</v>
      </c>
      <c r="D67" s="9">
        <v>216</v>
      </c>
      <c r="E67" s="9">
        <v>147656</v>
      </c>
      <c r="F67" s="7">
        <v>4.08</v>
      </c>
      <c r="G67" s="9">
        <v>24943</v>
      </c>
      <c r="H67" s="9"/>
      <c r="I67" s="9"/>
      <c r="J67" s="9"/>
      <c r="K67" s="9"/>
      <c r="L67" s="9"/>
      <c r="M67" s="9"/>
    </row>
    <row r="68" spans="1:13" ht="15.75" customHeight="1">
      <c r="A68" s="5">
        <v>45600</v>
      </c>
      <c r="B68" s="1" t="s">
        <v>13</v>
      </c>
      <c r="C68" s="9">
        <v>1437</v>
      </c>
      <c r="D68" s="9">
        <v>235</v>
      </c>
      <c r="E68" s="9">
        <v>326791</v>
      </c>
      <c r="F68" s="7">
        <v>4.0599999999999996</v>
      </c>
      <c r="G68" s="9">
        <v>14563</v>
      </c>
      <c r="H68" s="9"/>
      <c r="I68" s="9"/>
      <c r="J68" s="9"/>
      <c r="K68" s="9"/>
      <c r="L68" s="9"/>
      <c r="M68" s="9"/>
    </row>
    <row r="69" spans="1:13" ht="15.75" customHeight="1">
      <c r="A69" s="5">
        <v>45600</v>
      </c>
      <c r="B69" s="1" t="s">
        <v>22</v>
      </c>
      <c r="C69" s="9">
        <v>1463</v>
      </c>
      <c r="D69" s="9">
        <v>73</v>
      </c>
      <c r="E69" s="9">
        <v>348877</v>
      </c>
      <c r="F69" s="7">
        <v>9.91</v>
      </c>
      <c r="G69" s="9">
        <v>26273</v>
      </c>
      <c r="H69" s="9"/>
      <c r="I69" s="9"/>
      <c r="J69" s="9"/>
      <c r="K69" s="9"/>
      <c r="L69" s="9"/>
      <c r="M69" s="9"/>
    </row>
    <row r="70" spans="1:13" ht="15.75" customHeight="1">
      <c r="A70" s="5">
        <v>45600</v>
      </c>
      <c r="B70" s="1" t="s">
        <v>27</v>
      </c>
      <c r="C70" s="9">
        <v>1208</v>
      </c>
      <c r="D70" s="9">
        <v>224</v>
      </c>
      <c r="E70" s="9">
        <v>122730</v>
      </c>
      <c r="F70" s="7">
        <v>8.7200000000000006</v>
      </c>
      <c r="G70" s="9">
        <v>10858</v>
      </c>
      <c r="H70" s="9"/>
      <c r="I70" s="9"/>
      <c r="J70" s="9"/>
      <c r="K70" s="9"/>
      <c r="L70" s="9"/>
      <c r="M70" s="9"/>
    </row>
    <row r="71" spans="1:13" ht="15.75" customHeight="1">
      <c r="A71" s="5">
        <v>45607</v>
      </c>
      <c r="B71" s="1" t="s">
        <v>13</v>
      </c>
      <c r="C71" s="9">
        <v>1391</v>
      </c>
      <c r="D71" s="9">
        <v>187</v>
      </c>
      <c r="E71" s="9">
        <v>306508</v>
      </c>
      <c r="F71" s="7">
        <v>8.3800000000000008</v>
      </c>
      <c r="G71" s="9">
        <v>25038</v>
      </c>
      <c r="H71" s="9"/>
      <c r="I71" s="9"/>
      <c r="J71" s="9"/>
      <c r="K71" s="9"/>
      <c r="L71" s="9"/>
      <c r="M71" s="9"/>
    </row>
    <row r="72" spans="1:13" ht="15.75" customHeight="1">
      <c r="A72" s="5">
        <v>45607</v>
      </c>
      <c r="B72" s="1" t="s">
        <v>22</v>
      </c>
      <c r="C72" s="9">
        <v>655</v>
      </c>
      <c r="D72" s="9">
        <v>123</v>
      </c>
      <c r="E72" s="9">
        <v>202472</v>
      </c>
      <c r="F72" s="7">
        <v>7.56</v>
      </c>
      <c r="G72" s="9">
        <v>9092</v>
      </c>
      <c r="H72" s="9"/>
      <c r="I72" s="9"/>
      <c r="J72" s="9"/>
      <c r="K72" s="9"/>
      <c r="L72" s="9"/>
      <c r="M72" s="9"/>
    </row>
    <row r="73" spans="1:13" ht="15.75" customHeight="1">
      <c r="A73" s="5">
        <v>45607</v>
      </c>
      <c r="B73" s="1" t="s">
        <v>27</v>
      </c>
      <c r="C73" s="9">
        <v>1148</v>
      </c>
      <c r="D73" s="9">
        <v>90</v>
      </c>
      <c r="E73" s="9">
        <v>227249</v>
      </c>
      <c r="F73" s="7">
        <v>7.24</v>
      </c>
      <c r="G73" s="9">
        <v>17662</v>
      </c>
      <c r="H73" s="9"/>
      <c r="I73" s="9"/>
      <c r="J73" s="9"/>
      <c r="K73" s="9"/>
      <c r="L73" s="9"/>
      <c r="M73" s="9"/>
    </row>
    <row r="74" spans="1:13" ht="15.75" customHeight="1">
      <c r="A74" s="5">
        <v>45614</v>
      </c>
      <c r="B74" s="1" t="s">
        <v>13</v>
      </c>
      <c r="C74" s="9">
        <v>946</v>
      </c>
      <c r="D74" s="9">
        <v>270</v>
      </c>
      <c r="E74" s="9">
        <v>246567</v>
      </c>
      <c r="F74" s="7">
        <v>4.53</v>
      </c>
      <c r="G74" s="9">
        <v>5924</v>
      </c>
      <c r="H74" s="9"/>
      <c r="I74" s="9"/>
      <c r="J74" s="9"/>
      <c r="K74" s="9"/>
      <c r="L74" s="9"/>
      <c r="M74" s="9"/>
    </row>
    <row r="75" spans="1:13" ht="15.75" customHeight="1">
      <c r="A75" s="5">
        <v>45614</v>
      </c>
      <c r="B75" s="1" t="s">
        <v>22</v>
      </c>
      <c r="C75" s="9">
        <v>791</v>
      </c>
      <c r="D75" s="9">
        <v>214</v>
      </c>
      <c r="E75" s="9">
        <v>114738</v>
      </c>
      <c r="F75" s="7">
        <v>6.62</v>
      </c>
      <c r="G75" s="9">
        <v>25347</v>
      </c>
      <c r="H75" s="9"/>
      <c r="I75" s="9"/>
      <c r="J75" s="9"/>
      <c r="K75" s="9"/>
      <c r="L75" s="9"/>
      <c r="M75" s="9"/>
    </row>
    <row r="76" spans="1:13" ht="15.75" customHeight="1">
      <c r="A76" s="5">
        <v>45614</v>
      </c>
      <c r="B76" s="1" t="s">
        <v>27</v>
      </c>
      <c r="C76" s="9">
        <v>793</v>
      </c>
      <c r="D76" s="9">
        <v>111</v>
      </c>
      <c r="E76" s="9">
        <v>333500</v>
      </c>
      <c r="F76" s="7">
        <v>6.36</v>
      </c>
      <c r="G76" s="9">
        <v>8910</v>
      </c>
      <c r="H76" s="9"/>
      <c r="I76" s="9"/>
      <c r="J76" s="9"/>
      <c r="K76" s="9"/>
      <c r="L76" s="9"/>
      <c r="M76" s="9"/>
    </row>
    <row r="77" spans="1:13" ht="15.75" customHeight="1">
      <c r="A77" s="5">
        <v>45621</v>
      </c>
      <c r="B77" s="1" t="s">
        <v>13</v>
      </c>
      <c r="C77" s="9">
        <v>663</v>
      </c>
      <c r="D77" s="9">
        <v>213</v>
      </c>
      <c r="E77" s="9">
        <v>352677</v>
      </c>
      <c r="F77" s="7">
        <v>9</v>
      </c>
      <c r="G77" s="9">
        <v>20438</v>
      </c>
      <c r="H77" s="9"/>
      <c r="I77" s="9"/>
      <c r="J77" s="9"/>
      <c r="K77" s="9"/>
      <c r="L77" s="9"/>
      <c r="M77" s="9"/>
    </row>
    <row r="78" spans="1:13" ht="15.75" customHeight="1">
      <c r="A78" s="5">
        <v>45621</v>
      </c>
      <c r="B78" s="1" t="s">
        <v>22</v>
      </c>
      <c r="C78" s="9">
        <v>954</v>
      </c>
      <c r="D78" s="9">
        <v>271</v>
      </c>
      <c r="E78" s="9">
        <v>160936</v>
      </c>
      <c r="F78" s="7">
        <v>8.83</v>
      </c>
      <c r="G78" s="9">
        <v>8760</v>
      </c>
      <c r="H78" s="9"/>
      <c r="I78" s="9"/>
      <c r="J78" s="9"/>
      <c r="K78" s="9"/>
      <c r="L78" s="9"/>
      <c r="M78" s="9"/>
    </row>
    <row r="79" spans="1:13" ht="15.75" customHeight="1">
      <c r="A79" s="5">
        <v>45621</v>
      </c>
      <c r="B79" s="1" t="s">
        <v>27</v>
      </c>
      <c r="C79" s="9">
        <v>1313</v>
      </c>
      <c r="D79" s="9">
        <v>159</v>
      </c>
      <c r="E79" s="9">
        <v>197183</v>
      </c>
      <c r="F79" s="7">
        <v>9.7100000000000009</v>
      </c>
      <c r="G79" s="9">
        <v>6625</v>
      </c>
      <c r="H79" s="9"/>
      <c r="I79" s="9"/>
      <c r="J79" s="9"/>
      <c r="K79" s="9"/>
      <c r="L79" s="9"/>
      <c r="M79" s="9"/>
    </row>
    <row r="80" spans="1:13" ht="15.75" customHeight="1">
      <c r="A80" s="5">
        <v>45628</v>
      </c>
      <c r="B80" s="1" t="s">
        <v>13</v>
      </c>
      <c r="C80" s="9">
        <v>895</v>
      </c>
      <c r="D80" s="9">
        <v>87</v>
      </c>
      <c r="E80" s="9">
        <v>171271</v>
      </c>
      <c r="F80" s="7">
        <v>6.68</v>
      </c>
      <c r="G80" s="9">
        <v>23329</v>
      </c>
      <c r="H80" s="9"/>
      <c r="I80" s="9"/>
      <c r="J80" s="9"/>
      <c r="K80" s="9"/>
      <c r="L80" s="9"/>
      <c r="M80" s="9"/>
    </row>
    <row r="81" spans="1:13" ht="15.75" customHeight="1">
      <c r="A81" s="5">
        <v>45628</v>
      </c>
      <c r="B81" s="1" t="s">
        <v>22</v>
      </c>
      <c r="C81" s="9">
        <v>1027</v>
      </c>
      <c r="D81" s="9">
        <v>156</v>
      </c>
      <c r="E81" s="9">
        <v>111293</v>
      </c>
      <c r="F81" s="7">
        <v>5.51</v>
      </c>
      <c r="G81" s="9">
        <v>7299</v>
      </c>
      <c r="H81" s="9"/>
      <c r="I81" s="9"/>
      <c r="J81" s="9"/>
      <c r="K81" s="9"/>
      <c r="L81" s="9"/>
      <c r="M81" s="9"/>
    </row>
    <row r="82" spans="1:13" ht="15.75" customHeight="1">
      <c r="A82" s="5">
        <v>45628</v>
      </c>
      <c r="B82" s="1" t="s">
        <v>27</v>
      </c>
      <c r="C82" s="9">
        <v>990</v>
      </c>
      <c r="D82" s="9">
        <v>286</v>
      </c>
      <c r="E82" s="9">
        <v>351493</v>
      </c>
      <c r="F82" s="7">
        <v>7.97</v>
      </c>
      <c r="G82" s="9">
        <v>14496</v>
      </c>
      <c r="H82" s="9"/>
      <c r="I82" s="9"/>
      <c r="J82" s="9"/>
      <c r="K82" s="9"/>
      <c r="L82" s="9"/>
      <c r="M82" s="9"/>
    </row>
    <row r="83" spans="1:13" ht="15.75" customHeight="1">
      <c r="A83" s="5">
        <v>45635</v>
      </c>
      <c r="B83" s="1" t="s">
        <v>13</v>
      </c>
      <c r="C83" s="9">
        <v>875</v>
      </c>
      <c r="D83" s="9">
        <v>264</v>
      </c>
      <c r="E83" s="9">
        <v>345631</v>
      </c>
      <c r="F83" s="7">
        <v>9.18</v>
      </c>
      <c r="G83" s="9">
        <v>25703</v>
      </c>
      <c r="H83" s="9"/>
      <c r="I83" s="9"/>
      <c r="J83" s="9"/>
      <c r="K83" s="9"/>
      <c r="L83" s="9"/>
      <c r="M83" s="9"/>
    </row>
    <row r="84" spans="1:13" ht="15.75" customHeight="1">
      <c r="A84" s="5">
        <v>45635</v>
      </c>
      <c r="B84" s="1" t="s">
        <v>22</v>
      </c>
      <c r="C84" s="9">
        <v>599</v>
      </c>
      <c r="D84" s="9">
        <v>194</v>
      </c>
      <c r="E84" s="9">
        <v>105622</v>
      </c>
      <c r="F84" s="7">
        <v>6.44</v>
      </c>
      <c r="G84" s="9">
        <v>15108</v>
      </c>
      <c r="H84" s="9"/>
      <c r="I84" s="9"/>
      <c r="J84" s="9"/>
      <c r="K84" s="9"/>
      <c r="L84" s="9"/>
      <c r="M84" s="9"/>
    </row>
    <row r="85" spans="1:13" ht="15.75" customHeight="1">
      <c r="A85" s="5">
        <v>45635</v>
      </c>
      <c r="B85" s="1" t="s">
        <v>27</v>
      </c>
      <c r="C85" s="9">
        <v>630</v>
      </c>
      <c r="D85" s="9">
        <v>248</v>
      </c>
      <c r="E85" s="9">
        <v>119054</v>
      </c>
      <c r="F85" s="7">
        <v>5.0199999999999996</v>
      </c>
      <c r="G85" s="9">
        <v>18867</v>
      </c>
      <c r="H85" s="9"/>
      <c r="I85" s="9"/>
      <c r="J85" s="9"/>
      <c r="K85" s="9"/>
      <c r="L85" s="9"/>
      <c r="M85" s="9"/>
    </row>
    <row r="86" spans="1:13" ht="15.75" customHeight="1">
      <c r="A86" s="5">
        <v>45642</v>
      </c>
      <c r="B86" s="1" t="s">
        <v>13</v>
      </c>
      <c r="C86" s="9">
        <v>1350</v>
      </c>
      <c r="D86" s="9">
        <v>233</v>
      </c>
      <c r="E86" s="9">
        <v>171670</v>
      </c>
      <c r="F86" s="7">
        <v>4.53</v>
      </c>
      <c r="G86" s="9">
        <v>17574</v>
      </c>
      <c r="H86" s="9"/>
      <c r="I86" s="9"/>
      <c r="J86" s="9"/>
      <c r="K86" s="9"/>
      <c r="L86" s="9"/>
      <c r="M86" s="9"/>
    </row>
    <row r="87" spans="1:13" ht="15.75" customHeight="1">
      <c r="A87" s="5">
        <v>45642</v>
      </c>
      <c r="B87" s="1" t="s">
        <v>22</v>
      </c>
      <c r="C87" s="9">
        <v>632</v>
      </c>
      <c r="D87" s="9">
        <v>155</v>
      </c>
      <c r="E87" s="9">
        <v>170432</v>
      </c>
      <c r="F87" s="7">
        <v>9.17</v>
      </c>
      <c r="G87" s="9">
        <v>12840</v>
      </c>
      <c r="H87" s="9"/>
      <c r="I87" s="9"/>
      <c r="J87" s="9"/>
      <c r="K87" s="9"/>
      <c r="L87" s="9"/>
      <c r="M87" s="9"/>
    </row>
    <row r="88" spans="1:13" ht="15.75" customHeight="1">
      <c r="A88" s="5">
        <v>45642</v>
      </c>
      <c r="B88" s="1" t="s">
        <v>27</v>
      </c>
      <c r="C88" s="9">
        <v>1182</v>
      </c>
      <c r="D88" s="9">
        <v>83</v>
      </c>
      <c r="E88" s="9">
        <v>140300</v>
      </c>
      <c r="F88" s="7">
        <v>3.27</v>
      </c>
      <c r="G88" s="9">
        <v>21079</v>
      </c>
      <c r="H88" s="9"/>
      <c r="I88" s="9"/>
      <c r="J88" s="9"/>
      <c r="K88" s="9"/>
      <c r="L88" s="9"/>
      <c r="M88" s="9"/>
    </row>
    <row r="89" spans="1:13" ht="15.75" customHeight="1">
      <c r="A89" s="5">
        <v>45649</v>
      </c>
      <c r="B89" s="1" t="s">
        <v>13</v>
      </c>
      <c r="C89" s="9">
        <v>661</v>
      </c>
      <c r="D89" s="9">
        <v>94</v>
      </c>
      <c r="E89" s="9">
        <v>116538</v>
      </c>
      <c r="F89" s="7">
        <v>5.31</v>
      </c>
      <c r="G89" s="9">
        <v>23486</v>
      </c>
      <c r="H89" s="9"/>
      <c r="I89" s="9"/>
      <c r="J89" s="9"/>
      <c r="K89" s="9"/>
      <c r="L89" s="9"/>
      <c r="M89" s="9"/>
    </row>
    <row r="90" spans="1:13" ht="15.75" customHeight="1">
      <c r="A90" s="5">
        <v>45649</v>
      </c>
      <c r="B90" s="1" t="s">
        <v>22</v>
      </c>
      <c r="C90" s="9">
        <v>1360</v>
      </c>
      <c r="D90" s="9">
        <v>227</v>
      </c>
      <c r="E90" s="9">
        <v>176902</v>
      </c>
      <c r="F90" s="7">
        <v>6.03</v>
      </c>
      <c r="G90" s="9">
        <v>5960</v>
      </c>
      <c r="H90" s="9"/>
      <c r="I90" s="9"/>
      <c r="J90" s="9"/>
      <c r="K90" s="9"/>
      <c r="L90" s="9"/>
      <c r="M90" s="9"/>
    </row>
    <row r="91" spans="1:13" ht="15.75" customHeight="1">
      <c r="A91" s="5">
        <v>45649</v>
      </c>
      <c r="B91" s="1" t="s">
        <v>27</v>
      </c>
      <c r="C91" s="9">
        <v>935</v>
      </c>
      <c r="D91" s="9">
        <v>85</v>
      </c>
      <c r="E91" s="9">
        <v>326821</v>
      </c>
      <c r="F91" s="7">
        <v>8.89</v>
      </c>
      <c r="G91" s="9">
        <v>13301</v>
      </c>
      <c r="H91" s="9"/>
      <c r="I91" s="9"/>
      <c r="J91" s="9"/>
      <c r="K91" s="9"/>
      <c r="L91" s="9"/>
      <c r="M91" s="9"/>
    </row>
    <row r="92" spans="1:13" ht="15.75" customHeight="1">
      <c r="A92" s="5">
        <v>45656</v>
      </c>
      <c r="B92" s="1" t="s">
        <v>13</v>
      </c>
      <c r="C92" s="9">
        <v>664</v>
      </c>
      <c r="D92" s="9">
        <v>251</v>
      </c>
      <c r="E92" s="9">
        <v>240598</v>
      </c>
      <c r="F92" s="7">
        <v>4.79</v>
      </c>
      <c r="G92" s="9">
        <v>10563</v>
      </c>
      <c r="H92" s="9"/>
      <c r="I92" s="9"/>
      <c r="J92" s="9"/>
      <c r="K92" s="9"/>
      <c r="L92" s="9"/>
      <c r="M92" s="9"/>
    </row>
    <row r="93" spans="1:13" ht="15.75" customHeight="1">
      <c r="A93" s="5">
        <v>45656</v>
      </c>
      <c r="B93" s="1" t="s">
        <v>22</v>
      </c>
      <c r="C93" s="9">
        <v>1490</v>
      </c>
      <c r="D93" s="9">
        <v>103</v>
      </c>
      <c r="E93" s="9">
        <v>373274</v>
      </c>
      <c r="F93" s="7">
        <v>4.8</v>
      </c>
      <c r="G93" s="9">
        <v>19949</v>
      </c>
      <c r="H93" s="9"/>
      <c r="I93" s="9"/>
      <c r="J93" s="9"/>
      <c r="K93" s="9"/>
      <c r="L93" s="9"/>
      <c r="M93" s="9"/>
    </row>
    <row r="94" spans="1:13" ht="15.75" customHeight="1">
      <c r="A94" s="5">
        <v>45656</v>
      </c>
      <c r="B94" s="1" t="s">
        <v>27</v>
      </c>
      <c r="C94" s="9">
        <v>601</v>
      </c>
      <c r="D94" s="9">
        <v>64</v>
      </c>
      <c r="E94" s="9">
        <v>123272</v>
      </c>
      <c r="F94" s="7">
        <v>4.07</v>
      </c>
      <c r="G94" s="9">
        <v>14273</v>
      </c>
      <c r="H94" s="9"/>
      <c r="I94" s="9"/>
      <c r="J94" s="9"/>
      <c r="K94" s="9"/>
      <c r="L94" s="9"/>
      <c r="M94" s="9"/>
    </row>
    <row r="95" spans="1:13" ht="15.75" customHeight="1">
      <c r="A95" s="5">
        <v>45663</v>
      </c>
      <c r="B95" s="1" t="s">
        <v>13</v>
      </c>
      <c r="C95" s="9">
        <v>613</v>
      </c>
      <c r="D95" s="9">
        <v>170</v>
      </c>
      <c r="E95" s="9">
        <v>139266</v>
      </c>
      <c r="F95" s="7">
        <v>6.06</v>
      </c>
      <c r="G95" s="9">
        <v>9247</v>
      </c>
      <c r="H95" s="9"/>
      <c r="I95" s="9"/>
      <c r="J95" s="9"/>
      <c r="K95" s="9"/>
      <c r="L95" s="9"/>
      <c r="M95" s="9"/>
    </row>
    <row r="96" spans="1:13" ht="15.75" customHeight="1">
      <c r="A96" s="5">
        <v>45663</v>
      </c>
      <c r="B96" s="1" t="s">
        <v>22</v>
      </c>
      <c r="C96" s="9">
        <v>1340</v>
      </c>
      <c r="D96" s="9">
        <v>57</v>
      </c>
      <c r="E96" s="9">
        <v>155927</v>
      </c>
      <c r="F96" s="7">
        <v>7.79</v>
      </c>
      <c r="G96" s="9">
        <v>11972</v>
      </c>
      <c r="H96" s="9"/>
      <c r="I96" s="9"/>
      <c r="J96" s="9"/>
      <c r="K96" s="9"/>
      <c r="L96" s="9"/>
      <c r="M96" s="9"/>
    </row>
    <row r="97" spans="1:13" ht="15.75" customHeight="1">
      <c r="A97" s="5">
        <v>45663</v>
      </c>
      <c r="B97" s="1" t="s">
        <v>27</v>
      </c>
      <c r="C97" s="9">
        <v>953</v>
      </c>
      <c r="D97" s="9">
        <v>228</v>
      </c>
      <c r="E97" s="9">
        <v>258398</v>
      </c>
      <c r="F97" s="7">
        <v>9.0500000000000007</v>
      </c>
      <c r="G97" s="9">
        <v>13314</v>
      </c>
      <c r="H97" s="9"/>
      <c r="I97" s="9"/>
      <c r="J97" s="9"/>
      <c r="K97" s="9"/>
      <c r="L97" s="9"/>
      <c r="M97" s="9"/>
    </row>
    <row r="98" spans="1:13" ht="15.75" customHeight="1">
      <c r="A98" s="5">
        <v>45670</v>
      </c>
      <c r="B98" s="1" t="s">
        <v>13</v>
      </c>
      <c r="C98" s="9">
        <v>532</v>
      </c>
      <c r="D98" s="9">
        <v>65</v>
      </c>
      <c r="E98" s="9">
        <v>338561</v>
      </c>
      <c r="F98" s="7">
        <v>3.5</v>
      </c>
      <c r="G98" s="9">
        <v>14749</v>
      </c>
      <c r="H98" s="9"/>
      <c r="I98" s="9"/>
      <c r="J98" s="9"/>
      <c r="K98" s="9"/>
      <c r="L98" s="9"/>
      <c r="M98" s="9"/>
    </row>
    <row r="99" spans="1:13" ht="15.75" customHeight="1">
      <c r="A99" s="5">
        <v>45670</v>
      </c>
      <c r="B99" s="1" t="s">
        <v>22</v>
      </c>
      <c r="C99" s="9">
        <v>1414</v>
      </c>
      <c r="D99" s="9">
        <v>60</v>
      </c>
      <c r="E99" s="9">
        <v>341856</v>
      </c>
      <c r="F99" s="7">
        <v>8.76</v>
      </c>
      <c r="G99" s="9">
        <v>6868</v>
      </c>
      <c r="H99" s="9"/>
      <c r="I99" s="9"/>
      <c r="J99" s="9"/>
      <c r="K99" s="9"/>
      <c r="L99" s="9"/>
      <c r="M99" s="9"/>
    </row>
    <row r="100" spans="1:13" ht="15.75" customHeight="1">
      <c r="A100" s="5">
        <v>45670</v>
      </c>
      <c r="B100" s="1" t="s">
        <v>27</v>
      </c>
      <c r="C100" s="9">
        <v>685</v>
      </c>
      <c r="D100" s="9">
        <v>165</v>
      </c>
      <c r="E100" s="9">
        <v>175860</v>
      </c>
      <c r="F100" s="7">
        <v>6.26</v>
      </c>
      <c r="G100" s="9">
        <v>6027</v>
      </c>
      <c r="H100" s="9"/>
      <c r="I100" s="9"/>
      <c r="J100" s="9"/>
      <c r="K100" s="9"/>
      <c r="L100" s="9"/>
      <c r="M100" s="9"/>
    </row>
    <row r="101" spans="1:13" ht="15.75" customHeight="1">
      <c r="A101" s="5">
        <v>45677</v>
      </c>
      <c r="B101" s="1" t="s">
        <v>13</v>
      </c>
      <c r="C101" s="9">
        <v>601</v>
      </c>
      <c r="D101" s="9">
        <v>159</v>
      </c>
      <c r="E101" s="9">
        <v>327722</v>
      </c>
      <c r="F101" s="7">
        <v>3.33</v>
      </c>
      <c r="G101" s="9">
        <v>25267</v>
      </c>
      <c r="H101" s="9"/>
      <c r="I101" s="9"/>
      <c r="J101" s="9"/>
      <c r="K101" s="9"/>
      <c r="L101" s="9"/>
      <c r="M101" s="9"/>
    </row>
    <row r="102" spans="1:13" ht="15.75" customHeight="1">
      <c r="A102" s="5">
        <v>45677</v>
      </c>
      <c r="B102" s="1" t="s">
        <v>22</v>
      </c>
      <c r="C102" s="9">
        <v>841</v>
      </c>
      <c r="D102" s="9">
        <v>295</v>
      </c>
      <c r="E102" s="9">
        <v>271638</v>
      </c>
      <c r="F102" s="7">
        <v>9.15</v>
      </c>
      <c r="G102" s="9">
        <v>5900</v>
      </c>
      <c r="H102" s="9"/>
      <c r="I102" s="9"/>
      <c r="J102" s="9"/>
      <c r="K102" s="9"/>
      <c r="L102" s="9"/>
      <c r="M102" s="9"/>
    </row>
    <row r="103" spans="1:13" ht="15.75" customHeight="1">
      <c r="A103" s="5">
        <v>45677</v>
      </c>
      <c r="B103" s="1" t="s">
        <v>27</v>
      </c>
      <c r="C103" s="9">
        <v>1105</v>
      </c>
      <c r="D103" s="9">
        <v>261</v>
      </c>
      <c r="E103" s="9">
        <v>333851</v>
      </c>
      <c r="F103" s="7">
        <v>6.03</v>
      </c>
      <c r="G103" s="9">
        <v>11181</v>
      </c>
      <c r="H103" s="9"/>
      <c r="I103" s="9"/>
      <c r="J103" s="9"/>
      <c r="K103" s="9"/>
      <c r="L103" s="9"/>
      <c r="M103" s="9"/>
    </row>
    <row r="104" spans="1:13" ht="15.75" customHeight="1">
      <c r="A104" s="5">
        <v>45684</v>
      </c>
      <c r="B104" s="1" t="s">
        <v>13</v>
      </c>
      <c r="C104" s="9">
        <v>566</v>
      </c>
      <c r="D104" s="9">
        <v>225</v>
      </c>
      <c r="E104" s="9">
        <v>368984</v>
      </c>
      <c r="F104" s="7">
        <v>9.82</v>
      </c>
      <c r="G104" s="9">
        <v>9592</v>
      </c>
      <c r="H104" s="9"/>
      <c r="I104" s="9"/>
      <c r="J104" s="9"/>
      <c r="K104" s="9"/>
      <c r="L104" s="9"/>
      <c r="M104" s="9"/>
    </row>
    <row r="105" spans="1:13" ht="15.75" customHeight="1">
      <c r="A105" s="5">
        <v>45684</v>
      </c>
      <c r="B105" s="1" t="s">
        <v>22</v>
      </c>
      <c r="C105" s="9">
        <v>1149</v>
      </c>
      <c r="D105" s="9">
        <v>280</v>
      </c>
      <c r="E105" s="9">
        <v>167310</v>
      </c>
      <c r="F105" s="7">
        <v>3.7</v>
      </c>
      <c r="G105" s="9">
        <v>5291</v>
      </c>
      <c r="H105" s="9"/>
      <c r="I105" s="9"/>
      <c r="J105" s="9"/>
      <c r="K105" s="9"/>
      <c r="L105" s="9"/>
      <c r="M105" s="9"/>
    </row>
    <row r="106" spans="1:13" ht="15.75" customHeight="1">
      <c r="A106" s="5">
        <v>45684</v>
      </c>
      <c r="B106" s="1" t="s">
        <v>27</v>
      </c>
      <c r="C106" s="9">
        <v>819</v>
      </c>
      <c r="D106" s="9">
        <v>101</v>
      </c>
      <c r="E106" s="9">
        <v>194811</v>
      </c>
      <c r="F106" s="7">
        <v>3.35</v>
      </c>
      <c r="G106" s="9">
        <v>22244</v>
      </c>
      <c r="H106" s="9"/>
      <c r="I106" s="9"/>
      <c r="J106" s="9"/>
      <c r="K106" s="9"/>
      <c r="L106" s="9"/>
      <c r="M106" s="9"/>
    </row>
    <row r="107" spans="1:13" ht="15.75" customHeight="1">
      <c r="A107" s="5">
        <v>45691</v>
      </c>
      <c r="B107" s="1" t="s">
        <v>13</v>
      </c>
      <c r="C107" s="9">
        <v>795</v>
      </c>
      <c r="D107" s="9">
        <v>60</v>
      </c>
      <c r="E107" s="9">
        <v>314982</v>
      </c>
      <c r="F107" s="7">
        <v>7.31</v>
      </c>
      <c r="G107" s="9">
        <v>6824</v>
      </c>
      <c r="H107" s="9"/>
      <c r="I107" s="9"/>
      <c r="J107" s="9"/>
      <c r="K107" s="9"/>
      <c r="L107" s="9"/>
      <c r="M107" s="9"/>
    </row>
    <row r="108" spans="1:13" ht="15.75" customHeight="1">
      <c r="A108" s="5">
        <v>45691</v>
      </c>
      <c r="B108" s="1" t="s">
        <v>22</v>
      </c>
      <c r="C108" s="9">
        <v>681</v>
      </c>
      <c r="D108" s="9">
        <v>158</v>
      </c>
      <c r="E108" s="9">
        <v>75960</v>
      </c>
      <c r="F108" s="7">
        <v>3.13</v>
      </c>
      <c r="G108" s="9">
        <v>24112</v>
      </c>
      <c r="H108" s="9"/>
      <c r="I108" s="9"/>
      <c r="J108" s="9"/>
      <c r="K108" s="9"/>
      <c r="L108" s="9"/>
      <c r="M108" s="9"/>
    </row>
    <row r="109" spans="1:13" ht="15.75" customHeight="1">
      <c r="A109" s="5">
        <v>45691</v>
      </c>
      <c r="B109" s="1" t="s">
        <v>27</v>
      </c>
      <c r="C109" s="9">
        <v>534</v>
      </c>
      <c r="D109" s="9">
        <v>112</v>
      </c>
      <c r="E109" s="9">
        <v>360759</v>
      </c>
      <c r="F109" s="7">
        <v>4.8899999999999997</v>
      </c>
      <c r="G109" s="9">
        <v>25478</v>
      </c>
      <c r="H109" s="9"/>
      <c r="I109" s="9"/>
      <c r="J109" s="9"/>
      <c r="K109" s="9"/>
      <c r="L109" s="9"/>
      <c r="M109" s="9"/>
    </row>
    <row r="110" spans="1:13" ht="15.75" customHeight="1">
      <c r="A110" s="5">
        <v>45698</v>
      </c>
      <c r="B110" s="1" t="s">
        <v>13</v>
      </c>
      <c r="C110" s="9">
        <v>1066</v>
      </c>
      <c r="D110" s="9">
        <v>151</v>
      </c>
      <c r="E110" s="9">
        <v>297090</v>
      </c>
      <c r="F110" s="7">
        <v>8.6300000000000008</v>
      </c>
      <c r="G110" s="9">
        <v>11235</v>
      </c>
      <c r="H110" s="9"/>
      <c r="I110" s="9"/>
      <c r="J110" s="9"/>
      <c r="K110" s="9"/>
      <c r="L110" s="9"/>
      <c r="M110" s="9"/>
    </row>
    <row r="111" spans="1:13" ht="15.75" customHeight="1">
      <c r="A111" s="5">
        <v>45698</v>
      </c>
      <c r="B111" s="1" t="s">
        <v>22</v>
      </c>
      <c r="C111" s="9">
        <v>1270</v>
      </c>
      <c r="D111" s="9">
        <v>162</v>
      </c>
      <c r="E111" s="9">
        <v>92040</v>
      </c>
      <c r="F111" s="7">
        <v>8.0299999999999994</v>
      </c>
      <c r="G111" s="9">
        <v>6120</v>
      </c>
      <c r="H111" s="9"/>
      <c r="I111" s="9"/>
      <c r="J111" s="9"/>
      <c r="K111" s="9"/>
      <c r="L111" s="9"/>
      <c r="M111" s="9"/>
    </row>
    <row r="112" spans="1:13" ht="15.75" customHeight="1">
      <c r="A112" s="5">
        <v>45698</v>
      </c>
      <c r="B112" s="1" t="s">
        <v>27</v>
      </c>
      <c r="C112" s="9">
        <v>536</v>
      </c>
      <c r="D112" s="9">
        <v>198</v>
      </c>
      <c r="E112" s="9">
        <v>174610</v>
      </c>
      <c r="F112" s="7">
        <v>7.85</v>
      </c>
      <c r="G112" s="9">
        <v>20572</v>
      </c>
      <c r="H112" s="9"/>
      <c r="I112" s="9"/>
      <c r="J112" s="9"/>
      <c r="K112" s="9"/>
      <c r="L112" s="9"/>
      <c r="M112" s="9"/>
    </row>
    <row r="113" spans="1:13" ht="15.75" customHeight="1">
      <c r="A113" s="5">
        <v>45705</v>
      </c>
      <c r="B113" s="1" t="s">
        <v>13</v>
      </c>
      <c r="C113" s="9">
        <v>819</v>
      </c>
      <c r="D113" s="9">
        <v>95</v>
      </c>
      <c r="E113" s="9">
        <v>177376</v>
      </c>
      <c r="F113" s="7">
        <v>6.12</v>
      </c>
      <c r="G113" s="9">
        <v>14975</v>
      </c>
      <c r="H113" s="9"/>
      <c r="I113" s="9"/>
      <c r="J113" s="9"/>
      <c r="K113" s="9"/>
      <c r="L113" s="9"/>
      <c r="M113" s="9"/>
    </row>
    <row r="114" spans="1:13" ht="15.75" customHeight="1">
      <c r="A114" s="5">
        <v>45705</v>
      </c>
      <c r="B114" s="1" t="s">
        <v>22</v>
      </c>
      <c r="C114" s="9">
        <v>681</v>
      </c>
      <c r="D114" s="9">
        <v>218</v>
      </c>
      <c r="E114" s="9">
        <v>198882</v>
      </c>
      <c r="F114" s="7">
        <v>7.16</v>
      </c>
      <c r="G114" s="9">
        <v>22234</v>
      </c>
      <c r="H114" s="9"/>
      <c r="I114" s="9"/>
      <c r="J114" s="9"/>
      <c r="K114" s="9"/>
      <c r="L114" s="9"/>
      <c r="M114" s="9"/>
    </row>
    <row r="115" spans="1:13" ht="15.75" customHeight="1">
      <c r="A115" s="5">
        <v>45705</v>
      </c>
      <c r="B115" s="1" t="s">
        <v>27</v>
      </c>
      <c r="C115" s="9">
        <v>646</v>
      </c>
      <c r="D115" s="9">
        <v>290</v>
      </c>
      <c r="E115" s="9">
        <v>336383</v>
      </c>
      <c r="F115" s="7">
        <v>7.04</v>
      </c>
      <c r="G115" s="9">
        <v>6532</v>
      </c>
      <c r="H115" s="9"/>
      <c r="I115" s="9"/>
      <c r="J115" s="9"/>
      <c r="K115" s="9"/>
      <c r="L115" s="9"/>
      <c r="M115" s="9"/>
    </row>
    <row r="116" spans="1:13" ht="15.75" customHeight="1">
      <c r="A116" s="5">
        <v>45712</v>
      </c>
      <c r="B116" s="1" t="s">
        <v>13</v>
      </c>
      <c r="C116" s="9">
        <v>645</v>
      </c>
      <c r="D116" s="9">
        <v>267</v>
      </c>
      <c r="E116" s="9">
        <v>346890</v>
      </c>
      <c r="F116" s="7">
        <v>3.71</v>
      </c>
      <c r="G116" s="9">
        <v>24858</v>
      </c>
      <c r="H116" s="9"/>
      <c r="I116" s="9"/>
      <c r="J116" s="9"/>
      <c r="K116" s="9"/>
      <c r="L116" s="9"/>
      <c r="M116" s="9"/>
    </row>
    <row r="117" spans="1:13" ht="15.75" customHeight="1">
      <c r="A117" s="5">
        <v>45712</v>
      </c>
      <c r="B117" s="1" t="s">
        <v>22</v>
      </c>
      <c r="C117" s="9">
        <v>886</v>
      </c>
      <c r="D117" s="9">
        <v>250</v>
      </c>
      <c r="E117" s="9">
        <v>168170</v>
      </c>
      <c r="F117" s="7">
        <v>4.12</v>
      </c>
      <c r="G117" s="9">
        <v>13883</v>
      </c>
      <c r="H117" s="9"/>
      <c r="I117" s="9"/>
      <c r="J117" s="9"/>
      <c r="K117" s="9"/>
      <c r="L117" s="9"/>
      <c r="M117" s="9"/>
    </row>
    <row r="118" spans="1:13" ht="15.75" customHeight="1">
      <c r="A118" s="5">
        <v>45712</v>
      </c>
      <c r="B118" s="1" t="s">
        <v>27</v>
      </c>
      <c r="C118" s="9">
        <v>978</v>
      </c>
      <c r="D118" s="9">
        <v>279</v>
      </c>
      <c r="E118" s="9">
        <v>368872</v>
      </c>
      <c r="F118" s="7">
        <v>6.82</v>
      </c>
      <c r="G118" s="9">
        <v>18654</v>
      </c>
      <c r="H118" s="9"/>
      <c r="I118" s="9"/>
      <c r="J118" s="9"/>
      <c r="K118" s="9"/>
      <c r="L118" s="9"/>
      <c r="M118" s="9"/>
    </row>
    <row r="119" spans="1:13" ht="15.75" customHeight="1">
      <c r="A119" s="5">
        <v>45719</v>
      </c>
      <c r="B119" s="1" t="s">
        <v>13</v>
      </c>
      <c r="C119" s="9">
        <v>1444</v>
      </c>
      <c r="D119" s="9">
        <v>165</v>
      </c>
      <c r="E119" s="9">
        <v>116436</v>
      </c>
      <c r="F119" s="7">
        <v>8.2200000000000006</v>
      </c>
      <c r="G119" s="9">
        <v>25234</v>
      </c>
      <c r="H119" s="9"/>
      <c r="I119" s="9"/>
      <c r="J119" s="9"/>
      <c r="K119" s="9"/>
      <c r="L119" s="9"/>
      <c r="M119" s="9"/>
    </row>
    <row r="120" spans="1:13" ht="15.75" customHeight="1">
      <c r="A120" s="5">
        <v>45719</v>
      </c>
      <c r="B120" s="1" t="s">
        <v>22</v>
      </c>
      <c r="C120" s="9">
        <v>1234</v>
      </c>
      <c r="D120" s="9">
        <v>228</v>
      </c>
      <c r="E120" s="9">
        <v>127502</v>
      </c>
      <c r="F120" s="7">
        <v>7.71</v>
      </c>
      <c r="G120" s="9">
        <v>6772</v>
      </c>
      <c r="H120" s="9"/>
      <c r="I120" s="9"/>
      <c r="J120" s="9"/>
      <c r="K120" s="9"/>
      <c r="L120" s="9"/>
      <c r="M120" s="9"/>
    </row>
    <row r="121" spans="1:13" ht="15.75" customHeight="1">
      <c r="A121" s="5">
        <v>45719</v>
      </c>
      <c r="B121" s="1" t="s">
        <v>27</v>
      </c>
      <c r="C121" s="9">
        <v>665</v>
      </c>
      <c r="D121" s="9">
        <v>187</v>
      </c>
      <c r="E121" s="9">
        <v>274567</v>
      </c>
      <c r="F121" s="7">
        <v>7.39</v>
      </c>
      <c r="G121" s="9">
        <v>22428</v>
      </c>
      <c r="H121" s="9"/>
      <c r="I121" s="9"/>
      <c r="J121" s="9"/>
      <c r="K121" s="9"/>
      <c r="L121" s="9"/>
      <c r="M121" s="9"/>
    </row>
    <row r="122" spans="1:13" ht="15.75" customHeight="1">
      <c r="A122" s="5">
        <v>45726</v>
      </c>
      <c r="B122" s="1" t="s">
        <v>13</v>
      </c>
      <c r="C122" s="9">
        <v>631</v>
      </c>
      <c r="D122" s="9">
        <v>86</v>
      </c>
      <c r="E122" s="9">
        <v>295090</v>
      </c>
      <c r="F122" s="7">
        <v>7.89</v>
      </c>
      <c r="G122" s="9">
        <v>11911</v>
      </c>
      <c r="H122" s="9"/>
      <c r="I122" s="9"/>
      <c r="J122" s="9"/>
      <c r="K122" s="9"/>
      <c r="L122" s="9"/>
      <c r="M122" s="9"/>
    </row>
    <row r="123" spans="1:13" ht="15.75" customHeight="1">
      <c r="A123" s="5">
        <v>45726</v>
      </c>
      <c r="B123" s="1" t="s">
        <v>22</v>
      </c>
      <c r="C123" s="9">
        <v>1159</v>
      </c>
      <c r="D123" s="9">
        <v>154</v>
      </c>
      <c r="E123" s="9">
        <v>194994</v>
      </c>
      <c r="F123" s="7">
        <v>6.39</v>
      </c>
      <c r="G123" s="9">
        <v>21900</v>
      </c>
      <c r="H123" s="9"/>
      <c r="I123" s="9"/>
      <c r="J123" s="9"/>
      <c r="K123" s="9"/>
      <c r="L123" s="9"/>
      <c r="M123" s="9"/>
    </row>
    <row r="124" spans="1:13" ht="15.75" customHeight="1">
      <c r="A124" s="5">
        <v>45726</v>
      </c>
      <c r="B124" s="1" t="s">
        <v>27</v>
      </c>
      <c r="C124" s="9">
        <v>950</v>
      </c>
      <c r="D124" s="9">
        <v>185</v>
      </c>
      <c r="E124" s="9">
        <v>340750</v>
      </c>
      <c r="F124" s="7">
        <v>6.77</v>
      </c>
      <c r="G124" s="9">
        <v>25542</v>
      </c>
      <c r="H124" s="9"/>
      <c r="I124" s="9"/>
      <c r="J124" s="9"/>
      <c r="K124" s="9"/>
      <c r="L124" s="9"/>
      <c r="M124" s="9"/>
    </row>
    <row r="125" spans="1:13" ht="15.75" customHeight="1">
      <c r="A125" s="5">
        <v>45733</v>
      </c>
      <c r="B125" s="1" t="s">
        <v>13</v>
      </c>
      <c r="C125" s="9">
        <v>693</v>
      </c>
      <c r="D125" s="9">
        <v>129</v>
      </c>
      <c r="E125" s="9">
        <v>296031</v>
      </c>
      <c r="F125" s="7">
        <v>3.41</v>
      </c>
      <c r="G125" s="9">
        <v>7140</v>
      </c>
      <c r="H125" s="9"/>
      <c r="I125" s="9"/>
      <c r="J125" s="9"/>
      <c r="K125" s="9"/>
      <c r="L125" s="9"/>
      <c r="M125" s="9"/>
    </row>
    <row r="126" spans="1:13" ht="15.75" customHeight="1">
      <c r="A126" s="5">
        <v>45733</v>
      </c>
      <c r="B126" s="1" t="s">
        <v>22</v>
      </c>
      <c r="C126" s="9">
        <v>576</v>
      </c>
      <c r="D126" s="9">
        <v>80</v>
      </c>
      <c r="E126" s="9">
        <v>345688</v>
      </c>
      <c r="F126" s="7">
        <v>4.1100000000000003</v>
      </c>
      <c r="G126" s="9">
        <v>20474</v>
      </c>
      <c r="H126" s="9"/>
      <c r="I126" s="9"/>
      <c r="J126" s="9"/>
      <c r="K126" s="9"/>
      <c r="L126" s="9"/>
      <c r="M126" s="9"/>
    </row>
    <row r="127" spans="1:13" ht="15.75" customHeight="1">
      <c r="A127" s="5">
        <v>45733</v>
      </c>
      <c r="B127" s="1" t="s">
        <v>27</v>
      </c>
      <c r="C127" s="9">
        <v>1274</v>
      </c>
      <c r="D127" s="9">
        <v>146</v>
      </c>
      <c r="E127" s="9">
        <v>263488</v>
      </c>
      <c r="F127" s="7">
        <v>9.58</v>
      </c>
      <c r="G127" s="9">
        <v>8698</v>
      </c>
      <c r="H127" s="9"/>
      <c r="I127" s="9"/>
      <c r="J127" s="9"/>
      <c r="K127" s="9"/>
      <c r="L127" s="9"/>
      <c r="M127" s="9"/>
    </row>
    <row r="128" spans="1:13" ht="15.75" customHeight="1">
      <c r="A128" s="5">
        <v>45740</v>
      </c>
      <c r="B128" s="1" t="s">
        <v>13</v>
      </c>
      <c r="C128" s="9">
        <v>818</v>
      </c>
      <c r="D128" s="9">
        <v>253</v>
      </c>
      <c r="E128" s="9">
        <v>184911</v>
      </c>
      <c r="F128" s="7">
        <v>3.39</v>
      </c>
      <c r="G128" s="9">
        <v>10402</v>
      </c>
      <c r="H128" s="9"/>
      <c r="I128" s="9"/>
      <c r="J128" s="9"/>
      <c r="K128" s="9"/>
      <c r="L128" s="9"/>
      <c r="M128" s="9"/>
    </row>
    <row r="129" spans="1:13" ht="15.75" customHeight="1">
      <c r="A129" s="5">
        <v>45740</v>
      </c>
      <c r="B129" s="1" t="s">
        <v>22</v>
      </c>
      <c r="C129" s="9">
        <v>975</v>
      </c>
      <c r="D129" s="9">
        <v>162</v>
      </c>
      <c r="E129" s="9">
        <v>124497</v>
      </c>
      <c r="F129" s="7">
        <v>9.58</v>
      </c>
      <c r="G129" s="9">
        <v>26618</v>
      </c>
      <c r="H129" s="9"/>
      <c r="I129" s="9"/>
      <c r="J129" s="9"/>
      <c r="K129" s="9"/>
      <c r="L129" s="9"/>
      <c r="M129" s="9"/>
    </row>
    <row r="130" spans="1:13" ht="15.75" customHeight="1">
      <c r="A130" s="5">
        <v>45740</v>
      </c>
      <c r="B130" s="1" t="s">
        <v>27</v>
      </c>
      <c r="C130" s="9">
        <v>1398</v>
      </c>
      <c r="D130" s="9">
        <v>97</v>
      </c>
      <c r="E130" s="9">
        <v>397607</v>
      </c>
      <c r="F130" s="7">
        <v>5.09</v>
      </c>
      <c r="G130" s="9">
        <v>7975</v>
      </c>
      <c r="H130" s="9"/>
      <c r="I130" s="9"/>
      <c r="J130" s="9"/>
      <c r="K130" s="9"/>
      <c r="L130" s="9"/>
      <c r="M130" s="9"/>
    </row>
    <row r="131" spans="1:13" ht="15.75" customHeight="1">
      <c r="A131" s="5">
        <v>45747</v>
      </c>
      <c r="B131" s="1" t="s">
        <v>13</v>
      </c>
      <c r="C131" s="9">
        <v>591</v>
      </c>
      <c r="D131" s="9">
        <v>155</v>
      </c>
      <c r="E131" s="9">
        <v>138521</v>
      </c>
      <c r="F131" s="7">
        <v>7.85</v>
      </c>
      <c r="G131" s="9">
        <v>19054</v>
      </c>
      <c r="H131" s="9"/>
      <c r="I131" s="9"/>
      <c r="J131" s="9"/>
      <c r="K131" s="9"/>
      <c r="L131" s="9"/>
      <c r="M131" s="9"/>
    </row>
    <row r="132" spans="1:13" ht="15.75" customHeight="1">
      <c r="A132" s="5">
        <v>45747</v>
      </c>
      <c r="B132" s="1" t="s">
        <v>22</v>
      </c>
      <c r="C132" s="9">
        <v>1232</v>
      </c>
      <c r="D132" s="9">
        <v>254</v>
      </c>
      <c r="E132" s="9">
        <v>107718</v>
      </c>
      <c r="F132" s="7">
        <v>9.7100000000000009</v>
      </c>
      <c r="G132" s="9">
        <v>13740</v>
      </c>
      <c r="H132" s="9"/>
      <c r="I132" s="9"/>
      <c r="J132" s="9"/>
      <c r="K132" s="9"/>
      <c r="L132" s="9"/>
      <c r="M132" s="9"/>
    </row>
    <row r="133" spans="1:13" ht="15.75" customHeight="1">
      <c r="A133" s="5">
        <v>45747</v>
      </c>
      <c r="B133" s="1" t="s">
        <v>27</v>
      </c>
      <c r="C133" s="9">
        <v>1425</v>
      </c>
      <c r="D133" s="9">
        <v>58</v>
      </c>
      <c r="E133" s="9">
        <v>202234</v>
      </c>
      <c r="F133" s="7">
        <v>6.67</v>
      </c>
      <c r="G133" s="9">
        <v>18442</v>
      </c>
      <c r="H133" s="9"/>
      <c r="I133" s="9"/>
      <c r="J133" s="9"/>
      <c r="K133" s="9"/>
      <c r="L133" s="9"/>
      <c r="M133" s="9"/>
    </row>
    <row r="134" spans="1:13" ht="15.75" customHeight="1">
      <c r="A134" s="5">
        <v>45754</v>
      </c>
      <c r="B134" s="1" t="s">
        <v>13</v>
      </c>
      <c r="C134" s="9">
        <v>1417</v>
      </c>
      <c r="D134" s="9">
        <v>80</v>
      </c>
      <c r="E134" s="9">
        <v>340987</v>
      </c>
      <c r="F134" s="7">
        <v>6.13</v>
      </c>
      <c r="G134" s="9">
        <v>10104</v>
      </c>
      <c r="H134" s="9"/>
      <c r="I134" s="9"/>
      <c r="J134" s="9"/>
      <c r="K134" s="9"/>
      <c r="L134" s="9"/>
      <c r="M134" s="9"/>
    </row>
    <row r="135" spans="1:13" ht="15.75" customHeight="1">
      <c r="A135" s="5">
        <v>45754</v>
      </c>
      <c r="B135" s="1" t="s">
        <v>22</v>
      </c>
      <c r="C135" s="9">
        <v>1222</v>
      </c>
      <c r="D135" s="9">
        <v>208</v>
      </c>
      <c r="E135" s="9">
        <v>340098</v>
      </c>
      <c r="F135" s="7">
        <v>7.34</v>
      </c>
      <c r="G135" s="9">
        <v>21771</v>
      </c>
      <c r="H135" s="9"/>
      <c r="I135" s="9"/>
      <c r="J135" s="9"/>
      <c r="K135" s="9"/>
      <c r="L135" s="9"/>
      <c r="M135" s="9"/>
    </row>
    <row r="136" spans="1:13" ht="15.75" customHeight="1">
      <c r="A136" s="5">
        <v>45754</v>
      </c>
      <c r="B136" s="1" t="s">
        <v>27</v>
      </c>
      <c r="C136" s="9">
        <v>1071</v>
      </c>
      <c r="D136" s="9">
        <v>131</v>
      </c>
      <c r="E136" s="9">
        <v>254727</v>
      </c>
      <c r="F136" s="7">
        <v>6.87</v>
      </c>
      <c r="G136" s="9">
        <v>22191</v>
      </c>
      <c r="H136" s="9"/>
      <c r="I136" s="9"/>
      <c r="J136" s="9"/>
      <c r="K136" s="9"/>
      <c r="L136" s="9"/>
      <c r="M136" s="9"/>
    </row>
    <row r="137" spans="1:13" ht="15.75" customHeight="1">
      <c r="A137" s="5">
        <v>45761</v>
      </c>
      <c r="B137" s="1" t="s">
        <v>13</v>
      </c>
      <c r="C137" s="9">
        <v>772</v>
      </c>
      <c r="D137" s="9">
        <v>82</v>
      </c>
      <c r="E137" s="9">
        <v>345659</v>
      </c>
      <c r="F137" s="7">
        <v>3.52</v>
      </c>
      <c r="G137" s="9">
        <v>27753</v>
      </c>
      <c r="H137" s="9"/>
      <c r="I137" s="9"/>
      <c r="J137" s="9"/>
      <c r="K137" s="9"/>
      <c r="L137" s="9"/>
      <c r="M137" s="9"/>
    </row>
    <row r="138" spans="1:13" ht="15.75" customHeight="1">
      <c r="A138" s="5">
        <v>45761</v>
      </c>
      <c r="B138" s="1" t="s">
        <v>22</v>
      </c>
      <c r="C138" s="9">
        <v>1472</v>
      </c>
      <c r="D138" s="9">
        <v>137</v>
      </c>
      <c r="E138" s="9">
        <v>213950</v>
      </c>
      <c r="F138" s="7">
        <v>6.96</v>
      </c>
      <c r="G138" s="9">
        <v>23736</v>
      </c>
      <c r="H138" s="9"/>
      <c r="I138" s="9"/>
      <c r="J138" s="9"/>
      <c r="K138" s="9"/>
      <c r="L138" s="9"/>
      <c r="M138" s="9"/>
    </row>
    <row r="139" spans="1:13" ht="15.75" customHeight="1">
      <c r="A139" s="5">
        <v>45761</v>
      </c>
      <c r="B139" s="1" t="s">
        <v>27</v>
      </c>
      <c r="C139" s="9">
        <v>1472</v>
      </c>
      <c r="D139" s="9">
        <v>281</v>
      </c>
      <c r="E139" s="9">
        <v>258115</v>
      </c>
      <c r="F139" s="7">
        <v>7.23</v>
      </c>
      <c r="G139" s="9">
        <v>27393</v>
      </c>
      <c r="H139" s="9"/>
      <c r="I139" s="9"/>
      <c r="J139" s="9"/>
      <c r="K139" s="9"/>
      <c r="L139" s="9"/>
      <c r="M139" s="9"/>
    </row>
    <row r="140" spans="1:13" ht="15.75" customHeight="1">
      <c r="A140" s="5">
        <v>45768</v>
      </c>
      <c r="B140" s="1" t="s">
        <v>13</v>
      </c>
      <c r="C140" s="9">
        <v>585</v>
      </c>
      <c r="D140" s="9">
        <v>232</v>
      </c>
      <c r="E140" s="9">
        <v>321258</v>
      </c>
      <c r="F140" s="7">
        <v>7.42</v>
      </c>
      <c r="G140" s="9">
        <v>10343</v>
      </c>
      <c r="H140" s="9"/>
      <c r="I140" s="9"/>
      <c r="J140" s="9"/>
      <c r="K140" s="9"/>
      <c r="L140" s="9"/>
      <c r="M140" s="9"/>
    </row>
    <row r="141" spans="1:13" ht="15.75" customHeight="1">
      <c r="A141" s="5">
        <v>45768</v>
      </c>
      <c r="B141" s="1" t="s">
        <v>22</v>
      </c>
      <c r="C141" s="9">
        <v>747</v>
      </c>
      <c r="D141" s="9">
        <v>261</v>
      </c>
      <c r="E141" s="9">
        <v>338650</v>
      </c>
      <c r="F141" s="7">
        <v>7.73</v>
      </c>
      <c r="G141" s="9">
        <v>25259</v>
      </c>
      <c r="H141" s="9"/>
      <c r="I141" s="9"/>
      <c r="J141" s="9"/>
      <c r="K141" s="9"/>
      <c r="L141" s="9"/>
      <c r="M141" s="9"/>
    </row>
    <row r="142" spans="1:13" ht="15.75" customHeight="1">
      <c r="A142" s="5">
        <v>45768</v>
      </c>
      <c r="B142" s="1" t="s">
        <v>27</v>
      </c>
      <c r="C142" s="9">
        <v>1113</v>
      </c>
      <c r="D142" s="9">
        <v>224</v>
      </c>
      <c r="E142" s="9">
        <v>272989</v>
      </c>
      <c r="F142" s="7">
        <v>5.13</v>
      </c>
      <c r="G142" s="9">
        <v>24827</v>
      </c>
      <c r="H142" s="9"/>
      <c r="I142" s="9"/>
      <c r="J142" s="9"/>
      <c r="K142" s="9"/>
      <c r="L142" s="9"/>
      <c r="M142" s="9"/>
    </row>
    <row r="143" spans="1:13" ht="15.75" customHeight="1">
      <c r="A143" s="5">
        <v>45775</v>
      </c>
      <c r="B143" s="1" t="s">
        <v>13</v>
      </c>
      <c r="C143" s="9">
        <v>1100</v>
      </c>
      <c r="D143" s="9">
        <v>117</v>
      </c>
      <c r="E143" s="9">
        <v>260204</v>
      </c>
      <c r="F143" s="7">
        <v>4.4000000000000004</v>
      </c>
      <c r="G143" s="9">
        <v>11908</v>
      </c>
      <c r="H143" s="9"/>
      <c r="I143" s="9"/>
      <c r="J143" s="9"/>
      <c r="K143" s="9"/>
      <c r="L143" s="9"/>
      <c r="M143" s="9"/>
    </row>
    <row r="144" spans="1:13" ht="15.75" customHeight="1">
      <c r="A144" s="5">
        <v>45775</v>
      </c>
      <c r="B144" s="1" t="s">
        <v>22</v>
      </c>
      <c r="C144" s="9">
        <v>751</v>
      </c>
      <c r="D144" s="9">
        <v>170</v>
      </c>
      <c r="E144" s="9">
        <v>283278</v>
      </c>
      <c r="F144" s="7">
        <v>3.49</v>
      </c>
      <c r="G144" s="9">
        <v>11005</v>
      </c>
      <c r="H144" s="9"/>
      <c r="I144" s="9"/>
      <c r="J144" s="9"/>
      <c r="K144" s="9"/>
      <c r="L144" s="9"/>
      <c r="M144" s="9"/>
    </row>
    <row r="145" spans="1:13" ht="15.75" customHeight="1">
      <c r="A145" s="5">
        <v>45775</v>
      </c>
      <c r="B145" s="1" t="s">
        <v>27</v>
      </c>
      <c r="C145" s="9">
        <v>864</v>
      </c>
      <c r="D145" s="9">
        <v>50</v>
      </c>
      <c r="E145" s="9">
        <v>277445</v>
      </c>
      <c r="F145" s="7">
        <v>3.57</v>
      </c>
      <c r="G145" s="9">
        <v>26333</v>
      </c>
      <c r="H145" s="9"/>
      <c r="I145" s="9"/>
      <c r="J145" s="9"/>
      <c r="K145" s="9"/>
      <c r="L145" s="9"/>
      <c r="M145" s="9"/>
    </row>
    <row r="146" spans="1:13" ht="15.75" customHeight="1">
      <c r="A146" s="5">
        <v>45782</v>
      </c>
      <c r="B146" s="1" t="s">
        <v>13</v>
      </c>
      <c r="C146" s="9">
        <v>1146</v>
      </c>
      <c r="D146" s="9">
        <v>227</v>
      </c>
      <c r="E146" s="9">
        <v>353781</v>
      </c>
      <c r="F146" s="7">
        <v>6.41</v>
      </c>
      <c r="G146" s="9">
        <v>5495</v>
      </c>
      <c r="H146" s="9"/>
      <c r="I146" s="9"/>
      <c r="J146" s="9"/>
      <c r="K146" s="9"/>
      <c r="L146" s="9"/>
      <c r="M146" s="9"/>
    </row>
    <row r="147" spans="1:13" ht="15.75" customHeight="1">
      <c r="A147" s="5">
        <v>45782</v>
      </c>
      <c r="B147" s="1" t="s">
        <v>22</v>
      </c>
      <c r="C147" s="9">
        <v>883</v>
      </c>
      <c r="D147" s="9">
        <v>207</v>
      </c>
      <c r="E147" s="9">
        <v>265019</v>
      </c>
      <c r="F147" s="7">
        <v>6.04</v>
      </c>
      <c r="G147" s="9">
        <v>15655</v>
      </c>
      <c r="H147" s="9"/>
      <c r="I147" s="9"/>
      <c r="J147" s="9"/>
      <c r="K147" s="9"/>
      <c r="L147" s="9"/>
      <c r="M147" s="9"/>
    </row>
    <row r="148" spans="1:13" ht="15.75" customHeight="1">
      <c r="A148" s="5">
        <v>45782</v>
      </c>
      <c r="B148" s="1" t="s">
        <v>27</v>
      </c>
      <c r="C148" s="9">
        <v>622</v>
      </c>
      <c r="D148" s="9">
        <v>163</v>
      </c>
      <c r="E148" s="9">
        <v>231925</v>
      </c>
      <c r="F148" s="7">
        <v>9.18</v>
      </c>
      <c r="G148" s="9">
        <v>13763</v>
      </c>
      <c r="H148" s="9"/>
      <c r="I148" s="9"/>
      <c r="J148" s="9"/>
      <c r="K148" s="9"/>
      <c r="L148" s="9"/>
      <c r="M148" s="9"/>
    </row>
    <row r="149" spans="1:13" ht="15.75" customHeight="1">
      <c r="A149" s="5">
        <v>45789</v>
      </c>
      <c r="B149" s="1" t="s">
        <v>13</v>
      </c>
      <c r="C149" s="9">
        <v>837</v>
      </c>
      <c r="D149" s="9">
        <v>261</v>
      </c>
      <c r="E149" s="9">
        <v>366149</v>
      </c>
      <c r="F149" s="7">
        <v>6.54</v>
      </c>
      <c r="G149" s="9">
        <v>26073</v>
      </c>
      <c r="H149" s="9"/>
      <c r="I149" s="9"/>
      <c r="J149" s="9"/>
      <c r="K149" s="9"/>
      <c r="L149" s="9"/>
      <c r="M149" s="9"/>
    </row>
    <row r="150" spans="1:13" ht="15.75" customHeight="1">
      <c r="A150" s="5">
        <v>45789</v>
      </c>
      <c r="B150" s="1" t="s">
        <v>22</v>
      </c>
      <c r="C150" s="9">
        <v>544</v>
      </c>
      <c r="D150" s="9">
        <v>97</v>
      </c>
      <c r="E150" s="9">
        <v>168375</v>
      </c>
      <c r="F150" s="7">
        <v>8.66</v>
      </c>
      <c r="G150" s="9">
        <v>12774</v>
      </c>
      <c r="H150" s="9"/>
      <c r="I150" s="9"/>
      <c r="J150" s="9"/>
      <c r="K150" s="9"/>
      <c r="L150" s="9"/>
      <c r="M150" s="9"/>
    </row>
    <row r="151" spans="1:13" ht="15.75" customHeight="1">
      <c r="A151" s="5">
        <v>45789</v>
      </c>
      <c r="B151" s="1" t="s">
        <v>27</v>
      </c>
      <c r="C151" s="9">
        <v>624</v>
      </c>
      <c r="D151" s="9">
        <v>247</v>
      </c>
      <c r="E151" s="9">
        <v>252763</v>
      </c>
      <c r="F151" s="7">
        <v>3.89</v>
      </c>
      <c r="G151" s="9">
        <v>19000</v>
      </c>
      <c r="H151" s="9"/>
      <c r="I151" s="9"/>
      <c r="J151" s="9"/>
      <c r="K151" s="9"/>
      <c r="L151" s="9"/>
      <c r="M151" s="9"/>
    </row>
    <row r="152" spans="1:13" ht="15.75" customHeight="1">
      <c r="A152" s="5">
        <v>45796</v>
      </c>
      <c r="B152" s="1" t="s">
        <v>13</v>
      </c>
      <c r="C152" s="9">
        <v>1073</v>
      </c>
      <c r="D152" s="9">
        <v>141</v>
      </c>
      <c r="E152" s="9">
        <v>118393</v>
      </c>
      <c r="F152" s="7">
        <v>7.95</v>
      </c>
      <c r="G152" s="9">
        <v>14051</v>
      </c>
      <c r="H152" s="9"/>
      <c r="I152" s="9"/>
      <c r="J152" s="9"/>
      <c r="K152" s="9"/>
      <c r="L152" s="9"/>
      <c r="M152" s="9"/>
    </row>
    <row r="153" spans="1:13" ht="15.75" customHeight="1">
      <c r="A153" s="5">
        <v>45796</v>
      </c>
      <c r="B153" s="1" t="s">
        <v>22</v>
      </c>
      <c r="C153" s="9">
        <v>1430</v>
      </c>
      <c r="D153" s="9">
        <v>74</v>
      </c>
      <c r="E153" s="9">
        <v>327012</v>
      </c>
      <c r="F153" s="7">
        <v>6.66</v>
      </c>
      <c r="G153" s="9">
        <v>27782</v>
      </c>
      <c r="H153" s="9"/>
      <c r="I153" s="9"/>
      <c r="J153" s="9"/>
      <c r="K153" s="9"/>
      <c r="L153" s="9"/>
      <c r="M153" s="9"/>
    </row>
    <row r="154" spans="1:13" ht="15.75" customHeight="1">
      <c r="A154" s="5">
        <v>45796</v>
      </c>
      <c r="B154" s="1" t="s">
        <v>27</v>
      </c>
      <c r="C154" s="9">
        <v>1358</v>
      </c>
      <c r="D154" s="9">
        <v>77</v>
      </c>
      <c r="E154" s="9">
        <v>169688</v>
      </c>
      <c r="F154" s="7">
        <v>5.25</v>
      </c>
      <c r="G154" s="9">
        <v>7859</v>
      </c>
      <c r="H154" s="9"/>
      <c r="I154" s="9"/>
      <c r="J154" s="9"/>
      <c r="K154" s="9"/>
      <c r="L154" s="9"/>
      <c r="M154" s="9"/>
    </row>
    <row r="155" spans="1:13" ht="15.75" customHeight="1">
      <c r="A155" s="5">
        <v>45803</v>
      </c>
      <c r="B155" s="1" t="s">
        <v>13</v>
      </c>
      <c r="C155" s="9">
        <v>1242</v>
      </c>
      <c r="D155" s="9">
        <v>201</v>
      </c>
      <c r="E155" s="9">
        <v>271935</v>
      </c>
      <c r="F155" s="7">
        <v>5.07</v>
      </c>
      <c r="G155" s="9">
        <v>15773</v>
      </c>
      <c r="H155" s="9"/>
      <c r="I155" s="9"/>
      <c r="J155" s="9"/>
      <c r="K155" s="9"/>
      <c r="L155" s="9"/>
      <c r="M155" s="9"/>
    </row>
    <row r="156" spans="1:13" ht="15.75" customHeight="1">
      <c r="A156" s="5">
        <v>45803</v>
      </c>
      <c r="B156" s="1" t="s">
        <v>22</v>
      </c>
      <c r="C156" s="9">
        <v>1389</v>
      </c>
      <c r="D156" s="9">
        <v>205</v>
      </c>
      <c r="E156" s="9">
        <v>315981</v>
      </c>
      <c r="F156" s="7">
        <v>7.62</v>
      </c>
      <c r="G156" s="9">
        <v>20595</v>
      </c>
      <c r="H156" s="9"/>
      <c r="I156" s="9"/>
      <c r="J156" s="9"/>
      <c r="K156" s="9"/>
      <c r="L156" s="9"/>
      <c r="M156" s="9"/>
    </row>
    <row r="157" spans="1:13" ht="15.75" customHeight="1">
      <c r="A157" s="5">
        <v>45803</v>
      </c>
      <c r="B157" s="1" t="s">
        <v>27</v>
      </c>
      <c r="C157" s="9">
        <v>826</v>
      </c>
      <c r="D157" s="9">
        <v>142</v>
      </c>
      <c r="E157" s="9">
        <v>341016</v>
      </c>
      <c r="F157" s="7">
        <v>7.44</v>
      </c>
      <c r="G157" s="9">
        <v>12031</v>
      </c>
      <c r="H157" s="9"/>
      <c r="I157" s="9"/>
      <c r="J157" s="9"/>
      <c r="K157" s="9"/>
      <c r="L157" s="9"/>
      <c r="M157" s="9"/>
    </row>
    <row r="158" spans="1:13" ht="15.75" customHeight="1">
      <c r="A158" s="5">
        <v>45810</v>
      </c>
      <c r="B158" s="1" t="s">
        <v>13</v>
      </c>
      <c r="C158" s="9">
        <v>618</v>
      </c>
      <c r="D158" s="9">
        <v>264</v>
      </c>
      <c r="E158" s="9">
        <v>285164</v>
      </c>
      <c r="F158" s="7">
        <v>4.8600000000000003</v>
      </c>
      <c r="G158" s="9">
        <v>15128</v>
      </c>
      <c r="H158" s="9"/>
      <c r="I158" s="9"/>
      <c r="J158" s="9"/>
      <c r="K158" s="9"/>
      <c r="L158" s="9"/>
      <c r="M158" s="9"/>
    </row>
    <row r="159" spans="1:13" ht="15.75" customHeight="1">
      <c r="A159" s="5">
        <v>45810</v>
      </c>
      <c r="B159" s="1" t="s">
        <v>22</v>
      </c>
      <c r="C159" s="9">
        <v>1419</v>
      </c>
      <c r="D159" s="9">
        <v>293</v>
      </c>
      <c r="E159" s="9">
        <v>116632</v>
      </c>
      <c r="F159" s="7">
        <v>6.93</v>
      </c>
      <c r="G159" s="9">
        <v>11826</v>
      </c>
      <c r="H159" s="9"/>
      <c r="I159" s="9"/>
      <c r="J159" s="9"/>
      <c r="K159" s="9"/>
      <c r="L159" s="9"/>
      <c r="M159" s="9"/>
    </row>
    <row r="160" spans="1:13" ht="15.75" customHeight="1">
      <c r="A160" s="5">
        <v>45810</v>
      </c>
      <c r="B160" s="1" t="s">
        <v>27</v>
      </c>
      <c r="C160" s="9">
        <v>637</v>
      </c>
      <c r="D160" s="9">
        <v>68</v>
      </c>
      <c r="E160" s="9">
        <v>115694</v>
      </c>
      <c r="F160" s="7">
        <v>9.99</v>
      </c>
      <c r="G160" s="9">
        <v>12562</v>
      </c>
      <c r="H160" s="9"/>
      <c r="I160" s="9"/>
      <c r="J160" s="9"/>
      <c r="K160" s="9"/>
      <c r="L160" s="9"/>
      <c r="M160" s="9"/>
    </row>
    <row r="161" spans="1:13" ht="15.75" customHeight="1">
      <c r="A161" s="5">
        <v>45817</v>
      </c>
      <c r="B161" s="1" t="s">
        <v>13</v>
      </c>
      <c r="C161" s="9">
        <v>917</v>
      </c>
      <c r="D161" s="9">
        <v>187</v>
      </c>
      <c r="E161" s="9">
        <v>64444</v>
      </c>
      <c r="F161" s="7">
        <v>5.22</v>
      </c>
      <c r="G161" s="9">
        <v>13013</v>
      </c>
      <c r="H161" s="9"/>
      <c r="I161" s="9"/>
      <c r="J161" s="9"/>
      <c r="K161" s="9"/>
      <c r="L161" s="9"/>
      <c r="M161" s="9"/>
    </row>
    <row r="162" spans="1:13" ht="15.75" customHeight="1">
      <c r="A162" s="5">
        <v>45817</v>
      </c>
      <c r="B162" s="1" t="s">
        <v>22</v>
      </c>
      <c r="C162" s="9">
        <v>810</v>
      </c>
      <c r="D162" s="9">
        <v>232</v>
      </c>
      <c r="E162" s="9">
        <v>362559</v>
      </c>
      <c r="F162" s="7">
        <v>5.17</v>
      </c>
      <c r="G162" s="9">
        <v>12937</v>
      </c>
      <c r="H162" s="9"/>
      <c r="I162" s="9"/>
      <c r="J162" s="9"/>
      <c r="K162" s="9"/>
      <c r="L162" s="9"/>
      <c r="M162" s="9"/>
    </row>
    <row r="163" spans="1:13" ht="15.75" customHeight="1">
      <c r="A163" s="5">
        <v>45817</v>
      </c>
      <c r="B163" s="1" t="s">
        <v>27</v>
      </c>
      <c r="C163" s="9">
        <v>1183</v>
      </c>
      <c r="D163" s="9">
        <v>248</v>
      </c>
      <c r="E163" s="9">
        <v>226881</v>
      </c>
      <c r="F163" s="7">
        <v>5.17</v>
      </c>
      <c r="G163" s="9">
        <v>14534</v>
      </c>
      <c r="H163" s="9"/>
      <c r="I163" s="9"/>
      <c r="J163" s="9"/>
      <c r="K163" s="9"/>
      <c r="L163" s="9"/>
      <c r="M163" s="9"/>
    </row>
    <row r="164" spans="1:13" ht="15.75" customHeight="1">
      <c r="A164" s="5">
        <v>45824</v>
      </c>
      <c r="B164" s="1" t="s">
        <v>13</v>
      </c>
      <c r="C164" s="9">
        <v>765</v>
      </c>
      <c r="D164" s="9">
        <v>67</v>
      </c>
      <c r="E164" s="9">
        <v>283537</v>
      </c>
      <c r="F164" s="7">
        <v>6.18</v>
      </c>
      <c r="G164" s="9">
        <v>8182</v>
      </c>
      <c r="H164" s="9"/>
      <c r="I164" s="9"/>
      <c r="J164" s="9"/>
      <c r="K164" s="9"/>
      <c r="L164" s="9"/>
      <c r="M164" s="9"/>
    </row>
    <row r="165" spans="1:13" ht="15.75" customHeight="1">
      <c r="A165" s="5">
        <v>45824</v>
      </c>
      <c r="B165" s="1" t="s">
        <v>22</v>
      </c>
      <c r="C165" s="9">
        <v>540</v>
      </c>
      <c r="D165" s="9">
        <v>215</v>
      </c>
      <c r="E165" s="9">
        <v>62837</v>
      </c>
      <c r="F165" s="7">
        <v>5.3</v>
      </c>
      <c r="G165" s="9">
        <v>10615</v>
      </c>
      <c r="H165" s="9"/>
      <c r="I165" s="9"/>
      <c r="J165" s="9"/>
      <c r="K165" s="9"/>
      <c r="L165" s="9"/>
      <c r="M165" s="9"/>
    </row>
    <row r="166" spans="1:13" ht="15.75" customHeight="1">
      <c r="A166" s="5">
        <v>45824</v>
      </c>
      <c r="B166" s="1" t="s">
        <v>27</v>
      </c>
      <c r="C166" s="9">
        <v>1145</v>
      </c>
      <c r="D166" s="9">
        <v>151</v>
      </c>
      <c r="E166" s="9">
        <v>182759</v>
      </c>
      <c r="F166" s="7">
        <v>5.99</v>
      </c>
      <c r="G166" s="9">
        <v>20109</v>
      </c>
      <c r="H166" s="9"/>
      <c r="I166" s="9"/>
      <c r="J166" s="9"/>
      <c r="K166" s="9"/>
      <c r="L166" s="9"/>
      <c r="M166" s="9"/>
    </row>
    <row r="167" spans="1:13" ht="15.75" customHeight="1">
      <c r="A167" s="5">
        <v>45831</v>
      </c>
      <c r="B167" s="1" t="s">
        <v>13</v>
      </c>
      <c r="C167" s="9">
        <v>564</v>
      </c>
      <c r="D167" s="9">
        <v>244</v>
      </c>
      <c r="E167" s="9">
        <v>279405</v>
      </c>
      <c r="F167" s="7">
        <v>8.43</v>
      </c>
      <c r="G167" s="9">
        <v>26024</v>
      </c>
      <c r="H167" s="9"/>
      <c r="I167" s="9"/>
      <c r="J167" s="9"/>
      <c r="K167" s="9"/>
      <c r="L167" s="9"/>
      <c r="M167" s="9"/>
    </row>
    <row r="168" spans="1:13" ht="15.75" customHeight="1">
      <c r="A168" s="5">
        <v>45831</v>
      </c>
      <c r="B168" s="1" t="s">
        <v>22</v>
      </c>
      <c r="C168" s="9">
        <v>668</v>
      </c>
      <c r="D168" s="9">
        <v>124</v>
      </c>
      <c r="E168" s="9">
        <v>257485</v>
      </c>
      <c r="F168" s="7">
        <v>7.55</v>
      </c>
      <c r="G168" s="9">
        <v>26730</v>
      </c>
      <c r="H168" s="9"/>
      <c r="I168" s="9"/>
      <c r="J168" s="9"/>
      <c r="K168" s="9"/>
      <c r="L168" s="9"/>
      <c r="M168" s="9"/>
    </row>
    <row r="169" spans="1:13" ht="15.75" customHeight="1">
      <c r="A169" s="5">
        <v>45831</v>
      </c>
      <c r="B169" s="1" t="s">
        <v>27</v>
      </c>
      <c r="C169" s="9">
        <v>761</v>
      </c>
      <c r="D169" s="9">
        <v>241</v>
      </c>
      <c r="E169" s="9">
        <v>154977</v>
      </c>
      <c r="F169" s="7">
        <v>5.63</v>
      </c>
      <c r="G169" s="9">
        <v>10563</v>
      </c>
      <c r="H169" s="9"/>
      <c r="I169" s="9"/>
      <c r="J169" s="9"/>
      <c r="K169" s="9"/>
      <c r="L169" s="9"/>
      <c r="M169" s="9"/>
    </row>
    <row r="170" spans="1:13" ht="15.75" customHeight="1">
      <c r="A170" s="5">
        <v>45838</v>
      </c>
      <c r="B170" s="1" t="s">
        <v>13</v>
      </c>
      <c r="C170" s="9">
        <v>593</v>
      </c>
      <c r="D170" s="9">
        <v>108</v>
      </c>
      <c r="E170" s="9">
        <v>216500</v>
      </c>
      <c r="F170" s="7">
        <v>4.71</v>
      </c>
      <c r="G170" s="9">
        <v>27575</v>
      </c>
      <c r="H170" s="9"/>
      <c r="I170" s="9"/>
      <c r="J170" s="9"/>
      <c r="K170" s="9"/>
      <c r="L170" s="9"/>
      <c r="M170" s="9"/>
    </row>
    <row r="171" spans="1:13" ht="15.75" customHeight="1">
      <c r="A171" s="5">
        <v>45838</v>
      </c>
      <c r="B171" s="1" t="s">
        <v>22</v>
      </c>
      <c r="C171" s="9">
        <v>1349</v>
      </c>
      <c r="D171" s="9">
        <v>115</v>
      </c>
      <c r="E171" s="9">
        <v>102102</v>
      </c>
      <c r="F171" s="7">
        <v>5.28</v>
      </c>
      <c r="G171" s="9">
        <v>14479</v>
      </c>
      <c r="H171" s="9"/>
      <c r="I171" s="9"/>
      <c r="J171" s="9"/>
      <c r="K171" s="9"/>
      <c r="L171" s="9"/>
      <c r="M171" s="9"/>
    </row>
    <row r="172" spans="1:13" ht="15.75" customHeight="1">
      <c r="A172" s="5">
        <v>45838</v>
      </c>
      <c r="B172" s="1" t="s">
        <v>27</v>
      </c>
      <c r="C172" s="9">
        <v>693</v>
      </c>
      <c r="D172" s="9">
        <v>97</v>
      </c>
      <c r="E172" s="9">
        <v>92025</v>
      </c>
      <c r="F172" s="7">
        <v>5.95</v>
      </c>
      <c r="G172" s="9">
        <v>15915</v>
      </c>
      <c r="H172" s="9"/>
      <c r="I172" s="9"/>
      <c r="J172" s="9"/>
      <c r="K172" s="9"/>
      <c r="L172" s="9"/>
      <c r="M172" s="9"/>
    </row>
    <row r="173" spans="1:13" ht="15.75" customHeight="1">
      <c r="A173" s="5">
        <v>45845</v>
      </c>
      <c r="B173" s="1" t="s">
        <v>13</v>
      </c>
      <c r="C173" s="9">
        <v>974</v>
      </c>
      <c r="D173" s="9">
        <v>143</v>
      </c>
      <c r="E173" s="9">
        <v>247965</v>
      </c>
      <c r="F173" s="7">
        <v>9.98</v>
      </c>
      <c r="G173" s="9">
        <v>12767</v>
      </c>
      <c r="H173" s="9"/>
      <c r="I173" s="9"/>
      <c r="J173" s="9"/>
      <c r="K173" s="9"/>
      <c r="L173" s="9"/>
      <c r="M173" s="9"/>
    </row>
    <row r="174" spans="1:13" ht="15.75" customHeight="1">
      <c r="A174" s="5">
        <v>45845</v>
      </c>
      <c r="B174" s="1" t="s">
        <v>22</v>
      </c>
      <c r="C174" s="9">
        <v>1155</v>
      </c>
      <c r="D174" s="9">
        <v>122</v>
      </c>
      <c r="E174" s="9">
        <v>387352</v>
      </c>
      <c r="F174" s="7">
        <v>9.93</v>
      </c>
      <c r="G174" s="9">
        <v>12170</v>
      </c>
      <c r="H174" s="9"/>
      <c r="I174" s="9"/>
      <c r="J174" s="9"/>
      <c r="K174" s="9"/>
      <c r="L174" s="9"/>
      <c r="M174" s="9"/>
    </row>
    <row r="175" spans="1:13" ht="15.75" customHeight="1">
      <c r="A175" s="5">
        <v>45845</v>
      </c>
      <c r="B175" s="1" t="s">
        <v>27</v>
      </c>
      <c r="C175" s="9">
        <v>1051</v>
      </c>
      <c r="D175" s="9">
        <v>246</v>
      </c>
      <c r="E175" s="9">
        <v>253985</v>
      </c>
      <c r="F175" s="7">
        <v>9.08</v>
      </c>
      <c r="G175" s="9">
        <v>7245</v>
      </c>
      <c r="H175" s="9"/>
      <c r="I175" s="9"/>
      <c r="J175" s="9"/>
      <c r="K175" s="9"/>
      <c r="L175" s="9"/>
      <c r="M175" s="9"/>
    </row>
    <row r="176" spans="1:13" ht="15.75" customHeight="1">
      <c r="A176" s="5">
        <v>45852</v>
      </c>
      <c r="B176" s="1" t="s">
        <v>13</v>
      </c>
      <c r="C176" s="9">
        <v>1457</v>
      </c>
      <c r="D176" s="9">
        <v>183</v>
      </c>
      <c r="E176" s="9">
        <v>129640</v>
      </c>
      <c r="F176" s="7">
        <v>7.98</v>
      </c>
      <c r="G176" s="9">
        <v>12985</v>
      </c>
      <c r="H176" s="9"/>
      <c r="I176" s="9"/>
      <c r="J176" s="9"/>
      <c r="K176" s="9"/>
      <c r="L176" s="9"/>
      <c r="M176" s="9"/>
    </row>
    <row r="177" spans="1:13" ht="15.75" customHeight="1">
      <c r="A177" s="5">
        <v>45852</v>
      </c>
      <c r="B177" s="1" t="s">
        <v>22</v>
      </c>
      <c r="C177" s="9">
        <v>670</v>
      </c>
      <c r="D177" s="9">
        <v>242</v>
      </c>
      <c r="E177" s="9">
        <v>281913</v>
      </c>
      <c r="F177" s="7">
        <v>9.6199999999999992</v>
      </c>
      <c r="G177" s="9">
        <v>16377</v>
      </c>
      <c r="H177" s="9"/>
      <c r="I177" s="9"/>
      <c r="J177" s="9"/>
      <c r="K177" s="9"/>
      <c r="L177" s="9"/>
      <c r="M177" s="9"/>
    </row>
    <row r="178" spans="1:13" ht="15.75" customHeight="1">
      <c r="A178" s="5">
        <v>45852</v>
      </c>
      <c r="B178" s="1" t="s">
        <v>27</v>
      </c>
      <c r="C178" s="9">
        <v>1111</v>
      </c>
      <c r="D178" s="9">
        <v>159</v>
      </c>
      <c r="E178" s="9">
        <v>360770</v>
      </c>
      <c r="F178" s="7">
        <v>8.7100000000000009</v>
      </c>
      <c r="G178" s="9">
        <v>11453</v>
      </c>
      <c r="H178" s="9"/>
      <c r="I178" s="9"/>
      <c r="J178" s="9"/>
      <c r="K178" s="9"/>
      <c r="L178" s="9"/>
      <c r="M178" s="9"/>
    </row>
    <row r="179" spans="1:13" ht="15.75" customHeight="1">
      <c r="A179" s="5">
        <v>45859</v>
      </c>
      <c r="B179" s="1" t="s">
        <v>13</v>
      </c>
      <c r="C179" s="9">
        <v>1197</v>
      </c>
      <c r="D179" s="9">
        <v>246</v>
      </c>
      <c r="E179" s="9">
        <v>127273</v>
      </c>
      <c r="F179" s="7">
        <v>6.69</v>
      </c>
      <c r="G179" s="9">
        <v>12323</v>
      </c>
      <c r="H179" s="9"/>
      <c r="I179" s="9"/>
      <c r="J179" s="9"/>
      <c r="K179" s="9"/>
      <c r="L179" s="9"/>
      <c r="M179" s="9"/>
    </row>
    <row r="180" spans="1:13" ht="15.75" customHeight="1">
      <c r="A180" s="5">
        <v>45859</v>
      </c>
      <c r="B180" s="1" t="s">
        <v>22</v>
      </c>
      <c r="C180" s="9">
        <v>754</v>
      </c>
      <c r="D180" s="9">
        <v>150</v>
      </c>
      <c r="E180" s="9">
        <v>189622</v>
      </c>
      <c r="F180" s="7">
        <v>4.25</v>
      </c>
      <c r="G180" s="9">
        <v>11911</v>
      </c>
      <c r="H180" s="9"/>
      <c r="I180" s="9"/>
      <c r="J180" s="9"/>
      <c r="K180" s="9"/>
      <c r="L180" s="9"/>
      <c r="M180" s="9"/>
    </row>
    <row r="181" spans="1:13" ht="15.75" customHeight="1">
      <c r="A181" s="5">
        <v>45859</v>
      </c>
      <c r="B181" s="1" t="s">
        <v>27</v>
      </c>
      <c r="C181" s="9">
        <v>1246</v>
      </c>
      <c r="D181" s="9">
        <v>107</v>
      </c>
      <c r="E181" s="9">
        <v>350949</v>
      </c>
      <c r="F181" s="7">
        <v>4.9800000000000004</v>
      </c>
      <c r="G181" s="9">
        <v>27809</v>
      </c>
      <c r="H181" s="9"/>
      <c r="I181" s="9"/>
      <c r="J181" s="9"/>
      <c r="K181" s="9"/>
      <c r="L181" s="9"/>
      <c r="M181" s="9"/>
    </row>
    <row r="182" spans="1:13" ht="15.75" customHeight="1">
      <c r="A182" s="5">
        <v>45866</v>
      </c>
      <c r="B182" s="1" t="s">
        <v>13</v>
      </c>
      <c r="C182" s="9">
        <v>780</v>
      </c>
      <c r="D182" s="9">
        <v>213</v>
      </c>
      <c r="E182" s="9">
        <v>121431</v>
      </c>
      <c r="F182" s="7">
        <v>4.97</v>
      </c>
      <c r="G182" s="9">
        <v>21464</v>
      </c>
      <c r="H182" s="9"/>
      <c r="I182" s="9"/>
      <c r="J182" s="9"/>
      <c r="K182" s="9"/>
      <c r="L182" s="9"/>
      <c r="M182" s="9"/>
    </row>
    <row r="183" spans="1:13" ht="15.75" customHeight="1">
      <c r="A183" s="5">
        <v>45866</v>
      </c>
      <c r="B183" s="1" t="s">
        <v>22</v>
      </c>
      <c r="C183" s="9">
        <v>1425</v>
      </c>
      <c r="D183" s="9">
        <v>143</v>
      </c>
      <c r="E183" s="9">
        <v>116742</v>
      </c>
      <c r="F183" s="7">
        <v>3.71</v>
      </c>
      <c r="G183" s="9">
        <v>27126</v>
      </c>
      <c r="H183" s="9"/>
      <c r="I183" s="9"/>
      <c r="J183" s="9"/>
      <c r="K183" s="9"/>
      <c r="L183" s="9"/>
      <c r="M183" s="9"/>
    </row>
    <row r="184" spans="1:13" ht="15.75" customHeight="1">
      <c r="A184" s="5">
        <v>45866</v>
      </c>
      <c r="B184" s="1" t="s">
        <v>27</v>
      </c>
      <c r="C184" s="9">
        <v>1490</v>
      </c>
      <c r="D184" s="9">
        <v>103</v>
      </c>
      <c r="E184" s="9">
        <v>81184</v>
      </c>
      <c r="F184" s="7">
        <v>7.79</v>
      </c>
      <c r="G184" s="9">
        <v>10681</v>
      </c>
      <c r="H184" s="9"/>
      <c r="I184" s="9"/>
      <c r="J184" s="9"/>
      <c r="K184" s="9"/>
      <c r="L184" s="9"/>
      <c r="M184" s="9"/>
    </row>
    <row r="185" spans="1:13" ht="15.75" customHeight="1">
      <c r="A185" s="5">
        <v>45873</v>
      </c>
      <c r="B185" s="1" t="s">
        <v>13</v>
      </c>
      <c r="C185" s="9">
        <v>949</v>
      </c>
      <c r="D185" s="9">
        <v>282</v>
      </c>
      <c r="E185" s="9">
        <v>87126</v>
      </c>
      <c r="F185" s="7">
        <v>4.96</v>
      </c>
      <c r="G185" s="9">
        <v>5413</v>
      </c>
      <c r="H185" s="9"/>
      <c r="I185" s="9"/>
      <c r="J185" s="9"/>
      <c r="K185" s="9"/>
      <c r="L185" s="9"/>
      <c r="M185" s="9"/>
    </row>
    <row r="186" spans="1:13" ht="15.75" customHeight="1">
      <c r="A186" s="5">
        <v>45873</v>
      </c>
      <c r="B186" s="1" t="s">
        <v>22</v>
      </c>
      <c r="C186" s="9">
        <v>640</v>
      </c>
      <c r="D186" s="9">
        <v>141</v>
      </c>
      <c r="E186" s="9">
        <v>267546</v>
      </c>
      <c r="F186" s="7">
        <v>8.58</v>
      </c>
      <c r="G186" s="9">
        <v>25058</v>
      </c>
      <c r="H186" s="9"/>
      <c r="I186" s="9"/>
      <c r="J186" s="9"/>
      <c r="K186" s="9"/>
      <c r="L186" s="9"/>
      <c r="M186" s="9"/>
    </row>
    <row r="187" spans="1:13" ht="15.75" customHeight="1">
      <c r="A187" s="5">
        <v>45873</v>
      </c>
      <c r="B187" s="1" t="s">
        <v>27</v>
      </c>
      <c r="C187" s="9">
        <v>616</v>
      </c>
      <c r="D187" s="9">
        <v>93</v>
      </c>
      <c r="E187" s="9">
        <v>133082</v>
      </c>
      <c r="F187" s="7">
        <v>8.51</v>
      </c>
      <c r="G187" s="9">
        <v>18303</v>
      </c>
      <c r="H187" s="9"/>
      <c r="I187" s="9"/>
      <c r="J187" s="9"/>
      <c r="K187" s="9"/>
      <c r="L187" s="9"/>
      <c r="M187" s="9"/>
    </row>
    <row r="188" spans="1:13" ht="15.75" customHeight="1">
      <c r="A188" s="5">
        <v>45880</v>
      </c>
      <c r="B188" s="1" t="s">
        <v>13</v>
      </c>
      <c r="C188" s="9">
        <v>1080</v>
      </c>
      <c r="D188" s="9">
        <v>184</v>
      </c>
      <c r="E188" s="9">
        <v>340557</v>
      </c>
      <c r="F188" s="7">
        <v>5.41</v>
      </c>
      <c r="G188" s="9">
        <v>5526</v>
      </c>
      <c r="H188" s="9"/>
      <c r="I188" s="9"/>
      <c r="J188" s="9"/>
      <c r="K188" s="9"/>
      <c r="L188" s="9"/>
      <c r="M188" s="9"/>
    </row>
    <row r="189" spans="1:13" ht="15.75" customHeight="1">
      <c r="A189" s="5">
        <v>45880</v>
      </c>
      <c r="B189" s="1" t="s">
        <v>22</v>
      </c>
      <c r="C189" s="9">
        <v>938</v>
      </c>
      <c r="D189" s="9">
        <v>236</v>
      </c>
      <c r="E189" s="9">
        <v>116472</v>
      </c>
      <c r="F189" s="7">
        <v>8.7200000000000006</v>
      </c>
      <c r="G189" s="9">
        <v>17460</v>
      </c>
      <c r="H189" s="9"/>
      <c r="I189" s="9"/>
      <c r="J189" s="9"/>
      <c r="K189" s="9"/>
      <c r="L189" s="9"/>
      <c r="M189" s="9"/>
    </row>
    <row r="190" spans="1:13" ht="15.75" customHeight="1">
      <c r="A190" s="5">
        <v>45880</v>
      </c>
      <c r="B190" s="1" t="s">
        <v>27</v>
      </c>
      <c r="C190" s="9">
        <v>1007</v>
      </c>
      <c r="D190" s="9">
        <v>258</v>
      </c>
      <c r="E190" s="9">
        <v>113412</v>
      </c>
      <c r="F190" s="7">
        <v>7.71</v>
      </c>
      <c r="G190" s="9">
        <v>14475</v>
      </c>
      <c r="H190" s="9"/>
      <c r="I190" s="9"/>
      <c r="J190" s="9"/>
      <c r="K190" s="9"/>
      <c r="L190" s="9"/>
      <c r="M190" s="9"/>
    </row>
    <row r="191" spans="1:13" ht="15.75" customHeight="1">
      <c r="A191" s="5">
        <v>45887</v>
      </c>
      <c r="B191" s="1" t="s">
        <v>13</v>
      </c>
      <c r="C191" s="9">
        <v>541</v>
      </c>
      <c r="D191" s="9">
        <v>208</v>
      </c>
      <c r="E191" s="9">
        <v>157547</v>
      </c>
      <c r="F191" s="7">
        <v>8.35</v>
      </c>
      <c r="G191" s="9">
        <v>20162</v>
      </c>
      <c r="H191" s="9"/>
      <c r="I191" s="9"/>
      <c r="J191" s="9"/>
      <c r="K191" s="9"/>
      <c r="L191" s="9"/>
      <c r="M191" s="9"/>
    </row>
    <row r="192" spans="1:13" ht="15.75" customHeight="1">
      <c r="A192" s="5">
        <v>45887</v>
      </c>
      <c r="B192" s="1" t="s">
        <v>22</v>
      </c>
      <c r="C192" s="9">
        <v>745</v>
      </c>
      <c r="D192" s="9">
        <v>98</v>
      </c>
      <c r="E192" s="9">
        <v>354816</v>
      </c>
      <c r="F192" s="7">
        <v>4.03</v>
      </c>
      <c r="G192" s="9">
        <v>17103</v>
      </c>
      <c r="H192" s="9"/>
      <c r="I192" s="9"/>
      <c r="J192" s="9"/>
      <c r="K192" s="9"/>
      <c r="L192" s="9"/>
      <c r="M192" s="9"/>
    </row>
    <row r="193" spans="1:13" ht="15.75" customHeight="1">
      <c r="A193" s="5">
        <v>45887</v>
      </c>
      <c r="B193" s="1" t="s">
        <v>27</v>
      </c>
      <c r="C193" s="9">
        <v>936</v>
      </c>
      <c r="D193" s="9">
        <v>97</v>
      </c>
      <c r="E193" s="9">
        <v>151799</v>
      </c>
      <c r="F193" s="7">
        <v>9.3699999999999992</v>
      </c>
      <c r="G193" s="9">
        <v>15461</v>
      </c>
      <c r="H193" s="9"/>
      <c r="I193" s="9"/>
      <c r="J193" s="9"/>
      <c r="K193" s="9"/>
      <c r="L193" s="9"/>
      <c r="M193" s="9"/>
    </row>
    <row r="194" spans="1:13" ht="15.75" customHeight="1">
      <c r="A194" s="5">
        <v>45894</v>
      </c>
      <c r="B194" s="1" t="s">
        <v>13</v>
      </c>
      <c r="C194" s="9">
        <v>1183</v>
      </c>
      <c r="D194" s="9">
        <v>223</v>
      </c>
      <c r="E194" s="9">
        <v>143811</v>
      </c>
      <c r="F194" s="7">
        <v>6.07</v>
      </c>
      <c r="G194" s="9">
        <v>22103</v>
      </c>
      <c r="H194" s="9"/>
      <c r="I194" s="9"/>
      <c r="J194" s="9"/>
      <c r="K194" s="9"/>
      <c r="L194" s="9"/>
      <c r="M194" s="9"/>
    </row>
    <row r="195" spans="1:13" ht="15.75" customHeight="1">
      <c r="A195" s="5">
        <v>45894</v>
      </c>
      <c r="B195" s="1" t="s">
        <v>22</v>
      </c>
      <c r="C195" s="9">
        <v>1413</v>
      </c>
      <c r="D195" s="9">
        <v>245</v>
      </c>
      <c r="E195" s="9">
        <v>296450</v>
      </c>
      <c r="F195" s="7">
        <v>6.52</v>
      </c>
      <c r="G195" s="9">
        <v>11625</v>
      </c>
      <c r="H195" s="9"/>
      <c r="I195" s="9"/>
      <c r="J195" s="9"/>
      <c r="K195" s="9"/>
      <c r="L195" s="9"/>
      <c r="M195" s="9"/>
    </row>
    <row r="196" spans="1:13" ht="15.75" customHeight="1">
      <c r="A196" s="5">
        <v>45894</v>
      </c>
      <c r="B196" s="1" t="s">
        <v>27</v>
      </c>
      <c r="C196" s="9">
        <v>791</v>
      </c>
      <c r="D196" s="9">
        <v>273</v>
      </c>
      <c r="E196" s="9">
        <v>144049</v>
      </c>
      <c r="F196" s="7">
        <v>3.08</v>
      </c>
      <c r="G196" s="9">
        <v>5281</v>
      </c>
      <c r="H196" s="9"/>
      <c r="I196" s="9"/>
      <c r="J196" s="9"/>
      <c r="K196" s="9"/>
      <c r="L196" s="9"/>
      <c r="M196" s="9"/>
    </row>
    <row r="197" spans="1:13" ht="15.75" customHeight="1">
      <c r="A197" s="5">
        <v>45901</v>
      </c>
      <c r="B197" s="1" t="s">
        <v>13</v>
      </c>
      <c r="C197" s="9">
        <v>1052</v>
      </c>
      <c r="D197" s="9">
        <v>180</v>
      </c>
      <c r="E197" s="9">
        <v>272534</v>
      </c>
      <c r="F197" s="7">
        <v>5.34</v>
      </c>
      <c r="G197" s="9">
        <v>13424</v>
      </c>
      <c r="H197" s="9"/>
      <c r="I197" s="9"/>
      <c r="J197" s="9"/>
      <c r="K197" s="9"/>
      <c r="L197" s="9"/>
      <c r="M197" s="9"/>
    </row>
    <row r="198" spans="1:13" ht="15.75" customHeight="1">
      <c r="A198" s="5">
        <v>45901</v>
      </c>
      <c r="B198" s="1" t="s">
        <v>22</v>
      </c>
      <c r="C198" s="9">
        <v>572</v>
      </c>
      <c r="D198" s="9">
        <v>270</v>
      </c>
      <c r="E198" s="9">
        <v>82265</v>
      </c>
      <c r="F198" s="7">
        <v>3.65</v>
      </c>
      <c r="G198" s="9">
        <v>13140</v>
      </c>
      <c r="H198" s="9"/>
      <c r="I198" s="9"/>
      <c r="J198" s="9"/>
      <c r="K198" s="9"/>
      <c r="L198" s="9"/>
      <c r="M198" s="9"/>
    </row>
    <row r="199" spans="1:13" ht="15.75" customHeight="1">
      <c r="A199" s="5">
        <v>45901</v>
      </c>
      <c r="B199" s="1" t="s">
        <v>27</v>
      </c>
      <c r="C199" s="9">
        <v>503</v>
      </c>
      <c r="D199" s="9">
        <v>253</v>
      </c>
      <c r="E199" s="9">
        <v>313562</v>
      </c>
      <c r="F199" s="7">
        <v>4.18</v>
      </c>
      <c r="G199" s="9">
        <v>19538</v>
      </c>
      <c r="H199" s="9"/>
      <c r="I199" s="9"/>
      <c r="J199" s="9"/>
      <c r="K199" s="9"/>
      <c r="L199" s="9"/>
      <c r="M199" s="9"/>
    </row>
    <row r="200" spans="1:13" ht="15.75" customHeight="1">
      <c r="A200" s="5">
        <v>45908</v>
      </c>
      <c r="B200" s="1" t="s">
        <v>13</v>
      </c>
      <c r="C200" s="9">
        <v>1017</v>
      </c>
      <c r="D200" s="9">
        <v>197</v>
      </c>
      <c r="E200" s="9">
        <v>89918</v>
      </c>
      <c r="F200" s="7">
        <v>3.91</v>
      </c>
      <c r="G200" s="9">
        <v>7881</v>
      </c>
      <c r="H200" s="9"/>
      <c r="I200" s="9"/>
      <c r="J200" s="9"/>
      <c r="K200" s="9"/>
      <c r="L200" s="9"/>
      <c r="M200" s="9"/>
    </row>
    <row r="201" spans="1:13" ht="15.75" customHeight="1">
      <c r="A201" s="5">
        <v>45908</v>
      </c>
      <c r="B201" s="1" t="s">
        <v>22</v>
      </c>
      <c r="C201" s="9">
        <v>860</v>
      </c>
      <c r="D201" s="9">
        <v>244</v>
      </c>
      <c r="E201" s="9">
        <v>348686</v>
      </c>
      <c r="F201" s="7">
        <v>5.12</v>
      </c>
      <c r="G201" s="9">
        <v>11418</v>
      </c>
      <c r="H201" s="9"/>
      <c r="I201" s="9"/>
      <c r="J201" s="9"/>
      <c r="K201" s="9"/>
      <c r="L201" s="9"/>
      <c r="M201" s="9"/>
    </row>
    <row r="202" spans="1:13" ht="15.75" customHeight="1"/>
    <row r="203" spans="1:13" ht="15.75" customHeight="1"/>
    <row r="204" spans="1:13" ht="15.75" customHeight="1"/>
    <row r="205" spans="1:13" ht="15.75" customHeight="1">
      <c r="C205" s="47" t="s">
        <v>390</v>
      </c>
    </row>
    <row r="206" spans="1:13" ht="15.75" customHeight="1"/>
    <row r="207" spans="1:13" ht="15.75" customHeight="1"/>
    <row r="208" spans="1:13"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honeticPr fontId="11" type="noConversion"/>
  <pageMargins left="0.7" right="0.7" top="0.75" bottom="0.75" header="0" footer="0"/>
  <pageSetup orientation="landscape"/>
  <ignoredErrors>
    <ignoredError sqref="M4:M5 M2" calculatedColumn="1"/>
  </ignoredErrors>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000"/>
  <sheetViews>
    <sheetView workbookViewId="0">
      <selection activeCell="I2" sqref="I2"/>
    </sheetView>
  </sheetViews>
  <sheetFormatPr defaultColWidth="14.42578125" defaultRowHeight="15" customHeight="1"/>
  <cols>
    <col min="1" max="1" width="18.140625" style="2" customWidth="1"/>
    <col min="2" max="2" width="12.42578125" style="2" customWidth="1"/>
    <col min="3" max="3" width="11.5703125" style="2" customWidth="1"/>
    <col min="4" max="4" width="16.42578125" style="2" bestFit="1" customWidth="1"/>
    <col min="5" max="5" width="14.85546875" style="10" customWidth="1"/>
    <col min="6" max="6" width="19" style="2" bestFit="1" customWidth="1"/>
    <col min="7" max="8" width="18.5703125" style="2" customWidth="1"/>
    <col min="9" max="9" width="19.7109375" style="2" bestFit="1" customWidth="1"/>
    <col min="10" max="11" width="8.7109375" style="2" customWidth="1"/>
    <col min="12" max="12" width="16" style="2" bestFit="1" customWidth="1"/>
    <col min="13" max="25" width="8.7109375" style="2" customWidth="1"/>
    <col min="26" max="16384" width="14.42578125" style="2"/>
  </cols>
  <sheetData>
    <row r="1" spans="1:12">
      <c r="A1" s="3" t="s">
        <v>11</v>
      </c>
      <c r="B1" s="3" t="s">
        <v>337</v>
      </c>
      <c r="C1" s="3" t="s">
        <v>338</v>
      </c>
      <c r="D1" s="3" t="s">
        <v>339</v>
      </c>
      <c r="E1" s="11" t="s">
        <v>340</v>
      </c>
      <c r="F1" s="3" t="s">
        <v>341</v>
      </c>
      <c r="G1" s="13" t="s">
        <v>358</v>
      </c>
      <c r="H1" s="13" t="s">
        <v>359</v>
      </c>
      <c r="I1" s="2" t="s">
        <v>376</v>
      </c>
    </row>
    <row r="2" spans="1:12">
      <c r="A2" s="4" t="s">
        <v>49</v>
      </c>
      <c r="B2" s="44" t="s">
        <v>342</v>
      </c>
      <c r="C2" s="4" t="s">
        <v>343</v>
      </c>
      <c r="D2" s="4" t="s">
        <v>344</v>
      </c>
      <c r="E2" s="12">
        <v>175000</v>
      </c>
      <c r="F2" s="4" t="s">
        <v>345</v>
      </c>
      <c r="G2" s="2" t="s">
        <v>365</v>
      </c>
      <c r="H2" s="2" t="s">
        <v>364</v>
      </c>
      <c r="I2" s="2">
        <f>Table5[[#This Row],[End_Date]]-Table5[[#This Row],[Start_Date]]+1</f>
        <v>31</v>
      </c>
      <c r="J2" s="23"/>
      <c r="K2" s="23"/>
      <c r="L2" s="13"/>
    </row>
    <row r="3" spans="1:12">
      <c r="A3" s="4" t="s">
        <v>46</v>
      </c>
      <c r="B3" s="4" t="s">
        <v>346</v>
      </c>
      <c r="C3" s="4" t="s">
        <v>347</v>
      </c>
      <c r="D3" s="4" t="s">
        <v>348</v>
      </c>
      <c r="E3" s="12">
        <v>225000</v>
      </c>
      <c r="F3" s="4" t="s">
        <v>349</v>
      </c>
      <c r="G3" s="2" t="s">
        <v>365</v>
      </c>
      <c r="H3" s="2" t="s">
        <v>34</v>
      </c>
      <c r="I3" s="2">
        <f>Table5[[#This Row],[End_Date]]-Table5[[#This Row],[Start_Date]]+1</f>
        <v>31</v>
      </c>
      <c r="J3" s="23"/>
      <c r="K3" s="23"/>
    </row>
    <row r="4" spans="1:12">
      <c r="A4" s="4" t="s">
        <v>16</v>
      </c>
      <c r="B4" s="4" t="s">
        <v>350</v>
      </c>
      <c r="C4" s="4" t="s">
        <v>351</v>
      </c>
      <c r="D4" s="4" t="s">
        <v>352</v>
      </c>
      <c r="E4" s="12">
        <v>200000</v>
      </c>
      <c r="F4" s="4" t="s">
        <v>353</v>
      </c>
      <c r="G4" s="2" t="s">
        <v>366</v>
      </c>
      <c r="H4" s="2" t="s">
        <v>37</v>
      </c>
      <c r="I4" s="2">
        <f>Table5[[#This Row],[End_Date]]-Table5[[#This Row],[Start_Date]]+1</f>
        <v>32</v>
      </c>
      <c r="J4" s="23"/>
      <c r="K4" s="23"/>
    </row>
    <row r="5" spans="1:12">
      <c r="A5" s="4" t="s">
        <v>20</v>
      </c>
      <c r="B5" s="4" t="s">
        <v>354</v>
      </c>
      <c r="C5" s="4" t="s">
        <v>355</v>
      </c>
      <c r="D5" s="4" t="s">
        <v>356</v>
      </c>
      <c r="E5" s="12">
        <v>160000</v>
      </c>
      <c r="F5" s="4" t="s">
        <v>357</v>
      </c>
      <c r="G5" s="2" t="s">
        <v>19</v>
      </c>
      <c r="H5" s="2" t="s">
        <v>367</v>
      </c>
      <c r="I5" s="2">
        <f>Table5[[#This Row],[End_Date]]-Table5[[#This Row],[Start_Date]]+1</f>
        <v>31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honeticPr fontId="11" type="noConversion"/>
  <pageMargins left="0.7" right="0.7" top="0.75" bottom="0.75" header="0" footer="0"/>
  <pageSetup orientation="landscape"/>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242A05F-AD3B-44F9-A465-D7B6C081122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Posts</vt:lpstr>
      <vt:lpstr>5.1AvgTotalImpClickLikes</vt:lpstr>
      <vt:lpstr>5.2EngagementMetric</vt:lpstr>
      <vt:lpstr>Engagement Summary</vt:lpstr>
      <vt:lpstr>5.3CaimpaignHighestROI</vt:lpstr>
      <vt:lpstr>5.4FollowerGrowth</vt:lpstr>
      <vt:lpstr>Campaign Metadata</vt:lpstr>
      <vt:lpstr>'5.3CaimpaignHighestROI'!Engagement_Metric</vt:lpstr>
      <vt:lpstr>'5.4FollowerGrowth'!Engagement_Metric</vt:lpstr>
      <vt:lpstr>Engagement_Metric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2025-08-26T05:40:30Z</dcterms:created>
  <dcterms:modified xsi:type="dcterms:W3CDTF">2025-09-03T06:06:20Z</dcterms:modified>
</cp:coreProperties>
</file>
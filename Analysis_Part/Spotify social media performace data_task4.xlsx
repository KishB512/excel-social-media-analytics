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tables/table5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HP\Desktop\Project_Spotify\"/>
    </mc:Choice>
  </mc:AlternateContent>
  <xr:revisionPtr revIDLastSave="0" documentId="13_ncr:1_{25AFF270-40E1-4EBD-B002-B4CC8C5573DC}" xr6:coauthVersionLast="47" xr6:coauthVersionMax="47" xr10:uidLastSave="{00000000-0000-0000-0000-000000000000}"/>
  <bookViews>
    <workbookView xWindow="-120" yWindow="-120" windowWidth="20730" windowHeight="11160" firstSheet="2" activeTab="2" xr2:uid="{00000000-000D-0000-FFFF-FFFF00000000}"/>
  </bookViews>
  <sheets>
    <sheet name="Sheet1" sheetId="5" state="hidden" r:id="rId1"/>
    <sheet name="Posts" sheetId="1" state="hidden" r:id="rId2"/>
    <sheet name="4.1Hastag_summary" sheetId="4" r:id="rId3"/>
    <sheet name="4.2ContentType" sheetId="7" r:id="rId4"/>
    <sheet name="4.3OptimalContentTypePlatform" sheetId="10" r:id="rId5"/>
    <sheet name="Engagement Summary" sheetId="2" state="hidden" r:id="rId6"/>
    <sheet name="Campaign Metadata" sheetId="3" state="hidden" r:id="rId7"/>
  </sheets>
  <definedNames>
    <definedName name="ExternalData_1" localSheetId="2" hidden="1">'4.1Hastag_summary'!$B$1:$I$6</definedName>
  </definedNames>
  <calcPr calcId="191029"/>
  <pivotCaches>
    <pivotCache cacheId="7" r:id="rId8"/>
    <pivotCache cacheId="8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02" i="10" l="1"/>
  <c r="F302" i="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452E708-F9C6-4AF3-885A-17FE17EC44EF}" keepAlive="1" name="Query - Hastag_summary" description="Connection to the 'Hastag_summary' query in the workbook." type="5" refreshedVersion="8" background="1" saveData="1">
    <dbPr connection="Provider=Microsoft.Mashup.OleDb.1;Data Source=$Workbook$;Location=Hastag_summary;Extended Properties=&quot;&quot;" command="SELECT * FROM [Hastag_summary]"/>
  </connection>
</connections>
</file>

<file path=xl/sharedStrings.xml><?xml version="1.0" encoding="utf-8"?>
<sst xmlns="http://schemas.openxmlformats.org/spreadsheetml/2006/main" count="6724" uniqueCount="390">
  <si>
    <t>Post ID</t>
  </si>
  <si>
    <t>Platform</t>
  </si>
  <si>
    <t>Date</t>
  </si>
  <si>
    <t>Content Type</t>
  </si>
  <si>
    <t>Post Text</t>
  </si>
  <si>
    <t>Likes</t>
  </si>
  <si>
    <t>Shares</t>
  </si>
  <si>
    <t>Comments</t>
  </si>
  <si>
    <t>Impressions</t>
  </si>
  <si>
    <t>Reach</t>
  </si>
  <si>
    <t>Clicks</t>
  </si>
  <si>
    <t>Campaign_Name</t>
  </si>
  <si>
    <t>SP001</t>
  </si>
  <si>
    <t>Instagram</t>
  </si>
  <si>
    <t>Text</t>
  </si>
  <si>
    <t>Discover fresh beats on Spotify!</t>
  </si>
  <si>
    <t>ChillVibes</t>
  </si>
  <si>
    <t>SP002</t>
  </si>
  <si>
    <t>Explore the latest podcasts now.</t>
  </si>
  <si>
    <t>#DiscoverWeekly</t>
  </si>
  <si>
    <t>IndieWave</t>
  </si>
  <si>
    <t>SP003</t>
  </si>
  <si>
    <t>Twitter</t>
  </si>
  <si>
    <t>Story</t>
  </si>
  <si>
    <t>New music just dropped. Hit play!</t>
  </si>
  <si>
    <t>SP004</t>
  </si>
  <si>
    <t>SP005</t>
  </si>
  <si>
    <t>YouTube</t>
  </si>
  <si>
    <t>SP006</t>
  </si>
  <si>
    <t>SP007</t>
  </si>
  <si>
    <t>Get into the groove with our new drop!</t>
  </si>
  <si>
    <t>SP008</t>
  </si>
  <si>
    <t>SP009</t>
  </si>
  <si>
    <t>Top trending tracks updated daily!</t>
  </si>
  <si>
    <t>#NowPlaying</t>
  </si>
  <si>
    <t>SP010</t>
  </si>
  <si>
    <t>SP011</t>
  </si>
  <si>
    <t>#SoundtrackOfLife</t>
  </si>
  <si>
    <t>SP012</t>
  </si>
  <si>
    <t>SP013</t>
  </si>
  <si>
    <t>SP014</t>
  </si>
  <si>
    <t>SP015</t>
  </si>
  <si>
    <t>Your weekend playlist is waiting.</t>
  </si>
  <si>
    <t>SP016</t>
  </si>
  <si>
    <t>SP017</t>
  </si>
  <si>
    <t>SP018</t>
  </si>
  <si>
    <t>Wrapped2024</t>
  </si>
  <si>
    <t>SP019</t>
  </si>
  <si>
    <t>Reel</t>
  </si>
  <si>
    <t>SummerBeats</t>
  </si>
  <si>
    <t>SP020</t>
  </si>
  <si>
    <t>SP021</t>
  </si>
  <si>
    <t>SP022</t>
  </si>
  <si>
    <t>SP023</t>
  </si>
  <si>
    <t>SP024</t>
  </si>
  <si>
    <t>SP025</t>
  </si>
  <si>
    <t>SP026</t>
  </si>
  <si>
    <t>SP027</t>
  </si>
  <si>
    <t>SP028</t>
  </si>
  <si>
    <t>SP029</t>
  </si>
  <si>
    <t>SP030</t>
  </si>
  <si>
    <t>SP031</t>
  </si>
  <si>
    <t>SP032</t>
  </si>
  <si>
    <t>SP033</t>
  </si>
  <si>
    <t>SP034</t>
  </si>
  <si>
    <t>SP035</t>
  </si>
  <si>
    <t>SP036</t>
  </si>
  <si>
    <t>SP037</t>
  </si>
  <si>
    <t>SP038</t>
  </si>
  <si>
    <t>SP039</t>
  </si>
  <si>
    <t>SP040</t>
  </si>
  <si>
    <t>SP041</t>
  </si>
  <si>
    <t>SP042</t>
  </si>
  <si>
    <t>SP043</t>
  </si>
  <si>
    <t>SP044</t>
  </si>
  <si>
    <t>SP045</t>
  </si>
  <si>
    <t>SP046</t>
  </si>
  <si>
    <t>SP047</t>
  </si>
  <si>
    <t>SP048</t>
  </si>
  <si>
    <t>SP049</t>
  </si>
  <si>
    <t>SP050</t>
  </si>
  <si>
    <t>SP051</t>
  </si>
  <si>
    <t>SP052</t>
  </si>
  <si>
    <t>SP053</t>
  </si>
  <si>
    <t>SP054</t>
  </si>
  <si>
    <t>SP055</t>
  </si>
  <si>
    <t>SP056</t>
  </si>
  <si>
    <t>SP057</t>
  </si>
  <si>
    <t>SP058</t>
  </si>
  <si>
    <t>SP059</t>
  </si>
  <si>
    <t>SP060</t>
  </si>
  <si>
    <t>SP061</t>
  </si>
  <si>
    <t>SP062</t>
  </si>
  <si>
    <t>SP063</t>
  </si>
  <si>
    <t>SP064</t>
  </si>
  <si>
    <t>SP065</t>
  </si>
  <si>
    <t>SP066</t>
  </si>
  <si>
    <t>SP067</t>
  </si>
  <si>
    <t>SP068</t>
  </si>
  <si>
    <t>SP069</t>
  </si>
  <si>
    <t>SP070</t>
  </si>
  <si>
    <t>SP071</t>
  </si>
  <si>
    <t>SP072</t>
  </si>
  <si>
    <t>SP073</t>
  </si>
  <si>
    <t>SP074</t>
  </si>
  <si>
    <t>SP075</t>
  </si>
  <si>
    <t>SP076</t>
  </si>
  <si>
    <t>SP077</t>
  </si>
  <si>
    <t>SP078</t>
  </si>
  <si>
    <t>SP079</t>
  </si>
  <si>
    <t>SP080</t>
  </si>
  <si>
    <t>SP081</t>
  </si>
  <si>
    <t>SP082</t>
  </si>
  <si>
    <t>SP083</t>
  </si>
  <si>
    <t>SP084</t>
  </si>
  <si>
    <t>SP085</t>
  </si>
  <si>
    <t>SP086</t>
  </si>
  <si>
    <t>SP087</t>
  </si>
  <si>
    <t>SP088</t>
  </si>
  <si>
    <t>SP089</t>
  </si>
  <si>
    <t>SP090</t>
  </si>
  <si>
    <t>SP091</t>
  </si>
  <si>
    <t>SP092</t>
  </si>
  <si>
    <t>SP093</t>
  </si>
  <si>
    <t>SP094</t>
  </si>
  <si>
    <t>SP095</t>
  </si>
  <si>
    <t>SP096</t>
  </si>
  <si>
    <t>SP097</t>
  </si>
  <si>
    <t>SP098</t>
  </si>
  <si>
    <t>SP099</t>
  </si>
  <si>
    <t>SP100</t>
  </si>
  <si>
    <t>SP101</t>
  </si>
  <si>
    <t>SP102</t>
  </si>
  <si>
    <t>SP103</t>
  </si>
  <si>
    <t>SP104</t>
  </si>
  <si>
    <t>SP105</t>
  </si>
  <si>
    <t>SP106</t>
  </si>
  <si>
    <t>SP107</t>
  </si>
  <si>
    <t>SP108</t>
  </si>
  <si>
    <t>SP109</t>
  </si>
  <si>
    <t>SP110</t>
  </si>
  <si>
    <t>SP111</t>
  </si>
  <si>
    <t>SP112</t>
  </si>
  <si>
    <t>SP113</t>
  </si>
  <si>
    <t>SP114</t>
  </si>
  <si>
    <t>SP115</t>
  </si>
  <si>
    <t>SP116</t>
  </si>
  <si>
    <t>SP117</t>
  </si>
  <si>
    <t>SP118</t>
  </si>
  <si>
    <t>SP119</t>
  </si>
  <si>
    <t>SP120</t>
  </si>
  <si>
    <t>SP121</t>
  </si>
  <si>
    <t>SP122</t>
  </si>
  <si>
    <t>SP123</t>
  </si>
  <si>
    <t>SP124</t>
  </si>
  <si>
    <t>SP125</t>
  </si>
  <si>
    <t>SP126</t>
  </si>
  <si>
    <t>SP127</t>
  </si>
  <si>
    <t>SP128</t>
  </si>
  <si>
    <t>SP129</t>
  </si>
  <si>
    <t>SP130</t>
  </si>
  <si>
    <t>SP131</t>
  </si>
  <si>
    <t>SP132</t>
  </si>
  <si>
    <t>SP133</t>
  </si>
  <si>
    <t>SP134</t>
  </si>
  <si>
    <t>SP135</t>
  </si>
  <si>
    <t>SP136</t>
  </si>
  <si>
    <t>SP137</t>
  </si>
  <si>
    <t>SP138</t>
  </si>
  <si>
    <t>SP139</t>
  </si>
  <si>
    <t>SP140</t>
  </si>
  <si>
    <t>SP141</t>
  </si>
  <si>
    <t>SP142</t>
  </si>
  <si>
    <t>SP143</t>
  </si>
  <si>
    <t>SP144</t>
  </si>
  <si>
    <t>SP145</t>
  </si>
  <si>
    <t>SP146</t>
  </si>
  <si>
    <t>SP147</t>
  </si>
  <si>
    <t>SP148</t>
  </si>
  <si>
    <t>SP149</t>
  </si>
  <si>
    <t>SP150</t>
  </si>
  <si>
    <t>SP151</t>
  </si>
  <si>
    <t>SP152</t>
  </si>
  <si>
    <t>SP153</t>
  </si>
  <si>
    <t>SP154</t>
  </si>
  <si>
    <t>SP155</t>
  </si>
  <si>
    <t>SP156</t>
  </si>
  <si>
    <t>SP157</t>
  </si>
  <si>
    <t>SP158</t>
  </si>
  <si>
    <t>SP159</t>
  </si>
  <si>
    <t>SP160</t>
  </si>
  <si>
    <t>SP161</t>
  </si>
  <si>
    <t>SP162</t>
  </si>
  <si>
    <t>SP163</t>
  </si>
  <si>
    <t>SP164</t>
  </si>
  <si>
    <t>SP165</t>
  </si>
  <si>
    <t>SP166</t>
  </si>
  <si>
    <t>SP167</t>
  </si>
  <si>
    <t>SP168</t>
  </si>
  <si>
    <t>SP169</t>
  </si>
  <si>
    <t>SP170</t>
  </si>
  <si>
    <t>SP171</t>
  </si>
  <si>
    <t>SP172</t>
  </si>
  <si>
    <t>SP173</t>
  </si>
  <si>
    <t>SP174</t>
  </si>
  <si>
    <t>SP175</t>
  </si>
  <si>
    <t>SP176</t>
  </si>
  <si>
    <t>SP177</t>
  </si>
  <si>
    <t>SP178</t>
  </si>
  <si>
    <t>SP179</t>
  </si>
  <si>
    <t>SP180</t>
  </si>
  <si>
    <t>SP181</t>
  </si>
  <si>
    <t>SP182</t>
  </si>
  <si>
    <t>SP183</t>
  </si>
  <si>
    <t>SP184</t>
  </si>
  <si>
    <t>SP185</t>
  </si>
  <si>
    <t>SP186</t>
  </si>
  <si>
    <t>SP187</t>
  </si>
  <si>
    <t>SP188</t>
  </si>
  <si>
    <t>SP189</t>
  </si>
  <si>
    <t>SP190</t>
  </si>
  <si>
    <t>SP191</t>
  </si>
  <si>
    <t>SP192</t>
  </si>
  <si>
    <t>SP193</t>
  </si>
  <si>
    <t>SP194</t>
  </si>
  <si>
    <t>SP195</t>
  </si>
  <si>
    <t>SP196</t>
  </si>
  <si>
    <t>SP197</t>
  </si>
  <si>
    <t>SP198</t>
  </si>
  <si>
    <t>SP199</t>
  </si>
  <si>
    <t>SP200</t>
  </si>
  <si>
    <t>SP201</t>
  </si>
  <si>
    <t>SP202</t>
  </si>
  <si>
    <t>SP203</t>
  </si>
  <si>
    <t>SP204</t>
  </si>
  <si>
    <t>SP205</t>
  </si>
  <si>
    <t>SP206</t>
  </si>
  <si>
    <t>SP207</t>
  </si>
  <si>
    <t>SP208</t>
  </si>
  <si>
    <t>SP209</t>
  </si>
  <si>
    <t>SP210</t>
  </si>
  <si>
    <t>SP211</t>
  </si>
  <si>
    <t>SP212</t>
  </si>
  <si>
    <t>SP213</t>
  </si>
  <si>
    <t>SP214</t>
  </si>
  <si>
    <t>SP215</t>
  </si>
  <si>
    <t>SP216</t>
  </si>
  <si>
    <t>SP217</t>
  </si>
  <si>
    <t>SP218</t>
  </si>
  <si>
    <t>SP219</t>
  </si>
  <si>
    <t>SP220</t>
  </si>
  <si>
    <t>SP221</t>
  </si>
  <si>
    <t>SP222</t>
  </si>
  <si>
    <t>SP223</t>
  </si>
  <si>
    <t>SP224</t>
  </si>
  <si>
    <t>SP225</t>
  </si>
  <si>
    <t>SP226</t>
  </si>
  <si>
    <t>SP227</t>
  </si>
  <si>
    <t>SP228</t>
  </si>
  <si>
    <t>SP229</t>
  </si>
  <si>
    <t>SP230</t>
  </si>
  <si>
    <t>SP231</t>
  </si>
  <si>
    <t>SP232</t>
  </si>
  <si>
    <t>SP233</t>
  </si>
  <si>
    <t>SP234</t>
  </si>
  <si>
    <t>SP235</t>
  </si>
  <si>
    <t>SP236</t>
  </si>
  <si>
    <t>SP237</t>
  </si>
  <si>
    <t>SP238</t>
  </si>
  <si>
    <t>SP239</t>
  </si>
  <si>
    <t>SP240</t>
  </si>
  <si>
    <t>SP241</t>
  </si>
  <si>
    <t>SP242</t>
  </si>
  <si>
    <t>SP243</t>
  </si>
  <si>
    <t>SP244</t>
  </si>
  <si>
    <t>SP245</t>
  </si>
  <si>
    <t>SP246</t>
  </si>
  <si>
    <t>SP247</t>
  </si>
  <si>
    <t>SP248</t>
  </si>
  <si>
    <t>SP249</t>
  </si>
  <si>
    <t>SP250</t>
  </si>
  <si>
    <t>SP251</t>
  </si>
  <si>
    <t>SP252</t>
  </si>
  <si>
    <t>SP253</t>
  </si>
  <si>
    <t>SP254</t>
  </si>
  <si>
    <t>SP255</t>
  </si>
  <si>
    <t>SP256</t>
  </si>
  <si>
    <t>SP257</t>
  </si>
  <si>
    <t>SP258</t>
  </si>
  <si>
    <t>SP259</t>
  </si>
  <si>
    <t>SP260</t>
  </si>
  <si>
    <t>SP261</t>
  </si>
  <si>
    <t>SP262</t>
  </si>
  <si>
    <t>SP263</t>
  </si>
  <si>
    <t>SP264</t>
  </si>
  <si>
    <t>SP265</t>
  </si>
  <si>
    <t>SP266</t>
  </si>
  <si>
    <t>SP267</t>
  </si>
  <si>
    <t>SP268</t>
  </si>
  <si>
    <t>SP269</t>
  </si>
  <si>
    <t>SP270</t>
  </si>
  <si>
    <t>SP271</t>
  </si>
  <si>
    <t>SP272</t>
  </si>
  <si>
    <t>SP273</t>
  </si>
  <si>
    <t>SP274</t>
  </si>
  <si>
    <t>SP275</t>
  </si>
  <si>
    <t>SP276</t>
  </si>
  <si>
    <t>SP277</t>
  </si>
  <si>
    <t>SP278</t>
  </si>
  <si>
    <t>SP279</t>
  </si>
  <si>
    <t>SP280</t>
  </si>
  <si>
    <t>SP281</t>
  </si>
  <si>
    <t>SP282</t>
  </si>
  <si>
    <t>SP283</t>
  </si>
  <si>
    <t>SP284</t>
  </si>
  <si>
    <t>SP285</t>
  </si>
  <si>
    <t>SP286</t>
  </si>
  <si>
    <t>SP287</t>
  </si>
  <si>
    <t>SP288</t>
  </si>
  <si>
    <t>SP289</t>
  </si>
  <si>
    <t>SP290</t>
  </si>
  <si>
    <t>SP291</t>
  </si>
  <si>
    <t>SP292</t>
  </si>
  <si>
    <t>SP293</t>
  </si>
  <si>
    <t>SP294</t>
  </si>
  <si>
    <t>SP295</t>
  </si>
  <si>
    <t>SP296</t>
  </si>
  <si>
    <t>SP297</t>
  </si>
  <si>
    <t>SP298</t>
  </si>
  <si>
    <t>SP299</t>
  </si>
  <si>
    <t>SP300</t>
  </si>
  <si>
    <t>Week_Start_Date</t>
  </si>
  <si>
    <t>New_Followers</t>
  </si>
  <si>
    <t>Unfollows</t>
  </si>
  <si>
    <t>Total_Followers</t>
  </si>
  <si>
    <t>Engagement_Rate</t>
  </si>
  <si>
    <t>Ad_Spend</t>
  </si>
  <si>
    <t>Start_Date</t>
  </si>
  <si>
    <t>End_Date</t>
  </si>
  <si>
    <t>Objective</t>
  </si>
  <si>
    <t>Total_Budget</t>
  </si>
  <si>
    <t>Target_Platforms</t>
  </si>
  <si>
    <t>2024-06-15</t>
  </si>
  <si>
    <t>2024-07-15</t>
  </si>
  <si>
    <t>Brand Awareness</t>
  </si>
  <si>
    <t>Instagram,YouTube</t>
  </si>
  <si>
    <t>2024-12-01</t>
  </si>
  <si>
    <t>2024-12-31</t>
  </si>
  <si>
    <t>Engagement</t>
  </si>
  <si>
    <t>Twitter,YouTube</t>
  </si>
  <si>
    <t>2025-01-10</t>
  </si>
  <si>
    <t>2025-02-10</t>
  </si>
  <si>
    <t>Product Launch</t>
  </si>
  <si>
    <t>Instagram,Twitter</t>
  </si>
  <si>
    <t>2025-03-01</t>
  </si>
  <si>
    <t>2025-03-31</t>
  </si>
  <si>
    <t>Traffic</t>
  </si>
  <si>
    <t>Facebook,Instagram</t>
  </si>
  <si>
    <t>Hastag_1</t>
  </si>
  <si>
    <t>Hastag_2</t>
  </si>
  <si>
    <t>Wrapped is here! Relive your top tracks</t>
  </si>
  <si>
    <t>Music that moves you only on Spotify.</t>
  </si>
  <si>
    <t>Whats your vibe today?</t>
  </si>
  <si>
    <t>From pop to podcasts, its all here.</t>
  </si>
  <si>
    <t>#MusicForEveryone</t>
  </si>
  <si>
    <t>#SpotifyWrapped</t>
  </si>
  <si>
    <t>#ChillVibes</t>
  </si>
  <si>
    <t>#IndieWave</t>
  </si>
  <si>
    <t>Hashtag</t>
  </si>
  <si>
    <t>Frequency</t>
  </si>
  <si>
    <t>Avg_likes</t>
  </si>
  <si>
    <t>Avg_shares</t>
  </si>
  <si>
    <t>Avg_Comments</t>
  </si>
  <si>
    <t>Avg_Impresions</t>
  </si>
  <si>
    <t>Avg_reach</t>
  </si>
  <si>
    <t>Avg_clicks</t>
  </si>
  <si>
    <t>Row Labels</t>
  </si>
  <si>
    <t>Grand Total</t>
  </si>
  <si>
    <t>Sum of Likes</t>
  </si>
  <si>
    <t>Sum of Shares</t>
  </si>
  <si>
    <t>Sum of Comments</t>
  </si>
  <si>
    <t>Average of Shares</t>
  </si>
  <si>
    <t>Sum of Impressions</t>
  </si>
  <si>
    <t>Sum of Reach</t>
  </si>
  <si>
    <t>Sum of Clicks</t>
  </si>
  <si>
    <t>Average of Likes</t>
  </si>
  <si>
    <t>Average of Impressions</t>
  </si>
  <si>
    <t>Average of Comments</t>
  </si>
  <si>
    <t>Average of Reach</t>
  </si>
  <si>
    <t>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</si>
</sst>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&quot;Aptos Narrow&quot;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Inherit"/>
    </font>
    <font>
      <b/>
      <sz val="12"/>
      <color theme="1"/>
      <name val="Calibri"/>
      <family val="2"/>
      <scheme val="minor"/>
    </font>
    <font>
      <b/>
      <sz val="11"/>
      <color rgb="FF000000"/>
      <name val="&quot;Aptos Narrow&quot;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9" fillId="0" borderId="0" xfId="0" applyFont="1" applyAlignment="1">
      <alignment horizontal="center" vertical="center"/>
    </xf>
    <xf numFmtId="14" fontId="9" fillId="0" borderId="0" xfId="0" applyNumberFormat="1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" fontId="0" fillId="0" borderId="0" xfId="0" applyNumberFormat="1"/>
    <xf numFmtId="14" fontId="0" fillId="0" borderId="0" xfId="0" applyNumberFormat="1"/>
    <xf numFmtId="0" fontId="0" fillId="0" borderId="2" xfId="0" applyBorder="1" applyAlignment="1">
      <alignment horizontal="center" vertical="center"/>
    </xf>
    <xf numFmtId="1" fontId="6" fillId="0" borderId="0" xfId="0" applyNumberFormat="1" applyFont="1"/>
    <xf numFmtId="0" fontId="1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</cellXfs>
  <cellStyles count="1">
    <cellStyle name="Normal" xfId="0" builtinId="0"/>
  </cellStyles>
  <dxfs count="115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Inherit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Inherit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Inherit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Inherit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alignment horizontal="center" vertical="center" textRotation="0" wrapText="0" indent="0" justifyLastLine="0" shrinkToFit="0" readingOrder="0"/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Inherit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alignment horizontal="center" vertical="center" textRotation="0" wrapText="0" indent="0" justifyLastLine="0" shrinkToFit="0" readingOrder="0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[Spotify social media performace data_task4.xlsx]4.2ContentType!PivotTable4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ContentTypePerformance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solidFill>
              <a:schemeClr val="accent1">
                <a:lumMod val="75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translucentPowder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solidFill>
              <a:schemeClr val="accent1">
                <a:lumMod val="75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translucentPowder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solidFill>
              <a:schemeClr val="accent1">
                <a:lumMod val="75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translucentPowder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solidFill>
              <a:schemeClr val="accent1">
                <a:lumMod val="75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translucentPowder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solidFill>
              <a:schemeClr val="accent1">
                <a:lumMod val="75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translucentPowder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solidFill>
              <a:schemeClr val="accent1">
                <a:lumMod val="75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translucentPowder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solidFill>
          <a:schemeClr val="lt1"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'4.2ContentType'!$Q$3</c:f>
              <c:strCache>
                <c:ptCount val="1"/>
                <c:pt idx="0">
                  <c:v>Sum of Clicks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accent1">
                  <a:lumMod val="75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translucentPowder">
              <a:contourClr>
                <a:schemeClr val="accent1">
                  <a:lumMod val="75000"/>
                </a:schemeClr>
              </a:contourClr>
            </a:sp3d>
          </c:spPr>
          <c:invertIfNegative val="0"/>
          <c:cat>
            <c:multiLvlStrRef>
              <c:f>'4.2ContentType'!$P$4:$P$12</c:f>
              <c:multiLvlStrCache>
                <c:ptCount val="6"/>
                <c:lvl>
                  <c:pt idx="0">
                    <c:v>Instagram</c:v>
                  </c:pt>
                  <c:pt idx="1">
                    <c:v>Twitter</c:v>
                  </c:pt>
                  <c:pt idx="2">
                    <c:v>YouTube</c:v>
                  </c:pt>
                  <c:pt idx="3">
                    <c:v>Instagram</c:v>
                  </c:pt>
                  <c:pt idx="4">
                    <c:v>Twitter</c:v>
                  </c:pt>
                  <c:pt idx="5">
                    <c:v>YouTube</c:v>
                  </c:pt>
                </c:lvl>
                <c:lvl>
                  <c:pt idx="0">
                    <c:v>Text</c:v>
                  </c:pt>
                  <c:pt idx="3">
                    <c:v>Story</c:v>
                  </c:pt>
                  <c:pt idx="5">
                    <c:v>Reel</c:v>
                  </c:pt>
                </c:lvl>
              </c:multiLvlStrCache>
            </c:multiLvlStrRef>
          </c:cat>
          <c:val>
            <c:numRef>
              <c:f>'4.2ContentType'!$Q$4:$Q$12</c:f>
              <c:numCache>
                <c:formatCode>0</c:formatCode>
                <c:ptCount val="6"/>
                <c:pt idx="0">
                  <c:v>12803</c:v>
                </c:pt>
                <c:pt idx="1">
                  <c:v>11520</c:v>
                </c:pt>
                <c:pt idx="2">
                  <c:v>7088</c:v>
                </c:pt>
                <c:pt idx="3">
                  <c:v>4614</c:v>
                </c:pt>
                <c:pt idx="4">
                  <c:v>16014</c:v>
                </c:pt>
                <c:pt idx="5">
                  <c:v>5557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41-4C85-98DD-E48B27BDB6DB}"/>
            </c:ext>
          </c:extLst>
        </c:ser>
        <c:ser>
          <c:idx val="1"/>
          <c:order val="1"/>
          <c:tx>
            <c:strRef>
              <c:f>'4.2ContentType'!$R$3</c:f>
              <c:strCache>
                <c:ptCount val="1"/>
                <c:pt idx="0">
                  <c:v>Sum of Likes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accent2">
                  <a:lumMod val="75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translucentPowder">
              <a:contourClr>
                <a:schemeClr val="accent2">
                  <a:lumMod val="75000"/>
                </a:schemeClr>
              </a:contourClr>
            </a:sp3d>
          </c:spPr>
          <c:invertIfNegative val="0"/>
          <c:cat>
            <c:multiLvlStrRef>
              <c:f>'4.2ContentType'!$P$4:$P$12</c:f>
              <c:multiLvlStrCache>
                <c:ptCount val="6"/>
                <c:lvl>
                  <c:pt idx="0">
                    <c:v>Instagram</c:v>
                  </c:pt>
                  <c:pt idx="1">
                    <c:v>Twitter</c:v>
                  </c:pt>
                  <c:pt idx="2">
                    <c:v>YouTube</c:v>
                  </c:pt>
                  <c:pt idx="3">
                    <c:v>Instagram</c:v>
                  </c:pt>
                  <c:pt idx="4">
                    <c:v>Twitter</c:v>
                  </c:pt>
                  <c:pt idx="5">
                    <c:v>YouTube</c:v>
                  </c:pt>
                </c:lvl>
                <c:lvl>
                  <c:pt idx="0">
                    <c:v>Text</c:v>
                  </c:pt>
                  <c:pt idx="3">
                    <c:v>Story</c:v>
                  </c:pt>
                  <c:pt idx="5">
                    <c:v>Reel</c:v>
                  </c:pt>
                </c:lvl>
              </c:multiLvlStrCache>
            </c:multiLvlStrRef>
          </c:cat>
          <c:val>
            <c:numRef>
              <c:f>'4.2ContentType'!$R$4:$R$12</c:f>
              <c:numCache>
                <c:formatCode>0</c:formatCode>
                <c:ptCount val="6"/>
                <c:pt idx="0">
                  <c:v>189658</c:v>
                </c:pt>
                <c:pt idx="1">
                  <c:v>178192</c:v>
                </c:pt>
                <c:pt idx="2">
                  <c:v>105536</c:v>
                </c:pt>
                <c:pt idx="3">
                  <c:v>61815</c:v>
                </c:pt>
                <c:pt idx="4">
                  <c:v>272103</c:v>
                </c:pt>
                <c:pt idx="5">
                  <c:v>89871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41-4C85-98DD-E48B27BDB6DB}"/>
            </c:ext>
          </c:extLst>
        </c:ser>
        <c:ser>
          <c:idx val="2"/>
          <c:order val="2"/>
          <c:tx>
            <c:strRef>
              <c:f>'4.2ContentType'!$S$3</c:f>
              <c:strCache>
                <c:ptCount val="1"/>
                <c:pt idx="0">
                  <c:v>Sum of Reach</c:v>
                </c:pt>
              </c:strCache>
            </c:strRef>
          </c:tx>
          <c:spPr>
            <a:solidFill>
              <a:schemeClr val="accent3"/>
            </a:solidFill>
            <a:ln>
              <a:solidFill>
                <a:schemeClr val="accent3">
                  <a:lumMod val="75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translucentPowder">
              <a:contourClr>
                <a:schemeClr val="accent3">
                  <a:lumMod val="75000"/>
                </a:schemeClr>
              </a:contourClr>
            </a:sp3d>
          </c:spPr>
          <c:invertIfNegative val="0"/>
          <c:cat>
            <c:multiLvlStrRef>
              <c:f>'4.2ContentType'!$P$4:$P$12</c:f>
              <c:multiLvlStrCache>
                <c:ptCount val="6"/>
                <c:lvl>
                  <c:pt idx="0">
                    <c:v>Instagram</c:v>
                  </c:pt>
                  <c:pt idx="1">
                    <c:v>Twitter</c:v>
                  </c:pt>
                  <c:pt idx="2">
                    <c:v>YouTube</c:v>
                  </c:pt>
                  <c:pt idx="3">
                    <c:v>Instagram</c:v>
                  </c:pt>
                  <c:pt idx="4">
                    <c:v>Twitter</c:v>
                  </c:pt>
                  <c:pt idx="5">
                    <c:v>YouTube</c:v>
                  </c:pt>
                </c:lvl>
                <c:lvl>
                  <c:pt idx="0">
                    <c:v>Text</c:v>
                  </c:pt>
                  <c:pt idx="3">
                    <c:v>Story</c:v>
                  </c:pt>
                  <c:pt idx="5">
                    <c:v>Reel</c:v>
                  </c:pt>
                </c:lvl>
              </c:multiLvlStrCache>
            </c:multiLvlStrRef>
          </c:cat>
          <c:val>
            <c:numRef>
              <c:f>'4.2ContentType'!$S$4:$S$12</c:f>
              <c:numCache>
                <c:formatCode>0</c:formatCode>
                <c:ptCount val="6"/>
                <c:pt idx="0">
                  <c:v>3089978</c:v>
                </c:pt>
                <c:pt idx="1">
                  <c:v>2687869</c:v>
                </c:pt>
                <c:pt idx="2">
                  <c:v>1519905</c:v>
                </c:pt>
                <c:pt idx="3">
                  <c:v>1131121</c:v>
                </c:pt>
                <c:pt idx="4">
                  <c:v>3861278</c:v>
                </c:pt>
                <c:pt idx="5">
                  <c:v>1227061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41-4C85-98DD-E48B27BDB6DB}"/>
            </c:ext>
          </c:extLst>
        </c:ser>
        <c:ser>
          <c:idx val="3"/>
          <c:order val="3"/>
          <c:tx>
            <c:strRef>
              <c:f>'4.2ContentType'!$T$3</c:f>
              <c:strCache>
                <c:ptCount val="1"/>
                <c:pt idx="0">
                  <c:v>Sum of Impressions</c:v>
                </c:pt>
              </c:strCache>
            </c:strRef>
          </c:tx>
          <c:spPr>
            <a:solidFill>
              <a:schemeClr val="accent4"/>
            </a:solidFill>
            <a:ln>
              <a:solidFill>
                <a:schemeClr val="accent4">
                  <a:lumMod val="75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translucentPowder">
              <a:contourClr>
                <a:schemeClr val="accent4">
                  <a:lumMod val="75000"/>
                </a:schemeClr>
              </a:contourClr>
            </a:sp3d>
          </c:spPr>
          <c:invertIfNegative val="0"/>
          <c:cat>
            <c:multiLvlStrRef>
              <c:f>'4.2ContentType'!$P$4:$P$12</c:f>
              <c:multiLvlStrCache>
                <c:ptCount val="6"/>
                <c:lvl>
                  <c:pt idx="0">
                    <c:v>Instagram</c:v>
                  </c:pt>
                  <c:pt idx="1">
                    <c:v>Twitter</c:v>
                  </c:pt>
                  <c:pt idx="2">
                    <c:v>YouTube</c:v>
                  </c:pt>
                  <c:pt idx="3">
                    <c:v>Instagram</c:v>
                  </c:pt>
                  <c:pt idx="4">
                    <c:v>Twitter</c:v>
                  </c:pt>
                  <c:pt idx="5">
                    <c:v>YouTube</c:v>
                  </c:pt>
                </c:lvl>
                <c:lvl>
                  <c:pt idx="0">
                    <c:v>Text</c:v>
                  </c:pt>
                  <c:pt idx="3">
                    <c:v>Story</c:v>
                  </c:pt>
                  <c:pt idx="5">
                    <c:v>Reel</c:v>
                  </c:pt>
                </c:lvl>
              </c:multiLvlStrCache>
            </c:multiLvlStrRef>
          </c:cat>
          <c:val>
            <c:numRef>
              <c:f>'4.2ContentType'!$T$4:$T$12</c:f>
              <c:numCache>
                <c:formatCode>0</c:formatCode>
                <c:ptCount val="6"/>
                <c:pt idx="0">
                  <c:v>2688083</c:v>
                </c:pt>
                <c:pt idx="1">
                  <c:v>2466179</c:v>
                </c:pt>
                <c:pt idx="2">
                  <c:v>1544141</c:v>
                </c:pt>
                <c:pt idx="3">
                  <c:v>865406</c:v>
                </c:pt>
                <c:pt idx="4">
                  <c:v>3672770</c:v>
                </c:pt>
                <c:pt idx="5">
                  <c:v>1233853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A41-4C85-98DD-E48B27BDB6DB}"/>
            </c:ext>
          </c:extLst>
        </c:ser>
        <c:ser>
          <c:idx val="4"/>
          <c:order val="4"/>
          <c:tx>
            <c:strRef>
              <c:f>'4.2ContentType'!$U$3</c:f>
              <c:strCache>
                <c:ptCount val="1"/>
                <c:pt idx="0">
                  <c:v>Sum of Comments</c:v>
                </c:pt>
              </c:strCache>
            </c:strRef>
          </c:tx>
          <c:spPr>
            <a:solidFill>
              <a:schemeClr val="accent5"/>
            </a:solidFill>
            <a:ln>
              <a:solidFill>
                <a:schemeClr val="accent5">
                  <a:lumMod val="75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translucentPowder">
              <a:contourClr>
                <a:schemeClr val="accent5">
                  <a:lumMod val="75000"/>
                </a:schemeClr>
              </a:contourClr>
            </a:sp3d>
          </c:spPr>
          <c:invertIfNegative val="0"/>
          <c:cat>
            <c:multiLvlStrRef>
              <c:f>'4.2ContentType'!$P$4:$P$12</c:f>
              <c:multiLvlStrCache>
                <c:ptCount val="6"/>
                <c:lvl>
                  <c:pt idx="0">
                    <c:v>Instagram</c:v>
                  </c:pt>
                  <c:pt idx="1">
                    <c:v>Twitter</c:v>
                  </c:pt>
                  <c:pt idx="2">
                    <c:v>YouTube</c:v>
                  </c:pt>
                  <c:pt idx="3">
                    <c:v>Instagram</c:v>
                  </c:pt>
                  <c:pt idx="4">
                    <c:v>Twitter</c:v>
                  </c:pt>
                  <c:pt idx="5">
                    <c:v>YouTube</c:v>
                  </c:pt>
                </c:lvl>
                <c:lvl>
                  <c:pt idx="0">
                    <c:v>Text</c:v>
                  </c:pt>
                  <c:pt idx="3">
                    <c:v>Story</c:v>
                  </c:pt>
                  <c:pt idx="5">
                    <c:v>Reel</c:v>
                  </c:pt>
                </c:lvl>
              </c:multiLvlStrCache>
            </c:multiLvlStrRef>
          </c:cat>
          <c:val>
            <c:numRef>
              <c:f>'4.2ContentType'!$U$4:$U$12</c:f>
              <c:numCache>
                <c:formatCode>0</c:formatCode>
                <c:ptCount val="6"/>
                <c:pt idx="0">
                  <c:v>15162</c:v>
                </c:pt>
                <c:pt idx="1">
                  <c:v>13135</c:v>
                </c:pt>
                <c:pt idx="2">
                  <c:v>7845</c:v>
                </c:pt>
                <c:pt idx="3">
                  <c:v>5656</c:v>
                </c:pt>
                <c:pt idx="4">
                  <c:v>18442</c:v>
                </c:pt>
                <c:pt idx="5">
                  <c:v>6826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A41-4C85-98DD-E48B27BDB6DB}"/>
            </c:ext>
          </c:extLst>
        </c:ser>
        <c:ser>
          <c:idx val="5"/>
          <c:order val="5"/>
          <c:tx>
            <c:strRef>
              <c:f>'4.2ContentType'!$V$3</c:f>
              <c:strCache>
                <c:ptCount val="1"/>
                <c:pt idx="0">
                  <c:v>Sum of Shares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chemeClr val="accent6">
                  <a:lumMod val="75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translucentPowder">
              <a:contourClr>
                <a:schemeClr val="accent6">
                  <a:lumMod val="75000"/>
                </a:schemeClr>
              </a:contourClr>
            </a:sp3d>
          </c:spPr>
          <c:invertIfNegative val="0"/>
          <c:cat>
            <c:multiLvlStrRef>
              <c:f>'4.2ContentType'!$P$4:$P$12</c:f>
              <c:multiLvlStrCache>
                <c:ptCount val="6"/>
                <c:lvl>
                  <c:pt idx="0">
                    <c:v>Instagram</c:v>
                  </c:pt>
                  <c:pt idx="1">
                    <c:v>Twitter</c:v>
                  </c:pt>
                  <c:pt idx="2">
                    <c:v>YouTube</c:v>
                  </c:pt>
                  <c:pt idx="3">
                    <c:v>Instagram</c:v>
                  </c:pt>
                  <c:pt idx="4">
                    <c:v>Twitter</c:v>
                  </c:pt>
                  <c:pt idx="5">
                    <c:v>YouTube</c:v>
                  </c:pt>
                </c:lvl>
                <c:lvl>
                  <c:pt idx="0">
                    <c:v>Text</c:v>
                  </c:pt>
                  <c:pt idx="3">
                    <c:v>Story</c:v>
                  </c:pt>
                  <c:pt idx="5">
                    <c:v>Reel</c:v>
                  </c:pt>
                </c:lvl>
              </c:multiLvlStrCache>
            </c:multiLvlStrRef>
          </c:cat>
          <c:val>
            <c:numRef>
              <c:f>'4.2ContentType'!$V$4:$V$12</c:f>
              <c:numCache>
                <c:formatCode>0</c:formatCode>
                <c:ptCount val="6"/>
                <c:pt idx="0">
                  <c:v>21292</c:v>
                </c:pt>
                <c:pt idx="1">
                  <c:v>19004</c:v>
                </c:pt>
                <c:pt idx="2">
                  <c:v>9532</c:v>
                </c:pt>
                <c:pt idx="3">
                  <c:v>7993</c:v>
                </c:pt>
                <c:pt idx="4">
                  <c:v>26494</c:v>
                </c:pt>
                <c:pt idx="5">
                  <c:v>9086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A41-4C85-98DD-E48B27BDB6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772601528"/>
        <c:axId val="772612328"/>
        <c:axId val="782712672"/>
      </c:bar3DChart>
      <c:catAx>
        <c:axId val="772601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2612328"/>
        <c:crosses val="autoZero"/>
        <c:auto val="1"/>
        <c:lblAlgn val="ctr"/>
        <c:lblOffset val="100"/>
        <c:noMultiLvlLbl val="0"/>
      </c:catAx>
      <c:valAx>
        <c:axId val="772612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2601528"/>
        <c:crosses val="autoZero"/>
        <c:crossBetween val="between"/>
      </c:valAx>
      <c:serAx>
        <c:axId val="78271267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2612328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[Spotify social media performace data_task4.xlsx]4.3OptimalContentTypePlatform!PivotTable20</c:name>
    <c:fmtId val="0"/>
  </c:pivotSource>
  <c:chart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'4.3OptimalContentTypePlatform'!$Q$4</c:f>
              <c:strCache>
                <c:ptCount val="1"/>
                <c:pt idx="0">
                  <c:v>Average of Likes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cat>
            <c:multiLvlStrRef>
              <c:f>'4.3OptimalContentTypePlatform'!$P$5:$P$14</c:f>
              <c:multiLvlStrCache>
                <c:ptCount val="6"/>
                <c:lvl>
                  <c:pt idx="0">
                    <c:v>YouTube</c:v>
                  </c:pt>
                  <c:pt idx="1">
                    <c:v>Instagram</c:v>
                  </c:pt>
                  <c:pt idx="2">
                    <c:v>Twitter</c:v>
                  </c:pt>
                  <c:pt idx="3">
                    <c:v>Instagram</c:v>
                  </c:pt>
                  <c:pt idx="4">
                    <c:v>Twitter</c:v>
                  </c:pt>
                  <c:pt idx="5">
                    <c:v>YouTube</c:v>
                  </c:pt>
                </c:lvl>
                <c:lvl>
                  <c:pt idx="0">
                    <c:v>Reel</c:v>
                  </c:pt>
                  <c:pt idx="1">
                    <c:v>Story</c:v>
                  </c:pt>
                  <c:pt idx="3">
                    <c:v>Text</c:v>
                  </c:pt>
                </c:lvl>
              </c:multiLvlStrCache>
            </c:multiLvlStrRef>
          </c:cat>
          <c:val>
            <c:numRef>
              <c:f>'4.3OptimalContentTypePlatform'!$Q$5:$Q$14</c:f>
              <c:numCache>
                <c:formatCode>0</c:formatCode>
                <c:ptCount val="6"/>
                <c:pt idx="0">
                  <c:v>3099</c:v>
                </c:pt>
                <c:pt idx="1">
                  <c:v>2687.608695652174</c:v>
                </c:pt>
                <c:pt idx="2">
                  <c:v>3127.6206896551726</c:v>
                </c:pt>
                <c:pt idx="3">
                  <c:v>2873.6060606060605</c:v>
                </c:pt>
                <c:pt idx="4">
                  <c:v>2921.1803278688526</c:v>
                </c:pt>
                <c:pt idx="5">
                  <c:v>3104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21-43E8-9A1C-81D8A750BE58}"/>
            </c:ext>
          </c:extLst>
        </c:ser>
        <c:ser>
          <c:idx val="1"/>
          <c:order val="1"/>
          <c:tx>
            <c:strRef>
              <c:f>'4.3OptimalContentTypePlatform'!$R$4</c:f>
              <c:strCache>
                <c:ptCount val="1"/>
                <c:pt idx="0">
                  <c:v>Average of Impressions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cat>
            <c:multiLvlStrRef>
              <c:f>'4.3OptimalContentTypePlatform'!$P$5:$P$14</c:f>
              <c:multiLvlStrCache>
                <c:ptCount val="6"/>
                <c:lvl>
                  <c:pt idx="0">
                    <c:v>YouTube</c:v>
                  </c:pt>
                  <c:pt idx="1">
                    <c:v>Instagram</c:v>
                  </c:pt>
                  <c:pt idx="2">
                    <c:v>Twitter</c:v>
                  </c:pt>
                  <c:pt idx="3">
                    <c:v>Instagram</c:v>
                  </c:pt>
                  <c:pt idx="4">
                    <c:v>Twitter</c:v>
                  </c:pt>
                  <c:pt idx="5">
                    <c:v>YouTube</c:v>
                  </c:pt>
                </c:lvl>
                <c:lvl>
                  <c:pt idx="0">
                    <c:v>Reel</c:v>
                  </c:pt>
                  <c:pt idx="1">
                    <c:v>Story</c:v>
                  </c:pt>
                  <c:pt idx="3">
                    <c:v>Text</c:v>
                  </c:pt>
                </c:lvl>
              </c:multiLvlStrCache>
            </c:multiLvlStrRef>
          </c:cat>
          <c:val>
            <c:numRef>
              <c:f>'4.3OptimalContentTypePlatform'!$R$5:$R$14</c:f>
              <c:numCache>
                <c:formatCode>0</c:formatCode>
                <c:ptCount val="6"/>
                <c:pt idx="0">
                  <c:v>42546.65517241379</c:v>
                </c:pt>
                <c:pt idx="1">
                  <c:v>37626.34782608696</c:v>
                </c:pt>
                <c:pt idx="2">
                  <c:v>42215.747126436785</c:v>
                </c:pt>
                <c:pt idx="3">
                  <c:v>40728.530303030304</c:v>
                </c:pt>
                <c:pt idx="4">
                  <c:v>40429.163934426229</c:v>
                </c:pt>
                <c:pt idx="5">
                  <c:v>45415.911764705881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221-43E8-9A1C-81D8A750BE58}"/>
            </c:ext>
          </c:extLst>
        </c:ser>
        <c:ser>
          <c:idx val="2"/>
          <c:order val="2"/>
          <c:tx>
            <c:strRef>
              <c:f>'4.3OptimalContentTypePlatform'!$S$4</c:f>
              <c:strCache>
                <c:ptCount val="1"/>
                <c:pt idx="0">
                  <c:v>Average of Comments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cat>
            <c:multiLvlStrRef>
              <c:f>'4.3OptimalContentTypePlatform'!$P$5:$P$14</c:f>
              <c:multiLvlStrCache>
                <c:ptCount val="6"/>
                <c:lvl>
                  <c:pt idx="0">
                    <c:v>YouTube</c:v>
                  </c:pt>
                  <c:pt idx="1">
                    <c:v>Instagram</c:v>
                  </c:pt>
                  <c:pt idx="2">
                    <c:v>Twitter</c:v>
                  </c:pt>
                  <c:pt idx="3">
                    <c:v>Instagram</c:v>
                  </c:pt>
                  <c:pt idx="4">
                    <c:v>Twitter</c:v>
                  </c:pt>
                  <c:pt idx="5">
                    <c:v>YouTube</c:v>
                  </c:pt>
                </c:lvl>
                <c:lvl>
                  <c:pt idx="0">
                    <c:v>Reel</c:v>
                  </c:pt>
                  <c:pt idx="1">
                    <c:v>Story</c:v>
                  </c:pt>
                  <c:pt idx="3">
                    <c:v>Text</c:v>
                  </c:pt>
                </c:lvl>
              </c:multiLvlStrCache>
            </c:multiLvlStrRef>
          </c:cat>
          <c:val>
            <c:numRef>
              <c:f>'4.3OptimalContentTypePlatform'!$S$5:$S$14</c:f>
              <c:numCache>
                <c:formatCode>0</c:formatCode>
                <c:ptCount val="6"/>
                <c:pt idx="0">
                  <c:v>235.37931034482759</c:v>
                </c:pt>
                <c:pt idx="1">
                  <c:v>245.91304347826087</c:v>
                </c:pt>
                <c:pt idx="2">
                  <c:v>211.97701149425288</c:v>
                </c:pt>
                <c:pt idx="3">
                  <c:v>229.72727272727272</c:v>
                </c:pt>
                <c:pt idx="4">
                  <c:v>215.32786885245901</c:v>
                </c:pt>
                <c:pt idx="5">
                  <c:v>230.73529411764707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221-43E8-9A1C-81D8A750BE58}"/>
            </c:ext>
          </c:extLst>
        </c:ser>
        <c:ser>
          <c:idx val="3"/>
          <c:order val="3"/>
          <c:tx>
            <c:strRef>
              <c:f>'4.3OptimalContentTypePlatform'!$T$4</c:f>
              <c:strCache>
                <c:ptCount val="1"/>
                <c:pt idx="0">
                  <c:v>Average of Reach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cat>
            <c:multiLvlStrRef>
              <c:f>'4.3OptimalContentTypePlatform'!$P$5:$P$14</c:f>
              <c:multiLvlStrCache>
                <c:ptCount val="6"/>
                <c:lvl>
                  <c:pt idx="0">
                    <c:v>YouTube</c:v>
                  </c:pt>
                  <c:pt idx="1">
                    <c:v>Instagram</c:v>
                  </c:pt>
                  <c:pt idx="2">
                    <c:v>Twitter</c:v>
                  </c:pt>
                  <c:pt idx="3">
                    <c:v>Instagram</c:v>
                  </c:pt>
                  <c:pt idx="4">
                    <c:v>Twitter</c:v>
                  </c:pt>
                  <c:pt idx="5">
                    <c:v>YouTube</c:v>
                  </c:pt>
                </c:lvl>
                <c:lvl>
                  <c:pt idx="0">
                    <c:v>Reel</c:v>
                  </c:pt>
                  <c:pt idx="1">
                    <c:v>Story</c:v>
                  </c:pt>
                  <c:pt idx="3">
                    <c:v>Text</c:v>
                  </c:pt>
                </c:lvl>
              </c:multiLvlStrCache>
            </c:multiLvlStrRef>
          </c:cat>
          <c:val>
            <c:numRef>
              <c:f>'4.3OptimalContentTypePlatform'!$T$5:$T$14</c:f>
              <c:numCache>
                <c:formatCode>0</c:formatCode>
                <c:ptCount val="6"/>
                <c:pt idx="0">
                  <c:v>42312.448275862072</c:v>
                </c:pt>
                <c:pt idx="1">
                  <c:v>49179.17391304348</c:v>
                </c:pt>
                <c:pt idx="2">
                  <c:v>44382.505747126437</c:v>
                </c:pt>
                <c:pt idx="3">
                  <c:v>46817.848484848488</c:v>
                </c:pt>
                <c:pt idx="4">
                  <c:v>44063.426229508194</c:v>
                </c:pt>
                <c:pt idx="5">
                  <c:v>44703.088235294119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221-43E8-9A1C-81D8A750BE58}"/>
            </c:ext>
          </c:extLst>
        </c:ser>
        <c:ser>
          <c:idx val="4"/>
          <c:order val="4"/>
          <c:tx>
            <c:strRef>
              <c:f>'4.3OptimalContentTypePlatform'!$U$4</c:f>
              <c:strCache>
                <c:ptCount val="1"/>
                <c:pt idx="0">
                  <c:v>Average of Shares</c:v>
                </c:pt>
              </c:strCache>
            </c:strRef>
          </c:tx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cat>
            <c:multiLvlStrRef>
              <c:f>'4.3OptimalContentTypePlatform'!$P$5:$P$14</c:f>
              <c:multiLvlStrCache>
                <c:ptCount val="6"/>
                <c:lvl>
                  <c:pt idx="0">
                    <c:v>YouTube</c:v>
                  </c:pt>
                  <c:pt idx="1">
                    <c:v>Instagram</c:v>
                  </c:pt>
                  <c:pt idx="2">
                    <c:v>Twitter</c:v>
                  </c:pt>
                  <c:pt idx="3">
                    <c:v>Instagram</c:v>
                  </c:pt>
                  <c:pt idx="4">
                    <c:v>Twitter</c:v>
                  </c:pt>
                  <c:pt idx="5">
                    <c:v>YouTube</c:v>
                  </c:pt>
                </c:lvl>
                <c:lvl>
                  <c:pt idx="0">
                    <c:v>Reel</c:v>
                  </c:pt>
                  <c:pt idx="1">
                    <c:v>Story</c:v>
                  </c:pt>
                  <c:pt idx="3">
                    <c:v>Text</c:v>
                  </c:pt>
                </c:lvl>
              </c:multiLvlStrCache>
            </c:multiLvlStrRef>
          </c:cat>
          <c:val>
            <c:numRef>
              <c:f>'4.3OptimalContentTypePlatform'!$U$5:$U$14</c:f>
              <c:numCache>
                <c:formatCode>0</c:formatCode>
                <c:ptCount val="6"/>
                <c:pt idx="0">
                  <c:v>313.31034482758622</c:v>
                </c:pt>
                <c:pt idx="1">
                  <c:v>347.52173913043481</c:v>
                </c:pt>
                <c:pt idx="2">
                  <c:v>304.5287356321839</c:v>
                </c:pt>
                <c:pt idx="3">
                  <c:v>322.60606060606062</c:v>
                </c:pt>
                <c:pt idx="4">
                  <c:v>311.5409836065574</c:v>
                </c:pt>
                <c:pt idx="5">
                  <c:v>280.35294117647061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221-43E8-9A1C-81D8A750BE58}"/>
            </c:ext>
          </c:extLst>
        </c:ser>
        <c:ser>
          <c:idx val="5"/>
          <c:order val="5"/>
          <c:tx>
            <c:strRef>
              <c:f>'4.3OptimalContentTypePlatform'!$V$4</c:f>
              <c:strCache>
                <c:ptCount val="1"/>
                <c:pt idx="0">
                  <c:v>Sum of Clicks</c:v>
                </c:pt>
              </c:strCache>
            </c:strRef>
          </c:tx>
          <c:spPr>
            <a:solidFill>
              <a:schemeClr val="accent6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cat>
            <c:multiLvlStrRef>
              <c:f>'4.3OptimalContentTypePlatform'!$P$5:$P$14</c:f>
              <c:multiLvlStrCache>
                <c:ptCount val="6"/>
                <c:lvl>
                  <c:pt idx="0">
                    <c:v>YouTube</c:v>
                  </c:pt>
                  <c:pt idx="1">
                    <c:v>Instagram</c:v>
                  </c:pt>
                  <c:pt idx="2">
                    <c:v>Twitter</c:v>
                  </c:pt>
                  <c:pt idx="3">
                    <c:v>Instagram</c:v>
                  </c:pt>
                  <c:pt idx="4">
                    <c:v>Twitter</c:v>
                  </c:pt>
                  <c:pt idx="5">
                    <c:v>YouTube</c:v>
                  </c:pt>
                </c:lvl>
                <c:lvl>
                  <c:pt idx="0">
                    <c:v>Reel</c:v>
                  </c:pt>
                  <c:pt idx="1">
                    <c:v>Story</c:v>
                  </c:pt>
                  <c:pt idx="3">
                    <c:v>Text</c:v>
                  </c:pt>
                </c:lvl>
              </c:multiLvlStrCache>
            </c:multiLvlStrRef>
          </c:cat>
          <c:val>
            <c:numRef>
              <c:f>'4.3OptimalContentTypePlatform'!$V$5:$V$14</c:f>
              <c:numCache>
                <c:formatCode>0</c:formatCode>
                <c:ptCount val="6"/>
                <c:pt idx="0">
                  <c:v>5557</c:v>
                </c:pt>
                <c:pt idx="1">
                  <c:v>4614</c:v>
                </c:pt>
                <c:pt idx="2">
                  <c:v>16014</c:v>
                </c:pt>
                <c:pt idx="3">
                  <c:v>12803</c:v>
                </c:pt>
                <c:pt idx="4">
                  <c:v>11520</c:v>
                </c:pt>
                <c:pt idx="5">
                  <c:v>7088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221-43E8-9A1C-81D8A750BE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axId val="626722440"/>
        <c:axId val="626719560"/>
      </c:barChart>
      <c:catAx>
        <c:axId val="6267224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6719560"/>
        <c:crosses val="autoZero"/>
        <c:auto val="1"/>
        <c:lblAlgn val="ctr"/>
        <c:lblOffset val="100"/>
        <c:noMultiLvlLbl val="0"/>
      </c:catAx>
      <c:valAx>
        <c:axId val="62671956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6722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2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>
            <a:lumMod val="75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>
            <a:lumMod val="75000"/>
          </a:schemeClr>
        </a:solidFill>
      </a:ln>
      <a:scene3d>
        <a:camera prst="orthographicFront"/>
        <a:lightRig rig="threePt" dir="t"/>
      </a:scene3d>
      <a:sp3d prstMaterial="translucentPowder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  <a:ln>
        <a:solidFill>
          <a:schemeClr val="phClr">
            <a:lumMod val="7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lt1"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16</xdr:row>
      <xdr:rowOff>96208</xdr:rowOff>
    </xdr:from>
    <xdr:ext cx="8401771" cy="96106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BF2E2F3-4D22-4C82-91D3-10B129DBC664}"/>
            </a:ext>
          </a:extLst>
        </xdr:cNvPr>
        <xdr:cNvSpPr txBox="1"/>
      </xdr:nvSpPr>
      <xdr:spPr>
        <a:xfrm>
          <a:off x="609600" y="3144208"/>
          <a:ext cx="8401771" cy="961067"/>
        </a:xfrm>
        <a:prstGeom prst="rect">
          <a:avLst/>
        </a:prstGeom>
        <a:solidFill>
          <a:srgbClr val="C0504D">
            <a:lumMod val="20000"/>
            <a:lumOff val="80000"/>
          </a:srgbClr>
        </a:solidFill>
        <a:ln w="6350">
          <a:solidFill>
            <a:srgbClr val="000000">
              <a:lumMod val="65000"/>
              <a:lumOff val="35000"/>
            </a:srgbClr>
          </a:solidFill>
        </a:ln>
        <a:effectLst/>
      </xdr:spPr>
      <xdr:txBody>
        <a:bodyPr vertOverflow="clip" horzOverflow="clip" wrap="non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14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cs typeface="Calibri"/>
            </a:rPr>
            <a:t>Conclusion:</a:t>
          </a:r>
          <a:endParaRPr kumimoji="0" lang="en-IN" sz="14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/>
            <a:ea typeface="+mn-ea"/>
            <a:cs typeface="Calibri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+mn-ea"/>
              <a:cs typeface="Calibri"/>
            </a:rPr>
            <a:t>●  As we can see from the Pivot table, #NowPlaying is the most used hashtags but engagement of each criteria varies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+mn-ea"/>
              <a:cs typeface="Calibri"/>
            </a:rPr>
            <a:t>    according among other hashtags. Though #MusicForEveryone and #SpotifyWrapped shows the most engagements being low in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+mn-ea"/>
              <a:cs typeface="Calibri"/>
            </a:rPr>
            <a:t>    freqency.</a:t>
          </a:r>
          <a:endParaRPr kumimoji="0" lang="en-IN" sz="12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/>
            <a:ea typeface="+mn-ea"/>
            <a:cs typeface="Calibri"/>
          </a:endParaRPr>
        </a:p>
      </xdr:txBody>
    </xdr:sp>
    <xdr:clientData/>
  </xdr:oneCellAnchor>
  <xdr:oneCellAnchor>
    <xdr:from>
      <xdr:col>1</xdr:col>
      <xdr:colOff>23133</xdr:colOff>
      <xdr:row>11</xdr:row>
      <xdr:rowOff>7844</xdr:rowOff>
    </xdr:from>
    <xdr:ext cx="8145243" cy="787774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323AD90-959E-4482-A145-AE40398AAF94}"/>
            </a:ext>
          </a:extLst>
        </xdr:cNvPr>
        <xdr:cNvSpPr txBox="1"/>
      </xdr:nvSpPr>
      <xdr:spPr>
        <a:xfrm>
          <a:off x="632733" y="2484344"/>
          <a:ext cx="8145243" cy="787774"/>
        </a:xfrm>
        <a:prstGeom prst="rect">
          <a:avLst/>
        </a:prstGeom>
        <a:solidFill>
          <a:srgbClr val="C0504D">
            <a:lumMod val="20000"/>
            <a:lumOff val="80000"/>
          </a:srgbClr>
        </a:solidFill>
        <a:ln w="6350">
          <a:solidFill>
            <a:srgbClr val="000000">
              <a:lumMod val="65000"/>
              <a:lumOff val="35000"/>
            </a:srgbClr>
          </a:solidFill>
        </a:ln>
        <a:effectLst/>
      </xdr:spPr>
      <xdr:txBody>
        <a:bodyPr vertOverflow="clip" horzOverflow="clip" wrap="non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14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cs typeface="Calibri"/>
            </a:rPr>
            <a:t>Steps Taken: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+mn-ea"/>
              <a:cs typeface="Calibri"/>
            </a:rPr>
            <a:t>● Using Power Query I've calculated the frequencies of Hashtags being used during caimpaigns also avg_value's of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+mn-ea"/>
              <a:cs typeface="Calibri"/>
            </a:rPr>
            <a:t>   Engagement for each criteria is taken into consideration.</a:t>
          </a:r>
          <a:endParaRPr kumimoji="0" lang="en-IN" sz="12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/>
            <a:cs typeface="Calibri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IN" sz="12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/>
            <a:cs typeface="Calibri"/>
          </a:endParaRPr>
        </a:p>
      </xdr:txBody>
    </xdr:sp>
    <xdr:clientData/>
  </xdr:oneCellAnchor>
  <xdr:oneCellAnchor>
    <xdr:from>
      <xdr:col>1</xdr:col>
      <xdr:colOff>12886</xdr:colOff>
      <xdr:row>7</xdr:row>
      <xdr:rowOff>0</xdr:rowOff>
    </xdr:from>
    <xdr:ext cx="5881408" cy="60960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AC53BA3D-02D4-49A8-88E4-FDB2283F4E80}"/>
            </a:ext>
          </a:extLst>
        </xdr:cNvPr>
        <xdr:cNvSpPr txBox="1"/>
      </xdr:nvSpPr>
      <xdr:spPr>
        <a:xfrm>
          <a:off x="622486" y="1714500"/>
          <a:ext cx="5881408" cy="609600"/>
        </a:xfrm>
        <a:prstGeom prst="rect">
          <a:avLst/>
        </a:prstGeom>
        <a:solidFill>
          <a:srgbClr val="C0504D">
            <a:lumMod val="20000"/>
            <a:lumOff val="80000"/>
          </a:srgbClr>
        </a:solidFill>
        <a:ln w="6350">
          <a:solidFill>
            <a:srgbClr val="000000">
              <a:lumMod val="65000"/>
              <a:lumOff val="35000"/>
            </a:srgbClr>
          </a:solidFill>
        </a:ln>
        <a:effectLst/>
      </xdr:spPr>
      <xdr:txBody>
        <a:bodyPr vertOverflow="clip" horzOverflow="clip" wrap="squar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14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cs typeface="Calibri"/>
            </a:rPr>
            <a:t>Criteria:</a:t>
          </a:r>
          <a:endParaRPr kumimoji="0" lang="en-IN" sz="14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/>
            <a:ea typeface="+mn-ea"/>
            <a:cs typeface="Calibri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+mn-ea"/>
              <a:cs typeface="Calibri"/>
            </a:rPr>
            <a:t>● Most frequent hashtags and average engagement for each.</a:t>
          </a:r>
          <a:endParaRPr kumimoji="0" lang="en-IN" sz="12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/>
            <a:cs typeface="Calibri"/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0</xdr:colOff>
      <xdr:row>22</xdr:row>
      <xdr:rowOff>10483</xdr:rowOff>
    </xdr:from>
    <xdr:ext cx="8401771" cy="853249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CB2A8F60-14B4-4D9A-AF5E-243485215A47}"/>
            </a:ext>
          </a:extLst>
        </xdr:cNvPr>
        <xdr:cNvSpPr txBox="1"/>
      </xdr:nvSpPr>
      <xdr:spPr>
        <a:xfrm>
          <a:off x="7534275" y="4306258"/>
          <a:ext cx="8401771" cy="853249"/>
        </a:xfrm>
        <a:prstGeom prst="rect">
          <a:avLst/>
        </a:prstGeom>
        <a:solidFill>
          <a:srgbClr val="C0504D">
            <a:lumMod val="20000"/>
            <a:lumOff val="80000"/>
          </a:srgbClr>
        </a:solidFill>
        <a:ln w="6350">
          <a:solidFill>
            <a:srgbClr val="000000">
              <a:lumMod val="65000"/>
              <a:lumOff val="35000"/>
            </a:srgbClr>
          </a:solidFill>
        </a:ln>
        <a:effectLst/>
      </xdr:spPr>
      <xdr:txBody>
        <a:bodyPr vertOverflow="clip" horzOverflow="clip" wrap="non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14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cs typeface="Calibri"/>
            </a:rPr>
            <a:t>Conclusion:</a:t>
          </a:r>
          <a:endParaRPr kumimoji="0" lang="en-IN" sz="14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/>
            <a:ea typeface="+mn-ea"/>
            <a:cs typeface="Calibri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+mn-ea"/>
              <a:cs typeface="Calibri"/>
            </a:rPr>
            <a:t>●  From the pivot table generated we can conclude that among three content types performance can be concluded as below: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12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+mn-ea"/>
              <a:cs typeface="Calibri"/>
            </a:rPr>
            <a:t>		Text Type - Instagram, Story Type - Twitter, Reel - YouTube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12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+mn-ea"/>
              <a:cs typeface="Calibri"/>
            </a:rPr>
            <a:t>     </a:t>
          </a:r>
          <a:r>
            <a:rPr kumimoji="0" lang="en-IN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+mn-ea"/>
              <a:cs typeface="Calibri"/>
            </a:rPr>
            <a:t>performs the best.</a:t>
          </a:r>
        </a:p>
      </xdr:txBody>
    </xdr:sp>
    <xdr:clientData/>
  </xdr:oneCellAnchor>
  <xdr:oneCellAnchor>
    <xdr:from>
      <xdr:col>15</xdr:col>
      <xdr:colOff>23133</xdr:colOff>
      <xdr:row>16</xdr:row>
      <xdr:rowOff>169769</xdr:rowOff>
    </xdr:from>
    <xdr:ext cx="8145243" cy="787774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F50731B6-3D50-4474-A0FE-A32595069A50}"/>
            </a:ext>
          </a:extLst>
        </xdr:cNvPr>
        <xdr:cNvSpPr txBox="1"/>
      </xdr:nvSpPr>
      <xdr:spPr>
        <a:xfrm>
          <a:off x="7557408" y="3265394"/>
          <a:ext cx="8145243" cy="787774"/>
        </a:xfrm>
        <a:prstGeom prst="rect">
          <a:avLst/>
        </a:prstGeom>
        <a:solidFill>
          <a:srgbClr val="C0504D">
            <a:lumMod val="20000"/>
            <a:lumOff val="80000"/>
          </a:srgbClr>
        </a:solidFill>
        <a:ln w="6350">
          <a:solidFill>
            <a:srgbClr val="000000">
              <a:lumMod val="65000"/>
              <a:lumOff val="35000"/>
            </a:srgbClr>
          </a:solidFill>
        </a:ln>
        <a:effectLst/>
      </xdr:spPr>
      <xdr:txBody>
        <a:bodyPr vertOverflow="clip" horzOverflow="clip" wrap="non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14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cs typeface="Calibri"/>
            </a:rPr>
            <a:t>Steps Taken: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+mn-ea"/>
              <a:cs typeface="Calibri"/>
            </a:rPr>
            <a:t>● Using Pivot table I've compared the performance of various social media platform for different engagement criteria.</a:t>
          </a:r>
          <a:endParaRPr kumimoji="0" lang="en-IN" sz="12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/>
            <a:cs typeface="Calibri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IN" sz="12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/>
            <a:cs typeface="Calibri"/>
          </a:endParaRPr>
        </a:p>
      </xdr:txBody>
    </xdr:sp>
    <xdr:clientData/>
  </xdr:oneCellAnchor>
  <xdr:oneCellAnchor>
    <xdr:from>
      <xdr:col>15</xdr:col>
      <xdr:colOff>12886</xdr:colOff>
      <xdr:row>13</xdr:row>
      <xdr:rowOff>0</xdr:rowOff>
    </xdr:from>
    <xdr:ext cx="5881408" cy="60960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5703F677-206B-4E7F-98F4-4EFB4626A1E3}"/>
            </a:ext>
          </a:extLst>
        </xdr:cNvPr>
        <xdr:cNvSpPr txBox="1"/>
      </xdr:nvSpPr>
      <xdr:spPr>
        <a:xfrm>
          <a:off x="7547161" y="2495550"/>
          <a:ext cx="5881408" cy="609600"/>
        </a:xfrm>
        <a:prstGeom prst="rect">
          <a:avLst/>
        </a:prstGeom>
        <a:solidFill>
          <a:srgbClr val="C0504D">
            <a:lumMod val="20000"/>
            <a:lumOff val="80000"/>
          </a:srgbClr>
        </a:solidFill>
        <a:ln w="6350">
          <a:solidFill>
            <a:srgbClr val="000000">
              <a:lumMod val="65000"/>
              <a:lumOff val="35000"/>
            </a:srgbClr>
          </a:solidFill>
        </a:ln>
        <a:effectLst/>
      </xdr:spPr>
      <xdr:txBody>
        <a:bodyPr vertOverflow="clip" horzOverflow="clip" wrap="squar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14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cs typeface="Calibri"/>
            </a:rPr>
            <a:t>Criteria:</a:t>
          </a:r>
          <a:endParaRPr kumimoji="0" lang="en-IN" sz="14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/>
            <a:ea typeface="+mn-ea"/>
            <a:cs typeface="Calibri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+mn-ea"/>
              <a:cs typeface="Calibri"/>
            </a:rPr>
            <a:t>● Compare content tpes (Text,Story,Reel) performance across platforms.</a:t>
          </a:r>
          <a:endParaRPr kumimoji="0" lang="en-IN" sz="12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/>
            <a:cs typeface="Calibri"/>
          </a:endParaRPr>
        </a:p>
      </xdr:txBody>
    </xdr:sp>
    <xdr:clientData/>
  </xdr:oneCellAnchor>
  <xdr:twoCellAnchor>
    <xdr:from>
      <xdr:col>23</xdr:col>
      <xdr:colOff>409014</xdr:colOff>
      <xdr:row>0</xdr:row>
      <xdr:rowOff>169208</xdr:rowOff>
    </xdr:from>
    <xdr:to>
      <xdr:col>32</xdr:col>
      <xdr:colOff>78441</xdr:colOff>
      <xdr:row>20</xdr:row>
      <xdr:rowOff>179294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1DCD939F-1DFA-4F6B-F6F7-964C46D4E2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9524</xdr:colOff>
      <xdr:row>14</xdr:row>
      <xdr:rowOff>190499</xdr:rowOff>
    </xdr:from>
    <xdr:to>
      <xdr:col>20</xdr:col>
      <xdr:colOff>409574</xdr:colOff>
      <xdr:row>34</xdr:row>
      <xdr:rowOff>66674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898FB70-85F4-71B2-4B46-8C25B2A8F2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22</xdr:col>
      <xdr:colOff>0</xdr:colOff>
      <xdr:row>13</xdr:row>
      <xdr:rowOff>149028</xdr:rowOff>
    </xdr:from>
    <xdr:ext cx="8401771" cy="853249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305D4693-1B61-4888-A8AA-1D78853E116E}"/>
            </a:ext>
          </a:extLst>
        </xdr:cNvPr>
        <xdr:cNvSpPr txBox="1"/>
      </xdr:nvSpPr>
      <xdr:spPr>
        <a:xfrm>
          <a:off x="15729857" y="2666349"/>
          <a:ext cx="8401771" cy="853249"/>
        </a:xfrm>
        <a:prstGeom prst="rect">
          <a:avLst/>
        </a:prstGeom>
        <a:solidFill>
          <a:srgbClr val="C0504D">
            <a:lumMod val="20000"/>
            <a:lumOff val="80000"/>
          </a:srgbClr>
        </a:solidFill>
        <a:ln w="6350">
          <a:solidFill>
            <a:srgbClr val="000000">
              <a:lumMod val="65000"/>
              <a:lumOff val="35000"/>
            </a:srgbClr>
          </a:solidFill>
        </a:ln>
        <a:effectLst/>
      </xdr:spPr>
      <xdr:txBody>
        <a:bodyPr vertOverflow="clip" horzOverflow="clip" wrap="non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14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cs typeface="Calibri"/>
            </a:rPr>
            <a:t>Conclusion:</a:t>
          </a:r>
          <a:endParaRPr kumimoji="0" lang="en-IN" sz="14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/>
            <a:ea typeface="+mn-ea"/>
            <a:cs typeface="Calibri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+mn-ea"/>
              <a:cs typeface="Calibri"/>
            </a:rPr>
            <a:t>●  From the pivot table generated we can conclude that among three content types performance can be concluded as below: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12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+mn-ea"/>
              <a:cs typeface="Calibri"/>
            </a:rPr>
            <a:t>		Text Type - Instagram &amp; Twitter,  Story Type - Twitter &amp; Instagram, Reel - YouTube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12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+mn-ea"/>
              <a:cs typeface="Calibri"/>
            </a:rPr>
            <a:t>     </a:t>
          </a:r>
          <a:r>
            <a:rPr kumimoji="0" lang="en-IN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+mn-ea"/>
              <a:cs typeface="Calibri"/>
            </a:rPr>
            <a:t>performs the best in the combination.</a:t>
          </a:r>
        </a:p>
      </xdr:txBody>
    </xdr:sp>
    <xdr:clientData/>
  </xdr:oneCellAnchor>
  <xdr:oneCellAnchor>
    <xdr:from>
      <xdr:col>22</xdr:col>
      <xdr:colOff>23133</xdr:colOff>
      <xdr:row>7</xdr:row>
      <xdr:rowOff>31223</xdr:rowOff>
    </xdr:from>
    <xdr:ext cx="8145243" cy="787774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DD07E8C-7B0A-42C1-A219-E8281F413853}"/>
            </a:ext>
          </a:extLst>
        </xdr:cNvPr>
        <xdr:cNvSpPr txBox="1"/>
      </xdr:nvSpPr>
      <xdr:spPr>
        <a:xfrm>
          <a:off x="15752990" y="1405544"/>
          <a:ext cx="8145243" cy="787774"/>
        </a:xfrm>
        <a:prstGeom prst="rect">
          <a:avLst/>
        </a:prstGeom>
        <a:solidFill>
          <a:srgbClr val="C0504D">
            <a:lumMod val="20000"/>
            <a:lumOff val="80000"/>
          </a:srgbClr>
        </a:solidFill>
        <a:ln w="6350">
          <a:solidFill>
            <a:srgbClr val="000000">
              <a:lumMod val="65000"/>
              <a:lumOff val="35000"/>
            </a:srgbClr>
          </a:solidFill>
        </a:ln>
        <a:effectLst/>
      </xdr:spPr>
      <xdr:txBody>
        <a:bodyPr vertOverflow="clip" horzOverflow="clip" wrap="non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14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cs typeface="Calibri"/>
            </a:rPr>
            <a:t>Steps Taken: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+mn-ea"/>
              <a:cs typeface="Calibri"/>
            </a:rPr>
            <a:t>● Using Pivot table we can get the combination of content type-Platform used</a:t>
          </a:r>
          <a:endParaRPr kumimoji="0" lang="en-IN" sz="12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/>
            <a:cs typeface="Calibri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IN" sz="12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/>
            <a:cs typeface="Calibri"/>
          </a:endParaRPr>
        </a:p>
      </xdr:txBody>
    </xdr:sp>
    <xdr:clientData/>
  </xdr:oneCellAnchor>
  <xdr:oneCellAnchor>
    <xdr:from>
      <xdr:col>22</xdr:col>
      <xdr:colOff>12886</xdr:colOff>
      <xdr:row>3</xdr:row>
      <xdr:rowOff>0</xdr:rowOff>
    </xdr:from>
    <xdr:ext cx="5881408" cy="60960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F3BC1D9A-F9A9-4ADC-B197-32EE3CAC958E}"/>
            </a:ext>
          </a:extLst>
        </xdr:cNvPr>
        <xdr:cNvSpPr txBox="1"/>
      </xdr:nvSpPr>
      <xdr:spPr>
        <a:xfrm>
          <a:off x="15742743" y="612321"/>
          <a:ext cx="5881408" cy="609600"/>
        </a:xfrm>
        <a:prstGeom prst="rect">
          <a:avLst/>
        </a:prstGeom>
        <a:solidFill>
          <a:srgbClr val="C0504D">
            <a:lumMod val="20000"/>
            <a:lumOff val="80000"/>
          </a:srgbClr>
        </a:solidFill>
        <a:ln w="6350">
          <a:solidFill>
            <a:srgbClr val="000000">
              <a:lumMod val="65000"/>
              <a:lumOff val="35000"/>
            </a:srgbClr>
          </a:solidFill>
        </a:ln>
        <a:effectLst/>
      </xdr:spPr>
      <xdr:txBody>
        <a:bodyPr vertOverflow="clip" horzOverflow="clip" wrap="squar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14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cs typeface="Calibri"/>
            </a:rPr>
            <a:t>Criteria:</a:t>
          </a:r>
          <a:endParaRPr kumimoji="0" lang="en-IN" sz="14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/>
            <a:ea typeface="+mn-ea"/>
            <a:cs typeface="Calibri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IN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+mn-ea"/>
              <a:cs typeface="Calibri"/>
            </a:rPr>
            <a:t>● Recommend optimal content type-platform combinations.</a:t>
          </a:r>
          <a:endParaRPr kumimoji="0" lang="en-IN" sz="12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/>
            <a:cs typeface="Calibri"/>
          </a:endParaRPr>
        </a:p>
      </xdr:txBody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5900.315039004628" createdVersion="8" refreshedVersion="8" minRefreshableVersion="3" recordCount="300" xr:uid="{F63C313B-EC2D-47F3-9E2D-8EDA1A905A51}">
  <cacheSource type="worksheet">
    <worksheetSource name="Table1"/>
  </cacheSource>
  <cacheFields count="14">
    <cacheField name="Post ID" numFmtId="0">
      <sharedItems/>
    </cacheField>
    <cacheField name="Platform" numFmtId="0">
      <sharedItems count="3">
        <s v="Instagram"/>
        <s v="Twitter"/>
        <s v="YouTube"/>
      </sharedItems>
    </cacheField>
    <cacheField name="Date" numFmtId="14">
      <sharedItems containsSemiMixedTypes="0" containsNonDate="0" containsDate="1" containsString="0" minDate="2024-01-01T00:00:00" maxDate="2025-07-02T00:00:00"/>
    </cacheField>
    <cacheField name="Content Type" numFmtId="0">
      <sharedItems count="3">
        <s v="Text"/>
        <s v="Story"/>
        <s v="Reel"/>
      </sharedItems>
    </cacheField>
    <cacheField name="Post Text" numFmtId="0">
      <sharedItems/>
    </cacheField>
    <cacheField name="Likes" numFmtId="1">
      <sharedItems containsSemiMixedTypes="0" containsString="0" containsNumber="1" containsInteger="1" minValue="1010" maxValue="4995"/>
    </cacheField>
    <cacheField name="Shares" numFmtId="1">
      <sharedItems containsSemiMixedTypes="0" containsString="0" containsNumber="1" containsInteger="1" minValue="100" maxValue="499"/>
    </cacheField>
    <cacheField name="Comments" numFmtId="1">
      <sharedItems containsSemiMixedTypes="0" containsString="0" containsNumber="1" containsInteger="1" minValue="51" maxValue="400"/>
    </cacheField>
    <cacheField name="Impressions" numFmtId="1">
      <sharedItems containsSemiMixedTypes="0" containsString="0" containsNumber="1" containsInteger="1" minValue="20368" maxValue="59888"/>
    </cacheField>
    <cacheField name="Reach" numFmtId="1">
      <sharedItems containsSemiMixedTypes="0" containsString="0" containsNumber="1" containsInteger="1" minValue="18091" maxValue="74761"/>
    </cacheField>
    <cacheField name="Clicks" numFmtId="1">
      <sharedItems containsSemiMixedTypes="0" containsString="0" containsNumber="1" containsInteger="1" minValue="80" maxValue="299"/>
    </cacheField>
    <cacheField name="Hastag_1" numFmtId="0">
      <sharedItems/>
    </cacheField>
    <cacheField name="Hastag_2" numFmtId="0">
      <sharedItems containsBlank="1"/>
    </cacheField>
    <cacheField name="Campaign_Nam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5900.405876157405" createdVersion="8" refreshedVersion="8" minRefreshableVersion="3" recordCount="300" xr:uid="{0E523D2E-DF3C-4CFC-8261-BBCED85DAE7C}">
  <cacheSource type="worksheet">
    <worksheetSource name="Table1811"/>
  </cacheSource>
  <cacheFields count="14">
    <cacheField name="Post ID" numFmtId="0">
      <sharedItems/>
    </cacheField>
    <cacheField name="Platform" numFmtId="0">
      <sharedItems count="3">
        <s v="Instagram"/>
        <s v="Twitter"/>
        <s v="YouTube"/>
      </sharedItems>
    </cacheField>
    <cacheField name="Date" numFmtId="14">
      <sharedItems containsSemiMixedTypes="0" containsNonDate="0" containsDate="1" containsString="0" minDate="2024-01-01T00:00:00" maxDate="2025-07-02T00:00:00"/>
    </cacheField>
    <cacheField name="Content Type" numFmtId="0">
      <sharedItems count="3">
        <s v="Text"/>
        <s v="Story"/>
        <s v="Reel"/>
      </sharedItems>
    </cacheField>
    <cacheField name="Post Text" numFmtId="0">
      <sharedItems/>
    </cacheField>
    <cacheField name="Likes" numFmtId="1">
      <sharedItems containsSemiMixedTypes="0" containsString="0" containsNumber="1" containsInteger="1" minValue="1010" maxValue="4995" count="290">
        <n v="2414"/>
        <n v="1934"/>
        <n v="3092"/>
        <n v="3173"/>
        <n v="2748"/>
        <n v="3882"/>
        <n v="4674"/>
        <n v="1428"/>
        <n v="4432"/>
        <n v="2357"/>
        <n v="1971"/>
        <n v="1485"/>
        <n v="3956"/>
        <n v="2460"/>
        <n v="3476"/>
        <n v="4049"/>
        <n v="1514"/>
        <n v="4281"/>
        <n v="1751"/>
        <n v="3753"/>
        <n v="1678"/>
        <n v="4896"/>
        <n v="2786"/>
        <n v="2607"/>
        <n v="4013"/>
        <n v="2707"/>
        <n v="2824"/>
        <n v="3558"/>
        <n v="3418"/>
        <n v="2411"/>
        <n v="4036"/>
        <n v="2776"/>
        <n v="4929"/>
        <n v="1015"/>
        <n v="3316"/>
        <n v="2274"/>
        <n v="4095"/>
        <n v="1230"/>
        <n v="1341"/>
        <n v="3615"/>
        <n v="4001"/>
        <n v="3451"/>
        <n v="4891"/>
        <n v="1452"/>
        <n v="3806"/>
        <n v="2923"/>
        <n v="3361"/>
        <n v="3074"/>
        <n v="4276"/>
        <n v="4401"/>
        <n v="4161"/>
        <n v="2613"/>
        <n v="2842"/>
        <n v="4851"/>
        <n v="1828"/>
        <n v="2422"/>
        <n v="2683"/>
        <n v="3135"/>
        <n v="1105"/>
        <n v="3437"/>
        <n v="1959"/>
        <n v="1035"/>
        <n v="4478"/>
        <n v="1488"/>
        <n v="4836"/>
        <n v="4563"/>
        <n v="3276"/>
        <n v="1316"/>
        <n v="4811"/>
        <n v="4218"/>
        <n v="1360"/>
        <n v="1085"/>
        <n v="1763"/>
        <n v="1554"/>
        <n v="2464"/>
        <n v="2418"/>
        <n v="2494"/>
        <n v="4781"/>
        <n v="2284"/>
        <n v="4234"/>
        <n v="2102"/>
        <n v="4845"/>
        <n v="4247"/>
        <n v="2965"/>
        <n v="1371"/>
        <n v="4796"/>
        <n v="2601"/>
        <n v="3336"/>
        <n v="1165"/>
        <n v="1948"/>
        <n v="1100"/>
        <n v="4628"/>
        <n v="2319"/>
        <n v="2895"/>
        <n v="3878"/>
        <n v="4969"/>
        <n v="1984"/>
        <n v="3004"/>
        <n v="3169"/>
        <n v="3036"/>
        <n v="1830"/>
        <n v="2587"/>
        <n v="2878"/>
        <n v="4619"/>
        <n v="4090"/>
        <n v="4581"/>
        <n v="3253"/>
        <n v="4955"/>
        <n v="1333"/>
        <n v="1616"/>
        <n v="1803"/>
        <n v="4177"/>
        <n v="1311"/>
        <n v="1516"/>
        <n v="2023"/>
        <n v="2134"/>
        <n v="2266"/>
        <n v="3916"/>
        <n v="1022"/>
        <n v="2911"/>
        <n v="3277"/>
        <n v="2956"/>
        <n v="3208"/>
        <n v="1456"/>
        <n v="1902"/>
        <n v="3219"/>
        <n v="1261"/>
        <n v="1564"/>
        <n v="4006"/>
        <n v="1976"/>
        <n v="1583"/>
        <n v="2870"/>
        <n v="3728"/>
        <n v="4965"/>
        <n v="1131"/>
        <n v="2754"/>
        <n v="1856"/>
        <n v="3543"/>
        <n v="4283"/>
        <n v="2329"/>
        <n v="4287"/>
        <n v="2633"/>
        <n v="2383"/>
        <n v="4752"/>
        <n v="3890"/>
        <n v="2311"/>
        <n v="2962"/>
        <n v="3118"/>
        <n v="3805"/>
        <n v="2525"/>
        <n v="3563"/>
        <n v="1437"/>
        <n v="4425"/>
        <n v="4609"/>
        <n v="1558"/>
        <n v="1889"/>
        <n v="3086"/>
        <n v="3414"/>
        <n v="1342"/>
        <n v="4383"/>
        <n v="4294"/>
        <n v="2762"/>
        <n v="3782"/>
        <n v="4318"/>
        <n v="2335"/>
        <n v="4023"/>
        <n v="3948"/>
        <n v="4598"/>
        <n v="2665"/>
        <n v="3469"/>
        <n v="4823"/>
        <n v="3812"/>
        <n v="2387"/>
        <n v="3929"/>
        <n v="2191"/>
        <n v="3204"/>
        <n v="2408"/>
        <n v="2733"/>
        <n v="4618"/>
        <n v="4210"/>
        <n v="3987"/>
        <n v="4957"/>
        <n v="2605"/>
        <n v="4221"/>
        <n v="4422"/>
        <n v="1211"/>
        <n v="2784"/>
        <n v="3634"/>
        <n v="1771"/>
        <n v="1424"/>
        <n v="1079"/>
        <n v="2033"/>
        <n v="1839"/>
        <n v="2340"/>
        <n v="2080"/>
        <n v="4214"/>
        <n v="3792"/>
        <n v="3989"/>
        <n v="2857"/>
        <n v="1403"/>
        <n v="3071"/>
        <n v="1010"/>
        <n v="1295"/>
        <n v="1433"/>
        <n v="4902"/>
        <n v="2659"/>
        <n v="2599"/>
        <n v="1765"/>
        <n v="2169"/>
        <n v="4303"/>
        <n v="1519"/>
        <n v="2569"/>
        <n v="2778"/>
        <n v="3611"/>
        <n v="1224"/>
        <n v="4673"/>
        <n v="1432"/>
        <n v="2174"/>
        <n v="4308"/>
        <n v="1060"/>
        <n v="4653"/>
        <n v="1701"/>
        <n v="1673"/>
        <n v="4310"/>
        <n v="2752"/>
        <n v="3818"/>
        <n v="2101"/>
        <n v="2519"/>
        <n v="4502"/>
        <n v="2478"/>
        <n v="4984"/>
        <n v="4774"/>
        <n v="2145"/>
        <n v="4315"/>
        <n v="2267"/>
        <n v="4375"/>
        <n v="3817"/>
        <n v="2981"/>
        <n v="3300"/>
        <n v="4722"/>
        <n v="3529"/>
        <n v="4782"/>
        <n v="1848"/>
        <n v="4676"/>
        <n v="1994"/>
        <n v="4995"/>
        <n v="2291"/>
        <n v="2304"/>
        <n v="3413"/>
        <n v="1453"/>
        <n v="1651"/>
        <n v="3341"/>
        <n v="2972"/>
        <n v="4963"/>
        <n v="2399"/>
        <n v="2162"/>
        <n v="4341"/>
        <n v="2448"/>
        <n v="2471"/>
        <n v="2692"/>
        <n v="4621"/>
        <n v="1409"/>
        <n v="3029"/>
        <n v="2229"/>
        <n v="2691"/>
        <n v="2110"/>
        <n v="2177"/>
        <n v="1205"/>
        <n v="3194"/>
        <n v="3507"/>
        <n v="4471"/>
        <n v="4931"/>
        <n v="2604"/>
        <n v="4197"/>
        <n v="1914"/>
        <n v="1334"/>
        <n v="3359"/>
        <n v="2172"/>
        <n v="4877"/>
        <n v="4918"/>
        <n v="2088"/>
        <n v="3061"/>
        <n v="1265"/>
        <n v="1436"/>
        <n v="2244"/>
        <n v="3393"/>
        <n v="2901"/>
        <n v="2275"/>
        <n v="2227"/>
        <n v="1883"/>
      </sharedItems>
    </cacheField>
    <cacheField name="Shares" numFmtId="1">
      <sharedItems containsSemiMixedTypes="0" containsString="0" containsNumber="1" containsInteger="1" minValue="100" maxValue="499"/>
    </cacheField>
    <cacheField name="Comments" numFmtId="1">
      <sharedItems containsSemiMixedTypes="0" containsString="0" containsNumber="1" containsInteger="1" minValue="51" maxValue="400"/>
    </cacheField>
    <cacheField name="Impressions" numFmtId="1">
      <sharedItems containsSemiMixedTypes="0" containsString="0" containsNumber="1" containsInteger="1" minValue="20368" maxValue="59888"/>
    </cacheField>
    <cacheField name="Reach" numFmtId="1">
      <sharedItems containsSemiMixedTypes="0" containsString="0" containsNumber="1" containsInteger="1" minValue="18091" maxValue="74761"/>
    </cacheField>
    <cacheField name="Clicks" numFmtId="1">
      <sharedItems containsSemiMixedTypes="0" containsString="0" containsNumber="1" containsInteger="1" minValue="80" maxValue="299" count="165">
        <n v="133"/>
        <n v="273"/>
        <n v="121"/>
        <n v="272"/>
        <n v="200"/>
        <n v="149"/>
        <n v="212"/>
        <n v="120"/>
        <n v="171"/>
        <n v="284"/>
        <n v="88"/>
        <n v="86"/>
        <n v="213"/>
        <n v="264"/>
        <n v="179"/>
        <n v="172"/>
        <n v="83"/>
        <n v="235"/>
        <n v="95"/>
        <n v="90"/>
        <n v="230"/>
        <n v="84"/>
        <n v="103"/>
        <n v="174"/>
        <n v="232"/>
        <n v="147"/>
        <n v="268"/>
        <n v="206"/>
        <n v="202"/>
        <n v="197"/>
        <n v="279"/>
        <n v="138"/>
        <n v="289"/>
        <n v="287"/>
        <n v="265"/>
        <n v="80"/>
        <n v="195"/>
        <n v="125"/>
        <n v="275"/>
        <n v="211"/>
        <n v="154"/>
        <n v="290"/>
        <n v="201"/>
        <n v="92"/>
        <n v="191"/>
        <n v="148"/>
        <n v="215"/>
        <n v="261"/>
        <n v="87"/>
        <n v="239"/>
        <n v="190"/>
        <n v="259"/>
        <n v="291"/>
        <n v="177"/>
        <n v="220"/>
        <n v="116"/>
        <n v="182"/>
        <n v="237"/>
        <n v="205"/>
        <n v="109"/>
        <n v="227"/>
        <n v="267"/>
        <n v="221"/>
        <n v="107"/>
        <n v="135"/>
        <n v="193"/>
        <n v="270"/>
        <n v="101"/>
        <n v="207"/>
        <n v="128"/>
        <n v="157"/>
        <n v="184"/>
        <n v="180"/>
        <n v="122"/>
        <n v="169"/>
        <n v="160"/>
        <n v="298"/>
        <n v="111"/>
        <n v="82"/>
        <n v="98"/>
        <n v="241"/>
        <n v="114"/>
        <n v="258"/>
        <n v="181"/>
        <n v="218"/>
        <n v="282"/>
        <n v="263"/>
        <n v="132"/>
        <n v="91"/>
        <n v="102"/>
        <n v="118"/>
        <n v="164"/>
        <n v="131"/>
        <n v="194"/>
        <n v="170"/>
        <n v="141"/>
        <n v="251"/>
        <n v="245"/>
        <n v="176"/>
        <n v="277"/>
        <n v="236"/>
        <n v="299"/>
        <n v="173"/>
        <n v="113"/>
        <n v="145"/>
        <n v="224"/>
        <n v="139"/>
        <n v="196"/>
        <n v="127"/>
        <n v="199"/>
        <n v="296"/>
        <n v="105"/>
        <n v="208"/>
        <n v="286"/>
        <n v="219"/>
        <n v="158"/>
        <n v="216"/>
        <n v="293"/>
        <n v="100"/>
        <n v="256"/>
        <n v="168"/>
        <n v="288"/>
        <n v="175"/>
        <n v="278"/>
        <n v="269"/>
        <n v="150"/>
        <n v="178"/>
        <n v="161"/>
        <n v="85"/>
        <n v="281"/>
        <n v="112"/>
        <n v="204"/>
        <n v="240"/>
        <n v="222"/>
        <n v="276"/>
        <n v="117"/>
        <n v="155"/>
        <n v="186"/>
        <n v="255"/>
        <n v="271"/>
        <n v="294"/>
        <n v="257"/>
        <n v="246"/>
        <n v="297"/>
        <n v="214"/>
        <n v="104"/>
        <n v="159"/>
        <n v="130"/>
        <n v="163"/>
        <n v="225"/>
        <n v="96"/>
        <n v="262"/>
        <n v="248"/>
        <n v="146"/>
        <n v="185"/>
        <n v="210"/>
        <n v="126"/>
        <n v="234"/>
        <n v="143"/>
        <n v="295"/>
        <n v="228"/>
        <n v="198"/>
        <n v="156"/>
        <n v="106"/>
        <n v="165"/>
      </sharedItems>
    </cacheField>
    <cacheField name="Hastag_1" numFmtId="0">
      <sharedItems/>
    </cacheField>
    <cacheField name="Hastag_2" numFmtId="0">
      <sharedItems containsBlank="1"/>
    </cacheField>
    <cacheField name="Campaign_Nam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s v="SP001"/>
    <x v="0"/>
    <d v="2025-05-04T00:00:00"/>
    <x v="0"/>
    <s v="Discover fresh beats on Spotify!"/>
    <n v="2414"/>
    <n v="245"/>
    <n v="137"/>
    <n v="21181"/>
    <n v="45292"/>
    <n v="133"/>
    <s v="#SoundtrackOfLife"/>
    <s v="#NowPlaying"/>
    <s v="ChillVibes"/>
  </r>
  <r>
    <s v="SP002"/>
    <x v="0"/>
    <d v="2025-02-01T00:00:00"/>
    <x v="0"/>
    <s v="Explore the latest podcasts now."/>
    <n v="1934"/>
    <n v="210"/>
    <n v="393"/>
    <n v="29129"/>
    <n v="73287"/>
    <n v="273"/>
    <s v="#DiscoverWeekly"/>
    <m/>
    <s v="IndieWave"/>
  </r>
  <r>
    <s v="SP003"/>
    <x v="1"/>
    <d v="2024-12-03T00:00:00"/>
    <x v="1"/>
    <s v="New music just dropped. Hit play!"/>
    <n v="3092"/>
    <n v="177"/>
    <n v="81"/>
    <n v="47533"/>
    <n v="29220"/>
    <n v="121"/>
    <s v="#MusicForEveryone"/>
    <s v="#NowPlaying"/>
    <s v="ChillVibes"/>
  </r>
  <r>
    <s v="SP004"/>
    <x v="0"/>
    <d v="2024-12-03T00:00:00"/>
    <x v="0"/>
    <s v="Wrapped is here! Relive your top tracks"/>
    <n v="3173"/>
    <n v="229"/>
    <n v="197"/>
    <n v="29604"/>
    <n v="21809"/>
    <n v="272"/>
    <s v="#SoundtrackOfLife"/>
    <s v="#NowPlaying"/>
    <s v="ChillVibes"/>
  </r>
  <r>
    <s v="SP005"/>
    <x v="2"/>
    <d v="2024-04-06T00:00:00"/>
    <x v="0"/>
    <s v="Music that moves you only on Spotify."/>
    <n v="2748"/>
    <n v="145"/>
    <n v="315"/>
    <n v="24401"/>
    <n v="61182"/>
    <n v="200"/>
    <s v="#DiscoverWeekly"/>
    <s v="#SpotifyWrapped"/>
    <s v="IndieWave"/>
  </r>
  <r>
    <s v="SP006"/>
    <x v="2"/>
    <d v="2024-06-13T00:00:00"/>
    <x v="0"/>
    <s v="Whats your vibe today?"/>
    <n v="3882"/>
    <n v="239"/>
    <n v="275"/>
    <n v="58748"/>
    <n v="44646"/>
    <n v="149"/>
    <s v="#DiscoverWeekly"/>
    <s v="#SpotifyWrapped"/>
    <s v="IndieWave"/>
  </r>
  <r>
    <s v="SP007"/>
    <x v="1"/>
    <d v="2024-12-19T00:00:00"/>
    <x v="1"/>
    <s v="Get into the groove with our new drop!"/>
    <n v="4674"/>
    <n v="409"/>
    <n v="327"/>
    <n v="20756"/>
    <n v="63599"/>
    <n v="212"/>
    <s v="#SoundtrackOfLife"/>
    <s v="#NowPlaying"/>
    <s v="ChillVibes"/>
  </r>
  <r>
    <s v="SP008"/>
    <x v="1"/>
    <d v="2024-05-09T00:00:00"/>
    <x v="1"/>
    <s v="Wrapped is here! Relive your top tracks"/>
    <n v="1428"/>
    <n v="347"/>
    <n v="67"/>
    <n v="21148"/>
    <n v="19712"/>
    <n v="120"/>
    <s v="#DiscoverWeekly"/>
    <s v="#MusicForEveryone"/>
    <s v="ChillVibes"/>
  </r>
  <r>
    <s v="SP009"/>
    <x v="1"/>
    <d v="2025-06-15T00:00:00"/>
    <x v="0"/>
    <s v="Top trending tracks updated daily!"/>
    <n v="4432"/>
    <n v="223"/>
    <n v="299"/>
    <n v="59016"/>
    <n v="21742"/>
    <n v="171"/>
    <s v="#NowPlaying"/>
    <m/>
    <s v="ChillVibes"/>
  </r>
  <r>
    <s v="SP010"/>
    <x v="1"/>
    <d v="2024-12-04T00:00:00"/>
    <x v="0"/>
    <s v="Wrapped is here! Relive your top tracks"/>
    <n v="2357"/>
    <n v="274"/>
    <n v="172"/>
    <n v="21566"/>
    <n v="66829"/>
    <n v="284"/>
    <s v="#NowPlaying"/>
    <m/>
    <s v="ChillVibes"/>
  </r>
  <r>
    <s v="SP011"/>
    <x v="1"/>
    <d v="2024-03-06T00:00:00"/>
    <x v="0"/>
    <s v="Discover fresh beats on Spotify!"/>
    <n v="1971"/>
    <n v="370"/>
    <n v="306"/>
    <n v="31316"/>
    <n v="27897"/>
    <n v="88"/>
    <s v="#SoundtrackOfLife"/>
    <m/>
    <s v="IndieWave"/>
  </r>
  <r>
    <s v="SP012"/>
    <x v="0"/>
    <d v="2024-05-14T00:00:00"/>
    <x v="0"/>
    <s v="Discover fresh beats on Spotify!"/>
    <n v="1485"/>
    <n v="353"/>
    <n v="244"/>
    <n v="38419"/>
    <n v="38556"/>
    <n v="86"/>
    <s v="#SoundtrackOfLife"/>
    <s v="#NowPlaying"/>
    <s v="ChillVibes"/>
  </r>
  <r>
    <s v="SP013"/>
    <x v="1"/>
    <d v="2025-06-18T00:00:00"/>
    <x v="1"/>
    <s v="Discover fresh beats on Spotify!"/>
    <n v="3956"/>
    <n v="319"/>
    <n v="61"/>
    <n v="58162"/>
    <n v="28720"/>
    <n v="213"/>
    <s v="#MusicForEveryone"/>
    <s v="#NowPlaying"/>
    <s v="ChillVibes"/>
  </r>
  <r>
    <s v="SP014"/>
    <x v="1"/>
    <d v="2024-10-08T00:00:00"/>
    <x v="0"/>
    <s v="From pop to podcasts, its all here."/>
    <n v="2460"/>
    <n v="409"/>
    <n v="253"/>
    <n v="36702"/>
    <n v="46122"/>
    <n v="264"/>
    <s v="#NowPlaying"/>
    <m/>
    <s v="ChillVibes"/>
  </r>
  <r>
    <s v="SP015"/>
    <x v="1"/>
    <d v="2024-05-06T00:00:00"/>
    <x v="0"/>
    <s v="Your weekend playlist is waiting."/>
    <n v="3476"/>
    <n v="355"/>
    <n v="396"/>
    <n v="37492"/>
    <n v="27285"/>
    <n v="179"/>
    <s v="#NowPlaying"/>
    <m/>
    <s v="ChillVibes"/>
  </r>
  <r>
    <s v="SP016"/>
    <x v="1"/>
    <d v="2024-12-29T00:00:00"/>
    <x v="1"/>
    <s v="New music just dropped. Hit play!"/>
    <n v="4049"/>
    <n v="377"/>
    <n v="94"/>
    <n v="48182"/>
    <n v="42875"/>
    <n v="172"/>
    <s v="#MusicForEveryone"/>
    <s v="#NowPlaying"/>
    <s v="ChillVibes"/>
  </r>
  <r>
    <s v="SP017"/>
    <x v="1"/>
    <d v="2024-06-10T00:00:00"/>
    <x v="0"/>
    <s v="Whats your vibe today?"/>
    <n v="1514"/>
    <n v="164"/>
    <n v="275"/>
    <n v="41364"/>
    <n v="44389"/>
    <n v="83"/>
    <s v="#NowPlaying"/>
    <m/>
    <s v="ChillVibes"/>
  </r>
  <r>
    <s v="SP018"/>
    <x v="0"/>
    <d v="2024-02-03T00:00:00"/>
    <x v="1"/>
    <s v="Music that moves you only on Spotify."/>
    <n v="4281"/>
    <n v="101"/>
    <n v="163"/>
    <n v="32278"/>
    <n v="53382"/>
    <n v="235"/>
    <s v="#NowPlaying"/>
    <m/>
    <s v="Wrapped2024"/>
  </r>
  <r>
    <s v="SP019"/>
    <x v="2"/>
    <d v="2024-06-15T00:00:00"/>
    <x v="2"/>
    <s v="Get into the groove with our new drop!"/>
    <n v="1751"/>
    <n v="143"/>
    <n v="151"/>
    <n v="31826"/>
    <n v="47729"/>
    <n v="95"/>
    <s v="#DiscoverWeekly"/>
    <s v="#SoundtrackOfLife"/>
    <s v="SummerBeats"/>
  </r>
  <r>
    <s v="SP020"/>
    <x v="0"/>
    <d v="2024-07-05T00:00:00"/>
    <x v="0"/>
    <s v="Your weekend playlist is waiting."/>
    <n v="3753"/>
    <n v="411"/>
    <n v="308"/>
    <n v="29138"/>
    <n v="27678"/>
    <n v="90"/>
    <s v="#DiscoverWeekly"/>
    <m/>
    <s v="IndieWave"/>
  </r>
  <r>
    <s v="SP021"/>
    <x v="0"/>
    <d v="2024-11-07T00:00:00"/>
    <x v="1"/>
    <s v="Wrapped is here! Relive your top tracks"/>
    <n v="1678"/>
    <n v="423"/>
    <n v="323"/>
    <n v="55668"/>
    <n v="37945"/>
    <n v="230"/>
    <s v="#NowPlaying"/>
    <m/>
    <s v="Wrapped2024"/>
  </r>
  <r>
    <s v="SP022"/>
    <x v="0"/>
    <d v="2025-06-15T00:00:00"/>
    <x v="0"/>
    <s v="Whats your vibe today?"/>
    <n v="4896"/>
    <n v="466"/>
    <n v="233"/>
    <n v="28621"/>
    <n v="34270"/>
    <n v="84"/>
    <s v="#SoundtrackOfLife"/>
    <s v="#NowPlaying"/>
    <s v="ChillVibes"/>
  </r>
  <r>
    <s v="SP023"/>
    <x v="2"/>
    <d v="2024-06-09T00:00:00"/>
    <x v="2"/>
    <s v="From pop to podcasts, its all here."/>
    <n v="2786"/>
    <n v="368"/>
    <n v="208"/>
    <n v="42000"/>
    <n v="39967"/>
    <n v="103"/>
    <s v="#DiscoverWeekly"/>
    <s v="#SoundtrackOfLife"/>
    <s v="SummerBeats"/>
  </r>
  <r>
    <s v="SP024"/>
    <x v="1"/>
    <d v="2024-10-18T00:00:00"/>
    <x v="0"/>
    <s v="New music just dropped. Hit play!"/>
    <n v="2607"/>
    <n v="379"/>
    <n v="180"/>
    <n v="28712"/>
    <n v="61620"/>
    <n v="174"/>
    <s v="#SoundtrackOfLife"/>
    <m/>
    <s v="IndieWave"/>
  </r>
  <r>
    <s v="SP025"/>
    <x v="2"/>
    <d v="2024-10-10T00:00:00"/>
    <x v="2"/>
    <s v="From pop to podcasts, its all here."/>
    <n v="4013"/>
    <n v="320"/>
    <n v="92"/>
    <n v="54605"/>
    <n v="60169"/>
    <n v="232"/>
    <s v="#DiscoverWeekly"/>
    <s v="#SoundtrackOfLife"/>
    <s v="SummerBeats"/>
  </r>
  <r>
    <s v="SP026"/>
    <x v="1"/>
    <d v="2025-05-14T00:00:00"/>
    <x v="1"/>
    <s v="From pop to podcasts, its all here."/>
    <n v="2707"/>
    <n v="103"/>
    <n v="51"/>
    <n v="55302"/>
    <n v="18801"/>
    <n v="147"/>
    <s v="#DiscoverWeekly"/>
    <s v="#MusicForEveryone"/>
    <s v="ChillVibes"/>
  </r>
  <r>
    <s v="SP027"/>
    <x v="0"/>
    <d v="2024-11-29T00:00:00"/>
    <x v="0"/>
    <s v="Whats your vibe today?"/>
    <n v="2824"/>
    <n v="425"/>
    <n v="274"/>
    <n v="31004"/>
    <n v="53488"/>
    <n v="268"/>
    <s v="#SoundtrackOfLife"/>
    <s v="#NowPlaying"/>
    <s v="ChillVibes"/>
  </r>
  <r>
    <s v="SP028"/>
    <x v="2"/>
    <d v="2024-03-05T00:00:00"/>
    <x v="2"/>
    <s v="Explore the latest podcasts now."/>
    <n v="3558"/>
    <n v="314"/>
    <n v="199"/>
    <n v="49612"/>
    <n v="53929"/>
    <n v="206"/>
    <s v="#DiscoverWeekly"/>
    <s v="#SoundtrackOfLife"/>
    <s v="SummerBeats"/>
  </r>
  <r>
    <s v="SP029"/>
    <x v="1"/>
    <d v="2025-03-18T00:00:00"/>
    <x v="1"/>
    <s v="Explore the latest podcasts now."/>
    <n v="3418"/>
    <n v="188"/>
    <n v="387"/>
    <n v="57431"/>
    <n v="36933"/>
    <n v="202"/>
    <s v="#MusicForEveryone"/>
    <s v="#NowPlaying"/>
    <s v="ChillVibes"/>
  </r>
  <r>
    <s v="SP030"/>
    <x v="1"/>
    <d v="2025-04-26T00:00:00"/>
    <x v="0"/>
    <s v="Discover fresh beats on Spotify!"/>
    <n v="2411"/>
    <n v="194"/>
    <n v="168"/>
    <n v="26665"/>
    <n v="71699"/>
    <n v="197"/>
    <s v="#NowPlaying"/>
    <m/>
    <s v="ChillVibes"/>
  </r>
  <r>
    <s v="SP031"/>
    <x v="0"/>
    <d v="2025-01-01T00:00:00"/>
    <x v="0"/>
    <s v="New music just dropped. Hit play!"/>
    <n v="4036"/>
    <n v="112"/>
    <n v="382"/>
    <n v="56284"/>
    <n v="29440"/>
    <n v="279"/>
    <s v="#SoundtrackOfLife"/>
    <s v="#NowPlaying"/>
    <s v="ChillVibes"/>
  </r>
  <r>
    <s v="SP032"/>
    <x v="1"/>
    <d v="2024-05-07T00:00:00"/>
    <x v="1"/>
    <s v="Explore the latest podcasts now."/>
    <n v="2776"/>
    <n v="307"/>
    <n v="178"/>
    <n v="43365"/>
    <n v="48408"/>
    <n v="138"/>
    <s v="#SoundtrackOfLife"/>
    <s v="#NowPlaying"/>
    <s v="ChillVibes"/>
  </r>
  <r>
    <s v="SP033"/>
    <x v="1"/>
    <d v="2024-10-09T00:00:00"/>
    <x v="1"/>
    <s v="Discover fresh beats on Spotify!"/>
    <n v="4929"/>
    <n v="182"/>
    <n v="95"/>
    <n v="32181"/>
    <n v="31084"/>
    <n v="289"/>
    <s v="#DiscoverWeekly"/>
    <s v="#MusicForEveryone"/>
    <s v="ChillVibes"/>
  </r>
  <r>
    <s v="SP034"/>
    <x v="0"/>
    <d v="2025-01-09T00:00:00"/>
    <x v="0"/>
    <s v="New music just dropped. Hit play!"/>
    <n v="1015"/>
    <n v="366"/>
    <n v="308"/>
    <n v="38127"/>
    <n v="63790"/>
    <n v="287"/>
    <s v="#SoundtrackOfLife"/>
    <s v="#NowPlaying"/>
    <s v="ChillVibes"/>
  </r>
  <r>
    <s v="SP035"/>
    <x v="1"/>
    <d v="2025-05-08T00:00:00"/>
    <x v="1"/>
    <s v="Your weekend playlist is waiting."/>
    <n v="3316"/>
    <n v="332"/>
    <n v="268"/>
    <n v="40095"/>
    <n v="36913"/>
    <n v="265"/>
    <s v="#MusicForEveryone"/>
    <s v="#NowPlaying"/>
    <s v="ChillVibes"/>
  </r>
  <r>
    <s v="SP036"/>
    <x v="0"/>
    <d v="2024-05-04T00:00:00"/>
    <x v="0"/>
    <s v="Wrapped is here! Relive your top tracks"/>
    <n v="2274"/>
    <n v="243"/>
    <n v="222"/>
    <n v="43066"/>
    <n v="59174"/>
    <n v="80"/>
    <s v="#DiscoverWeekly"/>
    <m/>
    <s v="IndieWave"/>
  </r>
  <r>
    <s v="SP037"/>
    <x v="1"/>
    <d v="2025-05-27T00:00:00"/>
    <x v="1"/>
    <s v="Explore the latest podcasts now."/>
    <n v="4095"/>
    <n v="385"/>
    <n v="400"/>
    <n v="45300"/>
    <n v="31795"/>
    <n v="80"/>
    <s v="#MusicForEveryone"/>
    <s v="#NowPlaying"/>
    <s v="ChillVibes"/>
  </r>
  <r>
    <s v="SP038"/>
    <x v="0"/>
    <d v="2024-09-10T00:00:00"/>
    <x v="1"/>
    <s v="New music just dropped. Hit play!"/>
    <n v="1230"/>
    <n v="309"/>
    <n v="207"/>
    <n v="44629"/>
    <n v="40699"/>
    <n v="195"/>
    <s v="#NowPlaying"/>
    <m/>
    <s v="Wrapped2024"/>
  </r>
  <r>
    <s v="SP039"/>
    <x v="0"/>
    <d v="2024-11-25T00:00:00"/>
    <x v="0"/>
    <s v="From pop to podcasts, its all here."/>
    <n v="1341"/>
    <n v="472"/>
    <n v="238"/>
    <n v="51386"/>
    <n v="51706"/>
    <n v="133"/>
    <s v="#DiscoverWeekly"/>
    <m/>
    <s v="IndieWave"/>
  </r>
  <r>
    <s v="SP040"/>
    <x v="1"/>
    <d v="2025-06-10T00:00:00"/>
    <x v="0"/>
    <s v="Explore the latest podcasts now."/>
    <n v="3615"/>
    <n v="192"/>
    <n v="162"/>
    <n v="27492"/>
    <n v="35341"/>
    <n v="125"/>
    <s v="#NowPlaying"/>
    <m/>
    <s v="ChillVibes"/>
  </r>
  <r>
    <s v="SP041"/>
    <x v="0"/>
    <d v="2024-04-19T00:00:00"/>
    <x v="0"/>
    <s v="New music just dropped. Hit play!"/>
    <n v="4001"/>
    <n v="353"/>
    <n v="129"/>
    <n v="41265"/>
    <n v="37279"/>
    <n v="275"/>
    <s v="#SoundtrackOfLife"/>
    <s v="#NowPlaying"/>
    <s v="ChillVibes"/>
  </r>
  <r>
    <s v="SP042"/>
    <x v="0"/>
    <d v="2025-01-26T00:00:00"/>
    <x v="1"/>
    <s v="Whats your vibe today?"/>
    <n v="3451"/>
    <n v="363"/>
    <n v="393"/>
    <n v="44853"/>
    <n v="69032"/>
    <n v="211"/>
    <s v="#NowPlaying"/>
    <m/>
    <s v="Wrapped2024"/>
  </r>
  <r>
    <s v="SP043"/>
    <x v="0"/>
    <d v="2025-02-14T00:00:00"/>
    <x v="0"/>
    <s v="Top trending tracks updated daily!"/>
    <n v="4891"/>
    <n v="450"/>
    <n v="387"/>
    <n v="48746"/>
    <n v="37312"/>
    <n v="154"/>
    <s v="#SoundtrackOfLife"/>
    <s v="#NowPlaying"/>
    <s v="ChillVibes"/>
  </r>
  <r>
    <s v="SP044"/>
    <x v="0"/>
    <d v="2024-09-06T00:00:00"/>
    <x v="0"/>
    <s v="New music just dropped. Hit play!"/>
    <n v="1452"/>
    <n v="281"/>
    <n v="326"/>
    <n v="51556"/>
    <n v="62599"/>
    <n v="290"/>
    <s v="#DiscoverWeekly"/>
    <m/>
    <s v="IndieWave"/>
  </r>
  <r>
    <s v="SP045"/>
    <x v="2"/>
    <d v="2024-07-14T00:00:00"/>
    <x v="0"/>
    <s v="Your weekend playlist is waiting."/>
    <n v="3806"/>
    <n v="114"/>
    <n v="278"/>
    <n v="36148"/>
    <n v="24209"/>
    <n v="201"/>
    <s v="#DiscoverWeekly"/>
    <s v="#SpotifyWrapped"/>
    <s v="IndieWave"/>
  </r>
  <r>
    <s v="SP046"/>
    <x v="0"/>
    <d v="2024-02-12T00:00:00"/>
    <x v="0"/>
    <s v="Explore the latest podcasts now."/>
    <n v="2923"/>
    <n v="330"/>
    <n v="250"/>
    <n v="23993"/>
    <n v="74590"/>
    <n v="92"/>
    <s v="#DiscoverWeekly"/>
    <m/>
    <s v="IndieWave"/>
  </r>
  <r>
    <s v="SP047"/>
    <x v="2"/>
    <d v="2024-03-14T00:00:00"/>
    <x v="2"/>
    <s v="From pop to podcasts, its all here."/>
    <n v="3361"/>
    <n v="188"/>
    <n v="358"/>
    <n v="39838"/>
    <n v="24536"/>
    <n v="120"/>
    <s v="#DiscoverWeekly"/>
    <s v="#SoundtrackOfLife"/>
    <s v="SummerBeats"/>
  </r>
  <r>
    <s v="SP048"/>
    <x v="0"/>
    <d v="2025-02-05T00:00:00"/>
    <x v="1"/>
    <s v="Music that moves you only on Spotify."/>
    <n v="3074"/>
    <n v="371"/>
    <n v="348"/>
    <n v="24104"/>
    <n v="57803"/>
    <n v="213"/>
    <s v="#NowPlaying"/>
    <m/>
    <s v="Wrapped2024"/>
  </r>
  <r>
    <s v="SP049"/>
    <x v="1"/>
    <d v="2024-08-29T00:00:00"/>
    <x v="1"/>
    <s v="Get into the groove with our new drop!"/>
    <n v="4276"/>
    <n v="227"/>
    <n v="223"/>
    <n v="43443"/>
    <n v="41005"/>
    <n v="191"/>
    <s v="#DiscoverWeekly"/>
    <s v="#MusicForEveryone"/>
    <s v="ChillVibes"/>
  </r>
  <r>
    <s v="SP050"/>
    <x v="1"/>
    <d v="2025-04-22T00:00:00"/>
    <x v="0"/>
    <s v="Discover fresh beats on Spotify!"/>
    <n v="4401"/>
    <n v="421"/>
    <n v="216"/>
    <n v="24890"/>
    <n v="54361"/>
    <n v="148"/>
    <s v="#NowPlaying"/>
    <m/>
    <s v="ChillVibes"/>
  </r>
  <r>
    <s v="SP051"/>
    <x v="2"/>
    <d v="2024-05-13T00:00:00"/>
    <x v="2"/>
    <s v="Explore the latest podcasts now."/>
    <n v="4161"/>
    <n v="481"/>
    <n v="61"/>
    <n v="45884"/>
    <n v="48955"/>
    <n v="215"/>
    <s v="#DiscoverWeekly"/>
    <s v="#SoundtrackOfLife"/>
    <s v="SummerBeats"/>
  </r>
  <r>
    <s v="SP052"/>
    <x v="1"/>
    <d v="2024-09-04T00:00:00"/>
    <x v="1"/>
    <s v="New music just dropped. Hit play!"/>
    <n v="2613"/>
    <n v="455"/>
    <n v="228"/>
    <n v="21645"/>
    <n v="61334"/>
    <n v="261"/>
    <s v="#DiscoverWeekly"/>
    <s v="#MusicForEveryone"/>
    <s v="ChillVibes"/>
  </r>
  <r>
    <s v="SP053"/>
    <x v="1"/>
    <d v="2024-08-12T00:00:00"/>
    <x v="1"/>
    <s v="Whats your vibe today?"/>
    <n v="2842"/>
    <n v="213"/>
    <n v="331"/>
    <n v="57660"/>
    <n v="68606"/>
    <n v="87"/>
    <s v="#MusicForEveryone"/>
    <s v="#NowPlaying"/>
    <s v="ChillVibes"/>
  </r>
  <r>
    <s v="SP054"/>
    <x v="0"/>
    <d v="2025-03-06T00:00:00"/>
    <x v="0"/>
    <s v="Get into the groove with our new drop!"/>
    <n v="4851"/>
    <n v="460"/>
    <n v="212"/>
    <n v="58075"/>
    <n v="59574"/>
    <n v="239"/>
    <s v="#DiscoverWeekly"/>
    <m/>
    <s v="IndieWave"/>
  </r>
  <r>
    <s v="SP055"/>
    <x v="1"/>
    <d v="2024-05-08T00:00:00"/>
    <x v="0"/>
    <s v="Explore the latest podcasts now."/>
    <n v="1828"/>
    <n v="450"/>
    <n v="214"/>
    <n v="52115"/>
    <n v="19166"/>
    <n v="190"/>
    <s v="#NowPlaying"/>
    <m/>
    <s v="ChillVibes"/>
  </r>
  <r>
    <s v="SP056"/>
    <x v="0"/>
    <d v="2025-02-19T00:00:00"/>
    <x v="1"/>
    <s v="From pop to podcasts, its all here."/>
    <n v="2422"/>
    <n v="455"/>
    <n v="376"/>
    <n v="23428"/>
    <n v="46775"/>
    <n v="259"/>
    <s v="#NowPlaying"/>
    <m/>
    <s v="Wrapped2024"/>
  </r>
  <r>
    <s v="SP057"/>
    <x v="0"/>
    <d v="2024-01-08T00:00:00"/>
    <x v="0"/>
    <s v="Top trending tracks updated daily!"/>
    <n v="2683"/>
    <n v="405"/>
    <n v="223"/>
    <n v="31233"/>
    <n v="58106"/>
    <n v="291"/>
    <s v="#DiscoverWeekly"/>
    <m/>
    <s v="IndieWave"/>
  </r>
  <r>
    <s v="SP058"/>
    <x v="2"/>
    <d v="2024-07-17T00:00:00"/>
    <x v="0"/>
    <s v="Top trending tracks updated daily!"/>
    <n v="3135"/>
    <n v="110"/>
    <n v="215"/>
    <n v="39192"/>
    <n v="24744"/>
    <n v="177"/>
    <s v="#DiscoverWeekly"/>
    <s v="#SpotifyWrapped"/>
    <s v="IndieWave"/>
  </r>
  <r>
    <s v="SP059"/>
    <x v="2"/>
    <d v="2024-08-10T00:00:00"/>
    <x v="0"/>
    <s v="From pop to podcasts, its all here."/>
    <n v="1105"/>
    <n v="181"/>
    <n v="55"/>
    <n v="53581"/>
    <n v="74048"/>
    <n v="220"/>
    <s v="#DiscoverWeekly"/>
    <s v="#SpotifyWrapped"/>
    <s v="IndieWave"/>
  </r>
  <r>
    <s v="SP060"/>
    <x v="2"/>
    <d v="2024-04-16T00:00:00"/>
    <x v="0"/>
    <s v="Discover fresh beats on Spotify!"/>
    <n v="4674"/>
    <n v="326"/>
    <n v="62"/>
    <n v="45503"/>
    <n v="46814"/>
    <n v="116"/>
    <s v="#DiscoverWeekly"/>
    <s v="#SpotifyWrapped"/>
    <s v="IndieWave"/>
  </r>
  <r>
    <s v="SP061"/>
    <x v="2"/>
    <d v="2024-01-01T00:00:00"/>
    <x v="2"/>
    <s v="Explore the latest podcasts now."/>
    <n v="3437"/>
    <n v="129"/>
    <n v="359"/>
    <n v="44558"/>
    <n v="30854"/>
    <n v="171"/>
    <s v="#DiscoverWeekly"/>
    <s v="#SoundtrackOfLife"/>
    <s v="SummerBeats"/>
  </r>
  <r>
    <s v="SP062"/>
    <x v="1"/>
    <d v="2024-11-03T00:00:00"/>
    <x v="1"/>
    <s v="Wrapped is here! Relive your top tracks"/>
    <n v="1959"/>
    <n v="316"/>
    <n v="82"/>
    <n v="54036"/>
    <n v="69015"/>
    <n v="182"/>
    <s v="#MusicForEveryone"/>
    <s v="#NowPlaying"/>
    <s v="ChillVibes"/>
  </r>
  <r>
    <s v="SP063"/>
    <x v="1"/>
    <d v="2024-07-07T00:00:00"/>
    <x v="0"/>
    <s v="New music just dropped. Hit play!"/>
    <n v="1035"/>
    <n v="137"/>
    <n v="184"/>
    <n v="37302"/>
    <n v="68953"/>
    <n v="237"/>
    <s v="#SoundtrackOfLife"/>
    <m/>
    <s v="IndieWave"/>
  </r>
  <r>
    <s v="SP064"/>
    <x v="1"/>
    <d v="2025-01-22T00:00:00"/>
    <x v="1"/>
    <s v="New music just dropped. Hit play!"/>
    <n v="4478"/>
    <n v="101"/>
    <n v="121"/>
    <n v="51035"/>
    <n v="58207"/>
    <n v="205"/>
    <s v="#MusicForEveryone"/>
    <s v="#NowPlaying"/>
    <s v="ChillVibes"/>
  </r>
  <r>
    <s v="SP065"/>
    <x v="2"/>
    <d v="2024-05-26T00:00:00"/>
    <x v="0"/>
    <s v="From pop to podcasts, its all here."/>
    <n v="1488"/>
    <n v="327"/>
    <n v="110"/>
    <n v="53805"/>
    <n v="30239"/>
    <n v="109"/>
    <s v="#DiscoverWeekly"/>
    <s v="#SpotifyWrapped"/>
    <s v="IndieWave"/>
  </r>
  <r>
    <s v="SP066"/>
    <x v="0"/>
    <d v="2025-04-16T00:00:00"/>
    <x v="0"/>
    <s v="Wrapped is here! Relive your top tracks"/>
    <n v="4836"/>
    <n v="331"/>
    <n v="140"/>
    <n v="58792"/>
    <n v="47711"/>
    <n v="227"/>
    <s v="#SoundtrackOfLife"/>
    <s v="#NowPlaying"/>
    <s v="ChillVibes"/>
  </r>
  <r>
    <s v="SP067"/>
    <x v="2"/>
    <d v="2024-04-02T00:00:00"/>
    <x v="2"/>
    <s v="Your weekend playlist is waiting."/>
    <n v="4563"/>
    <n v="488"/>
    <n v="356"/>
    <n v="30619"/>
    <n v="23328"/>
    <n v="267"/>
    <s v="#DiscoverWeekly"/>
    <s v="#SoundtrackOfLife"/>
    <s v="SummerBeats"/>
  </r>
  <r>
    <s v="SP068"/>
    <x v="1"/>
    <d v="2024-03-28T00:00:00"/>
    <x v="0"/>
    <s v="Music that moves you only on Spotify."/>
    <n v="3276"/>
    <n v="421"/>
    <n v="114"/>
    <n v="20580"/>
    <n v="30324"/>
    <n v="221"/>
    <s v="#SoundtrackOfLife"/>
    <m/>
    <s v="IndieWave"/>
  </r>
  <r>
    <s v="SP069"/>
    <x v="1"/>
    <d v="2024-12-17T00:00:00"/>
    <x v="1"/>
    <s v="Music that moves you only on Spotify."/>
    <n v="1316"/>
    <n v="472"/>
    <n v="286"/>
    <n v="44692"/>
    <n v="53343"/>
    <n v="227"/>
    <s v="#DiscoverWeekly"/>
    <s v="#MusicForEveryone"/>
    <s v="ChillVibes"/>
  </r>
  <r>
    <s v="SP070"/>
    <x v="1"/>
    <d v="2025-01-05T00:00:00"/>
    <x v="0"/>
    <s v="Wrapped is here! Relive your top tracks"/>
    <n v="4811"/>
    <n v="473"/>
    <n v="254"/>
    <n v="51964"/>
    <n v="68795"/>
    <n v="107"/>
    <s v="#NowPlaying"/>
    <m/>
    <s v="ChillVibes"/>
  </r>
  <r>
    <s v="SP071"/>
    <x v="1"/>
    <d v="2024-01-11T00:00:00"/>
    <x v="0"/>
    <s v="Whats your vibe today?"/>
    <n v="4218"/>
    <n v="247"/>
    <n v="183"/>
    <n v="28914"/>
    <n v="18310"/>
    <n v="135"/>
    <s v="#SoundtrackOfLife"/>
    <m/>
    <s v="IndieWave"/>
  </r>
  <r>
    <s v="SP072"/>
    <x v="0"/>
    <d v="2024-10-11T00:00:00"/>
    <x v="0"/>
    <s v="From pop to podcasts, its all here."/>
    <n v="1360"/>
    <n v="249"/>
    <n v="52"/>
    <n v="20368"/>
    <n v="42152"/>
    <n v="193"/>
    <s v="#DiscoverWeekly"/>
    <m/>
    <s v="IndieWave"/>
  </r>
  <r>
    <s v="SP073"/>
    <x v="2"/>
    <d v="2025-05-06T00:00:00"/>
    <x v="2"/>
    <s v="Discover fresh beats on Spotify!"/>
    <n v="1085"/>
    <n v="496"/>
    <n v="320"/>
    <n v="36528"/>
    <n v="38599"/>
    <n v="270"/>
    <s v="#DiscoverWeekly"/>
    <s v="#SoundtrackOfLife"/>
    <s v="SummerBeats"/>
  </r>
  <r>
    <s v="SP074"/>
    <x v="1"/>
    <d v="2024-05-19T00:00:00"/>
    <x v="1"/>
    <s v="Get into the groove with our new drop!"/>
    <n v="1763"/>
    <n v="206"/>
    <n v="187"/>
    <n v="53342"/>
    <n v="25095"/>
    <n v="88"/>
    <s v="#DiscoverWeekly"/>
    <s v="#MusicForEveryone"/>
    <s v="ChillVibes"/>
  </r>
  <r>
    <s v="SP075"/>
    <x v="1"/>
    <d v="2024-01-22T00:00:00"/>
    <x v="1"/>
    <s v="From pop to podcasts, its all here."/>
    <n v="1554"/>
    <n v="455"/>
    <n v="158"/>
    <n v="41947"/>
    <n v="48578"/>
    <n v="101"/>
    <s v="#SoundtrackOfLife"/>
    <s v="#NowPlaying"/>
    <s v="ChillVibes"/>
  </r>
  <r>
    <s v="SP076"/>
    <x v="0"/>
    <d v="2024-07-14T00:00:00"/>
    <x v="0"/>
    <s v="Wrapped is here! Relive your top tracks"/>
    <n v="2464"/>
    <n v="401"/>
    <n v="78"/>
    <n v="38665"/>
    <n v="73593"/>
    <n v="207"/>
    <s v="#DiscoverWeekly"/>
    <m/>
    <s v="IndieWave"/>
  </r>
  <r>
    <s v="SP077"/>
    <x v="1"/>
    <d v="2025-05-28T00:00:00"/>
    <x v="0"/>
    <s v="From pop to podcasts, its all here."/>
    <n v="2418"/>
    <n v="161"/>
    <n v="360"/>
    <n v="30589"/>
    <n v="41383"/>
    <n v="88"/>
    <s v="#NowPlaying"/>
    <m/>
    <s v="ChillVibes"/>
  </r>
  <r>
    <s v="SP078"/>
    <x v="1"/>
    <d v="2025-01-21T00:00:00"/>
    <x v="1"/>
    <s v="Discover fresh beats on Spotify!"/>
    <n v="2494"/>
    <n v="494"/>
    <n v="55"/>
    <n v="22580"/>
    <n v="22214"/>
    <n v="109"/>
    <s v="#MusicForEveryone"/>
    <s v="#NowPlaying"/>
    <s v="ChillVibes"/>
  </r>
  <r>
    <s v="SP079"/>
    <x v="2"/>
    <d v="2024-01-13T00:00:00"/>
    <x v="2"/>
    <s v="New music just dropped. Hit play!"/>
    <n v="4781"/>
    <n v="191"/>
    <n v="122"/>
    <n v="35535"/>
    <n v="50777"/>
    <n v="128"/>
    <s v="#DiscoverWeekly"/>
    <s v="#SoundtrackOfLife"/>
    <s v="SummerBeats"/>
  </r>
  <r>
    <s v="SP080"/>
    <x v="0"/>
    <d v="2025-06-17T00:00:00"/>
    <x v="0"/>
    <s v="Music that moves you only on Spotify."/>
    <n v="2284"/>
    <n v="187"/>
    <n v="260"/>
    <n v="37400"/>
    <n v="65014"/>
    <n v="157"/>
    <s v="#SoundtrackOfLife"/>
    <s v="#NowPlaying"/>
    <s v="ChillVibes"/>
  </r>
  <r>
    <s v="SP081"/>
    <x v="1"/>
    <d v="2025-03-07T00:00:00"/>
    <x v="0"/>
    <s v="Get into the groove with our new drop!"/>
    <n v="4234"/>
    <n v="486"/>
    <n v="276"/>
    <n v="56623"/>
    <n v="41343"/>
    <n v="184"/>
    <s v="#SoundtrackOfLife"/>
    <m/>
    <s v="IndieWave"/>
  </r>
  <r>
    <s v="SP082"/>
    <x v="0"/>
    <d v="2024-08-26T00:00:00"/>
    <x v="0"/>
    <s v="Your weekend playlist is waiting."/>
    <n v="2102"/>
    <n v="181"/>
    <n v="306"/>
    <n v="43650"/>
    <n v="50079"/>
    <n v="182"/>
    <s v="#DiscoverWeekly"/>
    <m/>
    <s v="IndieWave"/>
  </r>
  <r>
    <s v="SP083"/>
    <x v="1"/>
    <d v="2025-01-03T00:00:00"/>
    <x v="1"/>
    <s v="Get into the groove with our new drop!"/>
    <n v="4845"/>
    <n v="158"/>
    <n v="84"/>
    <n v="34578"/>
    <n v="51480"/>
    <n v="180"/>
    <s v="#SoundtrackOfLife"/>
    <s v="#NowPlaying"/>
    <s v="ChillVibes"/>
  </r>
  <r>
    <s v="SP084"/>
    <x v="1"/>
    <d v="2024-08-03T00:00:00"/>
    <x v="0"/>
    <s v="Your weekend playlist is waiting."/>
    <n v="4247"/>
    <n v="390"/>
    <n v="213"/>
    <n v="29785"/>
    <n v="57768"/>
    <n v="122"/>
    <s v="#NowPlaying"/>
    <m/>
    <s v="ChillVibes"/>
  </r>
  <r>
    <s v="SP085"/>
    <x v="0"/>
    <d v="2024-08-18T00:00:00"/>
    <x v="0"/>
    <s v="Explore the latest podcasts now."/>
    <n v="2965"/>
    <n v="328"/>
    <n v="171"/>
    <n v="57685"/>
    <n v="67536"/>
    <n v="264"/>
    <s v="#SoundtrackOfLife"/>
    <s v="#NowPlaying"/>
    <s v="ChillVibes"/>
  </r>
  <r>
    <s v="SP086"/>
    <x v="1"/>
    <d v="2025-05-14T00:00:00"/>
    <x v="1"/>
    <s v="Wrapped is here! Relive your top tracks"/>
    <n v="1371"/>
    <n v="139"/>
    <n v="96"/>
    <n v="36140"/>
    <n v="39395"/>
    <n v="169"/>
    <s v="#SoundtrackOfLife"/>
    <s v="#NowPlaying"/>
    <s v="ChillVibes"/>
  </r>
  <r>
    <s v="SP087"/>
    <x v="1"/>
    <d v="2024-04-23T00:00:00"/>
    <x v="1"/>
    <s v="Discover fresh beats on Spotify!"/>
    <n v="2683"/>
    <n v="496"/>
    <n v="89"/>
    <n v="53435"/>
    <n v="30334"/>
    <n v="160"/>
    <s v="#SoundtrackOfLife"/>
    <s v="#NowPlaying"/>
    <s v="ChillVibes"/>
  </r>
  <r>
    <s v="SP088"/>
    <x v="1"/>
    <d v="2025-02-17T00:00:00"/>
    <x v="1"/>
    <s v="Whats your vibe today?"/>
    <n v="4796"/>
    <n v="427"/>
    <n v="339"/>
    <n v="30752"/>
    <n v="33870"/>
    <n v="298"/>
    <s v="#SoundtrackOfLife"/>
    <s v="#NowPlaying"/>
    <s v="ChillVibes"/>
  </r>
  <r>
    <s v="SP089"/>
    <x v="0"/>
    <d v="2024-12-04T00:00:00"/>
    <x v="0"/>
    <s v="Wrapped is here! Relive your top tracks"/>
    <n v="2601"/>
    <n v="336"/>
    <n v="260"/>
    <n v="32368"/>
    <n v="49028"/>
    <n v="120"/>
    <s v="#SoundtrackOfLife"/>
    <s v="#NowPlaying"/>
    <s v="ChillVibes"/>
  </r>
  <r>
    <s v="SP090"/>
    <x v="1"/>
    <d v="2024-07-22T00:00:00"/>
    <x v="1"/>
    <s v="Wrapped is here! Relive your top tracks"/>
    <n v="3336"/>
    <n v="229"/>
    <n v="337"/>
    <n v="22117"/>
    <n v="26205"/>
    <n v="160"/>
    <s v="#MusicForEveryone"/>
    <s v="#NowPlaying"/>
    <s v="ChillVibes"/>
  </r>
  <r>
    <s v="SP091"/>
    <x v="1"/>
    <d v="2025-04-27T00:00:00"/>
    <x v="0"/>
    <s v="Explore the latest podcasts now."/>
    <n v="1165"/>
    <n v="294"/>
    <n v="163"/>
    <n v="20659"/>
    <n v="45926"/>
    <n v="111"/>
    <s v="#SoundtrackOfLife"/>
    <m/>
    <s v="IndieWave"/>
  </r>
  <r>
    <s v="SP092"/>
    <x v="2"/>
    <d v="2024-03-25T00:00:00"/>
    <x v="2"/>
    <s v="Explore the latest podcasts now."/>
    <n v="1948"/>
    <n v="155"/>
    <n v="315"/>
    <n v="30321"/>
    <n v="57121"/>
    <n v="82"/>
    <s v="#DiscoverWeekly"/>
    <s v="#SoundtrackOfLife"/>
    <s v="SummerBeats"/>
  </r>
  <r>
    <s v="SP093"/>
    <x v="0"/>
    <d v="2024-02-29T00:00:00"/>
    <x v="0"/>
    <s v="From pop to podcasts, its all here."/>
    <n v="1100"/>
    <n v="229"/>
    <n v="312"/>
    <n v="25641"/>
    <n v="34601"/>
    <n v="169"/>
    <s v="#DiscoverWeekly"/>
    <m/>
    <s v="IndieWave"/>
  </r>
  <r>
    <s v="SP094"/>
    <x v="1"/>
    <d v="2024-11-13T00:00:00"/>
    <x v="1"/>
    <s v="Top trending tracks updated daily!"/>
    <n v="4628"/>
    <n v="257"/>
    <n v="397"/>
    <n v="36686"/>
    <n v="54683"/>
    <n v="98"/>
    <s v="#SoundtrackOfLife"/>
    <s v="#NowPlaying"/>
    <s v="ChillVibes"/>
  </r>
  <r>
    <s v="SP095"/>
    <x v="0"/>
    <d v="2024-03-22T00:00:00"/>
    <x v="1"/>
    <s v="Discover fresh beats on Spotify!"/>
    <n v="2319"/>
    <n v="484"/>
    <n v="193"/>
    <n v="21202"/>
    <n v="18091"/>
    <n v="241"/>
    <s v="#NowPlaying"/>
    <m/>
    <s v="Wrapped2024"/>
  </r>
  <r>
    <s v="SP096"/>
    <x v="1"/>
    <d v="2024-03-16T00:00:00"/>
    <x v="1"/>
    <s v="Wrapped is here! Relive your top tracks"/>
    <n v="2895"/>
    <n v="292"/>
    <n v="90"/>
    <n v="24223"/>
    <n v="54626"/>
    <n v="114"/>
    <s v="#SoundtrackOfLife"/>
    <s v="#NowPlaying"/>
    <s v="ChillVibes"/>
  </r>
  <r>
    <s v="SP097"/>
    <x v="0"/>
    <d v="2024-01-26T00:00:00"/>
    <x v="0"/>
    <s v="Whats your vibe today?"/>
    <n v="3878"/>
    <n v="431"/>
    <n v="97"/>
    <n v="41763"/>
    <n v="29729"/>
    <n v="191"/>
    <s v="#DiscoverWeekly"/>
    <m/>
    <s v="IndieWave"/>
  </r>
  <r>
    <s v="SP098"/>
    <x v="1"/>
    <d v="2024-03-15T00:00:00"/>
    <x v="1"/>
    <s v="Get into the groove with our new drop!"/>
    <n v="4969"/>
    <n v="433"/>
    <n v="237"/>
    <n v="59552"/>
    <n v="23885"/>
    <n v="157"/>
    <s v="#DiscoverWeekly"/>
    <s v="#MusicForEveryone"/>
    <s v="ChillVibes"/>
  </r>
  <r>
    <s v="SP099"/>
    <x v="1"/>
    <d v="2024-10-15T00:00:00"/>
    <x v="0"/>
    <s v="Wrapped is here! Relive your top tracks"/>
    <n v="1984"/>
    <n v="481"/>
    <n v="356"/>
    <n v="40681"/>
    <n v="63111"/>
    <n v="258"/>
    <s v="#NowPlaying"/>
    <m/>
    <s v="ChillVibes"/>
  </r>
  <r>
    <s v="SP100"/>
    <x v="0"/>
    <d v="2024-07-21T00:00:00"/>
    <x v="0"/>
    <s v="Discover fresh beats on Spotify!"/>
    <n v="3004"/>
    <n v="415"/>
    <n v="218"/>
    <n v="36090"/>
    <n v="37073"/>
    <n v="181"/>
    <s v="#DiscoverWeekly"/>
    <m/>
    <s v="IndieWave"/>
  </r>
  <r>
    <s v="SP101"/>
    <x v="1"/>
    <d v="2024-10-12T00:00:00"/>
    <x v="0"/>
    <s v="Get into the groove with our new drop!"/>
    <n v="3169"/>
    <n v="386"/>
    <n v="175"/>
    <n v="45012"/>
    <n v="38508"/>
    <n v="218"/>
    <s v="#NowPlaying"/>
    <m/>
    <s v="ChillVibes"/>
  </r>
  <r>
    <s v="SP102"/>
    <x v="1"/>
    <d v="2024-10-26T00:00:00"/>
    <x v="0"/>
    <s v="Discover fresh beats on Spotify!"/>
    <n v="3036"/>
    <n v="293"/>
    <n v="115"/>
    <n v="23776"/>
    <n v="46386"/>
    <n v="282"/>
    <s v="#NowPlaying"/>
    <m/>
    <s v="ChillVibes"/>
  </r>
  <r>
    <s v="SP103"/>
    <x v="0"/>
    <d v="2024-02-14T00:00:00"/>
    <x v="0"/>
    <s v="Music that moves you only on Spotify."/>
    <n v="1830"/>
    <n v="112"/>
    <n v="181"/>
    <n v="31870"/>
    <n v="55742"/>
    <n v="263"/>
    <s v="#SoundtrackOfLife"/>
    <s v="#NowPlaying"/>
    <s v="ChillVibes"/>
  </r>
  <r>
    <s v="SP104"/>
    <x v="1"/>
    <d v="2024-05-01T00:00:00"/>
    <x v="1"/>
    <s v="Whats your vibe today?"/>
    <n v="2587"/>
    <n v="447"/>
    <n v="183"/>
    <n v="36266"/>
    <n v="32877"/>
    <n v="132"/>
    <s v="#DiscoverWeekly"/>
    <s v="#MusicForEveryone"/>
    <s v="ChillVibes"/>
  </r>
  <r>
    <s v="SP105"/>
    <x v="1"/>
    <d v="2024-09-18T00:00:00"/>
    <x v="0"/>
    <s v="Discover fresh beats on Spotify!"/>
    <n v="2878"/>
    <n v="265"/>
    <n v="91"/>
    <n v="52090"/>
    <n v="28924"/>
    <n v="133"/>
    <s v="#NowPlaying"/>
    <m/>
    <s v="ChillVibes"/>
  </r>
  <r>
    <s v="SP106"/>
    <x v="1"/>
    <d v="2025-01-20T00:00:00"/>
    <x v="1"/>
    <s v="New music just dropped. Hit play!"/>
    <n v="4619"/>
    <n v="272"/>
    <n v="57"/>
    <n v="21334"/>
    <n v="46292"/>
    <n v="91"/>
    <s v="#SoundtrackOfLife"/>
    <s v="#NowPlaying"/>
    <s v="ChillVibes"/>
  </r>
  <r>
    <s v="SP107"/>
    <x v="1"/>
    <d v="2025-01-13T00:00:00"/>
    <x v="0"/>
    <s v="Music that moves you only on Spotify."/>
    <n v="4090"/>
    <n v="209"/>
    <n v="278"/>
    <n v="52853"/>
    <n v="57084"/>
    <n v="102"/>
    <s v="#SoundtrackOfLife"/>
    <m/>
    <s v="IndieWave"/>
  </r>
  <r>
    <s v="SP108"/>
    <x v="2"/>
    <d v="2024-09-07T00:00:00"/>
    <x v="2"/>
    <s v="Music that moves you only on Spotify."/>
    <n v="3882"/>
    <n v="342"/>
    <n v="374"/>
    <n v="41991"/>
    <n v="48554"/>
    <n v="118"/>
    <s v="#DiscoverWeekly"/>
    <s v="#SoundtrackOfLife"/>
    <s v="SummerBeats"/>
  </r>
  <r>
    <s v="SP109"/>
    <x v="0"/>
    <d v="2024-11-21T00:00:00"/>
    <x v="0"/>
    <s v="Music that moves you only on Spotify."/>
    <n v="4581"/>
    <n v="181"/>
    <n v="112"/>
    <n v="35221"/>
    <n v="28797"/>
    <n v="164"/>
    <s v="#SoundtrackOfLife"/>
    <s v="#NowPlaying"/>
    <s v="ChillVibes"/>
  </r>
  <r>
    <s v="SP110"/>
    <x v="0"/>
    <d v="2024-06-26T00:00:00"/>
    <x v="0"/>
    <s v="New music just dropped. Hit play!"/>
    <n v="3253"/>
    <n v="483"/>
    <n v="336"/>
    <n v="25397"/>
    <n v="51485"/>
    <n v="131"/>
    <s v="#DiscoverWeekly"/>
    <m/>
    <s v="IndieWave"/>
  </r>
  <r>
    <s v="SP111"/>
    <x v="2"/>
    <d v="2024-07-20T00:00:00"/>
    <x v="2"/>
    <s v="Music that moves you only on Spotify."/>
    <n v="4955"/>
    <n v="299"/>
    <n v="345"/>
    <n v="33644"/>
    <n v="43547"/>
    <n v="194"/>
    <s v="#DiscoverWeekly"/>
    <s v="#SoundtrackOfLife"/>
    <s v="SummerBeats"/>
  </r>
  <r>
    <s v="SP112"/>
    <x v="0"/>
    <d v="2025-02-16T00:00:00"/>
    <x v="0"/>
    <s v="Your weekend playlist is waiting."/>
    <n v="1333"/>
    <n v="286"/>
    <n v="298"/>
    <n v="36174"/>
    <n v="34517"/>
    <n v="170"/>
    <s v="#SoundtrackOfLife"/>
    <s v="#NowPlaying"/>
    <s v="ChillVibes"/>
  </r>
  <r>
    <s v="SP113"/>
    <x v="0"/>
    <d v="2024-09-09T00:00:00"/>
    <x v="0"/>
    <s v="New music just dropped. Hit play!"/>
    <n v="1616"/>
    <n v="360"/>
    <n v="180"/>
    <n v="54342"/>
    <n v="18796"/>
    <n v="282"/>
    <s v="#SoundtrackOfLife"/>
    <s v="#NowPlaying"/>
    <s v="ChillVibes"/>
  </r>
  <r>
    <s v="SP114"/>
    <x v="1"/>
    <d v="2024-07-16T00:00:00"/>
    <x v="0"/>
    <s v="Top trending tracks updated daily!"/>
    <n v="1803"/>
    <n v="273"/>
    <n v="287"/>
    <n v="46176"/>
    <n v="25488"/>
    <n v="141"/>
    <s v="#NowPlaying"/>
    <m/>
    <s v="ChillVibes"/>
  </r>
  <r>
    <s v="SP115"/>
    <x v="0"/>
    <d v="2025-04-15T00:00:00"/>
    <x v="0"/>
    <s v="Explore the latest podcasts now."/>
    <n v="4177"/>
    <n v="489"/>
    <n v="331"/>
    <n v="57451"/>
    <n v="73793"/>
    <n v="251"/>
    <s v="#DiscoverWeekly"/>
    <m/>
    <s v="IndieWave"/>
  </r>
  <r>
    <s v="SP116"/>
    <x v="0"/>
    <d v="2025-05-04T00:00:00"/>
    <x v="1"/>
    <s v="New music just dropped. Hit play!"/>
    <n v="1311"/>
    <n v="181"/>
    <n v="361"/>
    <n v="37148"/>
    <n v="44875"/>
    <n v="245"/>
    <s v="#NowPlaying"/>
    <m/>
    <s v="Wrapped2024"/>
  </r>
  <r>
    <s v="SP117"/>
    <x v="0"/>
    <d v="2024-02-18T00:00:00"/>
    <x v="1"/>
    <s v="From pop to podcasts, its all here."/>
    <n v="1516"/>
    <n v="215"/>
    <n v="332"/>
    <n v="58981"/>
    <n v="36118"/>
    <n v="211"/>
    <s v="#NowPlaying"/>
    <m/>
    <s v="Wrapped2024"/>
  </r>
  <r>
    <s v="SP118"/>
    <x v="1"/>
    <d v="2024-05-16T00:00:00"/>
    <x v="1"/>
    <s v="Music that moves you only on Spotify."/>
    <n v="2023"/>
    <n v="124"/>
    <n v="99"/>
    <n v="54524"/>
    <n v="34790"/>
    <n v="195"/>
    <s v="#DiscoverWeekly"/>
    <s v="#MusicForEveryone"/>
    <s v="ChillVibes"/>
  </r>
  <r>
    <s v="SP119"/>
    <x v="1"/>
    <d v="2025-05-29T00:00:00"/>
    <x v="1"/>
    <s v="Music that moves you only on Spotify."/>
    <n v="2134"/>
    <n v="322"/>
    <n v="114"/>
    <n v="44338"/>
    <n v="52165"/>
    <n v="176"/>
    <s v="#MusicForEveryone"/>
    <s v="#NowPlaying"/>
    <s v="ChillVibes"/>
  </r>
  <r>
    <s v="SP120"/>
    <x v="0"/>
    <d v="2025-01-17T00:00:00"/>
    <x v="0"/>
    <s v="Top trending tracks updated daily!"/>
    <n v="2266"/>
    <n v="126"/>
    <n v="140"/>
    <n v="53759"/>
    <n v="46834"/>
    <n v="277"/>
    <s v="#DiscoverWeekly"/>
    <m/>
    <s v="IndieWave"/>
  </r>
  <r>
    <s v="SP121"/>
    <x v="0"/>
    <d v="2025-04-30T00:00:00"/>
    <x v="1"/>
    <s v="New music just dropped. Hit play!"/>
    <n v="3916"/>
    <n v="459"/>
    <n v="229"/>
    <n v="48989"/>
    <n v="39768"/>
    <n v="200"/>
    <s v="#NowPlaying"/>
    <m/>
    <s v="Wrapped2024"/>
  </r>
  <r>
    <s v="SP122"/>
    <x v="1"/>
    <d v="2024-02-24T00:00:00"/>
    <x v="1"/>
    <s v="Music that moves you only on Spotify."/>
    <n v="1022"/>
    <n v="463"/>
    <n v="360"/>
    <n v="51468"/>
    <n v="24279"/>
    <n v="230"/>
    <s v="#DiscoverWeekly"/>
    <s v="#MusicForEveryone"/>
    <s v="ChillVibes"/>
  </r>
  <r>
    <s v="SP123"/>
    <x v="2"/>
    <d v="2024-05-12T00:00:00"/>
    <x v="0"/>
    <s v="From pop to podcasts, its all here."/>
    <n v="2911"/>
    <n v="467"/>
    <n v="94"/>
    <n v="59083"/>
    <n v="49762"/>
    <n v="236"/>
    <s v="#DiscoverWeekly"/>
    <s v="#SpotifyWrapped"/>
    <s v="IndieWave"/>
  </r>
  <r>
    <s v="SP124"/>
    <x v="1"/>
    <d v="2024-05-09T00:00:00"/>
    <x v="1"/>
    <s v="New music just dropped. Hit play!"/>
    <n v="3277"/>
    <n v="423"/>
    <n v="259"/>
    <n v="46328"/>
    <n v="44293"/>
    <n v="299"/>
    <s v="#SoundtrackOfLife"/>
    <s v="#NowPlaying"/>
    <s v="ChillVibes"/>
  </r>
  <r>
    <s v="SP125"/>
    <x v="1"/>
    <d v="2024-11-06T00:00:00"/>
    <x v="0"/>
    <s v="From pop to podcasts, its all here."/>
    <n v="2956"/>
    <n v="381"/>
    <n v="345"/>
    <n v="33347"/>
    <n v="22558"/>
    <n v="173"/>
    <s v="#NowPlaying"/>
    <m/>
    <s v="ChillVibes"/>
  </r>
  <r>
    <s v="SP126"/>
    <x v="1"/>
    <d v="2024-01-04T00:00:00"/>
    <x v="1"/>
    <s v="Whats your vibe today?"/>
    <n v="3208"/>
    <n v="476"/>
    <n v="277"/>
    <n v="56072"/>
    <n v="21061"/>
    <n v="113"/>
    <s v="#MusicForEveryone"/>
    <s v="#NowPlaying"/>
    <s v="ChillVibes"/>
  </r>
  <r>
    <s v="SP127"/>
    <x v="1"/>
    <d v="2024-01-28T00:00:00"/>
    <x v="0"/>
    <s v="Music that moves you only on Spotify."/>
    <n v="1456"/>
    <n v="265"/>
    <n v="137"/>
    <n v="53485"/>
    <n v="59729"/>
    <n v="145"/>
    <s v="#SoundtrackOfLife"/>
    <m/>
    <s v="IndieWave"/>
  </r>
  <r>
    <s v="SP128"/>
    <x v="0"/>
    <d v="2024-02-22T00:00:00"/>
    <x v="0"/>
    <s v="New music just dropped. Hit play!"/>
    <n v="1902"/>
    <n v="394"/>
    <n v="279"/>
    <n v="24615"/>
    <n v="51330"/>
    <n v="176"/>
    <s v="#SoundtrackOfLife"/>
    <s v="#NowPlaying"/>
    <s v="ChillVibes"/>
  </r>
  <r>
    <s v="SP129"/>
    <x v="1"/>
    <d v="2025-07-01T00:00:00"/>
    <x v="1"/>
    <s v="Explore the latest podcasts now."/>
    <n v="3219"/>
    <n v="424"/>
    <n v="267"/>
    <n v="48879"/>
    <n v="37691"/>
    <n v="224"/>
    <s v="#DiscoverWeekly"/>
    <s v="#MusicForEveryone"/>
    <s v="ChillVibes"/>
  </r>
  <r>
    <s v="SP130"/>
    <x v="2"/>
    <d v="2024-01-10T00:00:00"/>
    <x v="0"/>
    <s v="Explore the latest podcasts now."/>
    <n v="1261"/>
    <n v="190"/>
    <n v="233"/>
    <n v="59888"/>
    <n v="51449"/>
    <n v="205"/>
    <s v="#DiscoverWeekly"/>
    <s v="#SpotifyWrapped"/>
    <s v="IndieWave"/>
  </r>
  <r>
    <s v="SP131"/>
    <x v="1"/>
    <d v="2025-03-20T00:00:00"/>
    <x v="0"/>
    <s v="Your weekend playlist is waiting."/>
    <n v="1564"/>
    <n v="362"/>
    <n v="371"/>
    <n v="42075"/>
    <n v="66659"/>
    <n v="205"/>
    <s v="#SoundtrackOfLife"/>
    <m/>
    <s v="IndieWave"/>
  </r>
  <r>
    <s v="SP132"/>
    <x v="1"/>
    <d v="2024-09-28T00:00:00"/>
    <x v="0"/>
    <s v="Whats your vibe today?"/>
    <n v="4006"/>
    <n v="420"/>
    <n v="194"/>
    <n v="49964"/>
    <n v="20685"/>
    <n v="148"/>
    <s v="#NowPlaying"/>
    <m/>
    <s v="ChillVibes"/>
  </r>
  <r>
    <s v="SP133"/>
    <x v="2"/>
    <d v="2024-01-27T00:00:00"/>
    <x v="0"/>
    <s v="Your weekend playlist is waiting."/>
    <n v="1976"/>
    <n v="262"/>
    <n v="218"/>
    <n v="51696"/>
    <n v="44846"/>
    <n v="139"/>
    <s v="#DiscoverWeekly"/>
    <s v="#SpotifyWrapped"/>
    <s v="IndieWave"/>
  </r>
  <r>
    <s v="SP134"/>
    <x v="1"/>
    <d v="2025-05-15T00:00:00"/>
    <x v="0"/>
    <s v="New music just dropped. Hit play!"/>
    <n v="1583"/>
    <n v="433"/>
    <n v="249"/>
    <n v="30256"/>
    <n v="47066"/>
    <n v="196"/>
    <s v="#NowPlaying"/>
    <m/>
    <s v="ChillVibes"/>
  </r>
  <r>
    <s v="SP135"/>
    <x v="1"/>
    <d v="2024-10-04T00:00:00"/>
    <x v="1"/>
    <s v="Explore the latest podcasts now."/>
    <n v="2870"/>
    <n v="380"/>
    <n v="393"/>
    <n v="37621"/>
    <n v="71794"/>
    <n v="127"/>
    <s v="#MusicForEveryone"/>
    <s v="#NowPlaying"/>
    <s v="ChillVibes"/>
  </r>
  <r>
    <s v="SP136"/>
    <x v="1"/>
    <d v="2024-11-19T00:00:00"/>
    <x v="0"/>
    <s v="Top trending tracks updated daily!"/>
    <n v="3728"/>
    <n v="271"/>
    <n v="275"/>
    <n v="22827"/>
    <n v="37034"/>
    <n v="199"/>
    <s v="#NowPlaying"/>
    <m/>
    <s v="ChillVibes"/>
  </r>
  <r>
    <s v="SP137"/>
    <x v="1"/>
    <d v="2024-04-05T00:00:00"/>
    <x v="1"/>
    <s v="New music just dropped. Hit play!"/>
    <n v="4965"/>
    <n v="175"/>
    <n v="307"/>
    <n v="32793"/>
    <n v="43412"/>
    <n v="296"/>
    <s v="#SoundtrackOfLife"/>
    <s v="#NowPlaying"/>
    <s v="ChillVibes"/>
  </r>
  <r>
    <s v="SP138"/>
    <x v="1"/>
    <d v="2024-11-28T00:00:00"/>
    <x v="1"/>
    <s v="New music just dropped. Hit play!"/>
    <n v="1131"/>
    <n v="100"/>
    <n v="116"/>
    <n v="48437"/>
    <n v="72704"/>
    <n v="236"/>
    <s v="#DiscoverWeekly"/>
    <s v="#MusicForEveryone"/>
    <s v="ChillVibes"/>
  </r>
  <r>
    <s v="SP139"/>
    <x v="1"/>
    <d v="2025-03-09T00:00:00"/>
    <x v="0"/>
    <s v="Your weekend playlist is waiting."/>
    <n v="2754"/>
    <n v="215"/>
    <n v="264"/>
    <n v="27762"/>
    <n v="70203"/>
    <n v="289"/>
    <s v="#NowPlaying"/>
    <m/>
    <s v="ChillVibes"/>
  </r>
  <r>
    <s v="SP140"/>
    <x v="1"/>
    <d v="2024-08-27T00:00:00"/>
    <x v="1"/>
    <s v="New music just dropped. Hit play!"/>
    <n v="1856"/>
    <n v="357"/>
    <n v="348"/>
    <n v="29428"/>
    <n v="70206"/>
    <n v="236"/>
    <s v="#MusicForEveryone"/>
    <s v="#NowPlaying"/>
    <s v="ChillVibes"/>
  </r>
  <r>
    <s v="SP141"/>
    <x v="2"/>
    <d v="2024-10-01T00:00:00"/>
    <x v="2"/>
    <s v="Explore the latest podcasts now."/>
    <n v="3543"/>
    <n v="334"/>
    <n v="218"/>
    <n v="58007"/>
    <n v="24792"/>
    <n v="273"/>
    <s v="#DiscoverWeekly"/>
    <s v="#SoundtrackOfLife"/>
    <s v="SummerBeats"/>
  </r>
  <r>
    <s v="SP142"/>
    <x v="0"/>
    <d v="2024-12-21T00:00:00"/>
    <x v="1"/>
    <s v="New music just dropped. Hit play!"/>
    <n v="4563"/>
    <n v="398"/>
    <n v="163"/>
    <n v="43679"/>
    <n v="48760"/>
    <n v="92"/>
    <s v="#NowPlaying"/>
    <m/>
    <s v="Wrapped2024"/>
  </r>
  <r>
    <s v="SP143"/>
    <x v="0"/>
    <d v="2024-06-17T00:00:00"/>
    <x v="0"/>
    <s v="Discover fresh beats on Spotify!"/>
    <n v="4283"/>
    <n v="471"/>
    <n v="156"/>
    <n v="53004"/>
    <n v="25678"/>
    <n v="105"/>
    <s v="#DiscoverWeekly"/>
    <m/>
    <s v="IndieWave"/>
  </r>
  <r>
    <s v="SP144"/>
    <x v="0"/>
    <d v="2025-02-14T00:00:00"/>
    <x v="0"/>
    <s v="Discover fresh beats on Spotify!"/>
    <n v="2329"/>
    <n v="373"/>
    <n v="291"/>
    <n v="49577"/>
    <n v="28002"/>
    <n v="82"/>
    <s v="#SoundtrackOfLife"/>
    <s v="#NowPlaying"/>
    <s v="ChillVibes"/>
  </r>
  <r>
    <s v="SP145"/>
    <x v="1"/>
    <d v="2025-05-28T00:00:00"/>
    <x v="1"/>
    <s v="Top trending tracks updated daily!"/>
    <n v="4287"/>
    <n v="273"/>
    <n v="122"/>
    <n v="40792"/>
    <n v="23878"/>
    <n v="277"/>
    <s v="#MusicForEveryone"/>
    <s v="#NowPlaying"/>
    <s v="ChillVibes"/>
  </r>
  <r>
    <s v="SP146"/>
    <x v="0"/>
    <d v="2025-05-22T00:00:00"/>
    <x v="0"/>
    <s v="Discover fresh beats on Spotify!"/>
    <n v="2633"/>
    <n v="318"/>
    <n v="380"/>
    <n v="40869"/>
    <n v="64474"/>
    <n v="245"/>
    <s v="#DiscoverWeekly"/>
    <m/>
    <s v="IndieWave"/>
  </r>
  <r>
    <s v="SP147"/>
    <x v="1"/>
    <d v="2024-01-21T00:00:00"/>
    <x v="1"/>
    <s v="Discover fresh beats on Spotify!"/>
    <n v="2383"/>
    <n v="136"/>
    <n v="302"/>
    <n v="39187"/>
    <n v="22133"/>
    <n v="208"/>
    <s v="#MusicForEveryone"/>
    <s v="#NowPlaying"/>
    <s v="ChillVibes"/>
  </r>
  <r>
    <s v="SP148"/>
    <x v="1"/>
    <d v="2025-02-08T00:00:00"/>
    <x v="1"/>
    <s v="Your weekend playlist is waiting."/>
    <n v="4752"/>
    <n v="334"/>
    <n v="56"/>
    <n v="48017"/>
    <n v="55534"/>
    <n v="270"/>
    <s v="#DiscoverWeekly"/>
    <s v="#MusicForEveryone"/>
    <s v="ChillVibes"/>
  </r>
  <r>
    <s v="SP149"/>
    <x v="1"/>
    <d v="2025-04-13T00:00:00"/>
    <x v="0"/>
    <s v="From pop to podcasts, its all here."/>
    <n v="3890"/>
    <n v="408"/>
    <n v="338"/>
    <n v="56994"/>
    <n v="32621"/>
    <n v="286"/>
    <s v="#SoundtrackOfLife"/>
    <m/>
    <s v="IndieWave"/>
  </r>
  <r>
    <s v="SP150"/>
    <x v="1"/>
    <d v="2024-05-30T00:00:00"/>
    <x v="1"/>
    <s v="Your weekend playlist is waiting."/>
    <n v="2311"/>
    <n v="207"/>
    <n v="363"/>
    <n v="30349"/>
    <n v="32925"/>
    <n v="88"/>
    <s v="#MusicForEveryone"/>
    <s v="#NowPlaying"/>
    <s v="ChillVibes"/>
  </r>
  <r>
    <s v="SP151"/>
    <x v="0"/>
    <d v="2024-08-12T00:00:00"/>
    <x v="1"/>
    <s v="Discover fresh beats on Spotify!"/>
    <n v="2962"/>
    <n v="400"/>
    <n v="280"/>
    <n v="52508"/>
    <n v="58329"/>
    <n v="219"/>
    <s v="#NowPlaying"/>
    <m/>
    <s v="Wrapped2024"/>
  </r>
  <r>
    <s v="SP152"/>
    <x v="0"/>
    <d v="2024-09-27T00:00:00"/>
    <x v="0"/>
    <s v="Discover fresh beats on Spotify!"/>
    <n v="3118"/>
    <n v="116"/>
    <n v="195"/>
    <n v="37100"/>
    <n v="62629"/>
    <n v="272"/>
    <s v="#DiscoverWeekly"/>
    <m/>
    <s v="IndieWave"/>
  </r>
  <r>
    <s v="SP153"/>
    <x v="1"/>
    <d v="2025-06-11T00:00:00"/>
    <x v="1"/>
    <s v="Explore the latest podcasts now."/>
    <n v="3805"/>
    <n v="453"/>
    <n v="63"/>
    <n v="52395"/>
    <n v="72934"/>
    <n v="87"/>
    <s v="#DiscoverWeekly"/>
    <s v="#MusicForEveryone"/>
    <s v="ChillVibes"/>
  </r>
  <r>
    <s v="SP154"/>
    <x v="0"/>
    <d v="2024-11-19T00:00:00"/>
    <x v="0"/>
    <s v="Whats your vibe today?"/>
    <n v="2525"/>
    <n v="272"/>
    <n v="294"/>
    <n v="51875"/>
    <n v="24732"/>
    <n v="92"/>
    <s v="#DiscoverWeekly"/>
    <m/>
    <s v="IndieWave"/>
  </r>
  <r>
    <s v="SP155"/>
    <x v="0"/>
    <d v="2024-04-25T00:00:00"/>
    <x v="0"/>
    <s v="Music that moves you only on Spotify."/>
    <n v="3563"/>
    <n v="483"/>
    <n v="227"/>
    <n v="41085"/>
    <n v="26393"/>
    <n v="236"/>
    <s v="#SoundtrackOfLife"/>
    <s v="#NowPlaying"/>
    <s v="ChillVibes"/>
  </r>
  <r>
    <s v="SP156"/>
    <x v="2"/>
    <d v="2024-09-03T00:00:00"/>
    <x v="2"/>
    <s v="Whats your vibe today?"/>
    <n v="1437"/>
    <n v="494"/>
    <n v="129"/>
    <n v="53048"/>
    <n v="44090"/>
    <n v="230"/>
    <s v="#DiscoverWeekly"/>
    <s v="#SoundtrackOfLife"/>
    <s v="SummerBeats"/>
  </r>
  <r>
    <s v="SP157"/>
    <x v="2"/>
    <d v="2025-03-02T00:00:00"/>
    <x v="0"/>
    <s v="From pop to podcasts, its all here."/>
    <n v="4425"/>
    <n v="185"/>
    <n v="162"/>
    <n v="24610"/>
    <n v="21342"/>
    <n v="158"/>
    <s v="#DiscoverWeekly"/>
    <s v="#SpotifyWrapped"/>
    <s v="IndieWave"/>
  </r>
  <r>
    <s v="SP158"/>
    <x v="1"/>
    <d v="2025-03-21T00:00:00"/>
    <x v="1"/>
    <s v="New music just dropped. Hit play!"/>
    <n v="4609"/>
    <n v="427"/>
    <n v="395"/>
    <n v="33698"/>
    <n v="29259"/>
    <n v="216"/>
    <s v="#DiscoverWeekly"/>
    <s v="#MusicForEveryone"/>
    <s v="ChillVibes"/>
  </r>
  <r>
    <s v="SP159"/>
    <x v="0"/>
    <d v="2024-04-12T00:00:00"/>
    <x v="1"/>
    <s v="Get into the groove with our new drop!"/>
    <n v="1558"/>
    <n v="352"/>
    <n v="202"/>
    <n v="25405"/>
    <n v="69941"/>
    <n v="219"/>
    <s v="#NowPlaying"/>
    <m/>
    <s v="Wrapped2024"/>
  </r>
  <r>
    <s v="SP160"/>
    <x v="2"/>
    <d v="2024-02-08T00:00:00"/>
    <x v="2"/>
    <s v="Top trending tracks updated daily!"/>
    <n v="1889"/>
    <n v="298"/>
    <n v="122"/>
    <n v="46225"/>
    <n v="74305"/>
    <n v="293"/>
    <s v="#DiscoverWeekly"/>
    <s v="#SoundtrackOfLife"/>
    <s v="SummerBeats"/>
  </r>
  <r>
    <s v="SP161"/>
    <x v="0"/>
    <d v="2025-05-26T00:00:00"/>
    <x v="0"/>
    <s v="Discover fresh beats on Spotify!"/>
    <n v="3086"/>
    <n v="148"/>
    <n v="310"/>
    <n v="22824"/>
    <n v="58103"/>
    <n v="275"/>
    <s v="#DiscoverWeekly"/>
    <m/>
    <s v="IndieWave"/>
  </r>
  <r>
    <s v="SP162"/>
    <x v="0"/>
    <d v="2024-11-14T00:00:00"/>
    <x v="0"/>
    <s v="Music that moves you only on Spotify."/>
    <n v="2422"/>
    <n v="318"/>
    <n v="118"/>
    <n v="25386"/>
    <n v="20873"/>
    <n v="100"/>
    <s v="#SoundtrackOfLife"/>
    <s v="#NowPlaying"/>
    <s v="ChillVibes"/>
  </r>
  <r>
    <s v="SP163"/>
    <x v="2"/>
    <d v="2024-08-09T00:00:00"/>
    <x v="2"/>
    <s v="From pop to podcasts, its all here."/>
    <n v="3414"/>
    <n v="154"/>
    <n v="204"/>
    <n v="34146"/>
    <n v="44633"/>
    <n v="256"/>
    <s v="#DiscoverWeekly"/>
    <s v="#SoundtrackOfLife"/>
    <s v="SummerBeats"/>
  </r>
  <r>
    <s v="SP164"/>
    <x v="0"/>
    <d v="2025-06-27T00:00:00"/>
    <x v="1"/>
    <s v="Whats your vibe today?"/>
    <n v="1342"/>
    <n v="332"/>
    <n v="163"/>
    <n v="51712"/>
    <n v="57922"/>
    <n v="168"/>
    <s v="#NowPlaying"/>
    <m/>
    <s v="Wrapped2024"/>
  </r>
  <r>
    <s v="SP165"/>
    <x v="0"/>
    <d v="2024-05-08T00:00:00"/>
    <x v="1"/>
    <s v="Music that moves you only on Spotify."/>
    <n v="2414"/>
    <n v="220"/>
    <n v="280"/>
    <n v="27355"/>
    <n v="50562"/>
    <n v="258"/>
    <s v="#NowPlaying"/>
    <m/>
    <s v="Wrapped2024"/>
  </r>
  <r>
    <s v="SP166"/>
    <x v="0"/>
    <d v="2024-04-05T00:00:00"/>
    <x v="0"/>
    <s v="New music just dropped. Hit play!"/>
    <n v="4383"/>
    <n v="352"/>
    <n v="176"/>
    <n v="53239"/>
    <n v="34168"/>
    <n v="288"/>
    <s v="#DiscoverWeekly"/>
    <m/>
    <s v="IndieWave"/>
  </r>
  <r>
    <s v="SP167"/>
    <x v="2"/>
    <d v="2025-01-27T00:00:00"/>
    <x v="0"/>
    <s v="Wrapped is here! Relive your top tracks"/>
    <n v="4294"/>
    <n v="423"/>
    <n v="93"/>
    <n v="29828"/>
    <n v="73144"/>
    <n v="298"/>
    <s v="#DiscoverWeekly"/>
    <s v="#SpotifyWrapped"/>
    <s v="IndieWave"/>
  </r>
  <r>
    <s v="SP168"/>
    <x v="0"/>
    <d v="2024-04-03T00:00:00"/>
    <x v="0"/>
    <s v="Top trending tracks updated daily!"/>
    <n v="2762"/>
    <n v="339"/>
    <n v="323"/>
    <n v="33757"/>
    <n v="68511"/>
    <n v="121"/>
    <s v="#SoundtrackOfLife"/>
    <s v="#NowPlaying"/>
    <s v="ChillVibes"/>
  </r>
  <r>
    <s v="SP169"/>
    <x v="2"/>
    <d v="2025-01-03T00:00:00"/>
    <x v="0"/>
    <s v="New music just dropped. Hit play!"/>
    <n v="3782"/>
    <n v="484"/>
    <n v="144"/>
    <n v="52172"/>
    <n v="59386"/>
    <n v="175"/>
    <s v="#DiscoverWeekly"/>
    <s v="#SpotifyWrapped"/>
    <s v="IndieWave"/>
  </r>
  <r>
    <s v="SP170"/>
    <x v="1"/>
    <d v="2024-11-23T00:00:00"/>
    <x v="0"/>
    <s v="New music just dropped. Hit play!"/>
    <n v="4318"/>
    <n v="371"/>
    <n v="329"/>
    <n v="32347"/>
    <n v="68956"/>
    <n v="259"/>
    <s v="#SoundtrackOfLife"/>
    <m/>
    <s v="IndieWave"/>
  </r>
  <r>
    <s v="SP171"/>
    <x v="0"/>
    <d v="2024-09-01T00:00:00"/>
    <x v="1"/>
    <s v="Wrapped is here! Relive your top tracks"/>
    <n v="2335"/>
    <n v="150"/>
    <n v="75"/>
    <n v="26114"/>
    <n v="57549"/>
    <n v="135"/>
    <s v="#NowPlaying"/>
    <m/>
    <s v="Wrapped2024"/>
  </r>
  <r>
    <s v="SP172"/>
    <x v="2"/>
    <d v="2024-04-18T00:00:00"/>
    <x v="0"/>
    <s v="Explore the latest podcasts now."/>
    <n v="4023"/>
    <n v="293"/>
    <n v="91"/>
    <n v="26795"/>
    <n v="28924"/>
    <n v="278"/>
    <s v="#DiscoverWeekly"/>
    <s v="#SpotifyWrapped"/>
    <s v="IndieWave"/>
  </r>
  <r>
    <s v="SP173"/>
    <x v="0"/>
    <d v="2024-06-04T00:00:00"/>
    <x v="0"/>
    <s v="Get into the groove with our new drop!"/>
    <n v="3948"/>
    <n v="151"/>
    <n v="249"/>
    <n v="43147"/>
    <n v="63136"/>
    <n v="230"/>
    <s v="#DiscoverWeekly"/>
    <m/>
    <s v="IndieWave"/>
  </r>
  <r>
    <s v="SP174"/>
    <x v="2"/>
    <d v="2025-04-02T00:00:00"/>
    <x v="0"/>
    <s v="Wrapped is here! Relive your top tracks"/>
    <n v="4598"/>
    <n v="455"/>
    <n v="378"/>
    <n v="52952"/>
    <n v="58504"/>
    <n v="269"/>
    <s v="#DiscoverWeekly"/>
    <s v="#SpotifyWrapped"/>
    <s v="IndieWave"/>
  </r>
  <r>
    <s v="SP175"/>
    <x v="1"/>
    <d v="2025-04-01T00:00:00"/>
    <x v="1"/>
    <s v="Music that moves you only on Spotify."/>
    <n v="2665"/>
    <n v="143"/>
    <n v="315"/>
    <n v="54808"/>
    <n v="29818"/>
    <n v="98"/>
    <s v="#DiscoverWeekly"/>
    <s v="#MusicForEveryone"/>
    <s v="ChillVibes"/>
  </r>
  <r>
    <s v="SP176"/>
    <x v="0"/>
    <d v="2024-07-02T00:00:00"/>
    <x v="0"/>
    <s v="Top trending tracks updated daily!"/>
    <n v="3469"/>
    <n v="371"/>
    <n v="76"/>
    <n v="46493"/>
    <n v="26906"/>
    <n v="150"/>
    <s v="#SoundtrackOfLife"/>
    <s v="#NowPlaying"/>
    <s v="ChillVibes"/>
  </r>
  <r>
    <s v="SP177"/>
    <x v="1"/>
    <d v="2024-11-10T00:00:00"/>
    <x v="0"/>
    <s v="Explore the latest podcasts now."/>
    <n v="4823"/>
    <n v="489"/>
    <n v="302"/>
    <n v="32470"/>
    <n v="31861"/>
    <n v="178"/>
    <s v="#SoundtrackOfLife"/>
    <m/>
    <s v="IndieWave"/>
  </r>
  <r>
    <s v="SP178"/>
    <x v="0"/>
    <d v="2024-12-14T00:00:00"/>
    <x v="1"/>
    <s v="From pop to podcasts, its all here."/>
    <n v="3812"/>
    <n v="321"/>
    <n v="289"/>
    <n v="59838"/>
    <n v="36337"/>
    <n v="161"/>
    <s v="#NowPlaying"/>
    <m/>
    <s v="Wrapped2024"/>
  </r>
  <r>
    <s v="SP179"/>
    <x v="1"/>
    <d v="2024-11-19T00:00:00"/>
    <x v="0"/>
    <s v="Explore the latest podcasts now."/>
    <n v="2387"/>
    <n v="353"/>
    <n v="78"/>
    <n v="39745"/>
    <n v="69226"/>
    <n v="208"/>
    <s v="#SoundtrackOfLife"/>
    <m/>
    <s v="IndieWave"/>
  </r>
  <r>
    <s v="SP180"/>
    <x v="1"/>
    <d v="2025-04-30T00:00:00"/>
    <x v="1"/>
    <s v="Wrapped is here! Relive your top tracks"/>
    <n v="3929"/>
    <n v="275"/>
    <n v="330"/>
    <n v="58329"/>
    <n v="33196"/>
    <n v="85"/>
    <s v="#MusicForEveryone"/>
    <s v="#NowPlaying"/>
    <s v="ChillVibes"/>
  </r>
  <r>
    <s v="SP181"/>
    <x v="1"/>
    <d v="2024-03-19T00:00:00"/>
    <x v="0"/>
    <s v="From pop to podcasts, its all here."/>
    <n v="2191"/>
    <n v="288"/>
    <n v="83"/>
    <n v="59606"/>
    <n v="24765"/>
    <n v="281"/>
    <s v="#SoundtrackOfLife"/>
    <m/>
    <s v="IndieWave"/>
  </r>
  <r>
    <s v="SP182"/>
    <x v="0"/>
    <d v="2024-03-19T00:00:00"/>
    <x v="0"/>
    <s v="From pop to podcasts, its all here."/>
    <n v="2878"/>
    <n v="278"/>
    <n v="255"/>
    <n v="47235"/>
    <n v="57922"/>
    <n v="112"/>
    <s v="#SoundtrackOfLife"/>
    <s v="#NowPlaying"/>
    <s v="ChillVibes"/>
  </r>
  <r>
    <s v="SP183"/>
    <x v="1"/>
    <d v="2024-07-23T00:00:00"/>
    <x v="0"/>
    <s v="Top trending tracks updated daily!"/>
    <n v="3204"/>
    <n v="398"/>
    <n v="85"/>
    <n v="22020"/>
    <n v="58353"/>
    <n v="286"/>
    <s v="#SoundtrackOfLife"/>
    <m/>
    <s v="IndieWave"/>
  </r>
  <r>
    <s v="SP184"/>
    <x v="1"/>
    <d v="2024-07-13T00:00:00"/>
    <x v="1"/>
    <s v="Get into the groove with our new drop!"/>
    <n v="2408"/>
    <n v="323"/>
    <n v="251"/>
    <n v="47599"/>
    <n v="35543"/>
    <n v="287"/>
    <s v="#MusicForEveryone"/>
    <s v="#NowPlaying"/>
    <s v="ChillVibes"/>
  </r>
  <r>
    <s v="SP185"/>
    <x v="2"/>
    <d v="2025-04-22T00:00:00"/>
    <x v="2"/>
    <s v="New music just dropped. Hit play!"/>
    <n v="2733"/>
    <n v="297"/>
    <n v="235"/>
    <n v="37980"/>
    <n v="33058"/>
    <n v="219"/>
    <s v="#DiscoverWeekly"/>
    <s v="#SoundtrackOfLife"/>
    <s v="SummerBeats"/>
  </r>
  <r>
    <s v="SP186"/>
    <x v="1"/>
    <d v="2024-06-16T00:00:00"/>
    <x v="1"/>
    <s v="Explore the latest podcasts now."/>
    <n v="4618"/>
    <n v="312"/>
    <n v="254"/>
    <n v="22571"/>
    <n v="29453"/>
    <n v="197"/>
    <s v="#MusicForEveryone"/>
    <s v="#NowPlaying"/>
    <s v="ChillVibes"/>
  </r>
  <r>
    <s v="SP187"/>
    <x v="2"/>
    <d v="2025-05-18T00:00:00"/>
    <x v="2"/>
    <s v="Wrapped is here! Relive your top tracks"/>
    <n v="4210"/>
    <n v="319"/>
    <n v="350"/>
    <n v="37762"/>
    <n v="55162"/>
    <n v="204"/>
    <s v="#DiscoverWeekly"/>
    <s v="#SoundtrackOfLife"/>
    <s v="SummerBeats"/>
  </r>
  <r>
    <s v="SP188"/>
    <x v="0"/>
    <d v="2025-06-06T00:00:00"/>
    <x v="0"/>
    <s v="Wrapped is here! Relive your top tracks"/>
    <n v="3987"/>
    <n v="171"/>
    <n v="274"/>
    <n v="45122"/>
    <n v="65431"/>
    <n v="168"/>
    <s v="#DiscoverWeekly"/>
    <m/>
    <s v="IndieWave"/>
  </r>
  <r>
    <s v="SP189"/>
    <x v="2"/>
    <d v="2025-02-20T00:00:00"/>
    <x v="2"/>
    <s v="Get into the groove with our new drop!"/>
    <n v="4957"/>
    <n v="262"/>
    <n v="365"/>
    <n v="49199"/>
    <n v="40314"/>
    <n v="216"/>
    <s v="#DiscoverWeekly"/>
    <s v="#SoundtrackOfLife"/>
    <s v="SummerBeats"/>
  </r>
  <r>
    <s v="SP190"/>
    <x v="0"/>
    <d v="2025-01-16T00:00:00"/>
    <x v="0"/>
    <s v="Music that moves you only on Spotify."/>
    <n v="2605"/>
    <n v="282"/>
    <n v="148"/>
    <n v="32201"/>
    <n v="49583"/>
    <n v="241"/>
    <s v="#SoundtrackOfLife"/>
    <s v="#NowPlaying"/>
    <s v="ChillVibes"/>
  </r>
  <r>
    <s v="SP191"/>
    <x v="2"/>
    <d v="2024-02-24T00:00:00"/>
    <x v="2"/>
    <s v="Discover fresh beats on Spotify!"/>
    <n v="4221"/>
    <n v="307"/>
    <n v="58"/>
    <n v="45080"/>
    <n v="37214"/>
    <n v="240"/>
    <s v="#DiscoverWeekly"/>
    <s v="#SoundtrackOfLife"/>
    <s v="SummerBeats"/>
  </r>
  <r>
    <s v="SP192"/>
    <x v="1"/>
    <d v="2024-09-16T00:00:00"/>
    <x v="1"/>
    <s v="Whats your vibe today?"/>
    <n v="4422"/>
    <n v="434"/>
    <n v="156"/>
    <n v="56165"/>
    <n v="52431"/>
    <n v="173"/>
    <s v="#DiscoverWeekly"/>
    <s v="#MusicForEveryone"/>
    <s v="ChillVibes"/>
  </r>
  <r>
    <s v="SP193"/>
    <x v="2"/>
    <d v="2024-06-04T00:00:00"/>
    <x v="2"/>
    <s v="Wrapped is here! Relive your top tracks"/>
    <n v="1211"/>
    <n v="431"/>
    <n v="83"/>
    <n v="26532"/>
    <n v="47305"/>
    <n v="232"/>
    <s v="#DiscoverWeekly"/>
    <s v="#SoundtrackOfLife"/>
    <s v="SummerBeats"/>
  </r>
  <r>
    <s v="SP194"/>
    <x v="1"/>
    <d v="2024-05-10T00:00:00"/>
    <x v="1"/>
    <s v="Explore the latest podcasts now."/>
    <n v="2784"/>
    <n v="111"/>
    <n v="399"/>
    <n v="58366"/>
    <n v="69512"/>
    <n v="269"/>
    <s v="#MusicForEveryone"/>
    <s v="#NowPlaying"/>
    <s v="ChillVibes"/>
  </r>
  <r>
    <s v="SP195"/>
    <x v="2"/>
    <d v="2024-01-14T00:00:00"/>
    <x v="0"/>
    <s v="New music just dropped. Hit play!"/>
    <n v="3634"/>
    <n v="280"/>
    <n v="399"/>
    <n v="40256"/>
    <n v="52605"/>
    <n v="213"/>
    <s v="#DiscoverWeekly"/>
    <s v="#SpotifyWrapped"/>
    <s v="IndieWave"/>
  </r>
  <r>
    <s v="SP196"/>
    <x v="0"/>
    <d v="2025-01-12T00:00:00"/>
    <x v="0"/>
    <s v="From pop to podcasts, its all here."/>
    <n v="1771"/>
    <n v="487"/>
    <n v="272"/>
    <n v="48810"/>
    <n v="48084"/>
    <n v="272"/>
    <s v="#SoundtrackOfLife"/>
    <s v="#NowPlaying"/>
    <s v="ChillVibes"/>
  </r>
  <r>
    <s v="SP197"/>
    <x v="2"/>
    <d v="2024-12-08T00:00:00"/>
    <x v="0"/>
    <s v="Top trending tracks updated daily!"/>
    <n v="1424"/>
    <n v="396"/>
    <n v="312"/>
    <n v="59517"/>
    <n v="46102"/>
    <n v="239"/>
    <s v="#DiscoverWeekly"/>
    <s v="#SpotifyWrapped"/>
    <s v="IndieWave"/>
  </r>
  <r>
    <s v="SP198"/>
    <x v="1"/>
    <d v="2025-02-01T00:00:00"/>
    <x v="1"/>
    <s v="Top trending tracks updated daily!"/>
    <n v="1079"/>
    <n v="265"/>
    <n v="190"/>
    <n v="43786"/>
    <n v="72428"/>
    <n v="222"/>
    <s v="#SoundtrackOfLife"/>
    <s v="#NowPlaying"/>
    <s v="ChillVibes"/>
  </r>
  <r>
    <s v="SP199"/>
    <x v="1"/>
    <d v="2024-07-11T00:00:00"/>
    <x v="1"/>
    <s v="Get into the groove with our new drop!"/>
    <n v="4247"/>
    <n v="179"/>
    <n v="175"/>
    <n v="32991"/>
    <n v="70120"/>
    <n v="276"/>
    <s v="#SoundtrackOfLife"/>
    <s v="#NowPlaying"/>
    <s v="ChillVibes"/>
  </r>
  <r>
    <s v="SP200"/>
    <x v="1"/>
    <d v="2024-03-18T00:00:00"/>
    <x v="0"/>
    <s v="New music just dropped. Hit play!"/>
    <n v="2033"/>
    <n v="420"/>
    <n v="94"/>
    <n v="56290"/>
    <n v="57391"/>
    <n v="196"/>
    <s v="#NowPlaying"/>
    <m/>
    <s v="ChillVibes"/>
  </r>
  <r>
    <s v="SP201"/>
    <x v="1"/>
    <d v="2024-09-12T00:00:00"/>
    <x v="1"/>
    <s v="Wrapped is here! Relive your top tracks"/>
    <n v="1839"/>
    <n v="223"/>
    <n v="171"/>
    <n v="35459"/>
    <n v="69988"/>
    <n v="114"/>
    <s v="#MusicForEveryone"/>
    <s v="#NowPlaying"/>
    <s v="ChillVibes"/>
  </r>
  <r>
    <s v="SP202"/>
    <x v="1"/>
    <d v="2024-01-11T00:00:00"/>
    <x v="1"/>
    <s v="Wrapped is here! Relive your top tracks"/>
    <n v="2340"/>
    <n v="141"/>
    <n v="206"/>
    <n v="24916"/>
    <n v="30582"/>
    <n v="157"/>
    <s v="#SoundtrackOfLife"/>
    <s v="#NowPlaying"/>
    <s v="ChillVibes"/>
  </r>
  <r>
    <s v="SP203"/>
    <x v="0"/>
    <d v="2024-10-06T00:00:00"/>
    <x v="0"/>
    <s v="Top trending tracks updated daily!"/>
    <n v="2080"/>
    <n v="389"/>
    <n v="92"/>
    <n v="30971"/>
    <n v="25347"/>
    <n v="111"/>
    <s v="#DiscoverWeekly"/>
    <m/>
    <s v="IndieWave"/>
  </r>
  <r>
    <s v="SP204"/>
    <x v="1"/>
    <d v="2024-12-30T00:00:00"/>
    <x v="0"/>
    <s v="Get into the groove with our new drop!"/>
    <n v="4214"/>
    <n v="286"/>
    <n v="127"/>
    <n v="47293"/>
    <n v="27184"/>
    <n v="232"/>
    <s v="#NowPlaying"/>
    <m/>
    <s v="ChillVibes"/>
  </r>
  <r>
    <s v="SP205"/>
    <x v="1"/>
    <d v="2025-04-16T00:00:00"/>
    <x v="0"/>
    <s v="Wrapped is here! Relive your top tracks"/>
    <n v="3792"/>
    <n v="315"/>
    <n v="120"/>
    <n v="54592"/>
    <n v="67886"/>
    <n v="117"/>
    <s v="#SoundtrackOfLife"/>
    <m/>
    <s v="IndieWave"/>
  </r>
  <r>
    <s v="SP206"/>
    <x v="1"/>
    <d v="2024-08-21T00:00:00"/>
    <x v="1"/>
    <s v="Explore the latest podcasts now."/>
    <n v="3989"/>
    <n v="476"/>
    <n v="128"/>
    <n v="57569"/>
    <n v="40193"/>
    <n v="222"/>
    <s v="#DiscoverWeekly"/>
    <s v="#MusicForEveryone"/>
    <s v="ChillVibes"/>
  </r>
  <r>
    <s v="SP207"/>
    <x v="1"/>
    <d v="2024-04-05T00:00:00"/>
    <x v="1"/>
    <s v="Wrapped is here! Relive your top tracks"/>
    <n v="2857"/>
    <n v="443"/>
    <n v="359"/>
    <n v="51519"/>
    <n v="28256"/>
    <n v="155"/>
    <s v="#SoundtrackOfLife"/>
    <s v="#NowPlaying"/>
    <s v="ChillVibes"/>
  </r>
  <r>
    <s v="SP208"/>
    <x v="1"/>
    <d v="2025-04-07T00:00:00"/>
    <x v="0"/>
    <s v="From pop to podcasts, its all here."/>
    <n v="1403"/>
    <n v="385"/>
    <n v="344"/>
    <n v="54223"/>
    <n v="72595"/>
    <n v="239"/>
    <s v="#SoundtrackOfLife"/>
    <m/>
    <s v="IndieWave"/>
  </r>
  <r>
    <s v="SP209"/>
    <x v="1"/>
    <d v="2024-07-19T00:00:00"/>
    <x v="1"/>
    <s v="Whats your vibe today?"/>
    <n v="3071"/>
    <n v="126"/>
    <n v="200"/>
    <n v="44013"/>
    <n v="44679"/>
    <n v="118"/>
    <s v="#DiscoverWeekly"/>
    <s v="#MusicForEveryone"/>
    <s v="ChillVibes"/>
  </r>
  <r>
    <s v="SP210"/>
    <x v="1"/>
    <d v="2025-05-03T00:00:00"/>
    <x v="1"/>
    <s v="Top trending tracks updated daily!"/>
    <n v="1010"/>
    <n v="361"/>
    <n v="240"/>
    <n v="47229"/>
    <n v="72573"/>
    <n v="275"/>
    <s v="#SoundtrackOfLife"/>
    <s v="#NowPlaying"/>
    <s v="ChillVibes"/>
  </r>
  <r>
    <s v="SP211"/>
    <x v="1"/>
    <d v="2024-04-14T00:00:00"/>
    <x v="1"/>
    <s v="Discover fresh beats on Spotify!"/>
    <n v="1295"/>
    <n v="153"/>
    <n v="81"/>
    <n v="48350"/>
    <n v="61033"/>
    <n v="232"/>
    <s v="#DiscoverWeekly"/>
    <s v="#MusicForEveryone"/>
    <s v="ChillVibes"/>
  </r>
  <r>
    <s v="SP212"/>
    <x v="1"/>
    <d v="2025-06-19T00:00:00"/>
    <x v="1"/>
    <s v="Whats your vibe today?"/>
    <n v="1433"/>
    <n v="452"/>
    <n v="305"/>
    <n v="54541"/>
    <n v="63700"/>
    <n v="296"/>
    <s v="#DiscoverWeekly"/>
    <s v="#MusicForEveryone"/>
    <s v="ChillVibes"/>
  </r>
  <r>
    <s v="SP213"/>
    <x v="0"/>
    <d v="2025-06-24T00:00:00"/>
    <x v="1"/>
    <s v="Get into the groove with our new drop!"/>
    <n v="4902"/>
    <n v="422"/>
    <n v="376"/>
    <n v="31674"/>
    <n v="53225"/>
    <n v="147"/>
    <s v="#NowPlaying"/>
    <m/>
    <s v="Wrapped2024"/>
  </r>
  <r>
    <s v="SP214"/>
    <x v="1"/>
    <d v="2024-10-09T00:00:00"/>
    <x v="0"/>
    <s v="Wrapped is here! Relive your top tracks"/>
    <n v="2659"/>
    <n v="167"/>
    <n v="73"/>
    <n v="23090"/>
    <n v="25872"/>
    <n v="293"/>
    <s v="#SoundtrackOfLife"/>
    <m/>
    <s v="IndieWave"/>
  </r>
  <r>
    <s v="SP215"/>
    <x v="2"/>
    <d v="2025-01-15T00:00:00"/>
    <x v="0"/>
    <s v="Your weekend playlist is waiting."/>
    <n v="2599"/>
    <n v="324"/>
    <n v="182"/>
    <n v="37525"/>
    <n v="37216"/>
    <n v="186"/>
    <s v="#DiscoverWeekly"/>
    <s v="#SpotifyWrapped"/>
    <s v="IndieWave"/>
  </r>
  <r>
    <s v="SP216"/>
    <x v="1"/>
    <d v="2025-01-12T00:00:00"/>
    <x v="0"/>
    <s v="Music that moves you only on Spotify."/>
    <n v="1765"/>
    <n v="285"/>
    <n v="100"/>
    <n v="41313"/>
    <n v="56575"/>
    <n v="174"/>
    <s v="#SoundtrackOfLife"/>
    <m/>
    <s v="IndieWave"/>
  </r>
  <r>
    <s v="SP217"/>
    <x v="0"/>
    <d v="2025-05-31T00:00:00"/>
    <x v="0"/>
    <s v="Whats your vibe today?"/>
    <n v="2169"/>
    <n v="240"/>
    <n v="57"/>
    <n v="26109"/>
    <n v="46667"/>
    <n v="133"/>
    <s v="#SoundtrackOfLife"/>
    <s v="#NowPlaying"/>
    <s v="ChillVibes"/>
  </r>
  <r>
    <s v="SP218"/>
    <x v="1"/>
    <d v="2024-10-14T00:00:00"/>
    <x v="1"/>
    <s v="Explore the latest podcasts now."/>
    <n v="4303"/>
    <n v="306"/>
    <n v="302"/>
    <n v="39575"/>
    <n v="33762"/>
    <n v="265"/>
    <s v="#DiscoverWeekly"/>
    <s v="#MusicForEveryone"/>
    <s v="ChillVibes"/>
  </r>
  <r>
    <s v="SP219"/>
    <x v="1"/>
    <d v="2024-02-10T00:00:00"/>
    <x v="0"/>
    <s v="From pop to podcasts, its all here."/>
    <n v="1519"/>
    <n v="456"/>
    <n v="379"/>
    <n v="51611"/>
    <n v="45880"/>
    <n v="176"/>
    <s v="#SoundtrackOfLife"/>
    <m/>
    <s v="IndieWave"/>
  </r>
  <r>
    <s v="SP220"/>
    <x v="2"/>
    <d v="2024-12-10T00:00:00"/>
    <x v="0"/>
    <s v="Whats your vibe today?"/>
    <n v="2569"/>
    <n v="140"/>
    <n v="375"/>
    <n v="38372"/>
    <n v="22102"/>
    <n v="255"/>
    <s v="#DiscoverWeekly"/>
    <s v="#SpotifyWrapped"/>
    <s v="IndieWave"/>
  </r>
  <r>
    <s v="SP221"/>
    <x v="1"/>
    <d v="2025-05-09T00:00:00"/>
    <x v="1"/>
    <s v="Music that moves you only on Spotify."/>
    <n v="2778"/>
    <n v="241"/>
    <n v="317"/>
    <n v="26247"/>
    <n v="20677"/>
    <n v="282"/>
    <s v="#MusicForEveryone"/>
    <s v="#NowPlaying"/>
    <s v="ChillVibes"/>
  </r>
  <r>
    <s v="SP222"/>
    <x v="1"/>
    <d v="2025-06-21T00:00:00"/>
    <x v="0"/>
    <s v="Explore the latest podcasts now."/>
    <n v="3611"/>
    <n v="127"/>
    <n v="139"/>
    <n v="44768"/>
    <n v="29435"/>
    <n v="178"/>
    <s v="#NowPlaying"/>
    <m/>
    <s v="ChillVibes"/>
  </r>
  <r>
    <s v="SP223"/>
    <x v="1"/>
    <d v="2024-06-19T00:00:00"/>
    <x v="0"/>
    <s v="Whats your vibe today?"/>
    <n v="1224"/>
    <n v="168"/>
    <n v="199"/>
    <n v="54232"/>
    <n v="52844"/>
    <n v="271"/>
    <s v="#SoundtrackOfLife"/>
    <m/>
    <s v="IndieWave"/>
  </r>
  <r>
    <s v="SP224"/>
    <x v="1"/>
    <d v="2024-12-10T00:00:00"/>
    <x v="0"/>
    <s v="From pop to podcasts, its all here."/>
    <n v="4673"/>
    <n v="270"/>
    <n v="93"/>
    <n v="45260"/>
    <n v="57513"/>
    <n v="103"/>
    <s v="#NowPlaying"/>
    <m/>
    <s v="ChillVibes"/>
  </r>
  <r>
    <s v="SP225"/>
    <x v="2"/>
    <d v="2024-02-01T00:00:00"/>
    <x v="0"/>
    <s v="Wrapped is here! Relive your top tracks"/>
    <n v="1432"/>
    <n v="437"/>
    <n v="267"/>
    <n v="40634"/>
    <n v="54511"/>
    <n v="197"/>
    <s v="#DiscoverWeekly"/>
    <s v="#SpotifyWrapped"/>
    <s v="IndieWave"/>
  </r>
  <r>
    <s v="SP226"/>
    <x v="1"/>
    <d v="2024-01-17T00:00:00"/>
    <x v="1"/>
    <s v="New music just dropped. Hit play!"/>
    <n v="2174"/>
    <n v="499"/>
    <n v="212"/>
    <n v="54938"/>
    <n v="27190"/>
    <n v="265"/>
    <s v="#MusicForEveryone"/>
    <s v="#NowPlaying"/>
    <s v="ChillVibes"/>
  </r>
  <r>
    <s v="SP227"/>
    <x v="2"/>
    <d v="2025-03-22T00:00:00"/>
    <x v="0"/>
    <s v="Music that moves you only on Spotify."/>
    <n v="4308"/>
    <n v="171"/>
    <n v="106"/>
    <n v="36955"/>
    <n v="23949"/>
    <n v="294"/>
    <s v="#DiscoverWeekly"/>
    <s v="#SpotifyWrapped"/>
    <s v="IndieWave"/>
  </r>
  <r>
    <s v="SP228"/>
    <x v="2"/>
    <d v="2024-05-30T00:00:00"/>
    <x v="2"/>
    <s v="Whats your vibe today?"/>
    <n v="1060"/>
    <n v="442"/>
    <n v="319"/>
    <n v="57194"/>
    <n v="24258"/>
    <n v="101"/>
    <s v="#DiscoverWeekly"/>
    <s v="#SoundtrackOfLife"/>
    <s v="SummerBeats"/>
  </r>
  <r>
    <s v="SP229"/>
    <x v="2"/>
    <d v="2024-02-24T00:00:00"/>
    <x v="0"/>
    <s v="Music that moves you only on Spotify."/>
    <n v="4653"/>
    <n v="226"/>
    <n v="349"/>
    <n v="56876"/>
    <n v="28452"/>
    <n v="257"/>
    <s v="#DiscoverWeekly"/>
    <s v="#SpotifyWrapped"/>
    <s v="IndieWave"/>
  </r>
  <r>
    <s v="SP230"/>
    <x v="2"/>
    <d v="2025-05-14T00:00:00"/>
    <x v="0"/>
    <s v="Discover fresh beats on Spotify!"/>
    <n v="1701"/>
    <n v="272"/>
    <n v="385"/>
    <n v="47496"/>
    <n v="40832"/>
    <n v="246"/>
    <s v="#DiscoverWeekly"/>
    <s v="#SpotifyWrapped"/>
    <s v="IndieWave"/>
  </r>
  <r>
    <s v="SP231"/>
    <x v="0"/>
    <d v="2024-03-28T00:00:00"/>
    <x v="0"/>
    <s v="Whats your vibe today?"/>
    <n v="1673"/>
    <n v="280"/>
    <n v="67"/>
    <n v="29847"/>
    <n v="48016"/>
    <n v="213"/>
    <s v="#SoundtrackOfLife"/>
    <s v="#NowPlaying"/>
    <s v="ChillVibes"/>
  </r>
  <r>
    <s v="SP232"/>
    <x v="2"/>
    <d v="2025-03-07T00:00:00"/>
    <x v="0"/>
    <s v="Top trending tracks updated daily!"/>
    <n v="4310"/>
    <n v="284"/>
    <n v="306"/>
    <n v="44606"/>
    <n v="42604"/>
    <n v="290"/>
    <s v="#DiscoverWeekly"/>
    <s v="#SpotifyWrapped"/>
    <s v="IndieWave"/>
  </r>
  <r>
    <s v="SP233"/>
    <x v="1"/>
    <d v="2024-10-20T00:00:00"/>
    <x v="0"/>
    <s v="From pop to podcasts, its all here."/>
    <n v="2752"/>
    <n v="309"/>
    <n v="91"/>
    <n v="39038"/>
    <n v="28095"/>
    <n v="277"/>
    <s v="#NowPlaying"/>
    <m/>
    <s v="ChillVibes"/>
  </r>
  <r>
    <s v="SP234"/>
    <x v="1"/>
    <d v="2024-02-02T00:00:00"/>
    <x v="0"/>
    <s v="From pop to podcasts, its all here."/>
    <n v="3818"/>
    <n v="115"/>
    <n v="286"/>
    <n v="25127"/>
    <n v="22277"/>
    <n v="263"/>
    <s v="#NowPlaying"/>
    <m/>
    <s v="ChillVibes"/>
  </r>
  <r>
    <s v="SP235"/>
    <x v="2"/>
    <d v="2024-09-07T00:00:00"/>
    <x v="0"/>
    <s v="Your weekend playlist is waiting."/>
    <n v="2101"/>
    <n v="411"/>
    <n v="190"/>
    <n v="41791"/>
    <n v="57090"/>
    <n v="172"/>
    <s v="#DiscoverWeekly"/>
    <s v="#SpotifyWrapped"/>
    <s v="IndieWave"/>
  </r>
  <r>
    <s v="SP236"/>
    <x v="0"/>
    <d v="2024-12-20T00:00:00"/>
    <x v="0"/>
    <s v="Discover fresh beats on Spotify!"/>
    <n v="2519"/>
    <n v="202"/>
    <n v="239"/>
    <n v="36245"/>
    <n v="48606"/>
    <n v="145"/>
    <s v="#DiscoverWeekly"/>
    <m/>
    <s v="IndieWave"/>
  </r>
  <r>
    <s v="SP237"/>
    <x v="2"/>
    <d v="2024-01-14T00:00:00"/>
    <x v="0"/>
    <s v="Whats your vibe today?"/>
    <n v="4502"/>
    <n v="238"/>
    <n v="386"/>
    <n v="39198"/>
    <n v="25050"/>
    <n v="297"/>
    <s v="#DiscoverWeekly"/>
    <s v="#SpotifyWrapped"/>
    <s v="IndieWave"/>
  </r>
  <r>
    <s v="SP238"/>
    <x v="0"/>
    <d v="2025-06-15T00:00:00"/>
    <x v="0"/>
    <s v="Explore the latest podcasts now."/>
    <n v="2478"/>
    <n v="427"/>
    <n v="242"/>
    <n v="59272"/>
    <n v="37833"/>
    <n v="214"/>
    <s v="#SoundtrackOfLife"/>
    <s v="#NowPlaying"/>
    <s v="ChillVibes"/>
  </r>
  <r>
    <s v="SP239"/>
    <x v="1"/>
    <d v="2024-12-13T00:00:00"/>
    <x v="1"/>
    <s v="New music just dropped. Hit play!"/>
    <n v="4984"/>
    <n v="300"/>
    <n v="338"/>
    <n v="32900"/>
    <n v="31691"/>
    <n v="160"/>
    <s v="#MusicForEveryone"/>
    <s v="#NowPlaying"/>
    <s v="ChillVibes"/>
  </r>
  <r>
    <s v="SP240"/>
    <x v="2"/>
    <d v="2024-08-29T00:00:00"/>
    <x v="0"/>
    <s v="Wrapped is here! Relive your top tracks"/>
    <n v="4774"/>
    <n v="389"/>
    <n v="358"/>
    <n v="52346"/>
    <n v="30518"/>
    <n v="277"/>
    <s v="#DiscoverWeekly"/>
    <s v="#SpotifyWrapped"/>
    <s v="IndieWave"/>
  </r>
  <r>
    <s v="SP241"/>
    <x v="1"/>
    <d v="2024-09-15T00:00:00"/>
    <x v="0"/>
    <s v="Get into the groove with our new drop!"/>
    <n v="2145"/>
    <n v="340"/>
    <n v="85"/>
    <n v="53323"/>
    <n v="49938"/>
    <n v="104"/>
    <s v="#NowPlaying"/>
    <m/>
    <s v="ChillVibes"/>
  </r>
  <r>
    <s v="SP242"/>
    <x v="1"/>
    <d v="2025-04-12T00:00:00"/>
    <x v="1"/>
    <s v="From pop to podcasts, its all here."/>
    <n v="4315"/>
    <n v="208"/>
    <n v="273"/>
    <n v="35780"/>
    <n v="44349"/>
    <n v="133"/>
    <s v="#DiscoverWeekly"/>
    <s v="#MusicForEveryone"/>
    <s v="ChillVibes"/>
  </r>
  <r>
    <s v="SP243"/>
    <x v="1"/>
    <d v="2024-12-10T00:00:00"/>
    <x v="1"/>
    <s v="Wrapped is here! Relive your top tracks"/>
    <n v="2267"/>
    <n v="230"/>
    <n v="243"/>
    <n v="27904"/>
    <n v="69771"/>
    <n v="255"/>
    <s v="#DiscoverWeekly"/>
    <s v="#MusicForEveryone"/>
    <s v="ChillVibes"/>
  </r>
  <r>
    <s v="SP244"/>
    <x v="2"/>
    <d v="2025-06-08T00:00:00"/>
    <x v="0"/>
    <s v="Music that moves you only on Spotify."/>
    <n v="4375"/>
    <n v="303"/>
    <n v="294"/>
    <n v="57468"/>
    <n v="53397"/>
    <n v="159"/>
    <s v="#DiscoverWeekly"/>
    <s v="#SpotifyWrapped"/>
    <s v="IndieWave"/>
  </r>
  <r>
    <s v="SP245"/>
    <x v="1"/>
    <d v="2025-01-09T00:00:00"/>
    <x v="1"/>
    <s v="Your weekend playlist is waiting."/>
    <n v="3817"/>
    <n v="284"/>
    <n v="204"/>
    <n v="46434"/>
    <n v="53396"/>
    <n v="104"/>
    <s v="#MusicForEveryone"/>
    <s v="#NowPlaying"/>
    <s v="ChillVibes"/>
  </r>
  <r>
    <s v="SP246"/>
    <x v="1"/>
    <d v="2024-07-08T00:00:00"/>
    <x v="1"/>
    <s v="Top trending tracks updated daily!"/>
    <n v="2981"/>
    <n v="258"/>
    <n v="168"/>
    <n v="20677"/>
    <n v="68290"/>
    <n v="130"/>
    <s v="#SoundtrackOfLife"/>
    <s v="#NowPlaying"/>
    <s v="ChillVibes"/>
  </r>
  <r>
    <s v="SP247"/>
    <x v="1"/>
    <d v="2024-09-16T00:00:00"/>
    <x v="1"/>
    <s v="Your weekend playlist is waiting."/>
    <n v="3300"/>
    <n v="354"/>
    <n v="397"/>
    <n v="56773"/>
    <n v="72110"/>
    <n v="163"/>
    <s v="#DiscoverWeekly"/>
    <s v="#MusicForEveryone"/>
    <s v="ChillVibes"/>
  </r>
  <r>
    <s v="SP248"/>
    <x v="2"/>
    <d v="2024-06-14T00:00:00"/>
    <x v="2"/>
    <s v="Wrapped is here! Relive your top tracks"/>
    <n v="4722"/>
    <n v="310"/>
    <n v="344"/>
    <n v="27911"/>
    <n v="19000"/>
    <n v="225"/>
    <s v="#DiscoverWeekly"/>
    <s v="#SoundtrackOfLife"/>
    <s v="SummerBeats"/>
  </r>
  <r>
    <s v="SP249"/>
    <x v="0"/>
    <d v="2024-03-06T00:00:00"/>
    <x v="0"/>
    <s v="Whats your vibe today?"/>
    <n v="3529"/>
    <n v="263"/>
    <n v="107"/>
    <n v="26570"/>
    <n v="19367"/>
    <n v="96"/>
    <s v="#DiscoverWeekly"/>
    <m/>
    <s v="IndieWave"/>
  </r>
  <r>
    <s v="SP250"/>
    <x v="1"/>
    <d v="2025-05-15T00:00:00"/>
    <x v="0"/>
    <s v="Your weekend playlist is waiting."/>
    <n v="4782"/>
    <n v="210"/>
    <n v="311"/>
    <n v="29793"/>
    <n v="37543"/>
    <n v="145"/>
    <s v="#NowPlaying"/>
    <m/>
    <s v="ChillVibes"/>
  </r>
  <r>
    <s v="SP251"/>
    <x v="1"/>
    <d v="2024-07-07T00:00:00"/>
    <x v="0"/>
    <s v="Whats your vibe today?"/>
    <n v="1848"/>
    <n v="417"/>
    <n v="294"/>
    <n v="57819"/>
    <n v="19798"/>
    <n v="262"/>
    <s v="#SoundtrackOfLife"/>
    <m/>
    <s v="IndieWave"/>
  </r>
  <r>
    <s v="SP252"/>
    <x v="2"/>
    <d v="2024-10-26T00:00:00"/>
    <x v="0"/>
    <s v="New music just dropped. Hit play!"/>
    <n v="4676"/>
    <n v="211"/>
    <n v="55"/>
    <n v="45917"/>
    <n v="73503"/>
    <n v="248"/>
    <s v="#DiscoverWeekly"/>
    <s v="#SpotifyWrapped"/>
    <s v="IndieWave"/>
  </r>
  <r>
    <s v="SP253"/>
    <x v="2"/>
    <d v="2024-08-08T00:00:00"/>
    <x v="0"/>
    <s v="From pop to podcasts, its all here."/>
    <n v="1994"/>
    <n v="197"/>
    <n v="290"/>
    <n v="49500"/>
    <n v="23343"/>
    <n v="160"/>
    <s v="#DiscoverWeekly"/>
    <s v="#SpotifyWrapped"/>
    <s v="IndieWave"/>
  </r>
  <r>
    <s v="SP254"/>
    <x v="1"/>
    <d v="2025-02-03T00:00:00"/>
    <x v="0"/>
    <s v="Whats your vibe today?"/>
    <n v="4995"/>
    <n v="231"/>
    <n v="94"/>
    <n v="34431"/>
    <n v="32560"/>
    <n v="262"/>
    <s v="#NowPlaying"/>
    <m/>
    <s v="ChillVibes"/>
  </r>
  <r>
    <s v="SP255"/>
    <x v="1"/>
    <d v="2024-04-03T00:00:00"/>
    <x v="1"/>
    <s v="Top trending tracks updated daily!"/>
    <n v="2291"/>
    <n v="146"/>
    <n v="399"/>
    <n v="49319"/>
    <n v="28056"/>
    <n v="90"/>
    <s v="#DiscoverWeekly"/>
    <s v="#MusicForEveryone"/>
    <s v="ChillVibes"/>
  </r>
  <r>
    <s v="SP256"/>
    <x v="1"/>
    <d v="2024-07-08T00:00:00"/>
    <x v="1"/>
    <s v="Wrapped is here! Relive your top tracks"/>
    <n v="2304"/>
    <n v="289"/>
    <n v="161"/>
    <n v="52645"/>
    <n v="66262"/>
    <n v="146"/>
    <s v="#MusicForEveryone"/>
    <s v="#NowPlaying"/>
    <s v="ChillVibes"/>
  </r>
  <r>
    <s v="SP257"/>
    <x v="1"/>
    <d v="2024-06-08T00:00:00"/>
    <x v="1"/>
    <s v="Top trending tracks updated daily!"/>
    <n v="3413"/>
    <n v="326"/>
    <n v="86"/>
    <n v="44680"/>
    <n v="52719"/>
    <n v="272"/>
    <s v="#DiscoverWeekly"/>
    <s v="#MusicForEveryone"/>
    <s v="ChillVibes"/>
  </r>
  <r>
    <s v="SP258"/>
    <x v="2"/>
    <d v="2025-03-20T00:00:00"/>
    <x v="2"/>
    <s v="From pop to podcasts, its all here."/>
    <n v="1453"/>
    <n v="156"/>
    <n v="178"/>
    <n v="52980"/>
    <n v="57180"/>
    <n v="286"/>
    <s v="#DiscoverWeekly"/>
    <s v="#SoundtrackOfLife"/>
    <s v="SummerBeats"/>
  </r>
  <r>
    <s v="SP259"/>
    <x v="1"/>
    <d v="2025-01-19T00:00:00"/>
    <x v="1"/>
    <s v="Music that moves you only on Spotify."/>
    <n v="1651"/>
    <n v="480"/>
    <n v="282"/>
    <n v="32140"/>
    <n v="70560"/>
    <n v="138"/>
    <s v="#SoundtrackOfLife"/>
    <s v="#NowPlaying"/>
    <s v="ChillVibes"/>
  </r>
  <r>
    <s v="SP260"/>
    <x v="1"/>
    <d v="2025-01-05T00:00:00"/>
    <x v="1"/>
    <s v="Explore the latest podcasts now."/>
    <n v="3341"/>
    <n v="154"/>
    <n v="123"/>
    <n v="43369"/>
    <n v="49035"/>
    <n v="128"/>
    <s v="#MusicForEveryone"/>
    <s v="#NowPlaying"/>
    <s v="ChillVibes"/>
  </r>
  <r>
    <s v="SP261"/>
    <x v="1"/>
    <d v="2024-11-16T00:00:00"/>
    <x v="0"/>
    <s v="From pop to podcasts, its all here."/>
    <n v="2972"/>
    <n v="263"/>
    <n v="308"/>
    <n v="51740"/>
    <n v="28214"/>
    <n v="190"/>
    <s v="#SoundtrackOfLife"/>
    <m/>
    <s v="IndieWave"/>
  </r>
  <r>
    <s v="SP262"/>
    <x v="1"/>
    <d v="2024-11-30T00:00:00"/>
    <x v="1"/>
    <s v="Explore the latest podcasts now."/>
    <n v="4963"/>
    <n v="255"/>
    <n v="193"/>
    <n v="44386"/>
    <n v="28415"/>
    <n v="174"/>
    <s v="#MusicForEveryone"/>
    <s v="#NowPlaying"/>
    <s v="ChillVibes"/>
  </r>
  <r>
    <s v="SP263"/>
    <x v="2"/>
    <d v="2024-03-27T00:00:00"/>
    <x v="0"/>
    <s v="Music that moves you only on Spotify."/>
    <n v="2399"/>
    <n v="191"/>
    <n v="221"/>
    <n v="51603"/>
    <n v="40033"/>
    <n v="173"/>
    <s v="#DiscoverWeekly"/>
    <s v="#SpotifyWrapped"/>
    <s v="IndieWave"/>
  </r>
  <r>
    <s v="SP264"/>
    <x v="2"/>
    <d v="2025-05-31T00:00:00"/>
    <x v="2"/>
    <s v="Get into the groove with our new drop!"/>
    <n v="2162"/>
    <n v="318"/>
    <n v="83"/>
    <n v="46719"/>
    <n v="20482"/>
    <n v="185"/>
    <s v="#DiscoverWeekly"/>
    <s v="#SoundtrackOfLife"/>
    <s v="SummerBeats"/>
  </r>
  <r>
    <s v="SP265"/>
    <x v="1"/>
    <d v="2025-06-17T00:00:00"/>
    <x v="1"/>
    <s v="Explore the latest podcasts now."/>
    <n v="4341"/>
    <n v="141"/>
    <n v="63"/>
    <n v="50081"/>
    <n v="27507"/>
    <n v="221"/>
    <s v="#DiscoverWeekly"/>
    <s v="#MusicForEveryone"/>
    <s v="ChillVibes"/>
  </r>
  <r>
    <s v="SP266"/>
    <x v="0"/>
    <d v="2024-05-30T00:00:00"/>
    <x v="1"/>
    <s v="Get into the groove with our new drop!"/>
    <n v="2448"/>
    <n v="464"/>
    <n v="98"/>
    <n v="25737"/>
    <n v="48545"/>
    <n v="246"/>
    <s v="#NowPlaying"/>
    <m/>
    <s v="Wrapped2024"/>
  </r>
  <r>
    <s v="SP267"/>
    <x v="2"/>
    <d v="2024-11-08T00:00:00"/>
    <x v="0"/>
    <s v="Top trending tracks updated daily!"/>
    <n v="2471"/>
    <n v="166"/>
    <n v="320"/>
    <n v="48254"/>
    <n v="46900"/>
    <n v="111"/>
    <s v="#DiscoverWeekly"/>
    <s v="#SpotifyWrapped"/>
    <s v="IndieWave"/>
  </r>
  <r>
    <s v="SP268"/>
    <x v="2"/>
    <d v="2024-03-17T00:00:00"/>
    <x v="2"/>
    <s v="Explore the latest podcasts now."/>
    <n v="2692"/>
    <n v="446"/>
    <n v="216"/>
    <n v="45818"/>
    <n v="62723"/>
    <n v="85"/>
    <s v="#DiscoverWeekly"/>
    <s v="#SoundtrackOfLife"/>
    <s v="SummerBeats"/>
  </r>
  <r>
    <s v="SP269"/>
    <x v="2"/>
    <d v="2024-06-21T00:00:00"/>
    <x v="2"/>
    <s v="Music that moves you only on Spotify."/>
    <n v="4621"/>
    <n v="374"/>
    <n v="298"/>
    <n v="56979"/>
    <n v="24098"/>
    <n v="205"/>
    <s v="#DiscoverWeekly"/>
    <s v="#SoundtrackOfLife"/>
    <s v="SummerBeats"/>
  </r>
  <r>
    <s v="SP270"/>
    <x v="1"/>
    <d v="2024-11-13T00:00:00"/>
    <x v="1"/>
    <s v="New music just dropped. Hit play!"/>
    <n v="1409"/>
    <n v="466"/>
    <n v="105"/>
    <n v="58923"/>
    <n v="38753"/>
    <n v="265"/>
    <s v="#DiscoverWeekly"/>
    <s v="#MusicForEveryone"/>
    <s v="ChillVibes"/>
  </r>
  <r>
    <s v="SP271"/>
    <x v="1"/>
    <d v="2025-02-05T00:00:00"/>
    <x v="1"/>
    <s v="Discover fresh beats on Spotify!"/>
    <n v="3029"/>
    <n v="440"/>
    <n v="66"/>
    <n v="23815"/>
    <n v="47895"/>
    <n v="210"/>
    <s v="#DiscoverWeekly"/>
    <s v="#MusicForEveryone"/>
    <s v="ChillVibes"/>
  </r>
  <r>
    <s v="SP272"/>
    <x v="1"/>
    <d v="2024-11-07T00:00:00"/>
    <x v="0"/>
    <s v="Explore the latest podcasts now."/>
    <n v="2229"/>
    <n v="395"/>
    <n v="328"/>
    <n v="56921"/>
    <n v="37176"/>
    <n v="126"/>
    <s v="#SoundtrackOfLife"/>
    <m/>
    <s v="IndieWave"/>
  </r>
  <r>
    <s v="SP273"/>
    <x v="1"/>
    <d v="2024-02-12T00:00:00"/>
    <x v="0"/>
    <s v="Explore the latest podcasts now."/>
    <n v="2691"/>
    <n v="486"/>
    <n v="206"/>
    <n v="51133"/>
    <n v="44583"/>
    <n v="276"/>
    <s v="#NowPlaying"/>
    <m/>
    <s v="ChillVibes"/>
  </r>
  <r>
    <s v="SP274"/>
    <x v="0"/>
    <d v="2024-10-08T00:00:00"/>
    <x v="0"/>
    <s v="Explore the latest podcasts now."/>
    <n v="2110"/>
    <n v="384"/>
    <n v="236"/>
    <n v="49965"/>
    <n v="61555"/>
    <n v="195"/>
    <s v="#DiscoverWeekly"/>
    <m/>
    <s v="IndieWave"/>
  </r>
  <r>
    <s v="SP275"/>
    <x v="0"/>
    <d v="2024-02-19T00:00:00"/>
    <x v="0"/>
    <s v="Wrapped is here! Relive your top tracks"/>
    <n v="4752"/>
    <n v="449"/>
    <n v="309"/>
    <n v="58530"/>
    <n v="26630"/>
    <n v="234"/>
    <s v="#DiscoverWeekly"/>
    <m/>
    <s v="IndieWave"/>
  </r>
  <r>
    <s v="SP276"/>
    <x v="1"/>
    <d v="2025-03-04T00:00:00"/>
    <x v="0"/>
    <s v="Discover fresh beats on Spotify!"/>
    <n v="2177"/>
    <n v="258"/>
    <n v="292"/>
    <n v="47276"/>
    <n v="51324"/>
    <n v="143"/>
    <s v="#NowPlaying"/>
    <m/>
    <s v="ChillVibes"/>
  </r>
  <r>
    <s v="SP277"/>
    <x v="0"/>
    <d v="2025-02-03T00:00:00"/>
    <x v="1"/>
    <s v="New music just dropped. Hit play!"/>
    <n v="1205"/>
    <n v="486"/>
    <n v="269"/>
    <n v="23341"/>
    <n v="42411"/>
    <n v="184"/>
    <s v="#NowPlaying"/>
    <m/>
    <s v="Wrapped2024"/>
  </r>
  <r>
    <s v="SP278"/>
    <x v="0"/>
    <d v="2024-12-02T00:00:00"/>
    <x v="0"/>
    <s v="Top trending tracks updated daily!"/>
    <n v="3194"/>
    <n v="292"/>
    <n v="245"/>
    <n v="56371"/>
    <n v="65597"/>
    <n v="163"/>
    <s v="#SoundtrackOfLife"/>
    <s v="#NowPlaying"/>
    <s v="ChillVibes"/>
  </r>
  <r>
    <s v="SP279"/>
    <x v="1"/>
    <d v="2025-01-19T00:00:00"/>
    <x v="1"/>
    <s v="New music just dropped. Hit play!"/>
    <n v="3507"/>
    <n v="295"/>
    <n v="371"/>
    <n v="20410"/>
    <n v="53965"/>
    <n v="212"/>
    <s v="#SoundtrackOfLife"/>
    <s v="#NowPlaying"/>
    <s v="ChillVibes"/>
  </r>
  <r>
    <s v="SP280"/>
    <x v="1"/>
    <d v="2024-09-28T00:00:00"/>
    <x v="1"/>
    <s v="Wrapped is here! Relive your top tracks"/>
    <n v="4471"/>
    <n v="317"/>
    <n v="249"/>
    <n v="44862"/>
    <n v="33365"/>
    <n v="184"/>
    <s v="#DiscoverWeekly"/>
    <s v="#MusicForEveryone"/>
    <s v="ChillVibes"/>
  </r>
  <r>
    <s v="SP281"/>
    <x v="0"/>
    <d v="2024-01-07T00:00:00"/>
    <x v="0"/>
    <s v="Top trending tracks updated daily!"/>
    <n v="4931"/>
    <n v="469"/>
    <n v="193"/>
    <n v="56701"/>
    <n v="69437"/>
    <n v="291"/>
    <s v="#SoundtrackOfLife"/>
    <s v="#NowPlaying"/>
    <s v="ChillVibes"/>
  </r>
  <r>
    <s v="SP282"/>
    <x v="1"/>
    <d v="2024-02-21T00:00:00"/>
    <x v="1"/>
    <s v="Get into the groove with our new drop!"/>
    <n v="2604"/>
    <n v="439"/>
    <n v="148"/>
    <n v="58468"/>
    <n v="39629"/>
    <n v="163"/>
    <s v="#MusicForEveryone"/>
    <s v="#NowPlaying"/>
    <s v="ChillVibes"/>
  </r>
  <r>
    <s v="SP283"/>
    <x v="0"/>
    <d v="2024-08-27T00:00:00"/>
    <x v="0"/>
    <s v="Music that moves you only on Spotify."/>
    <n v="4197"/>
    <n v="359"/>
    <n v="280"/>
    <n v="56048"/>
    <n v="70930"/>
    <n v="295"/>
    <s v="#DiscoverWeekly"/>
    <m/>
    <s v="IndieWave"/>
  </r>
  <r>
    <s v="SP284"/>
    <x v="0"/>
    <d v="2024-10-24T00:00:00"/>
    <x v="1"/>
    <s v="Top trending tracks updated daily!"/>
    <n v="1914"/>
    <n v="255"/>
    <n v="156"/>
    <n v="27660"/>
    <n v="47776"/>
    <n v="111"/>
    <s v="#NowPlaying"/>
    <m/>
    <s v="Wrapped2024"/>
  </r>
  <r>
    <s v="SP285"/>
    <x v="2"/>
    <d v="2025-01-29T00:00:00"/>
    <x v="0"/>
    <s v="New music just dropped. Hit play!"/>
    <n v="1334"/>
    <n v="357"/>
    <n v="257"/>
    <n v="56910"/>
    <n v="70606"/>
    <n v="228"/>
    <s v="#DiscoverWeekly"/>
    <s v="#SpotifyWrapped"/>
    <s v="IndieWave"/>
  </r>
  <r>
    <s v="SP286"/>
    <x v="0"/>
    <d v="2024-05-01T00:00:00"/>
    <x v="0"/>
    <s v="Get into the groove with our new drop!"/>
    <n v="3359"/>
    <n v="137"/>
    <n v="387"/>
    <n v="33861"/>
    <n v="47257"/>
    <n v="198"/>
    <s v="#DiscoverWeekly"/>
    <m/>
    <s v="IndieWave"/>
  </r>
  <r>
    <s v="SP287"/>
    <x v="2"/>
    <d v="2024-06-25T00:00:00"/>
    <x v="0"/>
    <s v="Your weekend playlist is waiting."/>
    <n v="2172"/>
    <n v="338"/>
    <n v="70"/>
    <n v="30515"/>
    <n v="57853"/>
    <n v="156"/>
    <s v="#DiscoverWeekly"/>
    <s v="#SpotifyWrapped"/>
    <s v="IndieWave"/>
  </r>
  <r>
    <s v="SP288"/>
    <x v="1"/>
    <d v="2024-08-09T00:00:00"/>
    <x v="1"/>
    <s v="From pop to podcasts, its all here."/>
    <n v="4877"/>
    <n v="442"/>
    <n v="236"/>
    <n v="52673"/>
    <n v="48241"/>
    <n v="114"/>
    <s v="#DiscoverWeekly"/>
    <s v="#MusicForEveryone"/>
    <s v="ChillVibes"/>
  </r>
  <r>
    <s v="SP289"/>
    <x v="0"/>
    <d v="2025-01-21T00:00:00"/>
    <x v="1"/>
    <s v="New music just dropped. Hit play!"/>
    <n v="4918"/>
    <n v="440"/>
    <n v="149"/>
    <n v="53269"/>
    <n v="64370"/>
    <n v="269"/>
    <s v="#NowPlaying"/>
    <m/>
    <s v="Wrapped2024"/>
  </r>
  <r>
    <s v="SP290"/>
    <x v="1"/>
    <d v="2024-08-13T00:00:00"/>
    <x v="0"/>
    <s v="Explore the latest podcasts now."/>
    <n v="3418"/>
    <n v="107"/>
    <n v="221"/>
    <n v="23927"/>
    <n v="26182"/>
    <n v="155"/>
    <s v="#SoundtrackOfLife"/>
    <m/>
    <s v="IndieWave"/>
  </r>
  <r>
    <s v="SP291"/>
    <x v="0"/>
    <d v="2024-06-29T00:00:00"/>
    <x v="0"/>
    <s v="Your weekend playlist is waiting."/>
    <n v="2088"/>
    <n v="490"/>
    <n v="124"/>
    <n v="46544"/>
    <n v="69346"/>
    <n v="178"/>
    <s v="#SoundtrackOfLife"/>
    <s v="#NowPlaying"/>
    <s v="ChillVibes"/>
  </r>
  <r>
    <s v="SP292"/>
    <x v="1"/>
    <d v="2024-11-03T00:00:00"/>
    <x v="1"/>
    <s v="Explore the latest podcasts now."/>
    <n v="3061"/>
    <n v="320"/>
    <n v="76"/>
    <n v="26640"/>
    <n v="24306"/>
    <n v="112"/>
    <s v="#MusicForEveryone"/>
    <s v="#NowPlaying"/>
    <s v="ChillVibes"/>
  </r>
  <r>
    <s v="SP293"/>
    <x v="2"/>
    <d v="2025-04-18T00:00:00"/>
    <x v="2"/>
    <s v="Your weekend playlist is waiting."/>
    <n v="1265"/>
    <n v="230"/>
    <n v="364"/>
    <n v="41312"/>
    <n v="50382"/>
    <n v="106"/>
    <s v="#DiscoverWeekly"/>
    <s v="#SoundtrackOfLife"/>
    <s v="SummerBeats"/>
  </r>
  <r>
    <s v="SP294"/>
    <x v="0"/>
    <d v="2024-12-27T00:00:00"/>
    <x v="0"/>
    <s v="From pop to podcasts, its all here."/>
    <n v="1436"/>
    <n v="219"/>
    <n v="229"/>
    <n v="58488"/>
    <n v="24314"/>
    <n v="147"/>
    <s v="#DiscoverWeekly"/>
    <m/>
    <s v="IndieWave"/>
  </r>
  <r>
    <s v="SP295"/>
    <x v="0"/>
    <d v="2025-03-08T00:00:00"/>
    <x v="1"/>
    <s v="Top trending tracks updated daily!"/>
    <n v="2244"/>
    <n v="392"/>
    <n v="231"/>
    <n v="25834"/>
    <n v="50906"/>
    <n v="165"/>
    <s v="#NowPlaying"/>
    <m/>
    <s v="Wrapped2024"/>
  </r>
  <r>
    <s v="SP296"/>
    <x v="1"/>
    <d v="2025-03-20T00:00:00"/>
    <x v="1"/>
    <s v="Your weekend playlist is waiting."/>
    <n v="3393"/>
    <n v="104"/>
    <n v="79"/>
    <n v="30025"/>
    <n v="21593"/>
    <n v="165"/>
    <s v="#MusicForEveryone"/>
    <s v="#NowPlaying"/>
    <s v="ChillVibes"/>
  </r>
  <r>
    <s v="SP297"/>
    <x v="1"/>
    <d v="2024-11-16T00:00:00"/>
    <x v="0"/>
    <s v="Explore the latest podcasts now."/>
    <n v="2901"/>
    <n v="108"/>
    <n v="86"/>
    <n v="51777"/>
    <n v="23773"/>
    <n v="160"/>
    <s v="#SoundtrackOfLife"/>
    <m/>
    <s v="IndieWave"/>
  </r>
  <r>
    <s v="SP298"/>
    <x v="1"/>
    <d v="2025-06-30T00:00:00"/>
    <x v="0"/>
    <s v="Whats your vibe today?"/>
    <n v="2275"/>
    <n v="285"/>
    <n v="125"/>
    <n v="43970"/>
    <n v="74761"/>
    <n v="83"/>
    <s v="#NowPlaying"/>
    <m/>
    <s v="ChillVibes"/>
  </r>
  <r>
    <s v="SP299"/>
    <x v="1"/>
    <d v="2024-01-12T00:00:00"/>
    <x v="1"/>
    <s v="Wrapped is here! Relive your top tracks"/>
    <n v="2227"/>
    <n v="494"/>
    <n v="161"/>
    <n v="51651"/>
    <n v="68074"/>
    <n v="240"/>
    <s v="#DiscoverWeekly"/>
    <s v="#MusicForEveryone"/>
    <s v="ChillVibes"/>
  </r>
  <r>
    <s v="SP300"/>
    <x v="0"/>
    <d v="2024-02-07T00:00:00"/>
    <x v="0"/>
    <s v="Music that moves you only on Spotify."/>
    <n v="1883"/>
    <n v="432"/>
    <n v="397"/>
    <n v="28759"/>
    <n v="18691"/>
    <n v="270"/>
    <s v="#SoundtrackOfLife"/>
    <s v="#NowPlaying"/>
    <s v="ChillVibes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s v="SP001"/>
    <x v="0"/>
    <d v="2025-05-04T00:00:00"/>
    <x v="0"/>
    <s v="Discover fresh beats on Spotify!"/>
    <x v="0"/>
    <n v="245"/>
    <n v="137"/>
    <n v="21181"/>
    <n v="45292"/>
    <x v="0"/>
    <s v="#SoundtrackOfLife"/>
    <s v="#NowPlaying"/>
    <s v="ChillVibes"/>
  </r>
  <r>
    <s v="SP002"/>
    <x v="0"/>
    <d v="2025-02-01T00:00:00"/>
    <x v="0"/>
    <s v="Explore the latest podcasts now."/>
    <x v="1"/>
    <n v="210"/>
    <n v="393"/>
    <n v="29129"/>
    <n v="73287"/>
    <x v="1"/>
    <s v="#DiscoverWeekly"/>
    <m/>
    <s v="IndieWave"/>
  </r>
  <r>
    <s v="SP003"/>
    <x v="1"/>
    <d v="2024-12-03T00:00:00"/>
    <x v="1"/>
    <s v="New music just dropped. Hit play!"/>
    <x v="2"/>
    <n v="177"/>
    <n v="81"/>
    <n v="47533"/>
    <n v="29220"/>
    <x v="2"/>
    <s v="#MusicForEveryone"/>
    <s v="#NowPlaying"/>
    <s v="ChillVibes"/>
  </r>
  <r>
    <s v="SP004"/>
    <x v="0"/>
    <d v="2024-12-03T00:00:00"/>
    <x v="0"/>
    <s v="Wrapped is here! Relive your top tracks"/>
    <x v="3"/>
    <n v="229"/>
    <n v="197"/>
    <n v="29604"/>
    <n v="21809"/>
    <x v="3"/>
    <s v="#SoundtrackOfLife"/>
    <s v="#NowPlaying"/>
    <s v="ChillVibes"/>
  </r>
  <r>
    <s v="SP005"/>
    <x v="2"/>
    <d v="2024-04-06T00:00:00"/>
    <x v="0"/>
    <s v="Music that moves you only on Spotify."/>
    <x v="4"/>
    <n v="145"/>
    <n v="315"/>
    <n v="24401"/>
    <n v="61182"/>
    <x v="4"/>
    <s v="#DiscoverWeekly"/>
    <s v="#SpotifyWrapped"/>
    <s v="IndieWave"/>
  </r>
  <r>
    <s v="SP006"/>
    <x v="2"/>
    <d v="2024-06-13T00:00:00"/>
    <x v="0"/>
    <s v="Whats your vibe today?"/>
    <x v="5"/>
    <n v="239"/>
    <n v="275"/>
    <n v="58748"/>
    <n v="44646"/>
    <x v="5"/>
    <s v="#DiscoverWeekly"/>
    <s v="#SpotifyWrapped"/>
    <s v="IndieWave"/>
  </r>
  <r>
    <s v="SP007"/>
    <x v="1"/>
    <d v="2024-12-19T00:00:00"/>
    <x v="1"/>
    <s v="Get into the groove with our new drop!"/>
    <x v="6"/>
    <n v="409"/>
    <n v="327"/>
    <n v="20756"/>
    <n v="63599"/>
    <x v="6"/>
    <s v="#SoundtrackOfLife"/>
    <s v="#NowPlaying"/>
    <s v="ChillVibes"/>
  </r>
  <r>
    <s v="SP008"/>
    <x v="1"/>
    <d v="2024-05-09T00:00:00"/>
    <x v="1"/>
    <s v="Wrapped is here! Relive your top tracks"/>
    <x v="7"/>
    <n v="347"/>
    <n v="67"/>
    <n v="21148"/>
    <n v="19712"/>
    <x v="7"/>
    <s v="#DiscoverWeekly"/>
    <s v="#MusicForEveryone"/>
    <s v="ChillVibes"/>
  </r>
  <r>
    <s v="SP009"/>
    <x v="1"/>
    <d v="2025-06-15T00:00:00"/>
    <x v="0"/>
    <s v="Top trending tracks updated daily!"/>
    <x v="8"/>
    <n v="223"/>
    <n v="299"/>
    <n v="59016"/>
    <n v="21742"/>
    <x v="8"/>
    <s v="#NowPlaying"/>
    <m/>
    <s v="ChillVibes"/>
  </r>
  <r>
    <s v="SP010"/>
    <x v="1"/>
    <d v="2024-12-04T00:00:00"/>
    <x v="0"/>
    <s v="Wrapped is here! Relive your top tracks"/>
    <x v="9"/>
    <n v="274"/>
    <n v="172"/>
    <n v="21566"/>
    <n v="66829"/>
    <x v="9"/>
    <s v="#NowPlaying"/>
    <m/>
    <s v="ChillVibes"/>
  </r>
  <r>
    <s v="SP011"/>
    <x v="1"/>
    <d v="2024-03-06T00:00:00"/>
    <x v="0"/>
    <s v="Discover fresh beats on Spotify!"/>
    <x v="10"/>
    <n v="370"/>
    <n v="306"/>
    <n v="31316"/>
    <n v="27897"/>
    <x v="10"/>
    <s v="#SoundtrackOfLife"/>
    <m/>
    <s v="IndieWave"/>
  </r>
  <r>
    <s v="SP012"/>
    <x v="0"/>
    <d v="2024-05-14T00:00:00"/>
    <x v="0"/>
    <s v="Discover fresh beats on Spotify!"/>
    <x v="11"/>
    <n v="353"/>
    <n v="244"/>
    <n v="38419"/>
    <n v="38556"/>
    <x v="11"/>
    <s v="#SoundtrackOfLife"/>
    <s v="#NowPlaying"/>
    <s v="ChillVibes"/>
  </r>
  <r>
    <s v="SP013"/>
    <x v="1"/>
    <d v="2025-06-18T00:00:00"/>
    <x v="1"/>
    <s v="Discover fresh beats on Spotify!"/>
    <x v="12"/>
    <n v="319"/>
    <n v="61"/>
    <n v="58162"/>
    <n v="28720"/>
    <x v="12"/>
    <s v="#MusicForEveryone"/>
    <s v="#NowPlaying"/>
    <s v="ChillVibes"/>
  </r>
  <r>
    <s v="SP014"/>
    <x v="1"/>
    <d v="2024-10-08T00:00:00"/>
    <x v="0"/>
    <s v="From pop to podcasts, its all here."/>
    <x v="13"/>
    <n v="409"/>
    <n v="253"/>
    <n v="36702"/>
    <n v="46122"/>
    <x v="13"/>
    <s v="#NowPlaying"/>
    <m/>
    <s v="ChillVibes"/>
  </r>
  <r>
    <s v="SP015"/>
    <x v="1"/>
    <d v="2024-05-06T00:00:00"/>
    <x v="0"/>
    <s v="Your weekend playlist is waiting."/>
    <x v="14"/>
    <n v="355"/>
    <n v="396"/>
    <n v="37492"/>
    <n v="27285"/>
    <x v="14"/>
    <s v="#NowPlaying"/>
    <m/>
    <s v="ChillVibes"/>
  </r>
  <r>
    <s v="SP016"/>
    <x v="1"/>
    <d v="2024-12-29T00:00:00"/>
    <x v="1"/>
    <s v="New music just dropped. Hit play!"/>
    <x v="15"/>
    <n v="377"/>
    <n v="94"/>
    <n v="48182"/>
    <n v="42875"/>
    <x v="15"/>
    <s v="#MusicForEveryone"/>
    <s v="#NowPlaying"/>
    <s v="ChillVibes"/>
  </r>
  <r>
    <s v="SP017"/>
    <x v="1"/>
    <d v="2024-06-10T00:00:00"/>
    <x v="0"/>
    <s v="Whats your vibe today?"/>
    <x v="16"/>
    <n v="164"/>
    <n v="275"/>
    <n v="41364"/>
    <n v="44389"/>
    <x v="16"/>
    <s v="#NowPlaying"/>
    <m/>
    <s v="ChillVibes"/>
  </r>
  <r>
    <s v="SP018"/>
    <x v="0"/>
    <d v="2024-02-03T00:00:00"/>
    <x v="1"/>
    <s v="Music that moves you only on Spotify."/>
    <x v="17"/>
    <n v="101"/>
    <n v="163"/>
    <n v="32278"/>
    <n v="53382"/>
    <x v="17"/>
    <s v="#NowPlaying"/>
    <m/>
    <s v="Wrapped2024"/>
  </r>
  <r>
    <s v="SP019"/>
    <x v="2"/>
    <d v="2024-06-15T00:00:00"/>
    <x v="2"/>
    <s v="Get into the groove with our new drop!"/>
    <x v="18"/>
    <n v="143"/>
    <n v="151"/>
    <n v="31826"/>
    <n v="47729"/>
    <x v="18"/>
    <s v="#DiscoverWeekly"/>
    <s v="#SoundtrackOfLife"/>
    <s v="SummerBeats"/>
  </r>
  <r>
    <s v="SP020"/>
    <x v="0"/>
    <d v="2024-07-05T00:00:00"/>
    <x v="0"/>
    <s v="Your weekend playlist is waiting."/>
    <x v="19"/>
    <n v="411"/>
    <n v="308"/>
    <n v="29138"/>
    <n v="27678"/>
    <x v="19"/>
    <s v="#DiscoverWeekly"/>
    <m/>
    <s v="IndieWave"/>
  </r>
  <r>
    <s v="SP021"/>
    <x v="0"/>
    <d v="2024-11-07T00:00:00"/>
    <x v="1"/>
    <s v="Wrapped is here! Relive your top tracks"/>
    <x v="20"/>
    <n v="423"/>
    <n v="323"/>
    <n v="55668"/>
    <n v="37945"/>
    <x v="20"/>
    <s v="#NowPlaying"/>
    <m/>
    <s v="Wrapped2024"/>
  </r>
  <r>
    <s v="SP022"/>
    <x v="0"/>
    <d v="2025-06-15T00:00:00"/>
    <x v="0"/>
    <s v="Whats your vibe today?"/>
    <x v="21"/>
    <n v="466"/>
    <n v="233"/>
    <n v="28621"/>
    <n v="34270"/>
    <x v="21"/>
    <s v="#SoundtrackOfLife"/>
    <s v="#NowPlaying"/>
    <s v="ChillVibes"/>
  </r>
  <r>
    <s v="SP023"/>
    <x v="2"/>
    <d v="2024-06-09T00:00:00"/>
    <x v="2"/>
    <s v="From pop to podcasts, its all here."/>
    <x v="22"/>
    <n v="368"/>
    <n v="208"/>
    <n v="42000"/>
    <n v="39967"/>
    <x v="22"/>
    <s v="#DiscoverWeekly"/>
    <s v="#SoundtrackOfLife"/>
    <s v="SummerBeats"/>
  </r>
  <r>
    <s v="SP024"/>
    <x v="1"/>
    <d v="2024-10-18T00:00:00"/>
    <x v="0"/>
    <s v="New music just dropped. Hit play!"/>
    <x v="23"/>
    <n v="379"/>
    <n v="180"/>
    <n v="28712"/>
    <n v="61620"/>
    <x v="23"/>
    <s v="#SoundtrackOfLife"/>
    <m/>
    <s v="IndieWave"/>
  </r>
  <r>
    <s v="SP025"/>
    <x v="2"/>
    <d v="2024-10-10T00:00:00"/>
    <x v="2"/>
    <s v="From pop to podcasts, its all here."/>
    <x v="24"/>
    <n v="320"/>
    <n v="92"/>
    <n v="54605"/>
    <n v="60169"/>
    <x v="24"/>
    <s v="#DiscoverWeekly"/>
    <s v="#SoundtrackOfLife"/>
    <s v="SummerBeats"/>
  </r>
  <r>
    <s v="SP026"/>
    <x v="1"/>
    <d v="2025-05-14T00:00:00"/>
    <x v="1"/>
    <s v="From pop to podcasts, its all here."/>
    <x v="25"/>
    <n v="103"/>
    <n v="51"/>
    <n v="55302"/>
    <n v="18801"/>
    <x v="25"/>
    <s v="#DiscoverWeekly"/>
    <s v="#MusicForEveryone"/>
    <s v="ChillVibes"/>
  </r>
  <r>
    <s v="SP027"/>
    <x v="0"/>
    <d v="2024-11-29T00:00:00"/>
    <x v="0"/>
    <s v="Whats your vibe today?"/>
    <x v="26"/>
    <n v="425"/>
    <n v="274"/>
    <n v="31004"/>
    <n v="53488"/>
    <x v="26"/>
    <s v="#SoundtrackOfLife"/>
    <s v="#NowPlaying"/>
    <s v="ChillVibes"/>
  </r>
  <r>
    <s v="SP028"/>
    <x v="2"/>
    <d v="2024-03-05T00:00:00"/>
    <x v="2"/>
    <s v="Explore the latest podcasts now."/>
    <x v="27"/>
    <n v="314"/>
    <n v="199"/>
    <n v="49612"/>
    <n v="53929"/>
    <x v="27"/>
    <s v="#DiscoverWeekly"/>
    <s v="#SoundtrackOfLife"/>
    <s v="SummerBeats"/>
  </r>
  <r>
    <s v="SP029"/>
    <x v="1"/>
    <d v="2025-03-18T00:00:00"/>
    <x v="1"/>
    <s v="Explore the latest podcasts now."/>
    <x v="28"/>
    <n v="188"/>
    <n v="387"/>
    <n v="57431"/>
    <n v="36933"/>
    <x v="28"/>
    <s v="#MusicForEveryone"/>
    <s v="#NowPlaying"/>
    <s v="ChillVibes"/>
  </r>
  <r>
    <s v="SP030"/>
    <x v="1"/>
    <d v="2025-04-26T00:00:00"/>
    <x v="0"/>
    <s v="Discover fresh beats on Spotify!"/>
    <x v="29"/>
    <n v="194"/>
    <n v="168"/>
    <n v="26665"/>
    <n v="71699"/>
    <x v="29"/>
    <s v="#NowPlaying"/>
    <m/>
    <s v="ChillVibes"/>
  </r>
  <r>
    <s v="SP031"/>
    <x v="0"/>
    <d v="2025-01-01T00:00:00"/>
    <x v="0"/>
    <s v="New music just dropped. Hit play!"/>
    <x v="30"/>
    <n v="112"/>
    <n v="382"/>
    <n v="56284"/>
    <n v="29440"/>
    <x v="30"/>
    <s v="#SoundtrackOfLife"/>
    <s v="#NowPlaying"/>
    <s v="ChillVibes"/>
  </r>
  <r>
    <s v="SP032"/>
    <x v="1"/>
    <d v="2024-05-07T00:00:00"/>
    <x v="1"/>
    <s v="Explore the latest podcasts now."/>
    <x v="31"/>
    <n v="307"/>
    <n v="178"/>
    <n v="43365"/>
    <n v="48408"/>
    <x v="31"/>
    <s v="#SoundtrackOfLife"/>
    <s v="#NowPlaying"/>
    <s v="ChillVibes"/>
  </r>
  <r>
    <s v="SP033"/>
    <x v="1"/>
    <d v="2024-10-09T00:00:00"/>
    <x v="1"/>
    <s v="Discover fresh beats on Spotify!"/>
    <x v="32"/>
    <n v="182"/>
    <n v="95"/>
    <n v="32181"/>
    <n v="31084"/>
    <x v="32"/>
    <s v="#DiscoverWeekly"/>
    <s v="#MusicForEveryone"/>
    <s v="ChillVibes"/>
  </r>
  <r>
    <s v="SP034"/>
    <x v="0"/>
    <d v="2025-01-09T00:00:00"/>
    <x v="0"/>
    <s v="New music just dropped. Hit play!"/>
    <x v="33"/>
    <n v="366"/>
    <n v="308"/>
    <n v="38127"/>
    <n v="63790"/>
    <x v="33"/>
    <s v="#SoundtrackOfLife"/>
    <s v="#NowPlaying"/>
    <s v="ChillVibes"/>
  </r>
  <r>
    <s v="SP035"/>
    <x v="1"/>
    <d v="2025-05-08T00:00:00"/>
    <x v="1"/>
    <s v="Your weekend playlist is waiting."/>
    <x v="34"/>
    <n v="332"/>
    <n v="268"/>
    <n v="40095"/>
    <n v="36913"/>
    <x v="34"/>
    <s v="#MusicForEveryone"/>
    <s v="#NowPlaying"/>
    <s v="ChillVibes"/>
  </r>
  <r>
    <s v="SP036"/>
    <x v="0"/>
    <d v="2024-05-04T00:00:00"/>
    <x v="0"/>
    <s v="Wrapped is here! Relive your top tracks"/>
    <x v="35"/>
    <n v="243"/>
    <n v="222"/>
    <n v="43066"/>
    <n v="59174"/>
    <x v="35"/>
    <s v="#DiscoverWeekly"/>
    <m/>
    <s v="IndieWave"/>
  </r>
  <r>
    <s v="SP037"/>
    <x v="1"/>
    <d v="2025-05-27T00:00:00"/>
    <x v="1"/>
    <s v="Explore the latest podcasts now."/>
    <x v="36"/>
    <n v="385"/>
    <n v="400"/>
    <n v="45300"/>
    <n v="31795"/>
    <x v="35"/>
    <s v="#MusicForEveryone"/>
    <s v="#NowPlaying"/>
    <s v="ChillVibes"/>
  </r>
  <r>
    <s v="SP038"/>
    <x v="0"/>
    <d v="2024-09-10T00:00:00"/>
    <x v="1"/>
    <s v="New music just dropped. Hit play!"/>
    <x v="37"/>
    <n v="309"/>
    <n v="207"/>
    <n v="44629"/>
    <n v="40699"/>
    <x v="36"/>
    <s v="#NowPlaying"/>
    <m/>
    <s v="Wrapped2024"/>
  </r>
  <r>
    <s v="SP039"/>
    <x v="0"/>
    <d v="2024-11-25T00:00:00"/>
    <x v="0"/>
    <s v="From pop to podcasts, its all here."/>
    <x v="38"/>
    <n v="472"/>
    <n v="238"/>
    <n v="51386"/>
    <n v="51706"/>
    <x v="0"/>
    <s v="#DiscoverWeekly"/>
    <m/>
    <s v="IndieWave"/>
  </r>
  <r>
    <s v="SP040"/>
    <x v="1"/>
    <d v="2025-06-10T00:00:00"/>
    <x v="0"/>
    <s v="Explore the latest podcasts now."/>
    <x v="39"/>
    <n v="192"/>
    <n v="162"/>
    <n v="27492"/>
    <n v="35341"/>
    <x v="37"/>
    <s v="#NowPlaying"/>
    <m/>
    <s v="ChillVibes"/>
  </r>
  <r>
    <s v="SP041"/>
    <x v="0"/>
    <d v="2024-04-19T00:00:00"/>
    <x v="0"/>
    <s v="New music just dropped. Hit play!"/>
    <x v="40"/>
    <n v="353"/>
    <n v="129"/>
    <n v="41265"/>
    <n v="37279"/>
    <x v="38"/>
    <s v="#SoundtrackOfLife"/>
    <s v="#NowPlaying"/>
    <s v="ChillVibes"/>
  </r>
  <r>
    <s v="SP042"/>
    <x v="0"/>
    <d v="2025-01-26T00:00:00"/>
    <x v="1"/>
    <s v="Whats your vibe today?"/>
    <x v="41"/>
    <n v="363"/>
    <n v="393"/>
    <n v="44853"/>
    <n v="69032"/>
    <x v="39"/>
    <s v="#NowPlaying"/>
    <m/>
    <s v="Wrapped2024"/>
  </r>
  <r>
    <s v="SP043"/>
    <x v="0"/>
    <d v="2025-02-14T00:00:00"/>
    <x v="0"/>
    <s v="Top trending tracks updated daily!"/>
    <x v="42"/>
    <n v="450"/>
    <n v="387"/>
    <n v="48746"/>
    <n v="37312"/>
    <x v="40"/>
    <s v="#SoundtrackOfLife"/>
    <s v="#NowPlaying"/>
    <s v="ChillVibes"/>
  </r>
  <r>
    <s v="SP044"/>
    <x v="0"/>
    <d v="2024-09-06T00:00:00"/>
    <x v="0"/>
    <s v="New music just dropped. Hit play!"/>
    <x v="43"/>
    <n v="281"/>
    <n v="326"/>
    <n v="51556"/>
    <n v="62599"/>
    <x v="41"/>
    <s v="#DiscoverWeekly"/>
    <m/>
    <s v="IndieWave"/>
  </r>
  <r>
    <s v="SP045"/>
    <x v="2"/>
    <d v="2024-07-14T00:00:00"/>
    <x v="0"/>
    <s v="Your weekend playlist is waiting."/>
    <x v="44"/>
    <n v="114"/>
    <n v="278"/>
    <n v="36148"/>
    <n v="24209"/>
    <x v="42"/>
    <s v="#DiscoverWeekly"/>
    <s v="#SpotifyWrapped"/>
    <s v="IndieWave"/>
  </r>
  <r>
    <s v="SP046"/>
    <x v="0"/>
    <d v="2024-02-12T00:00:00"/>
    <x v="0"/>
    <s v="Explore the latest podcasts now."/>
    <x v="45"/>
    <n v="330"/>
    <n v="250"/>
    <n v="23993"/>
    <n v="74590"/>
    <x v="43"/>
    <s v="#DiscoverWeekly"/>
    <m/>
    <s v="IndieWave"/>
  </r>
  <r>
    <s v="SP047"/>
    <x v="2"/>
    <d v="2024-03-14T00:00:00"/>
    <x v="2"/>
    <s v="From pop to podcasts, its all here."/>
    <x v="46"/>
    <n v="188"/>
    <n v="358"/>
    <n v="39838"/>
    <n v="24536"/>
    <x v="7"/>
    <s v="#DiscoverWeekly"/>
    <s v="#SoundtrackOfLife"/>
    <s v="SummerBeats"/>
  </r>
  <r>
    <s v="SP048"/>
    <x v="0"/>
    <d v="2025-02-05T00:00:00"/>
    <x v="1"/>
    <s v="Music that moves you only on Spotify."/>
    <x v="47"/>
    <n v="371"/>
    <n v="348"/>
    <n v="24104"/>
    <n v="57803"/>
    <x v="12"/>
    <s v="#NowPlaying"/>
    <m/>
    <s v="Wrapped2024"/>
  </r>
  <r>
    <s v="SP049"/>
    <x v="1"/>
    <d v="2024-08-29T00:00:00"/>
    <x v="1"/>
    <s v="Get into the groove with our new drop!"/>
    <x v="48"/>
    <n v="227"/>
    <n v="223"/>
    <n v="43443"/>
    <n v="41005"/>
    <x v="44"/>
    <s v="#DiscoverWeekly"/>
    <s v="#MusicForEveryone"/>
    <s v="ChillVibes"/>
  </r>
  <r>
    <s v="SP050"/>
    <x v="1"/>
    <d v="2025-04-22T00:00:00"/>
    <x v="0"/>
    <s v="Discover fresh beats on Spotify!"/>
    <x v="49"/>
    <n v="421"/>
    <n v="216"/>
    <n v="24890"/>
    <n v="54361"/>
    <x v="45"/>
    <s v="#NowPlaying"/>
    <m/>
    <s v="ChillVibes"/>
  </r>
  <r>
    <s v="SP051"/>
    <x v="2"/>
    <d v="2024-05-13T00:00:00"/>
    <x v="2"/>
    <s v="Explore the latest podcasts now."/>
    <x v="50"/>
    <n v="481"/>
    <n v="61"/>
    <n v="45884"/>
    <n v="48955"/>
    <x v="46"/>
    <s v="#DiscoverWeekly"/>
    <s v="#SoundtrackOfLife"/>
    <s v="SummerBeats"/>
  </r>
  <r>
    <s v="SP052"/>
    <x v="1"/>
    <d v="2024-09-04T00:00:00"/>
    <x v="1"/>
    <s v="New music just dropped. Hit play!"/>
    <x v="51"/>
    <n v="455"/>
    <n v="228"/>
    <n v="21645"/>
    <n v="61334"/>
    <x v="47"/>
    <s v="#DiscoverWeekly"/>
    <s v="#MusicForEveryone"/>
    <s v="ChillVibes"/>
  </r>
  <r>
    <s v="SP053"/>
    <x v="1"/>
    <d v="2024-08-12T00:00:00"/>
    <x v="1"/>
    <s v="Whats your vibe today?"/>
    <x v="52"/>
    <n v="213"/>
    <n v="331"/>
    <n v="57660"/>
    <n v="68606"/>
    <x v="48"/>
    <s v="#MusicForEveryone"/>
    <s v="#NowPlaying"/>
    <s v="ChillVibes"/>
  </r>
  <r>
    <s v="SP054"/>
    <x v="0"/>
    <d v="2025-03-06T00:00:00"/>
    <x v="0"/>
    <s v="Get into the groove with our new drop!"/>
    <x v="53"/>
    <n v="460"/>
    <n v="212"/>
    <n v="58075"/>
    <n v="59574"/>
    <x v="49"/>
    <s v="#DiscoverWeekly"/>
    <m/>
    <s v="IndieWave"/>
  </r>
  <r>
    <s v="SP055"/>
    <x v="1"/>
    <d v="2024-05-08T00:00:00"/>
    <x v="0"/>
    <s v="Explore the latest podcasts now."/>
    <x v="54"/>
    <n v="450"/>
    <n v="214"/>
    <n v="52115"/>
    <n v="19166"/>
    <x v="50"/>
    <s v="#NowPlaying"/>
    <m/>
    <s v="ChillVibes"/>
  </r>
  <r>
    <s v="SP056"/>
    <x v="0"/>
    <d v="2025-02-19T00:00:00"/>
    <x v="1"/>
    <s v="From pop to podcasts, its all here."/>
    <x v="55"/>
    <n v="455"/>
    <n v="376"/>
    <n v="23428"/>
    <n v="46775"/>
    <x v="51"/>
    <s v="#NowPlaying"/>
    <m/>
    <s v="Wrapped2024"/>
  </r>
  <r>
    <s v="SP057"/>
    <x v="0"/>
    <d v="2024-01-08T00:00:00"/>
    <x v="0"/>
    <s v="Top trending tracks updated daily!"/>
    <x v="56"/>
    <n v="405"/>
    <n v="223"/>
    <n v="31233"/>
    <n v="58106"/>
    <x v="52"/>
    <s v="#DiscoverWeekly"/>
    <m/>
    <s v="IndieWave"/>
  </r>
  <r>
    <s v="SP058"/>
    <x v="2"/>
    <d v="2024-07-17T00:00:00"/>
    <x v="0"/>
    <s v="Top trending tracks updated daily!"/>
    <x v="57"/>
    <n v="110"/>
    <n v="215"/>
    <n v="39192"/>
    <n v="24744"/>
    <x v="53"/>
    <s v="#DiscoverWeekly"/>
    <s v="#SpotifyWrapped"/>
    <s v="IndieWave"/>
  </r>
  <r>
    <s v="SP059"/>
    <x v="2"/>
    <d v="2024-08-10T00:00:00"/>
    <x v="0"/>
    <s v="From pop to podcasts, its all here."/>
    <x v="58"/>
    <n v="181"/>
    <n v="55"/>
    <n v="53581"/>
    <n v="74048"/>
    <x v="54"/>
    <s v="#DiscoverWeekly"/>
    <s v="#SpotifyWrapped"/>
    <s v="IndieWave"/>
  </r>
  <r>
    <s v="SP060"/>
    <x v="2"/>
    <d v="2024-04-16T00:00:00"/>
    <x v="0"/>
    <s v="Discover fresh beats on Spotify!"/>
    <x v="6"/>
    <n v="326"/>
    <n v="62"/>
    <n v="45503"/>
    <n v="46814"/>
    <x v="55"/>
    <s v="#DiscoverWeekly"/>
    <s v="#SpotifyWrapped"/>
    <s v="IndieWave"/>
  </r>
  <r>
    <s v="SP061"/>
    <x v="2"/>
    <d v="2024-01-01T00:00:00"/>
    <x v="2"/>
    <s v="Explore the latest podcasts now."/>
    <x v="59"/>
    <n v="129"/>
    <n v="359"/>
    <n v="44558"/>
    <n v="30854"/>
    <x v="8"/>
    <s v="#DiscoverWeekly"/>
    <s v="#SoundtrackOfLife"/>
    <s v="SummerBeats"/>
  </r>
  <r>
    <s v="SP062"/>
    <x v="1"/>
    <d v="2024-11-03T00:00:00"/>
    <x v="1"/>
    <s v="Wrapped is here! Relive your top tracks"/>
    <x v="60"/>
    <n v="316"/>
    <n v="82"/>
    <n v="54036"/>
    <n v="69015"/>
    <x v="56"/>
    <s v="#MusicForEveryone"/>
    <s v="#NowPlaying"/>
    <s v="ChillVibes"/>
  </r>
  <r>
    <s v="SP063"/>
    <x v="1"/>
    <d v="2024-07-07T00:00:00"/>
    <x v="0"/>
    <s v="New music just dropped. Hit play!"/>
    <x v="61"/>
    <n v="137"/>
    <n v="184"/>
    <n v="37302"/>
    <n v="68953"/>
    <x v="57"/>
    <s v="#SoundtrackOfLife"/>
    <m/>
    <s v="IndieWave"/>
  </r>
  <r>
    <s v="SP064"/>
    <x v="1"/>
    <d v="2025-01-22T00:00:00"/>
    <x v="1"/>
    <s v="New music just dropped. Hit play!"/>
    <x v="62"/>
    <n v="101"/>
    <n v="121"/>
    <n v="51035"/>
    <n v="58207"/>
    <x v="58"/>
    <s v="#MusicForEveryone"/>
    <s v="#NowPlaying"/>
    <s v="ChillVibes"/>
  </r>
  <r>
    <s v="SP065"/>
    <x v="2"/>
    <d v="2024-05-26T00:00:00"/>
    <x v="0"/>
    <s v="From pop to podcasts, its all here."/>
    <x v="63"/>
    <n v="327"/>
    <n v="110"/>
    <n v="53805"/>
    <n v="30239"/>
    <x v="59"/>
    <s v="#DiscoverWeekly"/>
    <s v="#SpotifyWrapped"/>
    <s v="IndieWave"/>
  </r>
  <r>
    <s v="SP066"/>
    <x v="0"/>
    <d v="2025-04-16T00:00:00"/>
    <x v="0"/>
    <s v="Wrapped is here! Relive your top tracks"/>
    <x v="64"/>
    <n v="331"/>
    <n v="140"/>
    <n v="58792"/>
    <n v="47711"/>
    <x v="60"/>
    <s v="#SoundtrackOfLife"/>
    <s v="#NowPlaying"/>
    <s v="ChillVibes"/>
  </r>
  <r>
    <s v="SP067"/>
    <x v="2"/>
    <d v="2024-04-02T00:00:00"/>
    <x v="2"/>
    <s v="Your weekend playlist is waiting."/>
    <x v="65"/>
    <n v="488"/>
    <n v="356"/>
    <n v="30619"/>
    <n v="23328"/>
    <x v="61"/>
    <s v="#DiscoverWeekly"/>
    <s v="#SoundtrackOfLife"/>
    <s v="SummerBeats"/>
  </r>
  <r>
    <s v="SP068"/>
    <x v="1"/>
    <d v="2024-03-28T00:00:00"/>
    <x v="0"/>
    <s v="Music that moves you only on Spotify."/>
    <x v="66"/>
    <n v="421"/>
    <n v="114"/>
    <n v="20580"/>
    <n v="30324"/>
    <x v="62"/>
    <s v="#SoundtrackOfLife"/>
    <m/>
    <s v="IndieWave"/>
  </r>
  <r>
    <s v="SP069"/>
    <x v="1"/>
    <d v="2024-12-17T00:00:00"/>
    <x v="1"/>
    <s v="Music that moves you only on Spotify."/>
    <x v="67"/>
    <n v="472"/>
    <n v="286"/>
    <n v="44692"/>
    <n v="53343"/>
    <x v="60"/>
    <s v="#DiscoverWeekly"/>
    <s v="#MusicForEveryone"/>
    <s v="ChillVibes"/>
  </r>
  <r>
    <s v="SP070"/>
    <x v="1"/>
    <d v="2025-01-05T00:00:00"/>
    <x v="0"/>
    <s v="Wrapped is here! Relive your top tracks"/>
    <x v="68"/>
    <n v="473"/>
    <n v="254"/>
    <n v="51964"/>
    <n v="68795"/>
    <x v="63"/>
    <s v="#NowPlaying"/>
    <m/>
    <s v="ChillVibes"/>
  </r>
  <r>
    <s v="SP071"/>
    <x v="1"/>
    <d v="2024-01-11T00:00:00"/>
    <x v="0"/>
    <s v="Whats your vibe today?"/>
    <x v="69"/>
    <n v="247"/>
    <n v="183"/>
    <n v="28914"/>
    <n v="18310"/>
    <x v="64"/>
    <s v="#SoundtrackOfLife"/>
    <m/>
    <s v="IndieWave"/>
  </r>
  <r>
    <s v="SP072"/>
    <x v="0"/>
    <d v="2024-10-11T00:00:00"/>
    <x v="0"/>
    <s v="From pop to podcasts, its all here."/>
    <x v="70"/>
    <n v="249"/>
    <n v="52"/>
    <n v="20368"/>
    <n v="42152"/>
    <x v="65"/>
    <s v="#DiscoverWeekly"/>
    <m/>
    <s v="IndieWave"/>
  </r>
  <r>
    <s v="SP073"/>
    <x v="2"/>
    <d v="2025-05-06T00:00:00"/>
    <x v="2"/>
    <s v="Discover fresh beats on Spotify!"/>
    <x v="71"/>
    <n v="496"/>
    <n v="320"/>
    <n v="36528"/>
    <n v="38599"/>
    <x v="66"/>
    <s v="#DiscoverWeekly"/>
    <s v="#SoundtrackOfLife"/>
    <s v="SummerBeats"/>
  </r>
  <r>
    <s v="SP074"/>
    <x v="1"/>
    <d v="2024-05-19T00:00:00"/>
    <x v="1"/>
    <s v="Get into the groove with our new drop!"/>
    <x v="72"/>
    <n v="206"/>
    <n v="187"/>
    <n v="53342"/>
    <n v="25095"/>
    <x v="10"/>
    <s v="#DiscoverWeekly"/>
    <s v="#MusicForEveryone"/>
    <s v="ChillVibes"/>
  </r>
  <r>
    <s v="SP075"/>
    <x v="1"/>
    <d v="2024-01-22T00:00:00"/>
    <x v="1"/>
    <s v="From pop to podcasts, its all here."/>
    <x v="73"/>
    <n v="455"/>
    <n v="158"/>
    <n v="41947"/>
    <n v="48578"/>
    <x v="67"/>
    <s v="#SoundtrackOfLife"/>
    <s v="#NowPlaying"/>
    <s v="ChillVibes"/>
  </r>
  <r>
    <s v="SP076"/>
    <x v="0"/>
    <d v="2024-07-14T00:00:00"/>
    <x v="0"/>
    <s v="Wrapped is here! Relive your top tracks"/>
    <x v="74"/>
    <n v="401"/>
    <n v="78"/>
    <n v="38665"/>
    <n v="73593"/>
    <x v="68"/>
    <s v="#DiscoverWeekly"/>
    <m/>
    <s v="IndieWave"/>
  </r>
  <r>
    <s v="SP077"/>
    <x v="1"/>
    <d v="2025-05-28T00:00:00"/>
    <x v="0"/>
    <s v="From pop to podcasts, its all here."/>
    <x v="75"/>
    <n v="161"/>
    <n v="360"/>
    <n v="30589"/>
    <n v="41383"/>
    <x v="10"/>
    <s v="#NowPlaying"/>
    <m/>
    <s v="ChillVibes"/>
  </r>
  <r>
    <s v="SP078"/>
    <x v="1"/>
    <d v="2025-01-21T00:00:00"/>
    <x v="1"/>
    <s v="Discover fresh beats on Spotify!"/>
    <x v="76"/>
    <n v="494"/>
    <n v="55"/>
    <n v="22580"/>
    <n v="22214"/>
    <x v="59"/>
    <s v="#MusicForEveryone"/>
    <s v="#NowPlaying"/>
    <s v="ChillVibes"/>
  </r>
  <r>
    <s v="SP079"/>
    <x v="2"/>
    <d v="2024-01-13T00:00:00"/>
    <x v="2"/>
    <s v="New music just dropped. Hit play!"/>
    <x v="77"/>
    <n v="191"/>
    <n v="122"/>
    <n v="35535"/>
    <n v="50777"/>
    <x v="69"/>
    <s v="#DiscoverWeekly"/>
    <s v="#SoundtrackOfLife"/>
    <s v="SummerBeats"/>
  </r>
  <r>
    <s v="SP080"/>
    <x v="0"/>
    <d v="2025-06-17T00:00:00"/>
    <x v="0"/>
    <s v="Music that moves you only on Spotify."/>
    <x v="78"/>
    <n v="187"/>
    <n v="260"/>
    <n v="37400"/>
    <n v="65014"/>
    <x v="70"/>
    <s v="#SoundtrackOfLife"/>
    <s v="#NowPlaying"/>
    <s v="ChillVibes"/>
  </r>
  <r>
    <s v="SP081"/>
    <x v="1"/>
    <d v="2025-03-07T00:00:00"/>
    <x v="0"/>
    <s v="Get into the groove with our new drop!"/>
    <x v="79"/>
    <n v="486"/>
    <n v="276"/>
    <n v="56623"/>
    <n v="41343"/>
    <x v="71"/>
    <s v="#SoundtrackOfLife"/>
    <m/>
    <s v="IndieWave"/>
  </r>
  <r>
    <s v="SP082"/>
    <x v="0"/>
    <d v="2024-08-26T00:00:00"/>
    <x v="0"/>
    <s v="Your weekend playlist is waiting."/>
    <x v="80"/>
    <n v="181"/>
    <n v="306"/>
    <n v="43650"/>
    <n v="50079"/>
    <x v="56"/>
    <s v="#DiscoverWeekly"/>
    <m/>
    <s v="IndieWave"/>
  </r>
  <r>
    <s v="SP083"/>
    <x v="1"/>
    <d v="2025-01-03T00:00:00"/>
    <x v="1"/>
    <s v="Get into the groove with our new drop!"/>
    <x v="81"/>
    <n v="158"/>
    <n v="84"/>
    <n v="34578"/>
    <n v="51480"/>
    <x v="72"/>
    <s v="#SoundtrackOfLife"/>
    <s v="#NowPlaying"/>
    <s v="ChillVibes"/>
  </r>
  <r>
    <s v="SP084"/>
    <x v="1"/>
    <d v="2024-08-03T00:00:00"/>
    <x v="0"/>
    <s v="Your weekend playlist is waiting."/>
    <x v="82"/>
    <n v="390"/>
    <n v="213"/>
    <n v="29785"/>
    <n v="57768"/>
    <x v="73"/>
    <s v="#NowPlaying"/>
    <m/>
    <s v="ChillVibes"/>
  </r>
  <r>
    <s v="SP085"/>
    <x v="0"/>
    <d v="2024-08-18T00:00:00"/>
    <x v="0"/>
    <s v="Explore the latest podcasts now."/>
    <x v="83"/>
    <n v="328"/>
    <n v="171"/>
    <n v="57685"/>
    <n v="67536"/>
    <x v="13"/>
    <s v="#SoundtrackOfLife"/>
    <s v="#NowPlaying"/>
    <s v="ChillVibes"/>
  </r>
  <r>
    <s v="SP086"/>
    <x v="1"/>
    <d v="2025-05-14T00:00:00"/>
    <x v="1"/>
    <s v="Wrapped is here! Relive your top tracks"/>
    <x v="84"/>
    <n v="139"/>
    <n v="96"/>
    <n v="36140"/>
    <n v="39395"/>
    <x v="74"/>
    <s v="#SoundtrackOfLife"/>
    <s v="#NowPlaying"/>
    <s v="ChillVibes"/>
  </r>
  <r>
    <s v="SP087"/>
    <x v="1"/>
    <d v="2024-04-23T00:00:00"/>
    <x v="1"/>
    <s v="Discover fresh beats on Spotify!"/>
    <x v="56"/>
    <n v="496"/>
    <n v="89"/>
    <n v="53435"/>
    <n v="30334"/>
    <x v="75"/>
    <s v="#SoundtrackOfLife"/>
    <s v="#NowPlaying"/>
    <s v="ChillVibes"/>
  </r>
  <r>
    <s v="SP088"/>
    <x v="1"/>
    <d v="2025-02-17T00:00:00"/>
    <x v="1"/>
    <s v="Whats your vibe today?"/>
    <x v="85"/>
    <n v="427"/>
    <n v="339"/>
    <n v="30752"/>
    <n v="33870"/>
    <x v="76"/>
    <s v="#SoundtrackOfLife"/>
    <s v="#NowPlaying"/>
    <s v="ChillVibes"/>
  </r>
  <r>
    <s v="SP089"/>
    <x v="0"/>
    <d v="2024-12-04T00:00:00"/>
    <x v="0"/>
    <s v="Wrapped is here! Relive your top tracks"/>
    <x v="86"/>
    <n v="336"/>
    <n v="260"/>
    <n v="32368"/>
    <n v="49028"/>
    <x v="7"/>
    <s v="#SoundtrackOfLife"/>
    <s v="#NowPlaying"/>
    <s v="ChillVibes"/>
  </r>
  <r>
    <s v="SP090"/>
    <x v="1"/>
    <d v="2024-07-22T00:00:00"/>
    <x v="1"/>
    <s v="Wrapped is here! Relive your top tracks"/>
    <x v="87"/>
    <n v="229"/>
    <n v="337"/>
    <n v="22117"/>
    <n v="26205"/>
    <x v="75"/>
    <s v="#MusicForEveryone"/>
    <s v="#NowPlaying"/>
    <s v="ChillVibes"/>
  </r>
  <r>
    <s v="SP091"/>
    <x v="1"/>
    <d v="2025-04-27T00:00:00"/>
    <x v="0"/>
    <s v="Explore the latest podcasts now."/>
    <x v="88"/>
    <n v="294"/>
    <n v="163"/>
    <n v="20659"/>
    <n v="45926"/>
    <x v="77"/>
    <s v="#SoundtrackOfLife"/>
    <m/>
    <s v="IndieWave"/>
  </r>
  <r>
    <s v="SP092"/>
    <x v="2"/>
    <d v="2024-03-25T00:00:00"/>
    <x v="2"/>
    <s v="Explore the latest podcasts now."/>
    <x v="89"/>
    <n v="155"/>
    <n v="315"/>
    <n v="30321"/>
    <n v="57121"/>
    <x v="78"/>
    <s v="#DiscoverWeekly"/>
    <s v="#SoundtrackOfLife"/>
    <s v="SummerBeats"/>
  </r>
  <r>
    <s v="SP093"/>
    <x v="0"/>
    <d v="2024-02-29T00:00:00"/>
    <x v="0"/>
    <s v="From pop to podcasts, its all here."/>
    <x v="90"/>
    <n v="229"/>
    <n v="312"/>
    <n v="25641"/>
    <n v="34601"/>
    <x v="74"/>
    <s v="#DiscoverWeekly"/>
    <m/>
    <s v="IndieWave"/>
  </r>
  <r>
    <s v="SP094"/>
    <x v="1"/>
    <d v="2024-11-13T00:00:00"/>
    <x v="1"/>
    <s v="Top trending tracks updated daily!"/>
    <x v="91"/>
    <n v="257"/>
    <n v="397"/>
    <n v="36686"/>
    <n v="54683"/>
    <x v="79"/>
    <s v="#SoundtrackOfLife"/>
    <s v="#NowPlaying"/>
    <s v="ChillVibes"/>
  </r>
  <r>
    <s v="SP095"/>
    <x v="0"/>
    <d v="2024-03-22T00:00:00"/>
    <x v="1"/>
    <s v="Discover fresh beats on Spotify!"/>
    <x v="92"/>
    <n v="484"/>
    <n v="193"/>
    <n v="21202"/>
    <n v="18091"/>
    <x v="80"/>
    <s v="#NowPlaying"/>
    <m/>
    <s v="Wrapped2024"/>
  </r>
  <r>
    <s v="SP096"/>
    <x v="1"/>
    <d v="2024-03-16T00:00:00"/>
    <x v="1"/>
    <s v="Wrapped is here! Relive your top tracks"/>
    <x v="93"/>
    <n v="292"/>
    <n v="90"/>
    <n v="24223"/>
    <n v="54626"/>
    <x v="81"/>
    <s v="#SoundtrackOfLife"/>
    <s v="#NowPlaying"/>
    <s v="ChillVibes"/>
  </r>
  <r>
    <s v="SP097"/>
    <x v="0"/>
    <d v="2024-01-26T00:00:00"/>
    <x v="0"/>
    <s v="Whats your vibe today?"/>
    <x v="94"/>
    <n v="431"/>
    <n v="97"/>
    <n v="41763"/>
    <n v="29729"/>
    <x v="44"/>
    <s v="#DiscoverWeekly"/>
    <m/>
    <s v="IndieWave"/>
  </r>
  <r>
    <s v="SP098"/>
    <x v="1"/>
    <d v="2024-03-15T00:00:00"/>
    <x v="1"/>
    <s v="Get into the groove with our new drop!"/>
    <x v="95"/>
    <n v="433"/>
    <n v="237"/>
    <n v="59552"/>
    <n v="23885"/>
    <x v="70"/>
    <s v="#DiscoverWeekly"/>
    <s v="#MusicForEveryone"/>
    <s v="ChillVibes"/>
  </r>
  <r>
    <s v="SP099"/>
    <x v="1"/>
    <d v="2024-10-15T00:00:00"/>
    <x v="0"/>
    <s v="Wrapped is here! Relive your top tracks"/>
    <x v="96"/>
    <n v="481"/>
    <n v="356"/>
    <n v="40681"/>
    <n v="63111"/>
    <x v="82"/>
    <s v="#NowPlaying"/>
    <m/>
    <s v="ChillVibes"/>
  </r>
  <r>
    <s v="SP100"/>
    <x v="0"/>
    <d v="2024-07-21T00:00:00"/>
    <x v="0"/>
    <s v="Discover fresh beats on Spotify!"/>
    <x v="97"/>
    <n v="415"/>
    <n v="218"/>
    <n v="36090"/>
    <n v="37073"/>
    <x v="83"/>
    <s v="#DiscoverWeekly"/>
    <m/>
    <s v="IndieWave"/>
  </r>
  <r>
    <s v="SP101"/>
    <x v="1"/>
    <d v="2024-10-12T00:00:00"/>
    <x v="0"/>
    <s v="Get into the groove with our new drop!"/>
    <x v="98"/>
    <n v="386"/>
    <n v="175"/>
    <n v="45012"/>
    <n v="38508"/>
    <x v="84"/>
    <s v="#NowPlaying"/>
    <m/>
    <s v="ChillVibes"/>
  </r>
  <r>
    <s v="SP102"/>
    <x v="1"/>
    <d v="2024-10-26T00:00:00"/>
    <x v="0"/>
    <s v="Discover fresh beats on Spotify!"/>
    <x v="99"/>
    <n v="293"/>
    <n v="115"/>
    <n v="23776"/>
    <n v="46386"/>
    <x v="85"/>
    <s v="#NowPlaying"/>
    <m/>
    <s v="ChillVibes"/>
  </r>
  <r>
    <s v="SP103"/>
    <x v="0"/>
    <d v="2024-02-14T00:00:00"/>
    <x v="0"/>
    <s v="Music that moves you only on Spotify."/>
    <x v="100"/>
    <n v="112"/>
    <n v="181"/>
    <n v="31870"/>
    <n v="55742"/>
    <x v="86"/>
    <s v="#SoundtrackOfLife"/>
    <s v="#NowPlaying"/>
    <s v="ChillVibes"/>
  </r>
  <r>
    <s v="SP104"/>
    <x v="1"/>
    <d v="2024-05-01T00:00:00"/>
    <x v="1"/>
    <s v="Whats your vibe today?"/>
    <x v="101"/>
    <n v="447"/>
    <n v="183"/>
    <n v="36266"/>
    <n v="32877"/>
    <x v="87"/>
    <s v="#DiscoverWeekly"/>
    <s v="#MusicForEveryone"/>
    <s v="ChillVibes"/>
  </r>
  <r>
    <s v="SP105"/>
    <x v="1"/>
    <d v="2024-09-18T00:00:00"/>
    <x v="0"/>
    <s v="Discover fresh beats on Spotify!"/>
    <x v="102"/>
    <n v="265"/>
    <n v="91"/>
    <n v="52090"/>
    <n v="28924"/>
    <x v="0"/>
    <s v="#NowPlaying"/>
    <m/>
    <s v="ChillVibes"/>
  </r>
  <r>
    <s v="SP106"/>
    <x v="1"/>
    <d v="2025-01-20T00:00:00"/>
    <x v="1"/>
    <s v="New music just dropped. Hit play!"/>
    <x v="103"/>
    <n v="272"/>
    <n v="57"/>
    <n v="21334"/>
    <n v="46292"/>
    <x v="88"/>
    <s v="#SoundtrackOfLife"/>
    <s v="#NowPlaying"/>
    <s v="ChillVibes"/>
  </r>
  <r>
    <s v="SP107"/>
    <x v="1"/>
    <d v="2025-01-13T00:00:00"/>
    <x v="0"/>
    <s v="Music that moves you only on Spotify."/>
    <x v="104"/>
    <n v="209"/>
    <n v="278"/>
    <n v="52853"/>
    <n v="57084"/>
    <x v="89"/>
    <s v="#SoundtrackOfLife"/>
    <m/>
    <s v="IndieWave"/>
  </r>
  <r>
    <s v="SP108"/>
    <x v="2"/>
    <d v="2024-09-07T00:00:00"/>
    <x v="2"/>
    <s v="Music that moves you only on Spotify."/>
    <x v="5"/>
    <n v="342"/>
    <n v="374"/>
    <n v="41991"/>
    <n v="48554"/>
    <x v="90"/>
    <s v="#DiscoverWeekly"/>
    <s v="#SoundtrackOfLife"/>
    <s v="SummerBeats"/>
  </r>
  <r>
    <s v="SP109"/>
    <x v="0"/>
    <d v="2024-11-21T00:00:00"/>
    <x v="0"/>
    <s v="Music that moves you only on Spotify."/>
    <x v="105"/>
    <n v="181"/>
    <n v="112"/>
    <n v="35221"/>
    <n v="28797"/>
    <x v="91"/>
    <s v="#SoundtrackOfLife"/>
    <s v="#NowPlaying"/>
    <s v="ChillVibes"/>
  </r>
  <r>
    <s v="SP110"/>
    <x v="0"/>
    <d v="2024-06-26T00:00:00"/>
    <x v="0"/>
    <s v="New music just dropped. Hit play!"/>
    <x v="106"/>
    <n v="483"/>
    <n v="336"/>
    <n v="25397"/>
    <n v="51485"/>
    <x v="92"/>
    <s v="#DiscoverWeekly"/>
    <m/>
    <s v="IndieWave"/>
  </r>
  <r>
    <s v="SP111"/>
    <x v="2"/>
    <d v="2024-07-20T00:00:00"/>
    <x v="2"/>
    <s v="Music that moves you only on Spotify."/>
    <x v="107"/>
    <n v="299"/>
    <n v="345"/>
    <n v="33644"/>
    <n v="43547"/>
    <x v="93"/>
    <s v="#DiscoverWeekly"/>
    <s v="#SoundtrackOfLife"/>
    <s v="SummerBeats"/>
  </r>
  <r>
    <s v="SP112"/>
    <x v="0"/>
    <d v="2025-02-16T00:00:00"/>
    <x v="0"/>
    <s v="Your weekend playlist is waiting."/>
    <x v="108"/>
    <n v="286"/>
    <n v="298"/>
    <n v="36174"/>
    <n v="34517"/>
    <x v="94"/>
    <s v="#SoundtrackOfLife"/>
    <s v="#NowPlaying"/>
    <s v="ChillVibes"/>
  </r>
  <r>
    <s v="SP113"/>
    <x v="0"/>
    <d v="2024-09-09T00:00:00"/>
    <x v="0"/>
    <s v="New music just dropped. Hit play!"/>
    <x v="109"/>
    <n v="360"/>
    <n v="180"/>
    <n v="54342"/>
    <n v="18796"/>
    <x v="85"/>
    <s v="#SoundtrackOfLife"/>
    <s v="#NowPlaying"/>
    <s v="ChillVibes"/>
  </r>
  <r>
    <s v="SP114"/>
    <x v="1"/>
    <d v="2024-07-16T00:00:00"/>
    <x v="0"/>
    <s v="Top trending tracks updated daily!"/>
    <x v="110"/>
    <n v="273"/>
    <n v="287"/>
    <n v="46176"/>
    <n v="25488"/>
    <x v="95"/>
    <s v="#NowPlaying"/>
    <m/>
    <s v="ChillVibes"/>
  </r>
  <r>
    <s v="SP115"/>
    <x v="0"/>
    <d v="2025-04-15T00:00:00"/>
    <x v="0"/>
    <s v="Explore the latest podcasts now."/>
    <x v="111"/>
    <n v="489"/>
    <n v="331"/>
    <n v="57451"/>
    <n v="73793"/>
    <x v="96"/>
    <s v="#DiscoverWeekly"/>
    <m/>
    <s v="IndieWave"/>
  </r>
  <r>
    <s v="SP116"/>
    <x v="0"/>
    <d v="2025-05-04T00:00:00"/>
    <x v="1"/>
    <s v="New music just dropped. Hit play!"/>
    <x v="112"/>
    <n v="181"/>
    <n v="361"/>
    <n v="37148"/>
    <n v="44875"/>
    <x v="97"/>
    <s v="#NowPlaying"/>
    <m/>
    <s v="Wrapped2024"/>
  </r>
  <r>
    <s v="SP117"/>
    <x v="0"/>
    <d v="2024-02-18T00:00:00"/>
    <x v="1"/>
    <s v="From pop to podcasts, its all here."/>
    <x v="113"/>
    <n v="215"/>
    <n v="332"/>
    <n v="58981"/>
    <n v="36118"/>
    <x v="39"/>
    <s v="#NowPlaying"/>
    <m/>
    <s v="Wrapped2024"/>
  </r>
  <r>
    <s v="SP118"/>
    <x v="1"/>
    <d v="2024-05-16T00:00:00"/>
    <x v="1"/>
    <s v="Music that moves you only on Spotify."/>
    <x v="114"/>
    <n v="124"/>
    <n v="99"/>
    <n v="54524"/>
    <n v="34790"/>
    <x v="36"/>
    <s v="#DiscoverWeekly"/>
    <s v="#MusicForEveryone"/>
    <s v="ChillVibes"/>
  </r>
  <r>
    <s v="SP119"/>
    <x v="1"/>
    <d v="2025-05-29T00:00:00"/>
    <x v="1"/>
    <s v="Music that moves you only on Spotify."/>
    <x v="115"/>
    <n v="322"/>
    <n v="114"/>
    <n v="44338"/>
    <n v="52165"/>
    <x v="98"/>
    <s v="#MusicForEveryone"/>
    <s v="#NowPlaying"/>
    <s v="ChillVibes"/>
  </r>
  <r>
    <s v="SP120"/>
    <x v="0"/>
    <d v="2025-01-17T00:00:00"/>
    <x v="0"/>
    <s v="Top trending tracks updated daily!"/>
    <x v="116"/>
    <n v="126"/>
    <n v="140"/>
    <n v="53759"/>
    <n v="46834"/>
    <x v="99"/>
    <s v="#DiscoverWeekly"/>
    <m/>
    <s v="IndieWave"/>
  </r>
  <r>
    <s v="SP121"/>
    <x v="0"/>
    <d v="2025-04-30T00:00:00"/>
    <x v="1"/>
    <s v="New music just dropped. Hit play!"/>
    <x v="117"/>
    <n v="459"/>
    <n v="229"/>
    <n v="48989"/>
    <n v="39768"/>
    <x v="4"/>
    <s v="#NowPlaying"/>
    <m/>
    <s v="Wrapped2024"/>
  </r>
  <r>
    <s v="SP122"/>
    <x v="1"/>
    <d v="2024-02-24T00:00:00"/>
    <x v="1"/>
    <s v="Music that moves you only on Spotify."/>
    <x v="118"/>
    <n v="463"/>
    <n v="360"/>
    <n v="51468"/>
    <n v="24279"/>
    <x v="20"/>
    <s v="#DiscoverWeekly"/>
    <s v="#MusicForEveryone"/>
    <s v="ChillVibes"/>
  </r>
  <r>
    <s v="SP123"/>
    <x v="2"/>
    <d v="2024-05-12T00:00:00"/>
    <x v="0"/>
    <s v="From pop to podcasts, its all here."/>
    <x v="119"/>
    <n v="467"/>
    <n v="94"/>
    <n v="59083"/>
    <n v="49762"/>
    <x v="100"/>
    <s v="#DiscoverWeekly"/>
    <s v="#SpotifyWrapped"/>
    <s v="IndieWave"/>
  </r>
  <r>
    <s v="SP124"/>
    <x v="1"/>
    <d v="2024-05-09T00:00:00"/>
    <x v="1"/>
    <s v="New music just dropped. Hit play!"/>
    <x v="120"/>
    <n v="423"/>
    <n v="259"/>
    <n v="46328"/>
    <n v="44293"/>
    <x v="101"/>
    <s v="#SoundtrackOfLife"/>
    <s v="#NowPlaying"/>
    <s v="ChillVibes"/>
  </r>
  <r>
    <s v="SP125"/>
    <x v="1"/>
    <d v="2024-11-06T00:00:00"/>
    <x v="0"/>
    <s v="From pop to podcasts, its all here."/>
    <x v="121"/>
    <n v="381"/>
    <n v="345"/>
    <n v="33347"/>
    <n v="22558"/>
    <x v="102"/>
    <s v="#NowPlaying"/>
    <m/>
    <s v="ChillVibes"/>
  </r>
  <r>
    <s v="SP126"/>
    <x v="1"/>
    <d v="2024-01-04T00:00:00"/>
    <x v="1"/>
    <s v="Whats your vibe today?"/>
    <x v="122"/>
    <n v="476"/>
    <n v="277"/>
    <n v="56072"/>
    <n v="21061"/>
    <x v="103"/>
    <s v="#MusicForEveryone"/>
    <s v="#NowPlaying"/>
    <s v="ChillVibes"/>
  </r>
  <r>
    <s v="SP127"/>
    <x v="1"/>
    <d v="2024-01-28T00:00:00"/>
    <x v="0"/>
    <s v="Music that moves you only on Spotify."/>
    <x v="123"/>
    <n v="265"/>
    <n v="137"/>
    <n v="53485"/>
    <n v="59729"/>
    <x v="104"/>
    <s v="#SoundtrackOfLife"/>
    <m/>
    <s v="IndieWave"/>
  </r>
  <r>
    <s v="SP128"/>
    <x v="0"/>
    <d v="2024-02-22T00:00:00"/>
    <x v="0"/>
    <s v="New music just dropped. Hit play!"/>
    <x v="124"/>
    <n v="394"/>
    <n v="279"/>
    <n v="24615"/>
    <n v="51330"/>
    <x v="98"/>
    <s v="#SoundtrackOfLife"/>
    <s v="#NowPlaying"/>
    <s v="ChillVibes"/>
  </r>
  <r>
    <s v="SP129"/>
    <x v="1"/>
    <d v="2025-07-01T00:00:00"/>
    <x v="1"/>
    <s v="Explore the latest podcasts now."/>
    <x v="125"/>
    <n v="424"/>
    <n v="267"/>
    <n v="48879"/>
    <n v="37691"/>
    <x v="105"/>
    <s v="#DiscoverWeekly"/>
    <s v="#MusicForEveryone"/>
    <s v="ChillVibes"/>
  </r>
  <r>
    <s v="SP130"/>
    <x v="2"/>
    <d v="2024-01-10T00:00:00"/>
    <x v="0"/>
    <s v="Explore the latest podcasts now."/>
    <x v="126"/>
    <n v="190"/>
    <n v="233"/>
    <n v="59888"/>
    <n v="51449"/>
    <x v="58"/>
    <s v="#DiscoverWeekly"/>
    <s v="#SpotifyWrapped"/>
    <s v="IndieWave"/>
  </r>
  <r>
    <s v="SP131"/>
    <x v="1"/>
    <d v="2025-03-20T00:00:00"/>
    <x v="0"/>
    <s v="Your weekend playlist is waiting."/>
    <x v="127"/>
    <n v="362"/>
    <n v="371"/>
    <n v="42075"/>
    <n v="66659"/>
    <x v="58"/>
    <s v="#SoundtrackOfLife"/>
    <m/>
    <s v="IndieWave"/>
  </r>
  <r>
    <s v="SP132"/>
    <x v="1"/>
    <d v="2024-09-28T00:00:00"/>
    <x v="0"/>
    <s v="Whats your vibe today?"/>
    <x v="128"/>
    <n v="420"/>
    <n v="194"/>
    <n v="49964"/>
    <n v="20685"/>
    <x v="45"/>
    <s v="#NowPlaying"/>
    <m/>
    <s v="ChillVibes"/>
  </r>
  <r>
    <s v="SP133"/>
    <x v="2"/>
    <d v="2024-01-27T00:00:00"/>
    <x v="0"/>
    <s v="Your weekend playlist is waiting."/>
    <x v="129"/>
    <n v="262"/>
    <n v="218"/>
    <n v="51696"/>
    <n v="44846"/>
    <x v="106"/>
    <s v="#DiscoverWeekly"/>
    <s v="#SpotifyWrapped"/>
    <s v="IndieWave"/>
  </r>
  <r>
    <s v="SP134"/>
    <x v="1"/>
    <d v="2025-05-15T00:00:00"/>
    <x v="0"/>
    <s v="New music just dropped. Hit play!"/>
    <x v="130"/>
    <n v="433"/>
    <n v="249"/>
    <n v="30256"/>
    <n v="47066"/>
    <x v="107"/>
    <s v="#NowPlaying"/>
    <m/>
    <s v="ChillVibes"/>
  </r>
  <r>
    <s v="SP135"/>
    <x v="1"/>
    <d v="2024-10-04T00:00:00"/>
    <x v="1"/>
    <s v="Explore the latest podcasts now."/>
    <x v="131"/>
    <n v="380"/>
    <n v="393"/>
    <n v="37621"/>
    <n v="71794"/>
    <x v="108"/>
    <s v="#MusicForEveryone"/>
    <s v="#NowPlaying"/>
    <s v="ChillVibes"/>
  </r>
  <r>
    <s v="SP136"/>
    <x v="1"/>
    <d v="2024-11-19T00:00:00"/>
    <x v="0"/>
    <s v="Top trending tracks updated daily!"/>
    <x v="132"/>
    <n v="271"/>
    <n v="275"/>
    <n v="22827"/>
    <n v="37034"/>
    <x v="109"/>
    <s v="#NowPlaying"/>
    <m/>
    <s v="ChillVibes"/>
  </r>
  <r>
    <s v="SP137"/>
    <x v="1"/>
    <d v="2024-04-05T00:00:00"/>
    <x v="1"/>
    <s v="New music just dropped. Hit play!"/>
    <x v="133"/>
    <n v="175"/>
    <n v="307"/>
    <n v="32793"/>
    <n v="43412"/>
    <x v="110"/>
    <s v="#SoundtrackOfLife"/>
    <s v="#NowPlaying"/>
    <s v="ChillVibes"/>
  </r>
  <r>
    <s v="SP138"/>
    <x v="1"/>
    <d v="2024-11-28T00:00:00"/>
    <x v="1"/>
    <s v="New music just dropped. Hit play!"/>
    <x v="134"/>
    <n v="100"/>
    <n v="116"/>
    <n v="48437"/>
    <n v="72704"/>
    <x v="100"/>
    <s v="#DiscoverWeekly"/>
    <s v="#MusicForEveryone"/>
    <s v="ChillVibes"/>
  </r>
  <r>
    <s v="SP139"/>
    <x v="1"/>
    <d v="2025-03-09T00:00:00"/>
    <x v="0"/>
    <s v="Your weekend playlist is waiting."/>
    <x v="135"/>
    <n v="215"/>
    <n v="264"/>
    <n v="27762"/>
    <n v="70203"/>
    <x v="32"/>
    <s v="#NowPlaying"/>
    <m/>
    <s v="ChillVibes"/>
  </r>
  <r>
    <s v="SP140"/>
    <x v="1"/>
    <d v="2024-08-27T00:00:00"/>
    <x v="1"/>
    <s v="New music just dropped. Hit play!"/>
    <x v="136"/>
    <n v="357"/>
    <n v="348"/>
    <n v="29428"/>
    <n v="70206"/>
    <x v="100"/>
    <s v="#MusicForEveryone"/>
    <s v="#NowPlaying"/>
    <s v="ChillVibes"/>
  </r>
  <r>
    <s v="SP141"/>
    <x v="2"/>
    <d v="2024-10-01T00:00:00"/>
    <x v="2"/>
    <s v="Explore the latest podcasts now."/>
    <x v="137"/>
    <n v="334"/>
    <n v="218"/>
    <n v="58007"/>
    <n v="24792"/>
    <x v="1"/>
    <s v="#DiscoverWeekly"/>
    <s v="#SoundtrackOfLife"/>
    <s v="SummerBeats"/>
  </r>
  <r>
    <s v="SP142"/>
    <x v="0"/>
    <d v="2024-12-21T00:00:00"/>
    <x v="1"/>
    <s v="New music just dropped. Hit play!"/>
    <x v="65"/>
    <n v="398"/>
    <n v="163"/>
    <n v="43679"/>
    <n v="48760"/>
    <x v="43"/>
    <s v="#NowPlaying"/>
    <m/>
    <s v="Wrapped2024"/>
  </r>
  <r>
    <s v="SP143"/>
    <x v="0"/>
    <d v="2024-06-17T00:00:00"/>
    <x v="0"/>
    <s v="Discover fresh beats on Spotify!"/>
    <x v="138"/>
    <n v="471"/>
    <n v="156"/>
    <n v="53004"/>
    <n v="25678"/>
    <x v="111"/>
    <s v="#DiscoverWeekly"/>
    <m/>
    <s v="IndieWave"/>
  </r>
  <r>
    <s v="SP144"/>
    <x v="0"/>
    <d v="2025-02-14T00:00:00"/>
    <x v="0"/>
    <s v="Discover fresh beats on Spotify!"/>
    <x v="139"/>
    <n v="373"/>
    <n v="291"/>
    <n v="49577"/>
    <n v="28002"/>
    <x v="78"/>
    <s v="#SoundtrackOfLife"/>
    <s v="#NowPlaying"/>
    <s v="ChillVibes"/>
  </r>
  <r>
    <s v="SP145"/>
    <x v="1"/>
    <d v="2025-05-28T00:00:00"/>
    <x v="1"/>
    <s v="Top trending tracks updated daily!"/>
    <x v="140"/>
    <n v="273"/>
    <n v="122"/>
    <n v="40792"/>
    <n v="23878"/>
    <x v="99"/>
    <s v="#MusicForEveryone"/>
    <s v="#NowPlaying"/>
    <s v="ChillVibes"/>
  </r>
  <r>
    <s v="SP146"/>
    <x v="0"/>
    <d v="2025-05-22T00:00:00"/>
    <x v="0"/>
    <s v="Discover fresh beats on Spotify!"/>
    <x v="141"/>
    <n v="318"/>
    <n v="380"/>
    <n v="40869"/>
    <n v="64474"/>
    <x v="97"/>
    <s v="#DiscoverWeekly"/>
    <m/>
    <s v="IndieWave"/>
  </r>
  <r>
    <s v="SP147"/>
    <x v="1"/>
    <d v="2024-01-21T00:00:00"/>
    <x v="1"/>
    <s v="Discover fresh beats on Spotify!"/>
    <x v="142"/>
    <n v="136"/>
    <n v="302"/>
    <n v="39187"/>
    <n v="22133"/>
    <x v="112"/>
    <s v="#MusicForEveryone"/>
    <s v="#NowPlaying"/>
    <s v="ChillVibes"/>
  </r>
  <r>
    <s v="SP148"/>
    <x v="1"/>
    <d v="2025-02-08T00:00:00"/>
    <x v="1"/>
    <s v="Your weekend playlist is waiting."/>
    <x v="143"/>
    <n v="334"/>
    <n v="56"/>
    <n v="48017"/>
    <n v="55534"/>
    <x v="66"/>
    <s v="#DiscoverWeekly"/>
    <s v="#MusicForEveryone"/>
    <s v="ChillVibes"/>
  </r>
  <r>
    <s v="SP149"/>
    <x v="1"/>
    <d v="2025-04-13T00:00:00"/>
    <x v="0"/>
    <s v="From pop to podcasts, its all here."/>
    <x v="144"/>
    <n v="408"/>
    <n v="338"/>
    <n v="56994"/>
    <n v="32621"/>
    <x v="113"/>
    <s v="#SoundtrackOfLife"/>
    <m/>
    <s v="IndieWave"/>
  </r>
  <r>
    <s v="SP150"/>
    <x v="1"/>
    <d v="2024-05-30T00:00:00"/>
    <x v="1"/>
    <s v="Your weekend playlist is waiting."/>
    <x v="145"/>
    <n v="207"/>
    <n v="363"/>
    <n v="30349"/>
    <n v="32925"/>
    <x v="10"/>
    <s v="#MusicForEveryone"/>
    <s v="#NowPlaying"/>
    <s v="ChillVibes"/>
  </r>
  <r>
    <s v="SP151"/>
    <x v="0"/>
    <d v="2024-08-12T00:00:00"/>
    <x v="1"/>
    <s v="Discover fresh beats on Spotify!"/>
    <x v="146"/>
    <n v="400"/>
    <n v="280"/>
    <n v="52508"/>
    <n v="58329"/>
    <x v="114"/>
    <s v="#NowPlaying"/>
    <m/>
    <s v="Wrapped2024"/>
  </r>
  <r>
    <s v="SP152"/>
    <x v="0"/>
    <d v="2024-09-27T00:00:00"/>
    <x v="0"/>
    <s v="Discover fresh beats on Spotify!"/>
    <x v="147"/>
    <n v="116"/>
    <n v="195"/>
    <n v="37100"/>
    <n v="62629"/>
    <x v="3"/>
    <s v="#DiscoverWeekly"/>
    <m/>
    <s v="IndieWave"/>
  </r>
  <r>
    <s v="SP153"/>
    <x v="1"/>
    <d v="2025-06-11T00:00:00"/>
    <x v="1"/>
    <s v="Explore the latest podcasts now."/>
    <x v="148"/>
    <n v="453"/>
    <n v="63"/>
    <n v="52395"/>
    <n v="72934"/>
    <x v="48"/>
    <s v="#DiscoverWeekly"/>
    <s v="#MusicForEveryone"/>
    <s v="ChillVibes"/>
  </r>
  <r>
    <s v="SP154"/>
    <x v="0"/>
    <d v="2024-11-19T00:00:00"/>
    <x v="0"/>
    <s v="Whats your vibe today?"/>
    <x v="149"/>
    <n v="272"/>
    <n v="294"/>
    <n v="51875"/>
    <n v="24732"/>
    <x v="43"/>
    <s v="#DiscoverWeekly"/>
    <m/>
    <s v="IndieWave"/>
  </r>
  <r>
    <s v="SP155"/>
    <x v="0"/>
    <d v="2024-04-25T00:00:00"/>
    <x v="0"/>
    <s v="Music that moves you only on Spotify."/>
    <x v="150"/>
    <n v="483"/>
    <n v="227"/>
    <n v="41085"/>
    <n v="26393"/>
    <x v="100"/>
    <s v="#SoundtrackOfLife"/>
    <s v="#NowPlaying"/>
    <s v="ChillVibes"/>
  </r>
  <r>
    <s v="SP156"/>
    <x v="2"/>
    <d v="2024-09-03T00:00:00"/>
    <x v="2"/>
    <s v="Whats your vibe today?"/>
    <x v="151"/>
    <n v="494"/>
    <n v="129"/>
    <n v="53048"/>
    <n v="44090"/>
    <x v="20"/>
    <s v="#DiscoverWeekly"/>
    <s v="#SoundtrackOfLife"/>
    <s v="SummerBeats"/>
  </r>
  <r>
    <s v="SP157"/>
    <x v="2"/>
    <d v="2025-03-02T00:00:00"/>
    <x v="0"/>
    <s v="From pop to podcasts, its all here."/>
    <x v="152"/>
    <n v="185"/>
    <n v="162"/>
    <n v="24610"/>
    <n v="21342"/>
    <x v="115"/>
    <s v="#DiscoverWeekly"/>
    <s v="#SpotifyWrapped"/>
    <s v="IndieWave"/>
  </r>
  <r>
    <s v="SP158"/>
    <x v="1"/>
    <d v="2025-03-21T00:00:00"/>
    <x v="1"/>
    <s v="New music just dropped. Hit play!"/>
    <x v="153"/>
    <n v="427"/>
    <n v="395"/>
    <n v="33698"/>
    <n v="29259"/>
    <x v="116"/>
    <s v="#DiscoverWeekly"/>
    <s v="#MusicForEveryone"/>
    <s v="ChillVibes"/>
  </r>
  <r>
    <s v="SP159"/>
    <x v="0"/>
    <d v="2024-04-12T00:00:00"/>
    <x v="1"/>
    <s v="Get into the groove with our new drop!"/>
    <x v="154"/>
    <n v="352"/>
    <n v="202"/>
    <n v="25405"/>
    <n v="69941"/>
    <x v="114"/>
    <s v="#NowPlaying"/>
    <m/>
    <s v="Wrapped2024"/>
  </r>
  <r>
    <s v="SP160"/>
    <x v="2"/>
    <d v="2024-02-08T00:00:00"/>
    <x v="2"/>
    <s v="Top trending tracks updated daily!"/>
    <x v="155"/>
    <n v="298"/>
    <n v="122"/>
    <n v="46225"/>
    <n v="74305"/>
    <x v="117"/>
    <s v="#DiscoverWeekly"/>
    <s v="#SoundtrackOfLife"/>
    <s v="SummerBeats"/>
  </r>
  <r>
    <s v="SP161"/>
    <x v="0"/>
    <d v="2025-05-26T00:00:00"/>
    <x v="0"/>
    <s v="Discover fresh beats on Spotify!"/>
    <x v="156"/>
    <n v="148"/>
    <n v="310"/>
    <n v="22824"/>
    <n v="58103"/>
    <x v="38"/>
    <s v="#DiscoverWeekly"/>
    <m/>
    <s v="IndieWave"/>
  </r>
  <r>
    <s v="SP162"/>
    <x v="0"/>
    <d v="2024-11-14T00:00:00"/>
    <x v="0"/>
    <s v="Music that moves you only on Spotify."/>
    <x v="55"/>
    <n v="318"/>
    <n v="118"/>
    <n v="25386"/>
    <n v="20873"/>
    <x v="118"/>
    <s v="#SoundtrackOfLife"/>
    <s v="#NowPlaying"/>
    <s v="ChillVibes"/>
  </r>
  <r>
    <s v="SP163"/>
    <x v="2"/>
    <d v="2024-08-09T00:00:00"/>
    <x v="2"/>
    <s v="From pop to podcasts, its all here."/>
    <x v="157"/>
    <n v="154"/>
    <n v="204"/>
    <n v="34146"/>
    <n v="44633"/>
    <x v="119"/>
    <s v="#DiscoverWeekly"/>
    <s v="#SoundtrackOfLife"/>
    <s v="SummerBeats"/>
  </r>
  <r>
    <s v="SP164"/>
    <x v="0"/>
    <d v="2025-06-27T00:00:00"/>
    <x v="1"/>
    <s v="Whats your vibe today?"/>
    <x v="158"/>
    <n v="332"/>
    <n v="163"/>
    <n v="51712"/>
    <n v="57922"/>
    <x v="120"/>
    <s v="#NowPlaying"/>
    <m/>
    <s v="Wrapped2024"/>
  </r>
  <r>
    <s v="SP165"/>
    <x v="0"/>
    <d v="2024-05-08T00:00:00"/>
    <x v="1"/>
    <s v="Music that moves you only on Spotify."/>
    <x v="0"/>
    <n v="220"/>
    <n v="280"/>
    <n v="27355"/>
    <n v="50562"/>
    <x v="82"/>
    <s v="#NowPlaying"/>
    <m/>
    <s v="Wrapped2024"/>
  </r>
  <r>
    <s v="SP166"/>
    <x v="0"/>
    <d v="2024-04-05T00:00:00"/>
    <x v="0"/>
    <s v="New music just dropped. Hit play!"/>
    <x v="159"/>
    <n v="352"/>
    <n v="176"/>
    <n v="53239"/>
    <n v="34168"/>
    <x v="121"/>
    <s v="#DiscoverWeekly"/>
    <m/>
    <s v="IndieWave"/>
  </r>
  <r>
    <s v="SP167"/>
    <x v="2"/>
    <d v="2025-01-27T00:00:00"/>
    <x v="0"/>
    <s v="Wrapped is here! Relive your top tracks"/>
    <x v="160"/>
    <n v="423"/>
    <n v="93"/>
    <n v="29828"/>
    <n v="73144"/>
    <x v="76"/>
    <s v="#DiscoverWeekly"/>
    <s v="#SpotifyWrapped"/>
    <s v="IndieWave"/>
  </r>
  <r>
    <s v="SP168"/>
    <x v="0"/>
    <d v="2024-04-03T00:00:00"/>
    <x v="0"/>
    <s v="Top trending tracks updated daily!"/>
    <x v="161"/>
    <n v="339"/>
    <n v="323"/>
    <n v="33757"/>
    <n v="68511"/>
    <x v="2"/>
    <s v="#SoundtrackOfLife"/>
    <s v="#NowPlaying"/>
    <s v="ChillVibes"/>
  </r>
  <r>
    <s v="SP169"/>
    <x v="2"/>
    <d v="2025-01-03T00:00:00"/>
    <x v="0"/>
    <s v="New music just dropped. Hit play!"/>
    <x v="162"/>
    <n v="484"/>
    <n v="144"/>
    <n v="52172"/>
    <n v="59386"/>
    <x v="122"/>
    <s v="#DiscoverWeekly"/>
    <s v="#SpotifyWrapped"/>
    <s v="IndieWave"/>
  </r>
  <r>
    <s v="SP170"/>
    <x v="1"/>
    <d v="2024-11-23T00:00:00"/>
    <x v="0"/>
    <s v="New music just dropped. Hit play!"/>
    <x v="163"/>
    <n v="371"/>
    <n v="329"/>
    <n v="32347"/>
    <n v="68956"/>
    <x v="51"/>
    <s v="#SoundtrackOfLife"/>
    <m/>
    <s v="IndieWave"/>
  </r>
  <r>
    <s v="SP171"/>
    <x v="0"/>
    <d v="2024-09-01T00:00:00"/>
    <x v="1"/>
    <s v="Wrapped is here! Relive your top tracks"/>
    <x v="164"/>
    <n v="150"/>
    <n v="75"/>
    <n v="26114"/>
    <n v="57549"/>
    <x v="64"/>
    <s v="#NowPlaying"/>
    <m/>
    <s v="Wrapped2024"/>
  </r>
  <r>
    <s v="SP172"/>
    <x v="2"/>
    <d v="2024-04-18T00:00:00"/>
    <x v="0"/>
    <s v="Explore the latest podcasts now."/>
    <x v="165"/>
    <n v="293"/>
    <n v="91"/>
    <n v="26795"/>
    <n v="28924"/>
    <x v="123"/>
    <s v="#DiscoverWeekly"/>
    <s v="#SpotifyWrapped"/>
    <s v="IndieWave"/>
  </r>
  <r>
    <s v="SP173"/>
    <x v="0"/>
    <d v="2024-06-04T00:00:00"/>
    <x v="0"/>
    <s v="Get into the groove with our new drop!"/>
    <x v="166"/>
    <n v="151"/>
    <n v="249"/>
    <n v="43147"/>
    <n v="63136"/>
    <x v="20"/>
    <s v="#DiscoverWeekly"/>
    <m/>
    <s v="IndieWave"/>
  </r>
  <r>
    <s v="SP174"/>
    <x v="2"/>
    <d v="2025-04-02T00:00:00"/>
    <x v="0"/>
    <s v="Wrapped is here! Relive your top tracks"/>
    <x v="167"/>
    <n v="455"/>
    <n v="378"/>
    <n v="52952"/>
    <n v="58504"/>
    <x v="124"/>
    <s v="#DiscoverWeekly"/>
    <s v="#SpotifyWrapped"/>
    <s v="IndieWave"/>
  </r>
  <r>
    <s v="SP175"/>
    <x v="1"/>
    <d v="2025-04-01T00:00:00"/>
    <x v="1"/>
    <s v="Music that moves you only on Spotify."/>
    <x v="168"/>
    <n v="143"/>
    <n v="315"/>
    <n v="54808"/>
    <n v="29818"/>
    <x v="79"/>
    <s v="#DiscoverWeekly"/>
    <s v="#MusicForEveryone"/>
    <s v="ChillVibes"/>
  </r>
  <r>
    <s v="SP176"/>
    <x v="0"/>
    <d v="2024-07-02T00:00:00"/>
    <x v="0"/>
    <s v="Top trending tracks updated daily!"/>
    <x v="169"/>
    <n v="371"/>
    <n v="76"/>
    <n v="46493"/>
    <n v="26906"/>
    <x v="125"/>
    <s v="#SoundtrackOfLife"/>
    <s v="#NowPlaying"/>
    <s v="ChillVibes"/>
  </r>
  <r>
    <s v="SP177"/>
    <x v="1"/>
    <d v="2024-11-10T00:00:00"/>
    <x v="0"/>
    <s v="Explore the latest podcasts now."/>
    <x v="170"/>
    <n v="489"/>
    <n v="302"/>
    <n v="32470"/>
    <n v="31861"/>
    <x v="126"/>
    <s v="#SoundtrackOfLife"/>
    <m/>
    <s v="IndieWave"/>
  </r>
  <r>
    <s v="SP178"/>
    <x v="0"/>
    <d v="2024-12-14T00:00:00"/>
    <x v="1"/>
    <s v="From pop to podcasts, its all here."/>
    <x v="171"/>
    <n v="321"/>
    <n v="289"/>
    <n v="59838"/>
    <n v="36337"/>
    <x v="127"/>
    <s v="#NowPlaying"/>
    <m/>
    <s v="Wrapped2024"/>
  </r>
  <r>
    <s v="SP179"/>
    <x v="1"/>
    <d v="2024-11-19T00:00:00"/>
    <x v="0"/>
    <s v="Explore the latest podcasts now."/>
    <x v="172"/>
    <n v="353"/>
    <n v="78"/>
    <n v="39745"/>
    <n v="69226"/>
    <x v="112"/>
    <s v="#SoundtrackOfLife"/>
    <m/>
    <s v="IndieWave"/>
  </r>
  <r>
    <s v="SP180"/>
    <x v="1"/>
    <d v="2025-04-30T00:00:00"/>
    <x v="1"/>
    <s v="Wrapped is here! Relive your top tracks"/>
    <x v="173"/>
    <n v="275"/>
    <n v="330"/>
    <n v="58329"/>
    <n v="33196"/>
    <x v="128"/>
    <s v="#MusicForEveryone"/>
    <s v="#NowPlaying"/>
    <s v="ChillVibes"/>
  </r>
  <r>
    <s v="SP181"/>
    <x v="1"/>
    <d v="2024-03-19T00:00:00"/>
    <x v="0"/>
    <s v="From pop to podcasts, its all here."/>
    <x v="174"/>
    <n v="288"/>
    <n v="83"/>
    <n v="59606"/>
    <n v="24765"/>
    <x v="129"/>
    <s v="#SoundtrackOfLife"/>
    <m/>
    <s v="IndieWave"/>
  </r>
  <r>
    <s v="SP182"/>
    <x v="0"/>
    <d v="2024-03-19T00:00:00"/>
    <x v="0"/>
    <s v="From pop to podcasts, its all here."/>
    <x v="102"/>
    <n v="278"/>
    <n v="255"/>
    <n v="47235"/>
    <n v="57922"/>
    <x v="130"/>
    <s v="#SoundtrackOfLife"/>
    <s v="#NowPlaying"/>
    <s v="ChillVibes"/>
  </r>
  <r>
    <s v="SP183"/>
    <x v="1"/>
    <d v="2024-07-23T00:00:00"/>
    <x v="0"/>
    <s v="Top trending tracks updated daily!"/>
    <x v="175"/>
    <n v="398"/>
    <n v="85"/>
    <n v="22020"/>
    <n v="58353"/>
    <x v="113"/>
    <s v="#SoundtrackOfLife"/>
    <m/>
    <s v="IndieWave"/>
  </r>
  <r>
    <s v="SP184"/>
    <x v="1"/>
    <d v="2024-07-13T00:00:00"/>
    <x v="1"/>
    <s v="Get into the groove with our new drop!"/>
    <x v="176"/>
    <n v="323"/>
    <n v="251"/>
    <n v="47599"/>
    <n v="35543"/>
    <x v="33"/>
    <s v="#MusicForEveryone"/>
    <s v="#NowPlaying"/>
    <s v="ChillVibes"/>
  </r>
  <r>
    <s v="SP185"/>
    <x v="2"/>
    <d v="2025-04-22T00:00:00"/>
    <x v="2"/>
    <s v="New music just dropped. Hit play!"/>
    <x v="177"/>
    <n v="297"/>
    <n v="235"/>
    <n v="37980"/>
    <n v="33058"/>
    <x v="114"/>
    <s v="#DiscoverWeekly"/>
    <s v="#SoundtrackOfLife"/>
    <s v="SummerBeats"/>
  </r>
  <r>
    <s v="SP186"/>
    <x v="1"/>
    <d v="2024-06-16T00:00:00"/>
    <x v="1"/>
    <s v="Explore the latest podcasts now."/>
    <x v="178"/>
    <n v="312"/>
    <n v="254"/>
    <n v="22571"/>
    <n v="29453"/>
    <x v="29"/>
    <s v="#MusicForEveryone"/>
    <s v="#NowPlaying"/>
    <s v="ChillVibes"/>
  </r>
  <r>
    <s v="SP187"/>
    <x v="2"/>
    <d v="2025-05-18T00:00:00"/>
    <x v="2"/>
    <s v="Wrapped is here! Relive your top tracks"/>
    <x v="179"/>
    <n v="319"/>
    <n v="350"/>
    <n v="37762"/>
    <n v="55162"/>
    <x v="131"/>
    <s v="#DiscoverWeekly"/>
    <s v="#SoundtrackOfLife"/>
    <s v="SummerBeats"/>
  </r>
  <r>
    <s v="SP188"/>
    <x v="0"/>
    <d v="2025-06-06T00:00:00"/>
    <x v="0"/>
    <s v="Wrapped is here! Relive your top tracks"/>
    <x v="180"/>
    <n v="171"/>
    <n v="274"/>
    <n v="45122"/>
    <n v="65431"/>
    <x v="120"/>
    <s v="#DiscoverWeekly"/>
    <m/>
    <s v="IndieWave"/>
  </r>
  <r>
    <s v="SP189"/>
    <x v="2"/>
    <d v="2025-02-20T00:00:00"/>
    <x v="2"/>
    <s v="Get into the groove with our new drop!"/>
    <x v="181"/>
    <n v="262"/>
    <n v="365"/>
    <n v="49199"/>
    <n v="40314"/>
    <x v="116"/>
    <s v="#DiscoverWeekly"/>
    <s v="#SoundtrackOfLife"/>
    <s v="SummerBeats"/>
  </r>
  <r>
    <s v="SP190"/>
    <x v="0"/>
    <d v="2025-01-16T00:00:00"/>
    <x v="0"/>
    <s v="Music that moves you only on Spotify."/>
    <x v="182"/>
    <n v="282"/>
    <n v="148"/>
    <n v="32201"/>
    <n v="49583"/>
    <x v="80"/>
    <s v="#SoundtrackOfLife"/>
    <s v="#NowPlaying"/>
    <s v="ChillVibes"/>
  </r>
  <r>
    <s v="SP191"/>
    <x v="2"/>
    <d v="2024-02-24T00:00:00"/>
    <x v="2"/>
    <s v="Discover fresh beats on Spotify!"/>
    <x v="183"/>
    <n v="307"/>
    <n v="58"/>
    <n v="45080"/>
    <n v="37214"/>
    <x v="132"/>
    <s v="#DiscoverWeekly"/>
    <s v="#SoundtrackOfLife"/>
    <s v="SummerBeats"/>
  </r>
  <r>
    <s v="SP192"/>
    <x v="1"/>
    <d v="2024-09-16T00:00:00"/>
    <x v="1"/>
    <s v="Whats your vibe today?"/>
    <x v="184"/>
    <n v="434"/>
    <n v="156"/>
    <n v="56165"/>
    <n v="52431"/>
    <x v="102"/>
    <s v="#DiscoverWeekly"/>
    <s v="#MusicForEveryone"/>
    <s v="ChillVibes"/>
  </r>
  <r>
    <s v="SP193"/>
    <x v="2"/>
    <d v="2024-06-04T00:00:00"/>
    <x v="2"/>
    <s v="Wrapped is here! Relive your top tracks"/>
    <x v="185"/>
    <n v="431"/>
    <n v="83"/>
    <n v="26532"/>
    <n v="47305"/>
    <x v="24"/>
    <s v="#DiscoverWeekly"/>
    <s v="#SoundtrackOfLife"/>
    <s v="SummerBeats"/>
  </r>
  <r>
    <s v="SP194"/>
    <x v="1"/>
    <d v="2024-05-10T00:00:00"/>
    <x v="1"/>
    <s v="Explore the latest podcasts now."/>
    <x v="186"/>
    <n v="111"/>
    <n v="399"/>
    <n v="58366"/>
    <n v="69512"/>
    <x v="124"/>
    <s v="#MusicForEveryone"/>
    <s v="#NowPlaying"/>
    <s v="ChillVibes"/>
  </r>
  <r>
    <s v="SP195"/>
    <x v="2"/>
    <d v="2024-01-14T00:00:00"/>
    <x v="0"/>
    <s v="New music just dropped. Hit play!"/>
    <x v="187"/>
    <n v="280"/>
    <n v="399"/>
    <n v="40256"/>
    <n v="52605"/>
    <x v="12"/>
    <s v="#DiscoverWeekly"/>
    <s v="#SpotifyWrapped"/>
    <s v="IndieWave"/>
  </r>
  <r>
    <s v="SP196"/>
    <x v="0"/>
    <d v="2025-01-12T00:00:00"/>
    <x v="0"/>
    <s v="From pop to podcasts, its all here."/>
    <x v="188"/>
    <n v="487"/>
    <n v="272"/>
    <n v="48810"/>
    <n v="48084"/>
    <x v="3"/>
    <s v="#SoundtrackOfLife"/>
    <s v="#NowPlaying"/>
    <s v="ChillVibes"/>
  </r>
  <r>
    <s v="SP197"/>
    <x v="2"/>
    <d v="2024-12-08T00:00:00"/>
    <x v="0"/>
    <s v="Top trending tracks updated daily!"/>
    <x v="189"/>
    <n v="396"/>
    <n v="312"/>
    <n v="59517"/>
    <n v="46102"/>
    <x v="49"/>
    <s v="#DiscoverWeekly"/>
    <s v="#SpotifyWrapped"/>
    <s v="IndieWave"/>
  </r>
  <r>
    <s v="SP198"/>
    <x v="1"/>
    <d v="2025-02-01T00:00:00"/>
    <x v="1"/>
    <s v="Top trending tracks updated daily!"/>
    <x v="190"/>
    <n v="265"/>
    <n v="190"/>
    <n v="43786"/>
    <n v="72428"/>
    <x v="133"/>
    <s v="#SoundtrackOfLife"/>
    <s v="#NowPlaying"/>
    <s v="ChillVibes"/>
  </r>
  <r>
    <s v="SP199"/>
    <x v="1"/>
    <d v="2024-07-11T00:00:00"/>
    <x v="1"/>
    <s v="Get into the groove with our new drop!"/>
    <x v="82"/>
    <n v="179"/>
    <n v="175"/>
    <n v="32991"/>
    <n v="70120"/>
    <x v="134"/>
    <s v="#SoundtrackOfLife"/>
    <s v="#NowPlaying"/>
    <s v="ChillVibes"/>
  </r>
  <r>
    <s v="SP200"/>
    <x v="1"/>
    <d v="2024-03-18T00:00:00"/>
    <x v="0"/>
    <s v="New music just dropped. Hit play!"/>
    <x v="191"/>
    <n v="420"/>
    <n v="94"/>
    <n v="56290"/>
    <n v="57391"/>
    <x v="107"/>
    <s v="#NowPlaying"/>
    <m/>
    <s v="ChillVibes"/>
  </r>
  <r>
    <s v="SP201"/>
    <x v="1"/>
    <d v="2024-09-12T00:00:00"/>
    <x v="1"/>
    <s v="Wrapped is here! Relive your top tracks"/>
    <x v="192"/>
    <n v="223"/>
    <n v="171"/>
    <n v="35459"/>
    <n v="69988"/>
    <x v="81"/>
    <s v="#MusicForEveryone"/>
    <s v="#NowPlaying"/>
    <s v="ChillVibes"/>
  </r>
  <r>
    <s v="SP202"/>
    <x v="1"/>
    <d v="2024-01-11T00:00:00"/>
    <x v="1"/>
    <s v="Wrapped is here! Relive your top tracks"/>
    <x v="193"/>
    <n v="141"/>
    <n v="206"/>
    <n v="24916"/>
    <n v="30582"/>
    <x v="70"/>
    <s v="#SoundtrackOfLife"/>
    <s v="#NowPlaying"/>
    <s v="ChillVibes"/>
  </r>
  <r>
    <s v="SP203"/>
    <x v="0"/>
    <d v="2024-10-06T00:00:00"/>
    <x v="0"/>
    <s v="Top trending tracks updated daily!"/>
    <x v="194"/>
    <n v="389"/>
    <n v="92"/>
    <n v="30971"/>
    <n v="25347"/>
    <x v="77"/>
    <s v="#DiscoverWeekly"/>
    <m/>
    <s v="IndieWave"/>
  </r>
  <r>
    <s v="SP204"/>
    <x v="1"/>
    <d v="2024-12-30T00:00:00"/>
    <x v="0"/>
    <s v="Get into the groove with our new drop!"/>
    <x v="195"/>
    <n v="286"/>
    <n v="127"/>
    <n v="47293"/>
    <n v="27184"/>
    <x v="24"/>
    <s v="#NowPlaying"/>
    <m/>
    <s v="ChillVibes"/>
  </r>
  <r>
    <s v="SP205"/>
    <x v="1"/>
    <d v="2025-04-16T00:00:00"/>
    <x v="0"/>
    <s v="Wrapped is here! Relive your top tracks"/>
    <x v="196"/>
    <n v="315"/>
    <n v="120"/>
    <n v="54592"/>
    <n v="67886"/>
    <x v="135"/>
    <s v="#SoundtrackOfLife"/>
    <m/>
    <s v="IndieWave"/>
  </r>
  <r>
    <s v="SP206"/>
    <x v="1"/>
    <d v="2024-08-21T00:00:00"/>
    <x v="1"/>
    <s v="Explore the latest podcasts now."/>
    <x v="197"/>
    <n v="476"/>
    <n v="128"/>
    <n v="57569"/>
    <n v="40193"/>
    <x v="133"/>
    <s v="#DiscoverWeekly"/>
    <s v="#MusicForEveryone"/>
    <s v="ChillVibes"/>
  </r>
  <r>
    <s v="SP207"/>
    <x v="1"/>
    <d v="2024-04-05T00:00:00"/>
    <x v="1"/>
    <s v="Wrapped is here! Relive your top tracks"/>
    <x v="198"/>
    <n v="443"/>
    <n v="359"/>
    <n v="51519"/>
    <n v="28256"/>
    <x v="136"/>
    <s v="#SoundtrackOfLife"/>
    <s v="#NowPlaying"/>
    <s v="ChillVibes"/>
  </r>
  <r>
    <s v="SP208"/>
    <x v="1"/>
    <d v="2025-04-07T00:00:00"/>
    <x v="0"/>
    <s v="From pop to podcasts, its all here."/>
    <x v="199"/>
    <n v="385"/>
    <n v="344"/>
    <n v="54223"/>
    <n v="72595"/>
    <x v="49"/>
    <s v="#SoundtrackOfLife"/>
    <m/>
    <s v="IndieWave"/>
  </r>
  <r>
    <s v="SP209"/>
    <x v="1"/>
    <d v="2024-07-19T00:00:00"/>
    <x v="1"/>
    <s v="Whats your vibe today?"/>
    <x v="200"/>
    <n v="126"/>
    <n v="200"/>
    <n v="44013"/>
    <n v="44679"/>
    <x v="90"/>
    <s v="#DiscoverWeekly"/>
    <s v="#MusicForEveryone"/>
    <s v="ChillVibes"/>
  </r>
  <r>
    <s v="SP210"/>
    <x v="1"/>
    <d v="2025-05-03T00:00:00"/>
    <x v="1"/>
    <s v="Top trending tracks updated daily!"/>
    <x v="201"/>
    <n v="361"/>
    <n v="240"/>
    <n v="47229"/>
    <n v="72573"/>
    <x v="38"/>
    <s v="#SoundtrackOfLife"/>
    <s v="#NowPlaying"/>
    <s v="ChillVibes"/>
  </r>
  <r>
    <s v="SP211"/>
    <x v="1"/>
    <d v="2024-04-14T00:00:00"/>
    <x v="1"/>
    <s v="Discover fresh beats on Spotify!"/>
    <x v="202"/>
    <n v="153"/>
    <n v="81"/>
    <n v="48350"/>
    <n v="61033"/>
    <x v="24"/>
    <s v="#DiscoverWeekly"/>
    <s v="#MusicForEveryone"/>
    <s v="ChillVibes"/>
  </r>
  <r>
    <s v="SP212"/>
    <x v="1"/>
    <d v="2025-06-19T00:00:00"/>
    <x v="1"/>
    <s v="Whats your vibe today?"/>
    <x v="203"/>
    <n v="452"/>
    <n v="305"/>
    <n v="54541"/>
    <n v="63700"/>
    <x v="110"/>
    <s v="#DiscoverWeekly"/>
    <s v="#MusicForEveryone"/>
    <s v="ChillVibes"/>
  </r>
  <r>
    <s v="SP213"/>
    <x v="0"/>
    <d v="2025-06-24T00:00:00"/>
    <x v="1"/>
    <s v="Get into the groove with our new drop!"/>
    <x v="204"/>
    <n v="422"/>
    <n v="376"/>
    <n v="31674"/>
    <n v="53225"/>
    <x v="25"/>
    <s v="#NowPlaying"/>
    <m/>
    <s v="Wrapped2024"/>
  </r>
  <r>
    <s v="SP214"/>
    <x v="1"/>
    <d v="2024-10-09T00:00:00"/>
    <x v="0"/>
    <s v="Wrapped is here! Relive your top tracks"/>
    <x v="205"/>
    <n v="167"/>
    <n v="73"/>
    <n v="23090"/>
    <n v="25872"/>
    <x v="117"/>
    <s v="#SoundtrackOfLife"/>
    <m/>
    <s v="IndieWave"/>
  </r>
  <r>
    <s v="SP215"/>
    <x v="2"/>
    <d v="2025-01-15T00:00:00"/>
    <x v="0"/>
    <s v="Your weekend playlist is waiting."/>
    <x v="206"/>
    <n v="324"/>
    <n v="182"/>
    <n v="37525"/>
    <n v="37216"/>
    <x v="137"/>
    <s v="#DiscoverWeekly"/>
    <s v="#SpotifyWrapped"/>
    <s v="IndieWave"/>
  </r>
  <r>
    <s v="SP216"/>
    <x v="1"/>
    <d v="2025-01-12T00:00:00"/>
    <x v="0"/>
    <s v="Music that moves you only on Spotify."/>
    <x v="207"/>
    <n v="285"/>
    <n v="100"/>
    <n v="41313"/>
    <n v="56575"/>
    <x v="23"/>
    <s v="#SoundtrackOfLife"/>
    <m/>
    <s v="IndieWave"/>
  </r>
  <r>
    <s v="SP217"/>
    <x v="0"/>
    <d v="2025-05-31T00:00:00"/>
    <x v="0"/>
    <s v="Whats your vibe today?"/>
    <x v="208"/>
    <n v="240"/>
    <n v="57"/>
    <n v="26109"/>
    <n v="46667"/>
    <x v="0"/>
    <s v="#SoundtrackOfLife"/>
    <s v="#NowPlaying"/>
    <s v="ChillVibes"/>
  </r>
  <r>
    <s v="SP218"/>
    <x v="1"/>
    <d v="2024-10-14T00:00:00"/>
    <x v="1"/>
    <s v="Explore the latest podcasts now."/>
    <x v="209"/>
    <n v="306"/>
    <n v="302"/>
    <n v="39575"/>
    <n v="33762"/>
    <x v="34"/>
    <s v="#DiscoverWeekly"/>
    <s v="#MusicForEveryone"/>
    <s v="ChillVibes"/>
  </r>
  <r>
    <s v="SP219"/>
    <x v="1"/>
    <d v="2024-02-10T00:00:00"/>
    <x v="0"/>
    <s v="From pop to podcasts, its all here."/>
    <x v="210"/>
    <n v="456"/>
    <n v="379"/>
    <n v="51611"/>
    <n v="45880"/>
    <x v="98"/>
    <s v="#SoundtrackOfLife"/>
    <m/>
    <s v="IndieWave"/>
  </r>
  <r>
    <s v="SP220"/>
    <x v="2"/>
    <d v="2024-12-10T00:00:00"/>
    <x v="0"/>
    <s v="Whats your vibe today?"/>
    <x v="211"/>
    <n v="140"/>
    <n v="375"/>
    <n v="38372"/>
    <n v="22102"/>
    <x v="138"/>
    <s v="#DiscoverWeekly"/>
    <s v="#SpotifyWrapped"/>
    <s v="IndieWave"/>
  </r>
  <r>
    <s v="SP221"/>
    <x v="1"/>
    <d v="2025-05-09T00:00:00"/>
    <x v="1"/>
    <s v="Music that moves you only on Spotify."/>
    <x v="212"/>
    <n v="241"/>
    <n v="317"/>
    <n v="26247"/>
    <n v="20677"/>
    <x v="85"/>
    <s v="#MusicForEveryone"/>
    <s v="#NowPlaying"/>
    <s v="ChillVibes"/>
  </r>
  <r>
    <s v="SP222"/>
    <x v="1"/>
    <d v="2025-06-21T00:00:00"/>
    <x v="0"/>
    <s v="Explore the latest podcasts now."/>
    <x v="213"/>
    <n v="127"/>
    <n v="139"/>
    <n v="44768"/>
    <n v="29435"/>
    <x v="126"/>
    <s v="#NowPlaying"/>
    <m/>
    <s v="ChillVibes"/>
  </r>
  <r>
    <s v="SP223"/>
    <x v="1"/>
    <d v="2024-06-19T00:00:00"/>
    <x v="0"/>
    <s v="Whats your vibe today?"/>
    <x v="214"/>
    <n v="168"/>
    <n v="199"/>
    <n v="54232"/>
    <n v="52844"/>
    <x v="139"/>
    <s v="#SoundtrackOfLife"/>
    <m/>
    <s v="IndieWave"/>
  </r>
  <r>
    <s v="SP224"/>
    <x v="1"/>
    <d v="2024-12-10T00:00:00"/>
    <x v="0"/>
    <s v="From pop to podcasts, its all here."/>
    <x v="215"/>
    <n v="270"/>
    <n v="93"/>
    <n v="45260"/>
    <n v="57513"/>
    <x v="22"/>
    <s v="#NowPlaying"/>
    <m/>
    <s v="ChillVibes"/>
  </r>
  <r>
    <s v="SP225"/>
    <x v="2"/>
    <d v="2024-02-01T00:00:00"/>
    <x v="0"/>
    <s v="Wrapped is here! Relive your top tracks"/>
    <x v="216"/>
    <n v="437"/>
    <n v="267"/>
    <n v="40634"/>
    <n v="54511"/>
    <x v="29"/>
    <s v="#DiscoverWeekly"/>
    <s v="#SpotifyWrapped"/>
    <s v="IndieWave"/>
  </r>
  <r>
    <s v="SP226"/>
    <x v="1"/>
    <d v="2024-01-17T00:00:00"/>
    <x v="1"/>
    <s v="New music just dropped. Hit play!"/>
    <x v="217"/>
    <n v="499"/>
    <n v="212"/>
    <n v="54938"/>
    <n v="27190"/>
    <x v="34"/>
    <s v="#MusicForEveryone"/>
    <s v="#NowPlaying"/>
    <s v="ChillVibes"/>
  </r>
  <r>
    <s v="SP227"/>
    <x v="2"/>
    <d v="2025-03-22T00:00:00"/>
    <x v="0"/>
    <s v="Music that moves you only on Spotify."/>
    <x v="218"/>
    <n v="171"/>
    <n v="106"/>
    <n v="36955"/>
    <n v="23949"/>
    <x v="140"/>
    <s v="#DiscoverWeekly"/>
    <s v="#SpotifyWrapped"/>
    <s v="IndieWave"/>
  </r>
  <r>
    <s v="SP228"/>
    <x v="2"/>
    <d v="2024-05-30T00:00:00"/>
    <x v="2"/>
    <s v="Whats your vibe today?"/>
    <x v="219"/>
    <n v="442"/>
    <n v="319"/>
    <n v="57194"/>
    <n v="24258"/>
    <x v="67"/>
    <s v="#DiscoverWeekly"/>
    <s v="#SoundtrackOfLife"/>
    <s v="SummerBeats"/>
  </r>
  <r>
    <s v="SP229"/>
    <x v="2"/>
    <d v="2024-02-24T00:00:00"/>
    <x v="0"/>
    <s v="Music that moves you only on Spotify."/>
    <x v="220"/>
    <n v="226"/>
    <n v="349"/>
    <n v="56876"/>
    <n v="28452"/>
    <x v="141"/>
    <s v="#DiscoverWeekly"/>
    <s v="#SpotifyWrapped"/>
    <s v="IndieWave"/>
  </r>
  <r>
    <s v="SP230"/>
    <x v="2"/>
    <d v="2025-05-14T00:00:00"/>
    <x v="0"/>
    <s v="Discover fresh beats on Spotify!"/>
    <x v="221"/>
    <n v="272"/>
    <n v="385"/>
    <n v="47496"/>
    <n v="40832"/>
    <x v="142"/>
    <s v="#DiscoverWeekly"/>
    <s v="#SpotifyWrapped"/>
    <s v="IndieWave"/>
  </r>
  <r>
    <s v="SP231"/>
    <x v="0"/>
    <d v="2024-03-28T00:00:00"/>
    <x v="0"/>
    <s v="Whats your vibe today?"/>
    <x v="222"/>
    <n v="280"/>
    <n v="67"/>
    <n v="29847"/>
    <n v="48016"/>
    <x v="12"/>
    <s v="#SoundtrackOfLife"/>
    <s v="#NowPlaying"/>
    <s v="ChillVibes"/>
  </r>
  <r>
    <s v="SP232"/>
    <x v="2"/>
    <d v="2025-03-07T00:00:00"/>
    <x v="0"/>
    <s v="Top trending tracks updated daily!"/>
    <x v="223"/>
    <n v="284"/>
    <n v="306"/>
    <n v="44606"/>
    <n v="42604"/>
    <x v="41"/>
    <s v="#DiscoverWeekly"/>
    <s v="#SpotifyWrapped"/>
    <s v="IndieWave"/>
  </r>
  <r>
    <s v="SP233"/>
    <x v="1"/>
    <d v="2024-10-20T00:00:00"/>
    <x v="0"/>
    <s v="From pop to podcasts, its all here."/>
    <x v="224"/>
    <n v="309"/>
    <n v="91"/>
    <n v="39038"/>
    <n v="28095"/>
    <x v="99"/>
    <s v="#NowPlaying"/>
    <m/>
    <s v="ChillVibes"/>
  </r>
  <r>
    <s v="SP234"/>
    <x v="1"/>
    <d v="2024-02-02T00:00:00"/>
    <x v="0"/>
    <s v="From pop to podcasts, its all here."/>
    <x v="225"/>
    <n v="115"/>
    <n v="286"/>
    <n v="25127"/>
    <n v="22277"/>
    <x v="86"/>
    <s v="#NowPlaying"/>
    <m/>
    <s v="ChillVibes"/>
  </r>
  <r>
    <s v="SP235"/>
    <x v="2"/>
    <d v="2024-09-07T00:00:00"/>
    <x v="0"/>
    <s v="Your weekend playlist is waiting."/>
    <x v="226"/>
    <n v="411"/>
    <n v="190"/>
    <n v="41791"/>
    <n v="57090"/>
    <x v="15"/>
    <s v="#DiscoverWeekly"/>
    <s v="#SpotifyWrapped"/>
    <s v="IndieWave"/>
  </r>
  <r>
    <s v="SP236"/>
    <x v="0"/>
    <d v="2024-12-20T00:00:00"/>
    <x v="0"/>
    <s v="Discover fresh beats on Spotify!"/>
    <x v="227"/>
    <n v="202"/>
    <n v="239"/>
    <n v="36245"/>
    <n v="48606"/>
    <x v="104"/>
    <s v="#DiscoverWeekly"/>
    <m/>
    <s v="IndieWave"/>
  </r>
  <r>
    <s v="SP237"/>
    <x v="2"/>
    <d v="2024-01-14T00:00:00"/>
    <x v="0"/>
    <s v="Whats your vibe today?"/>
    <x v="228"/>
    <n v="238"/>
    <n v="386"/>
    <n v="39198"/>
    <n v="25050"/>
    <x v="143"/>
    <s v="#DiscoverWeekly"/>
    <s v="#SpotifyWrapped"/>
    <s v="IndieWave"/>
  </r>
  <r>
    <s v="SP238"/>
    <x v="0"/>
    <d v="2025-06-15T00:00:00"/>
    <x v="0"/>
    <s v="Explore the latest podcasts now."/>
    <x v="229"/>
    <n v="427"/>
    <n v="242"/>
    <n v="59272"/>
    <n v="37833"/>
    <x v="144"/>
    <s v="#SoundtrackOfLife"/>
    <s v="#NowPlaying"/>
    <s v="ChillVibes"/>
  </r>
  <r>
    <s v="SP239"/>
    <x v="1"/>
    <d v="2024-12-13T00:00:00"/>
    <x v="1"/>
    <s v="New music just dropped. Hit play!"/>
    <x v="230"/>
    <n v="300"/>
    <n v="338"/>
    <n v="32900"/>
    <n v="31691"/>
    <x v="75"/>
    <s v="#MusicForEveryone"/>
    <s v="#NowPlaying"/>
    <s v="ChillVibes"/>
  </r>
  <r>
    <s v="SP240"/>
    <x v="2"/>
    <d v="2024-08-29T00:00:00"/>
    <x v="0"/>
    <s v="Wrapped is here! Relive your top tracks"/>
    <x v="231"/>
    <n v="389"/>
    <n v="358"/>
    <n v="52346"/>
    <n v="30518"/>
    <x v="99"/>
    <s v="#DiscoverWeekly"/>
    <s v="#SpotifyWrapped"/>
    <s v="IndieWave"/>
  </r>
  <r>
    <s v="SP241"/>
    <x v="1"/>
    <d v="2024-09-15T00:00:00"/>
    <x v="0"/>
    <s v="Get into the groove with our new drop!"/>
    <x v="232"/>
    <n v="340"/>
    <n v="85"/>
    <n v="53323"/>
    <n v="49938"/>
    <x v="145"/>
    <s v="#NowPlaying"/>
    <m/>
    <s v="ChillVibes"/>
  </r>
  <r>
    <s v="SP242"/>
    <x v="1"/>
    <d v="2025-04-12T00:00:00"/>
    <x v="1"/>
    <s v="From pop to podcasts, its all here."/>
    <x v="233"/>
    <n v="208"/>
    <n v="273"/>
    <n v="35780"/>
    <n v="44349"/>
    <x v="0"/>
    <s v="#DiscoverWeekly"/>
    <s v="#MusicForEveryone"/>
    <s v="ChillVibes"/>
  </r>
  <r>
    <s v="SP243"/>
    <x v="1"/>
    <d v="2024-12-10T00:00:00"/>
    <x v="1"/>
    <s v="Wrapped is here! Relive your top tracks"/>
    <x v="234"/>
    <n v="230"/>
    <n v="243"/>
    <n v="27904"/>
    <n v="69771"/>
    <x v="138"/>
    <s v="#DiscoverWeekly"/>
    <s v="#MusicForEveryone"/>
    <s v="ChillVibes"/>
  </r>
  <r>
    <s v="SP244"/>
    <x v="2"/>
    <d v="2025-06-08T00:00:00"/>
    <x v="0"/>
    <s v="Music that moves you only on Spotify."/>
    <x v="235"/>
    <n v="303"/>
    <n v="294"/>
    <n v="57468"/>
    <n v="53397"/>
    <x v="146"/>
    <s v="#DiscoverWeekly"/>
    <s v="#SpotifyWrapped"/>
    <s v="IndieWave"/>
  </r>
  <r>
    <s v="SP245"/>
    <x v="1"/>
    <d v="2025-01-09T00:00:00"/>
    <x v="1"/>
    <s v="Your weekend playlist is waiting."/>
    <x v="236"/>
    <n v="284"/>
    <n v="204"/>
    <n v="46434"/>
    <n v="53396"/>
    <x v="145"/>
    <s v="#MusicForEveryone"/>
    <s v="#NowPlaying"/>
    <s v="ChillVibes"/>
  </r>
  <r>
    <s v="SP246"/>
    <x v="1"/>
    <d v="2024-07-08T00:00:00"/>
    <x v="1"/>
    <s v="Top trending tracks updated daily!"/>
    <x v="237"/>
    <n v="258"/>
    <n v="168"/>
    <n v="20677"/>
    <n v="68290"/>
    <x v="147"/>
    <s v="#SoundtrackOfLife"/>
    <s v="#NowPlaying"/>
    <s v="ChillVibes"/>
  </r>
  <r>
    <s v="SP247"/>
    <x v="1"/>
    <d v="2024-09-16T00:00:00"/>
    <x v="1"/>
    <s v="Your weekend playlist is waiting."/>
    <x v="238"/>
    <n v="354"/>
    <n v="397"/>
    <n v="56773"/>
    <n v="72110"/>
    <x v="148"/>
    <s v="#DiscoverWeekly"/>
    <s v="#MusicForEveryone"/>
    <s v="ChillVibes"/>
  </r>
  <r>
    <s v="SP248"/>
    <x v="2"/>
    <d v="2024-06-14T00:00:00"/>
    <x v="2"/>
    <s v="Wrapped is here! Relive your top tracks"/>
    <x v="239"/>
    <n v="310"/>
    <n v="344"/>
    <n v="27911"/>
    <n v="19000"/>
    <x v="149"/>
    <s v="#DiscoverWeekly"/>
    <s v="#SoundtrackOfLife"/>
    <s v="SummerBeats"/>
  </r>
  <r>
    <s v="SP249"/>
    <x v="0"/>
    <d v="2024-03-06T00:00:00"/>
    <x v="0"/>
    <s v="Whats your vibe today?"/>
    <x v="240"/>
    <n v="263"/>
    <n v="107"/>
    <n v="26570"/>
    <n v="19367"/>
    <x v="150"/>
    <s v="#DiscoverWeekly"/>
    <m/>
    <s v="IndieWave"/>
  </r>
  <r>
    <s v="SP250"/>
    <x v="1"/>
    <d v="2025-05-15T00:00:00"/>
    <x v="0"/>
    <s v="Your weekend playlist is waiting."/>
    <x v="241"/>
    <n v="210"/>
    <n v="311"/>
    <n v="29793"/>
    <n v="37543"/>
    <x v="104"/>
    <s v="#NowPlaying"/>
    <m/>
    <s v="ChillVibes"/>
  </r>
  <r>
    <s v="SP251"/>
    <x v="1"/>
    <d v="2024-07-07T00:00:00"/>
    <x v="0"/>
    <s v="Whats your vibe today?"/>
    <x v="242"/>
    <n v="417"/>
    <n v="294"/>
    <n v="57819"/>
    <n v="19798"/>
    <x v="151"/>
    <s v="#SoundtrackOfLife"/>
    <m/>
    <s v="IndieWave"/>
  </r>
  <r>
    <s v="SP252"/>
    <x v="2"/>
    <d v="2024-10-26T00:00:00"/>
    <x v="0"/>
    <s v="New music just dropped. Hit play!"/>
    <x v="243"/>
    <n v="211"/>
    <n v="55"/>
    <n v="45917"/>
    <n v="73503"/>
    <x v="152"/>
    <s v="#DiscoverWeekly"/>
    <s v="#SpotifyWrapped"/>
    <s v="IndieWave"/>
  </r>
  <r>
    <s v="SP253"/>
    <x v="2"/>
    <d v="2024-08-08T00:00:00"/>
    <x v="0"/>
    <s v="From pop to podcasts, its all here."/>
    <x v="244"/>
    <n v="197"/>
    <n v="290"/>
    <n v="49500"/>
    <n v="23343"/>
    <x v="75"/>
    <s v="#DiscoverWeekly"/>
    <s v="#SpotifyWrapped"/>
    <s v="IndieWave"/>
  </r>
  <r>
    <s v="SP254"/>
    <x v="1"/>
    <d v="2025-02-03T00:00:00"/>
    <x v="0"/>
    <s v="Whats your vibe today?"/>
    <x v="245"/>
    <n v="231"/>
    <n v="94"/>
    <n v="34431"/>
    <n v="32560"/>
    <x v="151"/>
    <s v="#NowPlaying"/>
    <m/>
    <s v="ChillVibes"/>
  </r>
  <r>
    <s v="SP255"/>
    <x v="1"/>
    <d v="2024-04-03T00:00:00"/>
    <x v="1"/>
    <s v="Top trending tracks updated daily!"/>
    <x v="246"/>
    <n v="146"/>
    <n v="399"/>
    <n v="49319"/>
    <n v="28056"/>
    <x v="19"/>
    <s v="#DiscoverWeekly"/>
    <s v="#MusicForEveryone"/>
    <s v="ChillVibes"/>
  </r>
  <r>
    <s v="SP256"/>
    <x v="1"/>
    <d v="2024-07-08T00:00:00"/>
    <x v="1"/>
    <s v="Wrapped is here! Relive your top tracks"/>
    <x v="247"/>
    <n v="289"/>
    <n v="161"/>
    <n v="52645"/>
    <n v="66262"/>
    <x v="153"/>
    <s v="#MusicForEveryone"/>
    <s v="#NowPlaying"/>
    <s v="ChillVibes"/>
  </r>
  <r>
    <s v="SP257"/>
    <x v="1"/>
    <d v="2024-06-08T00:00:00"/>
    <x v="1"/>
    <s v="Top trending tracks updated daily!"/>
    <x v="248"/>
    <n v="326"/>
    <n v="86"/>
    <n v="44680"/>
    <n v="52719"/>
    <x v="3"/>
    <s v="#DiscoverWeekly"/>
    <s v="#MusicForEveryone"/>
    <s v="ChillVibes"/>
  </r>
  <r>
    <s v="SP258"/>
    <x v="2"/>
    <d v="2025-03-20T00:00:00"/>
    <x v="2"/>
    <s v="From pop to podcasts, its all here."/>
    <x v="249"/>
    <n v="156"/>
    <n v="178"/>
    <n v="52980"/>
    <n v="57180"/>
    <x v="113"/>
    <s v="#DiscoverWeekly"/>
    <s v="#SoundtrackOfLife"/>
    <s v="SummerBeats"/>
  </r>
  <r>
    <s v="SP259"/>
    <x v="1"/>
    <d v="2025-01-19T00:00:00"/>
    <x v="1"/>
    <s v="Music that moves you only on Spotify."/>
    <x v="250"/>
    <n v="480"/>
    <n v="282"/>
    <n v="32140"/>
    <n v="70560"/>
    <x v="31"/>
    <s v="#SoundtrackOfLife"/>
    <s v="#NowPlaying"/>
    <s v="ChillVibes"/>
  </r>
  <r>
    <s v="SP260"/>
    <x v="1"/>
    <d v="2025-01-05T00:00:00"/>
    <x v="1"/>
    <s v="Explore the latest podcasts now."/>
    <x v="251"/>
    <n v="154"/>
    <n v="123"/>
    <n v="43369"/>
    <n v="49035"/>
    <x v="69"/>
    <s v="#MusicForEveryone"/>
    <s v="#NowPlaying"/>
    <s v="ChillVibes"/>
  </r>
  <r>
    <s v="SP261"/>
    <x v="1"/>
    <d v="2024-11-16T00:00:00"/>
    <x v="0"/>
    <s v="From pop to podcasts, its all here."/>
    <x v="252"/>
    <n v="263"/>
    <n v="308"/>
    <n v="51740"/>
    <n v="28214"/>
    <x v="50"/>
    <s v="#SoundtrackOfLife"/>
    <m/>
    <s v="IndieWave"/>
  </r>
  <r>
    <s v="SP262"/>
    <x v="1"/>
    <d v="2024-11-30T00:00:00"/>
    <x v="1"/>
    <s v="Explore the latest podcasts now."/>
    <x v="253"/>
    <n v="255"/>
    <n v="193"/>
    <n v="44386"/>
    <n v="28415"/>
    <x v="23"/>
    <s v="#MusicForEveryone"/>
    <s v="#NowPlaying"/>
    <s v="ChillVibes"/>
  </r>
  <r>
    <s v="SP263"/>
    <x v="2"/>
    <d v="2024-03-27T00:00:00"/>
    <x v="0"/>
    <s v="Music that moves you only on Spotify."/>
    <x v="254"/>
    <n v="191"/>
    <n v="221"/>
    <n v="51603"/>
    <n v="40033"/>
    <x v="102"/>
    <s v="#DiscoverWeekly"/>
    <s v="#SpotifyWrapped"/>
    <s v="IndieWave"/>
  </r>
  <r>
    <s v="SP264"/>
    <x v="2"/>
    <d v="2025-05-31T00:00:00"/>
    <x v="2"/>
    <s v="Get into the groove with our new drop!"/>
    <x v="255"/>
    <n v="318"/>
    <n v="83"/>
    <n v="46719"/>
    <n v="20482"/>
    <x v="154"/>
    <s v="#DiscoverWeekly"/>
    <s v="#SoundtrackOfLife"/>
    <s v="SummerBeats"/>
  </r>
  <r>
    <s v="SP265"/>
    <x v="1"/>
    <d v="2025-06-17T00:00:00"/>
    <x v="1"/>
    <s v="Explore the latest podcasts now."/>
    <x v="256"/>
    <n v="141"/>
    <n v="63"/>
    <n v="50081"/>
    <n v="27507"/>
    <x v="62"/>
    <s v="#DiscoverWeekly"/>
    <s v="#MusicForEveryone"/>
    <s v="ChillVibes"/>
  </r>
  <r>
    <s v="SP266"/>
    <x v="0"/>
    <d v="2024-05-30T00:00:00"/>
    <x v="1"/>
    <s v="Get into the groove with our new drop!"/>
    <x v="257"/>
    <n v="464"/>
    <n v="98"/>
    <n v="25737"/>
    <n v="48545"/>
    <x v="142"/>
    <s v="#NowPlaying"/>
    <m/>
    <s v="Wrapped2024"/>
  </r>
  <r>
    <s v="SP267"/>
    <x v="2"/>
    <d v="2024-11-08T00:00:00"/>
    <x v="0"/>
    <s v="Top trending tracks updated daily!"/>
    <x v="258"/>
    <n v="166"/>
    <n v="320"/>
    <n v="48254"/>
    <n v="46900"/>
    <x v="77"/>
    <s v="#DiscoverWeekly"/>
    <s v="#SpotifyWrapped"/>
    <s v="IndieWave"/>
  </r>
  <r>
    <s v="SP268"/>
    <x v="2"/>
    <d v="2024-03-17T00:00:00"/>
    <x v="2"/>
    <s v="Explore the latest podcasts now."/>
    <x v="259"/>
    <n v="446"/>
    <n v="216"/>
    <n v="45818"/>
    <n v="62723"/>
    <x v="128"/>
    <s v="#DiscoverWeekly"/>
    <s v="#SoundtrackOfLife"/>
    <s v="SummerBeats"/>
  </r>
  <r>
    <s v="SP269"/>
    <x v="2"/>
    <d v="2024-06-21T00:00:00"/>
    <x v="2"/>
    <s v="Music that moves you only on Spotify."/>
    <x v="260"/>
    <n v="374"/>
    <n v="298"/>
    <n v="56979"/>
    <n v="24098"/>
    <x v="58"/>
    <s v="#DiscoverWeekly"/>
    <s v="#SoundtrackOfLife"/>
    <s v="SummerBeats"/>
  </r>
  <r>
    <s v="SP270"/>
    <x v="1"/>
    <d v="2024-11-13T00:00:00"/>
    <x v="1"/>
    <s v="New music just dropped. Hit play!"/>
    <x v="261"/>
    <n v="466"/>
    <n v="105"/>
    <n v="58923"/>
    <n v="38753"/>
    <x v="34"/>
    <s v="#DiscoverWeekly"/>
    <s v="#MusicForEveryone"/>
    <s v="ChillVibes"/>
  </r>
  <r>
    <s v="SP271"/>
    <x v="1"/>
    <d v="2025-02-05T00:00:00"/>
    <x v="1"/>
    <s v="Discover fresh beats on Spotify!"/>
    <x v="262"/>
    <n v="440"/>
    <n v="66"/>
    <n v="23815"/>
    <n v="47895"/>
    <x v="155"/>
    <s v="#DiscoverWeekly"/>
    <s v="#MusicForEveryone"/>
    <s v="ChillVibes"/>
  </r>
  <r>
    <s v="SP272"/>
    <x v="1"/>
    <d v="2024-11-07T00:00:00"/>
    <x v="0"/>
    <s v="Explore the latest podcasts now."/>
    <x v="263"/>
    <n v="395"/>
    <n v="328"/>
    <n v="56921"/>
    <n v="37176"/>
    <x v="156"/>
    <s v="#SoundtrackOfLife"/>
    <m/>
    <s v="IndieWave"/>
  </r>
  <r>
    <s v="SP273"/>
    <x v="1"/>
    <d v="2024-02-12T00:00:00"/>
    <x v="0"/>
    <s v="Explore the latest podcasts now."/>
    <x v="264"/>
    <n v="486"/>
    <n v="206"/>
    <n v="51133"/>
    <n v="44583"/>
    <x v="134"/>
    <s v="#NowPlaying"/>
    <m/>
    <s v="ChillVibes"/>
  </r>
  <r>
    <s v="SP274"/>
    <x v="0"/>
    <d v="2024-10-08T00:00:00"/>
    <x v="0"/>
    <s v="Explore the latest podcasts now."/>
    <x v="265"/>
    <n v="384"/>
    <n v="236"/>
    <n v="49965"/>
    <n v="61555"/>
    <x v="36"/>
    <s v="#DiscoverWeekly"/>
    <m/>
    <s v="IndieWave"/>
  </r>
  <r>
    <s v="SP275"/>
    <x v="0"/>
    <d v="2024-02-19T00:00:00"/>
    <x v="0"/>
    <s v="Wrapped is here! Relive your top tracks"/>
    <x v="143"/>
    <n v="449"/>
    <n v="309"/>
    <n v="58530"/>
    <n v="26630"/>
    <x v="157"/>
    <s v="#DiscoverWeekly"/>
    <m/>
    <s v="IndieWave"/>
  </r>
  <r>
    <s v="SP276"/>
    <x v="1"/>
    <d v="2025-03-04T00:00:00"/>
    <x v="0"/>
    <s v="Discover fresh beats on Spotify!"/>
    <x v="266"/>
    <n v="258"/>
    <n v="292"/>
    <n v="47276"/>
    <n v="51324"/>
    <x v="158"/>
    <s v="#NowPlaying"/>
    <m/>
    <s v="ChillVibes"/>
  </r>
  <r>
    <s v="SP277"/>
    <x v="0"/>
    <d v="2025-02-03T00:00:00"/>
    <x v="1"/>
    <s v="New music just dropped. Hit play!"/>
    <x v="267"/>
    <n v="486"/>
    <n v="269"/>
    <n v="23341"/>
    <n v="42411"/>
    <x v="71"/>
    <s v="#NowPlaying"/>
    <m/>
    <s v="Wrapped2024"/>
  </r>
  <r>
    <s v="SP278"/>
    <x v="0"/>
    <d v="2024-12-02T00:00:00"/>
    <x v="0"/>
    <s v="Top trending tracks updated daily!"/>
    <x v="268"/>
    <n v="292"/>
    <n v="245"/>
    <n v="56371"/>
    <n v="65597"/>
    <x v="148"/>
    <s v="#SoundtrackOfLife"/>
    <s v="#NowPlaying"/>
    <s v="ChillVibes"/>
  </r>
  <r>
    <s v="SP279"/>
    <x v="1"/>
    <d v="2025-01-19T00:00:00"/>
    <x v="1"/>
    <s v="New music just dropped. Hit play!"/>
    <x v="269"/>
    <n v="295"/>
    <n v="371"/>
    <n v="20410"/>
    <n v="53965"/>
    <x v="6"/>
    <s v="#SoundtrackOfLife"/>
    <s v="#NowPlaying"/>
    <s v="ChillVibes"/>
  </r>
  <r>
    <s v="SP280"/>
    <x v="1"/>
    <d v="2024-09-28T00:00:00"/>
    <x v="1"/>
    <s v="Wrapped is here! Relive your top tracks"/>
    <x v="270"/>
    <n v="317"/>
    <n v="249"/>
    <n v="44862"/>
    <n v="33365"/>
    <x v="71"/>
    <s v="#DiscoverWeekly"/>
    <s v="#MusicForEveryone"/>
    <s v="ChillVibes"/>
  </r>
  <r>
    <s v="SP281"/>
    <x v="0"/>
    <d v="2024-01-07T00:00:00"/>
    <x v="0"/>
    <s v="Top trending tracks updated daily!"/>
    <x v="271"/>
    <n v="469"/>
    <n v="193"/>
    <n v="56701"/>
    <n v="69437"/>
    <x v="52"/>
    <s v="#SoundtrackOfLife"/>
    <s v="#NowPlaying"/>
    <s v="ChillVibes"/>
  </r>
  <r>
    <s v="SP282"/>
    <x v="1"/>
    <d v="2024-02-21T00:00:00"/>
    <x v="1"/>
    <s v="Get into the groove with our new drop!"/>
    <x v="272"/>
    <n v="439"/>
    <n v="148"/>
    <n v="58468"/>
    <n v="39629"/>
    <x v="148"/>
    <s v="#MusicForEveryone"/>
    <s v="#NowPlaying"/>
    <s v="ChillVibes"/>
  </r>
  <r>
    <s v="SP283"/>
    <x v="0"/>
    <d v="2024-08-27T00:00:00"/>
    <x v="0"/>
    <s v="Music that moves you only on Spotify."/>
    <x v="273"/>
    <n v="359"/>
    <n v="280"/>
    <n v="56048"/>
    <n v="70930"/>
    <x v="159"/>
    <s v="#DiscoverWeekly"/>
    <m/>
    <s v="IndieWave"/>
  </r>
  <r>
    <s v="SP284"/>
    <x v="0"/>
    <d v="2024-10-24T00:00:00"/>
    <x v="1"/>
    <s v="Top trending tracks updated daily!"/>
    <x v="274"/>
    <n v="255"/>
    <n v="156"/>
    <n v="27660"/>
    <n v="47776"/>
    <x v="77"/>
    <s v="#NowPlaying"/>
    <m/>
    <s v="Wrapped2024"/>
  </r>
  <r>
    <s v="SP285"/>
    <x v="2"/>
    <d v="2025-01-29T00:00:00"/>
    <x v="0"/>
    <s v="New music just dropped. Hit play!"/>
    <x v="275"/>
    <n v="357"/>
    <n v="257"/>
    <n v="56910"/>
    <n v="70606"/>
    <x v="160"/>
    <s v="#DiscoverWeekly"/>
    <s v="#SpotifyWrapped"/>
    <s v="IndieWave"/>
  </r>
  <r>
    <s v="SP286"/>
    <x v="0"/>
    <d v="2024-05-01T00:00:00"/>
    <x v="0"/>
    <s v="Get into the groove with our new drop!"/>
    <x v="276"/>
    <n v="137"/>
    <n v="387"/>
    <n v="33861"/>
    <n v="47257"/>
    <x v="161"/>
    <s v="#DiscoverWeekly"/>
    <m/>
    <s v="IndieWave"/>
  </r>
  <r>
    <s v="SP287"/>
    <x v="2"/>
    <d v="2024-06-25T00:00:00"/>
    <x v="0"/>
    <s v="Your weekend playlist is waiting."/>
    <x v="277"/>
    <n v="338"/>
    <n v="70"/>
    <n v="30515"/>
    <n v="57853"/>
    <x v="162"/>
    <s v="#DiscoverWeekly"/>
    <s v="#SpotifyWrapped"/>
    <s v="IndieWave"/>
  </r>
  <r>
    <s v="SP288"/>
    <x v="1"/>
    <d v="2024-08-09T00:00:00"/>
    <x v="1"/>
    <s v="From pop to podcasts, its all here."/>
    <x v="278"/>
    <n v="442"/>
    <n v="236"/>
    <n v="52673"/>
    <n v="48241"/>
    <x v="81"/>
    <s v="#DiscoverWeekly"/>
    <s v="#MusicForEveryone"/>
    <s v="ChillVibes"/>
  </r>
  <r>
    <s v="SP289"/>
    <x v="0"/>
    <d v="2025-01-21T00:00:00"/>
    <x v="1"/>
    <s v="New music just dropped. Hit play!"/>
    <x v="279"/>
    <n v="440"/>
    <n v="149"/>
    <n v="53269"/>
    <n v="64370"/>
    <x v="124"/>
    <s v="#NowPlaying"/>
    <m/>
    <s v="Wrapped2024"/>
  </r>
  <r>
    <s v="SP290"/>
    <x v="1"/>
    <d v="2024-08-13T00:00:00"/>
    <x v="0"/>
    <s v="Explore the latest podcasts now."/>
    <x v="28"/>
    <n v="107"/>
    <n v="221"/>
    <n v="23927"/>
    <n v="26182"/>
    <x v="136"/>
    <s v="#SoundtrackOfLife"/>
    <m/>
    <s v="IndieWave"/>
  </r>
  <r>
    <s v="SP291"/>
    <x v="0"/>
    <d v="2024-06-29T00:00:00"/>
    <x v="0"/>
    <s v="Your weekend playlist is waiting."/>
    <x v="280"/>
    <n v="490"/>
    <n v="124"/>
    <n v="46544"/>
    <n v="69346"/>
    <x v="126"/>
    <s v="#SoundtrackOfLife"/>
    <s v="#NowPlaying"/>
    <s v="ChillVibes"/>
  </r>
  <r>
    <s v="SP292"/>
    <x v="1"/>
    <d v="2024-11-03T00:00:00"/>
    <x v="1"/>
    <s v="Explore the latest podcasts now."/>
    <x v="281"/>
    <n v="320"/>
    <n v="76"/>
    <n v="26640"/>
    <n v="24306"/>
    <x v="130"/>
    <s v="#MusicForEveryone"/>
    <s v="#NowPlaying"/>
    <s v="ChillVibes"/>
  </r>
  <r>
    <s v="SP293"/>
    <x v="2"/>
    <d v="2025-04-18T00:00:00"/>
    <x v="2"/>
    <s v="Your weekend playlist is waiting."/>
    <x v="282"/>
    <n v="230"/>
    <n v="364"/>
    <n v="41312"/>
    <n v="50382"/>
    <x v="163"/>
    <s v="#DiscoverWeekly"/>
    <s v="#SoundtrackOfLife"/>
    <s v="SummerBeats"/>
  </r>
  <r>
    <s v="SP294"/>
    <x v="0"/>
    <d v="2024-12-27T00:00:00"/>
    <x v="0"/>
    <s v="From pop to podcasts, its all here."/>
    <x v="283"/>
    <n v="219"/>
    <n v="229"/>
    <n v="58488"/>
    <n v="24314"/>
    <x v="25"/>
    <s v="#DiscoverWeekly"/>
    <m/>
    <s v="IndieWave"/>
  </r>
  <r>
    <s v="SP295"/>
    <x v="0"/>
    <d v="2025-03-08T00:00:00"/>
    <x v="1"/>
    <s v="Top trending tracks updated daily!"/>
    <x v="284"/>
    <n v="392"/>
    <n v="231"/>
    <n v="25834"/>
    <n v="50906"/>
    <x v="164"/>
    <s v="#NowPlaying"/>
    <m/>
    <s v="Wrapped2024"/>
  </r>
  <r>
    <s v="SP296"/>
    <x v="1"/>
    <d v="2025-03-20T00:00:00"/>
    <x v="1"/>
    <s v="Your weekend playlist is waiting."/>
    <x v="285"/>
    <n v="104"/>
    <n v="79"/>
    <n v="30025"/>
    <n v="21593"/>
    <x v="164"/>
    <s v="#MusicForEveryone"/>
    <s v="#NowPlaying"/>
    <s v="ChillVibes"/>
  </r>
  <r>
    <s v="SP297"/>
    <x v="1"/>
    <d v="2024-11-16T00:00:00"/>
    <x v="0"/>
    <s v="Explore the latest podcasts now."/>
    <x v="286"/>
    <n v="108"/>
    <n v="86"/>
    <n v="51777"/>
    <n v="23773"/>
    <x v="75"/>
    <s v="#SoundtrackOfLife"/>
    <m/>
    <s v="IndieWave"/>
  </r>
  <r>
    <s v="SP298"/>
    <x v="1"/>
    <d v="2025-06-30T00:00:00"/>
    <x v="0"/>
    <s v="Whats your vibe today?"/>
    <x v="287"/>
    <n v="285"/>
    <n v="125"/>
    <n v="43970"/>
    <n v="74761"/>
    <x v="16"/>
    <s v="#NowPlaying"/>
    <m/>
    <s v="ChillVibes"/>
  </r>
  <r>
    <s v="SP299"/>
    <x v="1"/>
    <d v="2024-01-12T00:00:00"/>
    <x v="1"/>
    <s v="Wrapped is here! Relive your top tracks"/>
    <x v="288"/>
    <n v="494"/>
    <n v="161"/>
    <n v="51651"/>
    <n v="68074"/>
    <x v="132"/>
    <s v="#DiscoverWeekly"/>
    <s v="#MusicForEveryone"/>
    <s v="ChillVibes"/>
  </r>
  <r>
    <s v="SP300"/>
    <x v="0"/>
    <d v="2024-02-07T00:00:00"/>
    <x v="0"/>
    <s v="Music that moves you only on Spotify."/>
    <x v="289"/>
    <n v="432"/>
    <n v="397"/>
    <n v="28759"/>
    <n v="18691"/>
    <x v="66"/>
    <s v="#SoundtrackOfLife"/>
    <s v="#NowPlaying"/>
    <s v="ChillVib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D99D7E-9DC4-43FB-8D4B-B940F6BA2464}" name="PivotTable4" cacheId="7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chartFormat="3">
  <location ref="P3:V12" firstHeaderRow="0" firstDataRow="1" firstDataCol="1"/>
  <pivotFields count="14">
    <pivotField showAll="0"/>
    <pivotField axis="axisRow" showAll="0">
      <items count="4">
        <item x="0"/>
        <item x="1"/>
        <item x="2"/>
        <item t="default"/>
      </items>
    </pivotField>
    <pivotField numFmtId="14" showAll="0"/>
    <pivotField axis="axisRow" showAll="0" sortType="descending">
      <items count="4">
        <item x="2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dataField="1" numFmtId="1" showAll="0"/>
    <pivotField dataField="1" numFmtId="1" showAll="0"/>
    <pivotField dataField="1" numFmtId="1" showAll="0"/>
    <pivotField dataField="1" numFmtId="1" showAll="0"/>
    <pivotField dataField="1" numFmtId="1" showAll="0"/>
    <pivotField dataField="1" numFmtId="1" showAll="0"/>
    <pivotField showAll="0"/>
    <pivotField showAll="0"/>
    <pivotField showAll="0"/>
  </pivotFields>
  <rowFields count="2">
    <field x="3"/>
    <field x="1"/>
  </rowFields>
  <rowItems count="9">
    <i>
      <x v="2"/>
    </i>
    <i r="1">
      <x/>
    </i>
    <i r="1">
      <x v="1"/>
    </i>
    <i r="1">
      <x v="2"/>
    </i>
    <i>
      <x v="1"/>
    </i>
    <i r="1">
      <x/>
    </i>
    <i r="1">
      <x v="1"/>
    </i>
    <i>
      <x/>
    </i>
    <i r="1">
      <x v="2"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um of Clicks" fld="10" baseField="0" baseItem="0" numFmtId="1"/>
    <dataField name="Sum of Likes" fld="5" baseField="0" baseItem="0" numFmtId="1"/>
    <dataField name="Sum of Reach" fld="9" baseField="0" baseItem="0" numFmtId="1"/>
    <dataField name="Sum of Impressions" fld="8" baseField="0" baseItem="0" numFmtId="1"/>
    <dataField name="Sum of Comments" fld="7" baseField="0" baseItem="0" numFmtId="1"/>
    <dataField name="Sum of Shares" fld="6" baseField="1" baseItem="0" numFmtId="1"/>
  </dataFields>
  <formats count="14">
    <format dxfId="90">
      <pivotArea collapsedLevelsAreSubtotals="1" fieldPosition="0">
        <references count="3">
          <reference field="4294967294" count="1" selected="0">
            <x v="1"/>
          </reference>
          <reference field="1" count="1" selected="0">
            <x v="0"/>
          </reference>
          <reference field="3" count="1">
            <x v="2"/>
          </reference>
        </references>
      </pivotArea>
    </format>
    <format dxfId="89">
      <pivotArea collapsedLevelsAreSubtotals="1" fieldPosition="0">
        <references count="3">
          <reference field="4294967294" count="1" selected="0">
            <x v="1"/>
          </reference>
          <reference field="1" count="1" selected="0">
            <x v="1"/>
          </reference>
          <reference field="3" count="1">
            <x v="1"/>
          </reference>
        </references>
      </pivotArea>
    </format>
    <format dxfId="88">
      <pivotArea collapsedLevelsAreSubtotals="1" fieldPosition="0">
        <references count="3">
          <reference field="4294967294" count="1" selected="0">
            <x v="1"/>
          </reference>
          <reference field="1" count="1" selected="0">
            <x v="2"/>
          </reference>
          <reference field="3" count="1">
            <x v="0"/>
          </reference>
        </references>
      </pivotArea>
    </format>
    <format dxfId="87">
      <pivotArea collapsedLevelsAreSubtotals="1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3" count="1">
            <x v="2"/>
          </reference>
        </references>
      </pivotArea>
    </format>
    <format dxfId="86">
      <pivotArea collapsedLevelsAreSubtotals="1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3" count="1">
            <x v="1"/>
          </reference>
        </references>
      </pivotArea>
    </format>
    <format dxfId="85">
      <pivotArea collapsedLevelsAreSubtotals="1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3" count="1">
            <x v="0"/>
          </reference>
        </references>
      </pivotArea>
    </format>
    <format dxfId="84">
      <pivotArea collapsedLevelsAreSubtotals="1" fieldPosition="0">
        <references count="3">
          <reference field="4294967294" count="3" selected="0">
            <x v="2"/>
            <x v="3"/>
            <x v="4"/>
          </reference>
          <reference field="1" count="1" selected="0">
            <x v="2"/>
          </reference>
          <reference field="3" count="1">
            <x v="0"/>
          </reference>
        </references>
      </pivotArea>
    </format>
    <format dxfId="83">
      <pivotArea collapsedLevelsAreSubtotals="1" fieldPosition="0">
        <references count="3">
          <reference field="4294967294" count="1" selected="0">
            <x v="2"/>
          </reference>
          <reference field="1" count="1" selected="0">
            <x v="0"/>
          </reference>
          <reference field="3" count="1">
            <x v="2"/>
          </reference>
        </references>
      </pivotArea>
    </format>
    <format dxfId="82">
      <pivotArea collapsedLevelsAreSubtotals="1" fieldPosition="0">
        <references count="3">
          <reference field="4294967294" count="1" selected="0">
            <x v="3"/>
          </reference>
          <reference field="1" count="1" selected="0">
            <x v="0"/>
          </reference>
          <reference field="3" count="1">
            <x v="2"/>
          </reference>
        </references>
      </pivotArea>
    </format>
    <format dxfId="81">
      <pivotArea collapsedLevelsAreSubtotals="1" fieldPosition="0">
        <references count="3">
          <reference field="4294967294" count="1" selected="0">
            <x v="4"/>
          </reference>
          <reference field="1" count="1" selected="0">
            <x v="0"/>
          </reference>
          <reference field="3" count="1">
            <x v="2"/>
          </reference>
        </references>
      </pivotArea>
    </format>
    <format dxfId="80">
      <pivotArea collapsedLevelsAreSubtotals="1" fieldPosition="0">
        <references count="3">
          <reference field="4294967294" count="3" selected="0">
            <x v="2"/>
            <x v="3"/>
            <x v="4"/>
          </reference>
          <reference field="1" count="1" selected="0">
            <x v="1"/>
          </reference>
          <reference field="3" count="1">
            <x v="1"/>
          </reference>
        </references>
      </pivotArea>
    </format>
    <format dxfId="79">
      <pivotArea collapsedLevelsAreSubtotals="1" fieldPosition="0">
        <references count="3">
          <reference field="4294967294" count="1" selected="0">
            <x v="5"/>
          </reference>
          <reference field="1" count="1">
            <x v="0"/>
          </reference>
          <reference field="3" count="1" selected="0">
            <x v="2"/>
          </reference>
        </references>
      </pivotArea>
    </format>
    <format dxfId="78">
      <pivotArea collapsedLevelsAreSubtotals="1" fieldPosition="0">
        <references count="3">
          <reference field="4294967294" count="1" selected="0">
            <x v="5"/>
          </reference>
          <reference field="1" count="1">
            <x v="1"/>
          </reference>
          <reference field="3" count="1" selected="0">
            <x v="1"/>
          </reference>
        </references>
      </pivotArea>
    </format>
    <format dxfId="77">
      <pivotArea collapsedLevelsAreSubtotals="1" fieldPosition="0">
        <references count="3">
          <reference field="4294967294" count="1" selected="0">
            <x v="5"/>
          </reference>
          <reference field="1" count="1">
            <x v="2"/>
          </reference>
          <reference field="3" count="1" selected="0">
            <x v="0"/>
          </reference>
        </references>
      </pivotArea>
    </format>
  </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5"/>
          </reference>
        </references>
      </pivotArea>
    </chartFormat>
  </chartFormats>
  <pivotTableStyleInfo name="PivotStyleMedium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D7BCD4-B330-45F4-A4A3-C2CCA4920AC7}" name="PivotTable20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P4:V14" firstHeaderRow="0" firstDataRow="1" firstDataCol="1"/>
  <pivotFields count="14">
    <pivotField showAll="0"/>
    <pivotField axis="axisRow" showAll="0">
      <items count="4">
        <item x="0"/>
        <item x="1"/>
        <item x="2"/>
        <item t="default"/>
      </items>
    </pivotField>
    <pivotField numFmtId="14" showAll="0"/>
    <pivotField axis="axisRow" showAll="0">
      <items count="4">
        <item x="2"/>
        <item x="1"/>
        <item x="0"/>
        <item t="default"/>
      </items>
    </pivotField>
    <pivotField showAll="0"/>
    <pivotField dataField="1" numFmtId="1" showAll="0"/>
    <pivotField dataField="1" numFmtId="1" showAll="0"/>
    <pivotField dataField="1" numFmtId="1" showAll="0"/>
    <pivotField dataField="1" numFmtId="1" showAll="0"/>
    <pivotField dataField="1" numFmtId="1" showAll="0"/>
    <pivotField dataField="1" numFmtId="1" showAll="0">
      <items count="166">
        <item x="35"/>
        <item x="78"/>
        <item x="16"/>
        <item x="21"/>
        <item x="128"/>
        <item x="11"/>
        <item x="48"/>
        <item x="10"/>
        <item x="19"/>
        <item x="88"/>
        <item x="43"/>
        <item x="18"/>
        <item x="150"/>
        <item x="79"/>
        <item x="118"/>
        <item x="67"/>
        <item x="89"/>
        <item x="22"/>
        <item x="145"/>
        <item x="111"/>
        <item x="163"/>
        <item x="63"/>
        <item x="59"/>
        <item x="77"/>
        <item x="130"/>
        <item x="103"/>
        <item x="81"/>
        <item x="55"/>
        <item x="135"/>
        <item x="90"/>
        <item x="7"/>
        <item x="2"/>
        <item x="73"/>
        <item x="37"/>
        <item x="156"/>
        <item x="108"/>
        <item x="69"/>
        <item x="147"/>
        <item x="92"/>
        <item x="87"/>
        <item x="0"/>
        <item x="64"/>
        <item x="31"/>
        <item x="106"/>
        <item x="95"/>
        <item x="158"/>
        <item x="104"/>
        <item x="153"/>
        <item x="25"/>
        <item x="45"/>
        <item x="5"/>
        <item x="125"/>
        <item x="40"/>
        <item x="136"/>
        <item x="162"/>
        <item x="70"/>
        <item x="115"/>
        <item x="146"/>
        <item x="75"/>
        <item x="127"/>
        <item x="148"/>
        <item x="91"/>
        <item x="164"/>
        <item x="120"/>
        <item x="74"/>
        <item x="94"/>
        <item x="8"/>
        <item x="15"/>
        <item x="102"/>
        <item x="23"/>
        <item x="122"/>
        <item x="98"/>
        <item x="53"/>
        <item x="126"/>
        <item x="14"/>
        <item x="72"/>
        <item x="83"/>
        <item x="56"/>
        <item x="71"/>
        <item x="154"/>
        <item x="137"/>
        <item x="50"/>
        <item x="44"/>
        <item x="65"/>
        <item x="93"/>
        <item x="36"/>
        <item x="107"/>
        <item x="29"/>
        <item x="161"/>
        <item x="109"/>
        <item x="4"/>
        <item x="42"/>
        <item x="28"/>
        <item x="131"/>
        <item x="58"/>
        <item x="27"/>
        <item x="68"/>
        <item x="112"/>
        <item x="155"/>
        <item x="39"/>
        <item x="6"/>
        <item x="12"/>
        <item x="144"/>
        <item x="46"/>
        <item x="116"/>
        <item x="84"/>
        <item x="114"/>
        <item x="54"/>
        <item x="62"/>
        <item x="133"/>
        <item x="105"/>
        <item x="149"/>
        <item x="60"/>
        <item x="160"/>
        <item x="20"/>
        <item x="24"/>
        <item x="157"/>
        <item x="17"/>
        <item x="100"/>
        <item x="57"/>
        <item x="49"/>
        <item x="132"/>
        <item x="80"/>
        <item x="97"/>
        <item x="142"/>
        <item x="152"/>
        <item x="96"/>
        <item x="138"/>
        <item x="119"/>
        <item x="141"/>
        <item x="82"/>
        <item x="51"/>
        <item x="47"/>
        <item x="151"/>
        <item x="86"/>
        <item x="13"/>
        <item x="34"/>
        <item x="61"/>
        <item x="26"/>
        <item x="124"/>
        <item x="66"/>
        <item x="139"/>
        <item x="3"/>
        <item x="1"/>
        <item x="38"/>
        <item x="134"/>
        <item x="99"/>
        <item x="123"/>
        <item x="30"/>
        <item x="129"/>
        <item x="85"/>
        <item x="9"/>
        <item x="113"/>
        <item x="33"/>
        <item x="121"/>
        <item x="32"/>
        <item x="41"/>
        <item x="52"/>
        <item x="117"/>
        <item x="140"/>
        <item x="159"/>
        <item x="110"/>
        <item x="143"/>
        <item x="76"/>
        <item x="101"/>
        <item t="default"/>
      </items>
    </pivotField>
    <pivotField showAll="0"/>
    <pivotField showAll="0"/>
    <pivotField showAll="0"/>
  </pivotFields>
  <rowFields count="2">
    <field x="3"/>
    <field x="1"/>
  </rowFields>
  <rowItems count="10">
    <i>
      <x/>
    </i>
    <i r="1">
      <x v="2"/>
    </i>
    <i>
      <x v="1"/>
    </i>
    <i r="1">
      <x/>
    </i>
    <i r="1">
      <x v="1"/>
    </i>
    <i>
      <x v="2"/>
    </i>
    <i r="1">
      <x/>
    </i>
    <i r="1">
      <x v="1"/>
    </i>
    <i r="1">
      <x v="2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Average of Likes" fld="5" subtotal="average" baseField="3" baseItem="0" numFmtId="1"/>
    <dataField name="Average of Impressions" fld="8" subtotal="average" baseField="3" baseItem="0" numFmtId="1"/>
    <dataField name="Average of Comments" fld="7" subtotal="average" baseField="3" baseItem="0" numFmtId="1"/>
    <dataField name="Average of Reach" fld="9" subtotal="average" baseField="3" baseItem="0" numFmtId="1"/>
    <dataField name="Average of Shares" fld="6" subtotal="average" baseField="3" baseItem="0" numFmtId="1"/>
    <dataField name="Sum of Clicks" fld="10" baseField="0" baseItem="0" numFmtId="1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0" format="6" series="1">
      <pivotArea type="data" outline="0" fieldPosition="0">
        <references count="1">
          <reference field="4294967294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4D6752D-1905-435C-831D-E89385410784}" autoFormatId="16" applyNumberFormats="0" applyBorderFormats="0" applyFontFormats="0" applyPatternFormats="0" applyAlignmentFormats="0" applyWidthHeightFormats="0">
  <queryTableRefresh nextId="9">
    <queryTableFields count="8">
      <queryTableField id="1" name="Hashtag" tableColumnId="1"/>
      <queryTableField id="2" name="Frequency" tableColumnId="2"/>
      <queryTableField id="3" name="Avg_likes" tableColumnId="3"/>
      <queryTableField id="4" name="Avg_shares" tableColumnId="4"/>
      <queryTableField id="5" name="Avg_Comments" tableColumnId="5"/>
      <queryTableField id="6" name="Avg_Impresions" tableColumnId="6"/>
      <queryTableField id="7" name="Avg_reach" tableColumnId="7"/>
      <queryTableField id="8" name="Avg_clicks" tableColumnId="8"/>
    </queryTable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5A8FEFA-4976-45C2-849E-840BEAB7248E}" name="Table4" displayName="Table4" ref="A1:N67" totalsRowShown="0">
  <autoFilter ref="A1:N67" xr:uid="{65A8FEFA-4976-45C2-849E-840BEAB7248E}"/>
  <tableColumns count="14">
    <tableColumn id="1" xr3:uid="{92DCC134-E8A0-4B2A-B0BD-39F14CC398BE}" name="Post ID"/>
    <tableColumn id="2" xr3:uid="{FD2CD864-9A98-45A7-A9B1-5B524FEE2F1B}" name="Platform"/>
    <tableColumn id="3" xr3:uid="{E57233B9-F66D-4108-821F-68E8E2D93C42}" name="Date" dataDxfId="114"/>
    <tableColumn id="4" xr3:uid="{26A44DE5-C7B3-40BD-96EA-6B461406144D}" name="Content Type"/>
    <tableColumn id="5" xr3:uid="{6E00C6C6-0CF2-448A-92F0-D9A1446F0026}" name="Post Text"/>
    <tableColumn id="6" xr3:uid="{97D4AFE1-70A4-4113-9365-D81B7BC01280}" name="Likes"/>
    <tableColumn id="7" xr3:uid="{2D86E330-2FED-4F3A-8501-728F023A3D41}" name="Shares"/>
    <tableColumn id="8" xr3:uid="{4877B5BB-2FE6-43EA-BB04-734A21C6C881}" name="Comments"/>
    <tableColumn id="9" xr3:uid="{5CD4861A-DBFF-4845-949A-BB49041ED11F}" name="Impressions"/>
    <tableColumn id="10" xr3:uid="{D45BEFB5-18DA-485A-84F2-CFE3F60624B7}" name="Reach"/>
    <tableColumn id="11" xr3:uid="{06EE071E-F664-40DE-8910-07ED70683833}" name="Clicks"/>
    <tableColumn id="12" xr3:uid="{F2BB26E9-F5F9-4B76-B9B8-0FAAD6FF44A8}" name="Hastag_1"/>
    <tableColumn id="13" xr3:uid="{A87F7808-F39B-4CA3-9EA0-051F5AA0DBA7}" name="Hastag_2"/>
    <tableColumn id="14" xr3:uid="{EACF6E8F-E72D-4E83-82C1-913984B4FD3F}" name="Campaign_Nam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E7328CB-3CF8-4CE9-8173-31A31811932B}" name="Table1" displayName="Table1" ref="A1:N301" totalsRowShown="0" headerRowDxfId="113" dataDxfId="112">
  <autoFilter ref="A1:N301" xr:uid="{CE7328CB-3CF8-4CE9-8173-31A31811932B}"/>
  <tableColumns count="14">
    <tableColumn id="1" xr3:uid="{50BE9EC5-6FF1-44F1-88A8-78C2A41C4D09}" name="Post ID" dataDxfId="111"/>
    <tableColumn id="2" xr3:uid="{9883916F-949A-4666-AEA5-FDC0F67CC906}" name="Platform" dataDxfId="110"/>
    <tableColumn id="3" xr3:uid="{AF010181-4110-4E71-B98B-FD29DB6651CF}" name="Date" dataDxfId="109"/>
    <tableColumn id="4" xr3:uid="{9103B60D-E65B-4ED3-B2F3-BEC4BF100C52}" name="Content Type" dataDxfId="108"/>
    <tableColumn id="5" xr3:uid="{BA501876-6374-44B9-B149-9711995BF42A}" name="Post Text" dataDxfId="107"/>
    <tableColumn id="6" xr3:uid="{01957983-48D8-473B-A5DE-A5CFC502F28D}" name="Likes" dataDxfId="106"/>
    <tableColumn id="7" xr3:uid="{6A03D69F-C971-40FB-9FF9-C02454951930}" name="Shares" dataDxfId="105"/>
    <tableColumn id="8" xr3:uid="{38CB7255-BA66-4820-AC40-68C7AB9B94C5}" name="Comments" dataDxfId="104"/>
    <tableColumn id="9" xr3:uid="{6951EC6B-7D45-48AC-B019-C857C62F8E26}" name="Impressions" dataDxfId="103"/>
    <tableColumn id="10" xr3:uid="{48B3BB3F-1BDA-4FFF-A50D-D3E568B926B7}" name="Reach" dataDxfId="102"/>
    <tableColumn id="11" xr3:uid="{8DACC315-A10E-4D3F-A1C5-73DB7466E79C}" name="Clicks" dataDxfId="101"/>
    <tableColumn id="12" xr3:uid="{84E6C39D-1056-4DA8-AF47-7B86F53495BE}" name="Hastag_1" dataDxfId="100"/>
    <tableColumn id="13" xr3:uid="{397EA6AB-AC59-42A7-B59A-F57E0D226D9B}" name="Hastag_2" dataDxfId="99"/>
    <tableColumn id="14" xr3:uid="{588814A8-B3D6-475B-A914-4DF55B38CABD}" name="Campaign_Name" dataDxfId="98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188AEBD-E2C1-4BB3-94D5-7FD72C8C603F}" name="Hastag_summary" displayName="Hastag_summary" ref="B1:I6" tableType="queryTable" totalsRowShown="0">
  <autoFilter ref="B1:I6" xr:uid="{E188AEBD-E2C1-4BB3-94D5-7FD72C8C603F}"/>
  <sortState xmlns:xlrd2="http://schemas.microsoft.com/office/spreadsheetml/2017/richdata2" ref="B2:I6">
    <sortCondition descending="1" ref="C1:C6"/>
  </sortState>
  <tableColumns count="8">
    <tableColumn id="1" xr3:uid="{18CF9D41-1BFE-47DA-91B1-BB87EF3B953D}" uniqueName="1" name="Hashtag" queryTableFieldId="1" dataDxfId="97"/>
    <tableColumn id="2" xr3:uid="{6A972CD0-C77D-4C75-8F66-3CC4E1EBD3C2}" uniqueName="2" name="Frequency" queryTableFieldId="2"/>
    <tableColumn id="3" xr3:uid="{C9A71B33-4D40-4722-8FD0-8A273695264C}" uniqueName="3" name="Avg_likes" queryTableFieldId="3" dataDxfId="96"/>
    <tableColumn id="4" xr3:uid="{2728A139-B896-4FA7-924A-851E7748CA87}" uniqueName="4" name="Avg_shares" queryTableFieldId="4" dataDxfId="95"/>
    <tableColumn id="5" xr3:uid="{025608A9-AB17-401E-8147-6BE29A4E5B9F}" uniqueName="5" name="Avg_Comments" queryTableFieldId="5" dataDxfId="94"/>
    <tableColumn id="6" xr3:uid="{51314E1D-5EF0-4F8A-92A1-AA2DE191D29A}" uniqueName="6" name="Avg_Impresions" queryTableFieldId="6" dataDxfId="93"/>
    <tableColumn id="7" xr3:uid="{917DB391-6CA9-45E8-8638-4F06FBD4CA50}" uniqueName="7" name="Avg_reach" queryTableFieldId="7" dataDxfId="92"/>
    <tableColumn id="8" xr3:uid="{B9192E05-C2FF-4B78-87B0-152389CD85FC}" uniqueName="8" name="Avg_clicks" queryTableFieldId="8" dataDxfId="91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D3E06BF-D03F-4119-A3D2-DCD588029F72}" name="Table18" displayName="Table18" ref="A1:N302" totalsRowCount="1" headerRowDxfId="76" dataDxfId="75">
  <autoFilter ref="A1:N301" xr:uid="{CE7328CB-3CF8-4CE9-8173-31A31811932B}"/>
  <tableColumns count="14">
    <tableColumn id="1" xr3:uid="{685D5C6B-CE5E-48F1-8CCB-386942A4F616}" name="Post ID" dataDxfId="74" totalsRowDxfId="73"/>
    <tableColumn id="2" xr3:uid="{B6F85543-65BB-4624-A086-08759399F8C9}" name="Platform" dataDxfId="72" totalsRowDxfId="71"/>
    <tableColumn id="3" xr3:uid="{0AA044BB-4AAE-44DE-831D-8BE17F86DF46}" name="Date" dataDxfId="70" totalsRowDxfId="69"/>
    <tableColumn id="4" xr3:uid="{5666AA1E-B9F3-49C4-974D-E177D28332C4}" name="Content Type" dataDxfId="68" totalsRowDxfId="67"/>
    <tableColumn id="5" xr3:uid="{895E5CAA-CEBC-4565-BEDA-AE4CDA51E52C}" name="Post Text" dataDxfId="66" totalsRowDxfId="65"/>
    <tableColumn id="6" xr3:uid="{DD01B324-2310-4705-B157-872FB3CB7D7E}" name="Likes" totalsRowFunction="custom" dataDxfId="64" totalsRowDxfId="63">
      <totalsRowFormula xml:space="preserve"> AVERAGEIFS(Table18[Likes],Table18[Platform],#REF!, Table18[Content Type],#REF!)</totalsRowFormula>
    </tableColumn>
    <tableColumn id="7" xr3:uid="{D34364D2-46A5-4949-9A71-8CA9FF726397}" name="Shares" dataDxfId="62" totalsRowDxfId="61"/>
    <tableColumn id="8" xr3:uid="{5354FFEA-C9B5-4D98-9705-81FA94CA0A59}" name="Comments" dataDxfId="60" totalsRowDxfId="59"/>
    <tableColumn id="9" xr3:uid="{5805E2C3-D551-41AC-B51A-F5A0957FDDE4}" name="Impressions" dataDxfId="58" totalsRowDxfId="57"/>
    <tableColumn id="10" xr3:uid="{FCCCA0E7-1A99-4255-AE94-1073BA110B56}" name="Reach" dataDxfId="56" totalsRowDxfId="55"/>
    <tableColumn id="11" xr3:uid="{344945F1-E56A-4600-B3BE-F85DC539BD3F}" name="Clicks" dataDxfId="54" totalsRowDxfId="53"/>
    <tableColumn id="12" xr3:uid="{D430C080-8BB0-4B8B-A357-736C30AD2486}" name="Hastag_1" dataDxfId="52" totalsRowDxfId="51"/>
    <tableColumn id="13" xr3:uid="{FAE6E47B-C7B5-4CA8-B93A-6733CF3678B0}" name="Hastag_2" dataDxfId="50" totalsRowDxfId="49"/>
    <tableColumn id="14" xr3:uid="{2C4DFCB1-A475-45E6-9EEF-F98F574F5818}" name="Campaign_Name" dataDxfId="48" totalsRowDxfId="47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3ADEF384-7B85-49CB-BED9-EA22ED3BFA85}" name="Table1811" displayName="Table1811" ref="A1:N302" totalsRowCount="1" headerRowDxfId="46" dataDxfId="45">
  <autoFilter ref="A1:N301" xr:uid="{CE7328CB-3CF8-4CE9-8173-31A31811932B}"/>
  <tableColumns count="14">
    <tableColumn id="1" xr3:uid="{315F9F1E-2CDA-4751-8BA3-5D8007338719}" name="Post ID" dataDxfId="44" totalsRowDxfId="43"/>
    <tableColumn id="2" xr3:uid="{59838F93-F391-4855-97E4-2C46747E8AC0}" name="Platform" dataDxfId="42" totalsRowDxfId="41"/>
    <tableColumn id="3" xr3:uid="{E232FC54-4DA1-498A-BE47-0631BADE9C6E}" name="Date" dataDxfId="40" totalsRowDxfId="39"/>
    <tableColumn id="4" xr3:uid="{3ABD9403-FE5D-4DD2-92E6-414ABB9732D9}" name="Content Type" dataDxfId="38" totalsRowDxfId="37"/>
    <tableColumn id="5" xr3:uid="{DD29F796-4581-47CD-8665-6E763FC97A08}" name="Post Text" dataDxfId="36" totalsRowDxfId="35"/>
    <tableColumn id="6" xr3:uid="{8AB717B0-FEE2-4F82-BBAD-C39F48C99B6D}" name="Likes" totalsRowFunction="custom" dataDxfId="34" totalsRowDxfId="33">
      <totalsRowFormula xml:space="preserve"> AVERAGEIFS(Table1811[Likes],Table1811[Platform],#REF!, Table1811[Content Type],#REF!)</totalsRowFormula>
    </tableColumn>
    <tableColumn id="7" xr3:uid="{A5961479-81CF-4063-A797-04E406627AF4}" name="Shares" dataDxfId="32" totalsRowDxfId="31"/>
    <tableColumn id="8" xr3:uid="{28AE0C51-E16E-4025-B593-B4CC2D23A5B4}" name="Comments" dataDxfId="30" totalsRowDxfId="29"/>
    <tableColumn id="9" xr3:uid="{13F5D6AE-A444-419F-AD4E-B0F0F0043086}" name="Impressions" dataDxfId="28" totalsRowDxfId="27"/>
    <tableColumn id="10" xr3:uid="{B40775D3-6BAC-4CDB-907D-6DE973FA469F}" name="Reach" dataDxfId="26" totalsRowDxfId="25"/>
    <tableColumn id="11" xr3:uid="{90BF7026-1FB2-4250-BA2A-7F2A80DE74ED}" name="Clicks" dataDxfId="24" totalsRowDxfId="23"/>
    <tableColumn id="12" xr3:uid="{2EFAD630-C3CF-4EA8-927B-9B5D584A937E}" name="Hastag_1" dataDxfId="22" totalsRowDxfId="21"/>
    <tableColumn id="13" xr3:uid="{3A52E5E4-43CA-4B79-9BDA-66747AD76B9A}" name="Hastag_2" dataDxfId="20" totalsRowDxfId="19"/>
    <tableColumn id="14" xr3:uid="{B53CF91F-3896-447B-ABC0-F5C9B7386D15}" name="Campaign_Name" dataDxfId="18" totalsRowDxfId="17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084538A-C580-49AF-BC8A-0D92C4906E78}" name="Table2" displayName="Table2" ref="A1:G201" totalsRowShown="0" headerRowDxfId="16" dataDxfId="15">
  <autoFilter ref="A1:G201" xr:uid="{E084538A-C580-49AF-BC8A-0D92C4906E78}"/>
  <tableColumns count="7">
    <tableColumn id="1" xr3:uid="{94D3A589-E3C7-403E-9B3F-CD825E72BA2B}" name="Week_Start_Date" dataDxfId="14"/>
    <tableColumn id="2" xr3:uid="{849174EA-C6B1-48AF-A29C-FC776E8B12B2}" name="Platform" dataDxfId="13"/>
    <tableColumn id="3" xr3:uid="{4DC494A1-3DCC-46E9-B299-D13AC282DE1E}" name="New_Followers" dataDxfId="12"/>
    <tableColumn id="4" xr3:uid="{5A91DC21-51FC-4D19-AA3C-750471E3B59D}" name="Unfollows" dataDxfId="11"/>
    <tableColumn id="5" xr3:uid="{01DD98DC-26D4-4AE9-A785-C364BE290FD1}" name="Total_Followers" dataDxfId="10"/>
    <tableColumn id="6" xr3:uid="{526B28EB-F74C-4329-98EA-94820C31809E}" name="Engagement_Rate" dataDxfId="9"/>
    <tableColumn id="7" xr3:uid="{750BBAD2-5137-40BB-B918-A559F425F5B6}" name="Ad_Spend" dataDxfId="8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7ABD1CC-1AB4-4DF5-B8E0-AC4413E1F708}" name="Table5" displayName="Table5" ref="A1:H5" totalsRowShown="0">
  <autoFilter ref="A1:H5" xr:uid="{57ABD1CC-1AB4-4DF5-B8E0-AC4413E1F708}"/>
  <tableColumns count="8">
    <tableColumn id="1" xr3:uid="{52BC7565-1693-44E7-9FD2-066DE19ED893}" name="Campaign_Name" dataDxfId="7"/>
    <tableColumn id="2" xr3:uid="{0270FCF1-2971-4C25-930C-B09560C743DF}" name="Start_Date" dataDxfId="6"/>
    <tableColumn id="3" xr3:uid="{78F97C0E-D665-4555-BD2F-D2574D3D118E}" name="End_Date" dataDxfId="5"/>
    <tableColumn id="4" xr3:uid="{445CB235-B9CE-49C1-A357-C8FDEE5808F8}" name="Objective" dataDxfId="4"/>
    <tableColumn id="5" xr3:uid="{60CC0ADD-8ACC-4790-8384-43DD2083E276}" name="Total_Budget" dataDxfId="3"/>
    <tableColumn id="6" xr3:uid="{8E26B079-ADBE-48E6-9FA8-A0E2D39DC64F}" name="Target_Platforms" dataDxfId="2"/>
    <tableColumn id="7" xr3:uid="{EAA2E888-E2F6-4E89-92DB-CE62CB29A924}" name="Hastag_1" dataDxfId="1"/>
    <tableColumn id="8" xr3:uid="{EFB05805-BDF6-436D-892C-F15F724420DE}" name="Hastag_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068AD-11D2-4B1E-9326-4C3CC75672AF}">
  <dimension ref="A1:N67"/>
  <sheetViews>
    <sheetView workbookViewId="0">
      <selection activeCell="D18" sqref="D18"/>
    </sheetView>
  </sheetViews>
  <sheetFormatPr defaultRowHeight="15"/>
  <cols>
    <col min="1" max="1" width="9.28515625" customWidth="1"/>
    <col min="2" max="2" width="10.85546875" customWidth="1"/>
    <col min="3" max="3" width="10.42578125" bestFit="1" customWidth="1"/>
    <col min="4" max="4" width="15" customWidth="1"/>
    <col min="5" max="5" width="11.28515625" customWidth="1"/>
    <col min="8" max="8" width="12.7109375" customWidth="1"/>
    <col min="9" max="9" width="13.85546875" customWidth="1"/>
    <col min="12" max="13" width="11" customWidth="1"/>
    <col min="14" max="14" width="18.140625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358</v>
      </c>
      <c r="M1" t="s">
        <v>359</v>
      </c>
      <c r="N1" t="s">
        <v>11</v>
      </c>
    </row>
    <row r="2" spans="1:14">
      <c r="A2" t="s">
        <v>12</v>
      </c>
      <c r="B2" t="s">
        <v>13</v>
      </c>
      <c r="C2" s="30">
        <v>45781</v>
      </c>
      <c r="D2" t="s">
        <v>14</v>
      </c>
      <c r="E2" t="s">
        <v>15</v>
      </c>
      <c r="F2">
        <v>2414</v>
      </c>
      <c r="G2">
        <v>245</v>
      </c>
      <c r="H2">
        <v>137</v>
      </c>
      <c r="I2">
        <v>21181</v>
      </c>
      <c r="J2">
        <v>45292</v>
      </c>
      <c r="K2">
        <v>133</v>
      </c>
      <c r="L2" t="s">
        <v>37</v>
      </c>
      <c r="M2" t="s">
        <v>34</v>
      </c>
      <c r="N2" t="s">
        <v>16</v>
      </c>
    </row>
    <row r="3" spans="1:14">
      <c r="A3" t="s">
        <v>17</v>
      </c>
      <c r="B3" t="s">
        <v>13</v>
      </c>
      <c r="C3" s="30">
        <v>45689</v>
      </c>
      <c r="D3" t="s">
        <v>14</v>
      </c>
      <c r="E3" t="s">
        <v>18</v>
      </c>
      <c r="F3">
        <v>1934</v>
      </c>
      <c r="G3">
        <v>210</v>
      </c>
      <c r="H3">
        <v>393</v>
      </c>
      <c r="I3">
        <v>29129</v>
      </c>
      <c r="J3">
        <v>73287</v>
      </c>
      <c r="K3">
        <v>273</v>
      </c>
      <c r="L3" t="s">
        <v>19</v>
      </c>
      <c r="N3" t="s">
        <v>20</v>
      </c>
    </row>
    <row r="4" spans="1:14">
      <c r="A4" t="s">
        <v>330</v>
      </c>
      <c r="B4" t="s">
        <v>13</v>
      </c>
      <c r="C4" s="30">
        <v>45329</v>
      </c>
      <c r="D4" t="s">
        <v>14</v>
      </c>
      <c r="E4" t="s">
        <v>361</v>
      </c>
      <c r="F4">
        <v>1883</v>
      </c>
      <c r="G4">
        <v>432</v>
      </c>
      <c r="H4">
        <v>397</v>
      </c>
      <c r="I4">
        <v>28759</v>
      </c>
      <c r="J4">
        <v>18691</v>
      </c>
      <c r="K4">
        <v>270</v>
      </c>
      <c r="L4" t="s">
        <v>37</v>
      </c>
      <c r="M4" t="s">
        <v>34</v>
      </c>
      <c r="N4" t="s">
        <v>16</v>
      </c>
    </row>
    <row r="5" spans="1:14">
      <c r="A5" t="s">
        <v>25</v>
      </c>
      <c r="B5" t="s">
        <v>13</v>
      </c>
      <c r="C5" s="30">
        <v>45629</v>
      </c>
      <c r="D5" t="s">
        <v>14</v>
      </c>
      <c r="E5" t="s">
        <v>360</v>
      </c>
      <c r="F5">
        <v>3173</v>
      </c>
      <c r="G5">
        <v>229</v>
      </c>
      <c r="H5">
        <v>197</v>
      </c>
      <c r="I5">
        <v>29604</v>
      </c>
      <c r="J5">
        <v>21809</v>
      </c>
      <c r="K5">
        <v>272</v>
      </c>
      <c r="L5" t="s">
        <v>37</v>
      </c>
      <c r="M5" t="s">
        <v>34</v>
      </c>
      <c r="N5" t="s">
        <v>16</v>
      </c>
    </row>
    <row r="6" spans="1:14">
      <c r="A6" t="s">
        <v>324</v>
      </c>
      <c r="B6" t="s">
        <v>13</v>
      </c>
      <c r="C6" s="30">
        <v>45653</v>
      </c>
      <c r="D6" t="s">
        <v>14</v>
      </c>
      <c r="E6" t="s">
        <v>363</v>
      </c>
      <c r="F6">
        <v>1436</v>
      </c>
      <c r="G6">
        <v>219</v>
      </c>
      <c r="H6">
        <v>229</v>
      </c>
      <c r="I6">
        <v>58488</v>
      </c>
      <c r="J6">
        <v>24314</v>
      </c>
      <c r="K6">
        <v>147</v>
      </c>
      <c r="L6" t="s">
        <v>19</v>
      </c>
      <c r="N6" t="s">
        <v>20</v>
      </c>
    </row>
    <row r="7" spans="1:14">
      <c r="A7" t="s">
        <v>321</v>
      </c>
      <c r="B7" t="s">
        <v>13</v>
      </c>
      <c r="C7" s="30">
        <v>45472</v>
      </c>
      <c r="D7" t="s">
        <v>14</v>
      </c>
      <c r="E7" t="s">
        <v>42</v>
      </c>
      <c r="F7">
        <v>2088</v>
      </c>
      <c r="G7">
        <v>490</v>
      </c>
      <c r="H7">
        <v>124</v>
      </c>
      <c r="I7">
        <v>46544</v>
      </c>
      <c r="J7">
        <v>69346</v>
      </c>
      <c r="K7">
        <v>178</v>
      </c>
      <c r="L7" t="s">
        <v>37</v>
      </c>
      <c r="M7" t="s">
        <v>34</v>
      </c>
      <c r="N7" t="s">
        <v>16</v>
      </c>
    </row>
    <row r="8" spans="1:14">
      <c r="A8" t="s">
        <v>316</v>
      </c>
      <c r="B8" t="s">
        <v>13</v>
      </c>
      <c r="C8" s="30">
        <v>45413</v>
      </c>
      <c r="D8" t="s">
        <v>14</v>
      </c>
      <c r="E8" t="s">
        <v>30</v>
      </c>
      <c r="F8">
        <v>3359</v>
      </c>
      <c r="G8">
        <v>137</v>
      </c>
      <c r="H8">
        <v>387</v>
      </c>
      <c r="I8">
        <v>33861</v>
      </c>
      <c r="J8">
        <v>47257</v>
      </c>
      <c r="K8">
        <v>198</v>
      </c>
      <c r="L8" t="s">
        <v>19</v>
      </c>
      <c r="N8" t="s">
        <v>20</v>
      </c>
    </row>
    <row r="9" spans="1:14">
      <c r="A9" t="s">
        <v>313</v>
      </c>
      <c r="B9" t="s">
        <v>13</v>
      </c>
      <c r="C9" s="30">
        <v>45531</v>
      </c>
      <c r="D9" t="s">
        <v>14</v>
      </c>
      <c r="E9" t="s">
        <v>361</v>
      </c>
      <c r="F9">
        <v>4197</v>
      </c>
      <c r="G9">
        <v>359</v>
      </c>
      <c r="H9">
        <v>280</v>
      </c>
      <c r="I9">
        <v>56048</v>
      </c>
      <c r="J9">
        <v>70930</v>
      </c>
      <c r="K9">
        <v>295</v>
      </c>
      <c r="L9" t="s">
        <v>19</v>
      </c>
      <c r="N9" t="s">
        <v>20</v>
      </c>
    </row>
    <row r="10" spans="1:14">
      <c r="A10" t="s">
        <v>311</v>
      </c>
      <c r="B10" t="s">
        <v>13</v>
      </c>
      <c r="C10" s="30">
        <v>45298</v>
      </c>
      <c r="D10" t="s">
        <v>14</v>
      </c>
      <c r="E10" t="s">
        <v>33</v>
      </c>
      <c r="F10">
        <v>4931</v>
      </c>
      <c r="G10">
        <v>469</v>
      </c>
      <c r="H10">
        <v>193</v>
      </c>
      <c r="I10">
        <v>56701</v>
      </c>
      <c r="J10">
        <v>69437</v>
      </c>
      <c r="K10">
        <v>291</v>
      </c>
      <c r="L10" t="s">
        <v>37</v>
      </c>
      <c r="M10" t="s">
        <v>34</v>
      </c>
      <c r="N10" t="s">
        <v>16</v>
      </c>
    </row>
    <row r="11" spans="1:14">
      <c r="A11" t="s">
        <v>308</v>
      </c>
      <c r="B11" t="s">
        <v>13</v>
      </c>
      <c r="C11" s="30">
        <v>45628</v>
      </c>
      <c r="D11" t="s">
        <v>14</v>
      </c>
      <c r="E11" t="s">
        <v>33</v>
      </c>
      <c r="F11">
        <v>3194</v>
      </c>
      <c r="G11">
        <v>292</v>
      </c>
      <c r="H11">
        <v>245</v>
      </c>
      <c r="I11">
        <v>56371</v>
      </c>
      <c r="J11">
        <v>65597</v>
      </c>
      <c r="K11">
        <v>163</v>
      </c>
      <c r="L11" t="s">
        <v>37</v>
      </c>
      <c r="M11" t="s">
        <v>34</v>
      </c>
      <c r="N11" t="s">
        <v>16</v>
      </c>
    </row>
    <row r="12" spans="1:14">
      <c r="A12" t="s">
        <v>305</v>
      </c>
      <c r="B12" t="s">
        <v>13</v>
      </c>
      <c r="C12" s="30">
        <v>45341</v>
      </c>
      <c r="D12" t="s">
        <v>14</v>
      </c>
      <c r="E12" t="s">
        <v>360</v>
      </c>
      <c r="F12">
        <v>4752</v>
      </c>
      <c r="G12">
        <v>449</v>
      </c>
      <c r="H12">
        <v>309</v>
      </c>
      <c r="I12">
        <v>58530</v>
      </c>
      <c r="J12">
        <v>26630</v>
      </c>
      <c r="K12">
        <v>234</v>
      </c>
      <c r="L12" t="s">
        <v>19</v>
      </c>
      <c r="N12" t="s">
        <v>20</v>
      </c>
    </row>
    <row r="13" spans="1:14">
      <c r="A13" t="s">
        <v>38</v>
      </c>
      <c r="B13" t="s">
        <v>13</v>
      </c>
      <c r="C13" s="30">
        <v>45426</v>
      </c>
      <c r="D13" t="s">
        <v>14</v>
      </c>
      <c r="E13" t="s">
        <v>15</v>
      </c>
      <c r="F13">
        <v>1485</v>
      </c>
      <c r="G13">
        <v>353</v>
      </c>
      <c r="H13">
        <v>244</v>
      </c>
      <c r="I13">
        <v>38419</v>
      </c>
      <c r="J13">
        <v>38556</v>
      </c>
      <c r="K13">
        <v>86</v>
      </c>
      <c r="L13" t="s">
        <v>37</v>
      </c>
      <c r="M13" t="s">
        <v>34</v>
      </c>
      <c r="N13" t="s">
        <v>16</v>
      </c>
    </row>
    <row r="14" spans="1:14">
      <c r="A14" t="s">
        <v>304</v>
      </c>
      <c r="B14" t="s">
        <v>13</v>
      </c>
      <c r="C14" s="30">
        <v>45573</v>
      </c>
      <c r="D14" t="s">
        <v>14</v>
      </c>
      <c r="E14" t="s">
        <v>18</v>
      </c>
      <c r="F14">
        <v>2110</v>
      </c>
      <c r="G14">
        <v>384</v>
      </c>
      <c r="H14">
        <v>236</v>
      </c>
      <c r="I14">
        <v>49965</v>
      </c>
      <c r="J14">
        <v>61555</v>
      </c>
      <c r="K14">
        <v>195</v>
      </c>
      <c r="L14" t="s">
        <v>19</v>
      </c>
      <c r="N14" t="s">
        <v>20</v>
      </c>
    </row>
    <row r="15" spans="1:14">
      <c r="A15" t="s">
        <v>279</v>
      </c>
      <c r="B15" t="s">
        <v>13</v>
      </c>
      <c r="C15" s="30">
        <v>45357</v>
      </c>
      <c r="D15" t="s">
        <v>14</v>
      </c>
      <c r="E15" t="s">
        <v>362</v>
      </c>
      <c r="F15">
        <v>3529</v>
      </c>
      <c r="G15">
        <v>263</v>
      </c>
      <c r="H15">
        <v>107</v>
      </c>
      <c r="I15">
        <v>26570</v>
      </c>
      <c r="J15">
        <v>19367</v>
      </c>
      <c r="K15">
        <v>96</v>
      </c>
      <c r="L15" t="s">
        <v>19</v>
      </c>
      <c r="N15" t="s">
        <v>20</v>
      </c>
    </row>
    <row r="16" spans="1:14">
      <c r="A16" t="s">
        <v>268</v>
      </c>
      <c r="B16" t="s">
        <v>13</v>
      </c>
      <c r="C16" s="30">
        <v>45823</v>
      </c>
      <c r="D16" t="s">
        <v>14</v>
      </c>
      <c r="E16" t="s">
        <v>18</v>
      </c>
      <c r="F16">
        <v>2478</v>
      </c>
      <c r="G16">
        <v>427</v>
      </c>
      <c r="H16">
        <v>242</v>
      </c>
      <c r="I16">
        <v>59272</v>
      </c>
      <c r="J16">
        <v>37833</v>
      </c>
      <c r="K16">
        <v>214</v>
      </c>
      <c r="L16" t="s">
        <v>37</v>
      </c>
      <c r="M16" t="s">
        <v>34</v>
      </c>
      <c r="N16" t="s">
        <v>16</v>
      </c>
    </row>
    <row r="17" spans="1:14">
      <c r="A17" t="s">
        <v>266</v>
      </c>
      <c r="B17" t="s">
        <v>13</v>
      </c>
      <c r="C17" s="30">
        <v>45646</v>
      </c>
      <c r="D17" t="s">
        <v>14</v>
      </c>
      <c r="E17" t="s">
        <v>15</v>
      </c>
      <c r="F17">
        <v>2519</v>
      </c>
      <c r="G17">
        <v>202</v>
      </c>
      <c r="H17">
        <v>239</v>
      </c>
      <c r="I17">
        <v>36245</v>
      </c>
      <c r="J17">
        <v>48606</v>
      </c>
      <c r="K17">
        <v>145</v>
      </c>
      <c r="L17" t="s">
        <v>19</v>
      </c>
      <c r="N17" t="s">
        <v>20</v>
      </c>
    </row>
    <row r="18" spans="1:14">
      <c r="A18" t="s">
        <v>261</v>
      </c>
      <c r="B18" t="s">
        <v>13</v>
      </c>
      <c r="C18" s="30">
        <v>45379</v>
      </c>
      <c r="D18" t="s">
        <v>14</v>
      </c>
      <c r="E18" t="s">
        <v>362</v>
      </c>
      <c r="F18">
        <v>1673</v>
      </c>
      <c r="G18">
        <v>280</v>
      </c>
      <c r="H18">
        <v>67</v>
      </c>
      <c r="I18">
        <v>29847</v>
      </c>
      <c r="J18">
        <v>48016</v>
      </c>
      <c r="K18">
        <v>213</v>
      </c>
      <c r="L18" t="s">
        <v>37</v>
      </c>
      <c r="M18" t="s">
        <v>34</v>
      </c>
      <c r="N18" t="s">
        <v>16</v>
      </c>
    </row>
    <row r="19" spans="1:14">
      <c r="A19" t="s">
        <v>247</v>
      </c>
      <c r="B19" t="s">
        <v>13</v>
      </c>
      <c r="C19" s="30">
        <v>45808</v>
      </c>
      <c r="D19" t="s">
        <v>14</v>
      </c>
      <c r="E19" t="s">
        <v>362</v>
      </c>
      <c r="F19">
        <v>2169</v>
      </c>
      <c r="G19">
        <v>240</v>
      </c>
      <c r="H19">
        <v>57</v>
      </c>
      <c r="I19">
        <v>26109</v>
      </c>
      <c r="J19">
        <v>46667</v>
      </c>
      <c r="K19">
        <v>133</v>
      </c>
      <c r="L19" t="s">
        <v>37</v>
      </c>
      <c r="M19" t="s">
        <v>34</v>
      </c>
      <c r="N19" t="s">
        <v>16</v>
      </c>
    </row>
    <row r="20" spans="1:14">
      <c r="A20" t="s">
        <v>233</v>
      </c>
      <c r="B20" t="s">
        <v>13</v>
      </c>
      <c r="C20" s="30">
        <v>45571</v>
      </c>
      <c r="D20" t="s">
        <v>14</v>
      </c>
      <c r="E20" t="s">
        <v>33</v>
      </c>
      <c r="F20">
        <v>2080</v>
      </c>
      <c r="G20">
        <v>389</v>
      </c>
      <c r="H20">
        <v>92</v>
      </c>
      <c r="I20">
        <v>30971</v>
      </c>
      <c r="J20">
        <v>25347</v>
      </c>
      <c r="K20">
        <v>111</v>
      </c>
      <c r="L20" t="s">
        <v>19</v>
      </c>
      <c r="N20" t="s">
        <v>20</v>
      </c>
    </row>
    <row r="21" spans="1:14">
      <c r="A21" t="s">
        <v>50</v>
      </c>
      <c r="B21" t="s">
        <v>13</v>
      </c>
      <c r="C21" s="30">
        <v>45478</v>
      </c>
      <c r="D21" t="s">
        <v>14</v>
      </c>
      <c r="E21" t="s">
        <v>42</v>
      </c>
      <c r="F21">
        <v>3753</v>
      </c>
      <c r="G21">
        <v>411</v>
      </c>
      <c r="H21">
        <v>308</v>
      </c>
      <c r="I21">
        <v>29138</v>
      </c>
      <c r="J21">
        <v>27678</v>
      </c>
      <c r="K21">
        <v>90</v>
      </c>
      <c r="L21" t="s">
        <v>19</v>
      </c>
      <c r="N21" t="s">
        <v>20</v>
      </c>
    </row>
    <row r="22" spans="1:14">
      <c r="A22" t="s">
        <v>226</v>
      </c>
      <c r="B22" t="s">
        <v>13</v>
      </c>
      <c r="C22" s="30">
        <v>45669</v>
      </c>
      <c r="D22" t="s">
        <v>14</v>
      </c>
      <c r="E22" t="s">
        <v>363</v>
      </c>
      <c r="F22">
        <v>1771</v>
      </c>
      <c r="G22">
        <v>487</v>
      </c>
      <c r="H22">
        <v>272</v>
      </c>
      <c r="I22">
        <v>48810</v>
      </c>
      <c r="J22">
        <v>48084</v>
      </c>
      <c r="K22">
        <v>272</v>
      </c>
      <c r="L22" t="s">
        <v>37</v>
      </c>
      <c r="M22" t="s">
        <v>34</v>
      </c>
      <c r="N22" t="s">
        <v>16</v>
      </c>
    </row>
    <row r="23" spans="1:14">
      <c r="A23" t="s">
        <v>52</v>
      </c>
      <c r="B23" t="s">
        <v>13</v>
      </c>
      <c r="C23" s="30">
        <v>45823</v>
      </c>
      <c r="D23" t="s">
        <v>14</v>
      </c>
      <c r="E23" t="s">
        <v>362</v>
      </c>
      <c r="F23">
        <v>4896</v>
      </c>
      <c r="G23">
        <v>466</v>
      </c>
      <c r="H23">
        <v>233</v>
      </c>
      <c r="I23">
        <v>28621</v>
      </c>
      <c r="J23">
        <v>34270</v>
      </c>
      <c r="K23">
        <v>84</v>
      </c>
      <c r="L23" t="s">
        <v>37</v>
      </c>
      <c r="M23" t="s">
        <v>34</v>
      </c>
      <c r="N23" t="s">
        <v>16</v>
      </c>
    </row>
    <row r="24" spans="1:14">
      <c r="A24" t="s">
        <v>220</v>
      </c>
      <c r="B24" t="s">
        <v>13</v>
      </c>
      <c r="C24" s="30">
        <v>45673</v>
      </c>
      <c r="D24" t="s">
        <v>14</v>
      </c>
      <c r="E24" t="s">
        <v>361</v>
      </c>
      <c r="F24">
        <v>2605</v>
      </c>
      <c r="G24">
        <v>282</v>
      </c>
      <c r="H24">
        <v>148</v>
      </c>
      <c r="I24">
        <v>32201</v>
      </c>
      <c r="J24">
        <v>49583</v>
      </c>
      <c r="K24">
        <v>241</v>
      </c>
      <c r="L24" t="s">
        <v>37</v>
      </c>
      <c r="M24" t="s">
        <v>34</v>
      </c>
      <c r="N24" t="s">
        <v>16</v>
      </c>
    </row>
    <row r="25" spans="1:14">
      <c r="A25" t="s">
        <v>218</v>
      </c>
      <c r="B25" t="s">
        <v>13</v>
      </c>
      <c r="C25" s="30">
        <v>45814</v>
      </c>
      <c r="D25" t="s">
        <v>14</v>
      </c>
      <c r="E25" t="s">
        <v>360</v>
      </c>
      <c r="F25">
        <v>3987</v>
      </c>
      <c r="G25">
        <v>171</v>
      </c>
      <c r="H25">
        <v>274</v>
      </c>
      <c r="I25">
        <v>45122</v>
      </c>
      <c r="J25">
        <v>65431</v>
      </c>
      <c r="K25">
        <v>168</v>
      </c>
      <c r="L25" t="s">
        <v>19</v>
      </c>
      <c r="N25" t="s">
        <v>20</v>
      </c>
    </row>
    <row r="26" spans="1:14">
      <c r="A26" t="s">
        <v>212</v>
      </c>
      <c r="B26" t="s">
        <v>13</v>
      </c>
      <c r="C26" s="30">
        <v>45370</v>
      </c>
      <c r="D26" t="s">
        <v>14</v>
      </c>
      <c r="E26" t="s">
        <v>363</v>
      </c>
      <c r="F26">
        <v>2878</v>
      </c>
      <c r="G26">
        <v>278</v>
      </c>
      <c r="H26">
        <v>255</v>
      </c>
      <c r="I26">
        <v>47235</v>
      </c>
      <c r="J26">
        <v>57922</v>
      </c>
      <c r="K26">
        <v>112</v>
      </c>
      <c r="L26" t="s">
        <v>37</v>
      </c>
      <c r="M26" t="s">
        <v>34</v>
      </c>
      <c r="N26" t="s">
        <v>16</v>
      </c>
    </row>
    <row r="27" spans="1:14">
      <c r="A27" t="s">
        <v>206</v>
      </c>
      <c r="B27" t="s">
        <v>13</v>
      </c>
      <c r="C27" s="30">
        <v>45475</v>
      </c>
      <c r="D27" t="s">
        <v>14</v>
      </c>
      <c r="E27" t="s">
        <v>33</v>
      </c>
      <c r="F27">
        <v>3469</v>
      </c>
      <c r="G27">
        <v>371</v>
      </c>
      <c r="H27">
        <v>76</v>
      </c>
      <c r="I27">
        <v>46493</v>
      </c>
      <c r="J27">
        <v>26906</v>
      </c>
      <c r="K27">
        <v>150</v>
      </c>
      <c r="L27" t="s">
        <v>37</v>
      </c>
      <c r="M27" t="s">
        <v>34</v>
      </c>
      <c r="N27" t="s">
        <v>16</v>
      </c>
    </row>
    <row r="28" spans="1:14">
      <c r="A28" t="s">
        <v>57</v>
      </c>
      <c r="B28" t="s">
        <v>13</v>
      </c>
      <c r="C28" s="30">
        <v>45625</v>
      </c>
      <c r="D28" t="s">
        <v>14</v>
      </c>
      <c r="E28" t="s">
        <v>362</v>
      </c>
      <c r="F28">
        <v>2824</v>
      </c>
      <c r="G28">
        <v>425</v>
      </c>
      <c r="H28">
        <v>274</v>
      </c>
      <c r="I28">
        <v>31004</v>
      </c>
      <c r="J28">
        <v>53488</v>
      </c>
      <c r="K28">
        <v>268</v>
      </c>
      <c r="L28" t="s">
        <v>37</v>
      </c>
      <c r="M28" t="s">
        <v>34</v>
      </c>
      <c r="N28" t="s">
        <v>16</v>
      </c>
    </row>
    <row r="29" spans="1:14">
      <c r="A29" t="s">
        <v>203</v>
      </c>
      <c r="B29" t="s">
        <v>13</v>
      </c>
      <c r="C29" s="30">
        <v>45447</v>
      </c>
      <c r="D29" t="s">
        <v>14</v>
      </c>
      <c r="E29" t="s">
        <v>30</v>
      </c>
      <c r="F29">
        <v>3948</v>
      </c>
      <c r="G29">
        <v>151</v>
      </c>
      <c r="H29">
        <v>249</v>
      </c>
      <c r="I29">
        <v>43147</v>
      </c>
      <c r="J29">
        <v>63136</v>
      </c>
      <c r="K29">
        <v>230</v>
      </c>
      <c r="L29" t="s">
        <v>19</v>
      </c>
      <c r="N29" t="s">
        <v>20</v>
      </c>
    </row>
    <row r="30" spans="1:14">
      <c r="A30" t="s">
        <v>198</v>
      </c>
      <c r="B30" t="s">
        <v>13</v>
      </c>
      <c r="C30" s="30">
        <v>45385</v>
      </c>
      <c r="D30" t="s">
        <v>14</v>
      </c>
      <c r="E30" t="s">
        <v>33</v>
      </c>
      <c r="F30">
        <v>2762</v>
      </c>
      <c r="G30">
        <v>339</v>
      </c>
      <c r="H30">
        <v>323</v>
      </c>
      <c r="I30">
        <v>33757</v>
      </c>
      <c r="J30">
        <v>68511</v>
      </c>
      <c r="K30">
        <v>121</v>
      </c>
      <c r="L30" t="s">
        <v>37</v>
      </c>
      <c r="M30" t="s">
        <v>34</v>
      </c>
      <c r="N30" t="s">
        <v>16</v>
      </c>
    </row>
    <row r="31" spans="1:14">
      <c r="A31" t="s">
        <v>196</v>
      </c>
      <c r="B31" t="s">
        <v>13</v>
      </c>
      <c r="C31" s="30">
        <v>45387</v>
      </c>
      <c r="D31" t="s">
        <v>14</v>
      </c>
      <c r="E31" t="s">
        <v>24</v>
      </c>
      <c r="F31">
        <v>4383</v>
      </c>
      <c r="G31">
        <v>352</v>
      </c>
      <c r="H31">
        <v>176</v>
      </c>
      <c r="I31">
        <v>53239</v>
      </c>
      <c r="J31">
        <v>34168</v>
      </c>
      <c r="K31">
        <v>288</v>
      </c>
      <c r="L31" t="s">
        <v>19</v>
      </c>
      <c r="N31" t="s">
        <v>20</v>
      </c>
    </row>
    <row r="32" spans="1:14">
      <c r="A32" t="s">
        <v>61</v>
      </c>
      <c r="B32" t="s">
        <v>13</v>
      </c>
      <c r="C32" s="30">
        <v>45658</v>
      </c>
      <c r="D32" t="s">
        <v>14</v>
      </c>
      <c r="E32" t="s">
        <v>24</v>
      </c>
      <c r="F32">
        <v>4036</v>
      </c>
      <c r="G32">
        <v>112</v>
      </c>
      <c r="H32">
        <v>382</v>
      </c>
      <c r="I32">
        <v>56284</v>
      </c>
      <c r="J32">
        <v>29440</v>
      </c>
      <c r="K32">
        <v>279</v>
      </c>
      <c r="L32" t="s">
        <v>37</v>
      </c>
      <c r="M32" t="s">
        <v>34</v>
      </c>
      <c r="N32" t="s">
        <v>16</v>
      </c>
    </row>
    <row r="33" spans="1:14">
      <c r="A33" t="s">
        <v>192</v>
      </c>
      <c r="B33" t="s">
        <v>13</v>
      </c>
      <c r="C33" s="30">
        <v>45610</v>
      </c>
      <c r="D33" t="s">
        <v>14</v>
      </c>
      <c r="E33" t="s">
        <v>361</v>
      </c>
      <c r="F33">
        <v>2422</v>
      </c>
      <c r="G33">
        <v>318</v>
      </c>
      <c r="H33">
        <v>118</v>
      </c>
      <c r="I33">
        <v>25386</v>
      </c>
      <c r="J33">
        <v>20873</v>
      </c>
      <c r="K33">
        <v>100</v>
      </c>
      <c r="L33" t="s">
        <v>37</v>
      </c>
      <c r="M33" t="s">
        <v>34</v>
      </c>
      <c r="N33" t="s">
        <v>16</v>
      </c>
    </row>
    <row r="34" spans="1:14">
      <c r="A34" t="s">
        <v>191</v>
      </c>
      <c r="B34" t="s">
        <v>13</v>
      </c>
      <c r="C34" s="30">
        <v>45803</v>
      </c>
      <c r="D34" t="s">
        <v>14</v>
      </c>
      <c r="E34" t="s">
        <v>15</v>
      </c>
      <c r="F34">
        <v>3086</v>
      </c>
      <c r="G34">
        <v>148</v>
      </c>
      <c r="H34">
        <v>310</v>
      </c>
      <c r="I34">
        <v>22824</v>
      </c>
      <c r="J34">
        <v>58103</v>
      </c>
      <c r="K34">
        <v>275</v>
      </c>
      <c r="L34" t="s">
        <v>19</v>
      </c>
      <c r="N34" t="s">
        <v>20</v>
      </c>
    </row>
    <row r="35" spans="1:14">
      <c r="A35" t="s">
        <v>64</v>
      </c>
      <c r="B35" t="s">
        <v>13</v>
      </c>
      <c r="C35" s="30">
        <v>45666</v>
      </c>
      <c r="D35" t="s">
        <v>14</v>
      </c>
      <c r="E35" t="s">
        <v>24</v>
      </c>
      <c r="F35">
        <v>1015</v>
      </c>
      <c r="G35">
        <v>366</v>
      </c>
      <c r="H35">
        <v>308</v>
      </c>
      <c r="I35">
        <v>38127</v>
      </c>
      <c r="J35">
        <v>63790</v>
      </c>
      <c r="K35">
        <v>287</v>
      </c>
      <c r="L35" t="s">
        <v>37</v>
      </c>
      <c r="M35" t="s">
        <v>34</v>
      </c>
      <c r="N35" t="s">
        <v>16</v>
      </c>
    </row>
    <row r="36" spans="1:14">
      <c r="A36" t="s">
        <v>185</v>
      </c>
      <c r="B36" t="s">
        <v>13</v>
      </c>
      <c r="C36" s="30">
        <v>45407</v>
      </c>
      <c r="D36" t="s">
        <v>14</v>
      </c>
      <c r="E36" t="s">
        <v>361</v>
      </c>
      <c r="F36">
        <v>3563</v>
      </c>
      <c r="G36">
        <v>483</v>
      </c>
      <c r="H36">
        <v>227</v>
      </c>
      <c r="I36">
        <v>41085</v>
      </c>
      <c r="J36">
        <v>26393</v>
      </c>
      <c r="K36">
        <v>236</v>
      </c>
      <c r="L36" t="s">
        <v>37</v>
      </c>
      <c r="M36" t="s">
        <v>34</v>
      </c>
      <c r="N36" t="s">
        <v>16</v>
      </c>
    </row>
    <row r="37" spans="1:14">
      <c r="A37" t="s">
        <v>66</v>
      </c>
      <c r="B37" t="s">
        <v>13</v>
      </c>
      <c r="C37" s="30">
        <v>45416</v>
      </c>
      <c r="D37" t="s">
        <v>14</v>
      </c>
      <c r="E37" t="s">
        <v>360</v>
      </c>
      <c r="F37">
        <v>2274</v>
      </c>
      <c r="G37">
        <v>243</v>
      </c>
      <c r="H37">
        <v>222</v>
      </c>
      <c r="I37">
        <v>43066</v>
      </c>
      <c r="J37">
        <v>59174</v>
      </c>
      <c r="K37">
        <v>80</v>
      </c>
      <c r="L37" t="s">
        <v>19</v>
      </c>
      <c r="N37" t="s">
        <v>20</v>
      </c>
    </row>
    <row r="38" spans="1:14">
      <c r="A38" t="s">
        <v>184</v>
      </c>
      <c r="B38" t="s">
        <v>13</v>
      </c>
      <c r="C38" s="30">
        <v>45615</v>
      </c>
      <c r="D38" t="s">
        <v>14</v>
      </c>
      <c r="E38" t="s">
        <v>362</v>
      </c>
      <c r="F38">
        <v>2525</v>
      </c>
      <c r="G38">
        <v>272</v>
      </c>
      <c r="H38">
        <v>294</v>
      </c>
      <c r="I38">
        <v>51875</v>
      </c>
      <c r="J38">
        <v>24732</v>
      </c>
      <c r="K38">
        <v>92</v>
      </c>
      <c r="L38" t="s">
        <v>19</v>
      </c>
      <c r="N38" t="s">
        <v>20</v>
      </c>
    </row>
    <row r="39" spans="1:14">
      <c r="A39" t="s">
        <v>182</v>
      </c>
      <c r="B39" t="s">
        <v>13</v>
      </c>
      <c r="C39" s="30">
        <v>45562</v>
      </c>
      <c r="D39" t="s">
        <v>14</v>
      </c>
      <c r="E39" t="s">
        <v>15</v>
      </c>
      <c r="F39">
        <v>3118</v>
      </c>
      <c r="G39">
        <v>116</v>
      </c>
      <c r="H39">
        <v>195</v>
      </c>
      <c r="I39">
        <v>37100</v>
      </c>
      <c r="J39">
        <v>62629</v>
      </c>
      <c r="K39">
        <v>272</v>
      </c>
      <c r="L39" t="s">
        <v>19</v>
      </c>
      <c r="N39" t="s">
        <v>20</v>
      </c>
    </row>
    <row r="40" spans="1:14">
      <c r="A40" t="s">
        <v>69</v>
      </c>
      <c r="B40" t="s">
        <v>13</v>
      </c>
      <c r="C40" s="30">
        <v>45621</v>
      </c>
      <c r="D40" t="s">
        <v>14</v>
      </c>
      <c r="E40" t="s">
        <v>363</v>
      </c>
      <c r="F40">
        <v>1341</v>
      </c>
      <c r="G40">
        <v>472</v>
      </c>
      <c r="H40">
        <v>238</v>
      </c>
      <c r="I40">
        <v>51386</v>
      </c>
      <c r="J40">
        <v>51706</v>
      </c>
      <c r="K40">
        <v>133</v>
      </c>
      <c r="L40" t="s">
        <v>19</v>
      </c>
      <c r="N40" t="s">
        <v>20</v>
      </c>
    </row>
    <row r="41" spans="1:14">
      <c r="A41" t="s">
        <v>176</v>
      </c>
      <c r="B41" t="s">
        <v>13</v>
      </c>
      <c r="C41" s="30">
        <v>45799</v>
      </c>
      <c r="D41" t="s">
        <v>14</v>
      </c>
      <c r="E41" t="s">
        <v>15</v>
      </c>
      <c r="F41">
        <v>2633</v>
      </c>
      <c r="G41">
        <v>318</v>
      </c>
      <c r="H41">
        <v>380</v>
      </c>
      <c r="I41">
        <v>40869</v>
      </c>
      <c r="J41">
        <v>64474</v>
      </c>
      <c r="K41">
        <v>245</v>
      </c>
      <c r="L41" t="s">
        <v>19</v>
      </c>
      <c r="N41" t="s">
        <v>20</v>
      </c>
    </row>
    <row r="42" spans="1:14">
      <c r="A42" t="s">
        <v>71</v>
      </c>
      <c r="B42" t="s">
        <v>13</v>
      </c>
      <c r="C42" s="30">
        <v>45401</v>
      </c>
      <c r="D42" t="s">
        <v>14</v>
      </c>
      <c r="E42" t="s">
        <v>24</v>
      </c>
      <c r="F42">
        <v>4001</v>
      </c>
      <c r="G42">
        <v>353</v>
      </c>
      <c r="H42">
        <v>129</v>
      </c>
      <c r="I42">
        <v>41265</v>
      </c>
      <c r="J42">
        <v>37279</v>
      </c>
      <c r="K42">
        <v>275</v>
      </c>
      <c r="L42" t="s">
        <v>37</v>
      </c>
      <c r="M42" t="s">
        <v>34</v>
      </c>
      <c r="N42" t="s">
        <v>16</v>
      </c>
    </row>
    <row r="43" spans="1:14">
      <c r="A43" t="s">
        <v>174</v>
      </c>
      <c r="B43" t="s">
        <v>13</v>
      </c>
      <c r="C43" s="30">
        <v>45702</v>
      </c>
      <c r="D43" t="s">
        <v>14</v>
      </c>
      <c r="E43" t="s">
        <v>15</v>
      </c>
      <c r="F43">
        <v>2329</v>
      </c>
      <c r="G43">
        <v>373</v>
      </c>
      <c r="H43">
        <v>291</v>
      </c>
      <c r="I43">
        <v>49577</v>
      </c>
      <c r="J43">
        <v>28002</v>
      </c>
      <c r="K43">
        <v>82</v>
      </c>
      <c r="L43" t="s">
        <v>37</v>
      </c>
      <c r="M43" t="s">
        <v>34</v>
      </c>
      <c r="N43" t="s">
        <v>16</v>
      </c>
    </row>
    <row r="44" spans="1:14">
      <c r="A44" t="s">
        <v>73</v>
      </c>
      <c r="B44" t="s">
        <v>13</v>
      </c>
      <c r="C44" s="30">
        <v>45702</v>
      </c>
      <c r="D44" t="s">
        <v>14</v>
      </c>
      <c r="E44" t="s">
        <v>33</v>
      </c>
      <c r="F44">
        <v>4891</v>
      </c>
      <c r="G44">
        <v>450</v>
      </c>
      <c r="H44">
        <v>387</v>
      </c>
      <c r="I44">
        <v>48746</v>
      </c>
      <c r="J44">
        <v>37312</v>
      </c>
      <c r="K44">
        <v>154</v>
      </c>
      <c r="L44" t="s">
        <v>37</v>
      </c>
      <c r="M44" t="s">
        <v>34</v>
      </c>
      <c r="N44" t="s">
        <v>16</v>
      </c>
    </row>
    <row r="45" spans="1:14">
      <c r="A45" t="s">
        <v>74</v>
      </c>
      <c r="B45" t="s">
        <v>13</v>
      </c>
      <c r="C45" s="30">
        <v>45541</v>
      </c>
      <c r="D45" t="s">
        <v>14</v>
      </c>
      <c r="E45" t="s">
        <v>24</v>
      </c>
      <c r="F45">
        <v>1452</v>
      </c>
      <c r="G45">
        <v>281</v>
      </c>
      <c r="H45">
        <v>326</v>
      </c>
      <c r="I45">
        <v>51556</v>
      </c>
      <c r="J45">
        <v>62599</v>
      </c>
      <c r="K45">
        <v>290</v>
      </c>
      <c r="L45" t="s">
        <v>19</v>
      </c>
      <c r="N45" t="s">
        <v>20</v>
      </c>
    </row>
    <row r="46" spans="1:14">
      <c r="A46" t="s">
        <v>173</v>
      </c>
      <c r="B46" t="s">
        <v>13</v>
      </c>
      <c r="C46" s="30">
        <v>45460</v>
      </c>
      <c r="D46" t="s">
        <v>14</v>
      </c>
      <c r="E46" t="s">
        <v>15</v>
      </c>
      <c r="F46">
        <v>4283</v>
      </c>
      <c r="G46">
        <v>471</v>
      </c>
      <c r="H46">
        <v>156</v>
      </c>
      <c r="I46">
        <v>53004</v>
      </c>
      <c r="J46">
        <v>25678</v>
      </c>
      <c r="K46">
        <v>105</v>
      </c>
      <c r="L46" t="s">
        <v>19</v>
      </c>
      <c r="N46" t="s">
        <v>20</v>
      </c>
    </row>
    <row r="47" spans="1:14">
      <c r="A47" t="s">
        <v>76</v>
      </c>
      <c r="B47" t="s">
        <v>13</v>
      </c>
      <c r="C47" s="30">
        <v>45334</v>
      </c>
      <c r="D47" t="s">
        <v>14</v>
      </c>
      <c r="E47" t="s">
        <v>18</v>
      </c>
      <c r="F47">
        <v>2923</v>
      </c>
      <c r="G47">
        <v>330</v>
      </c>
      <c r="H47">
        <v>250</v>
      </c>
      <c r="I47">
        <v>23993</v>
      </c>
      <c r="J47">
        <v>74590</v>
      </c>
      <c r="K47">
        <v>92</v>
      </c>
      <c r="L47" t="s">
        <v>19</v>
      </c>
      <c r="N47" t="s">
        <v>20</v>
      </c>
    </row>
    <row r="48" spans="1:14">
      <c r="A48" t="s">
        <v>158</v>
      </c>
      <c r="B48" t="s">
        <v>13</v>
      </c>
      <c r="C48" s="30">
        <v>45344</v>
      </c>
      <c r="D48" t="s">
        <v>14</v>
      </c>
      <c r="E48" t="s">
        <v>24</v>
      </c>
      <c r="F48">
        <v>1902</v>
      </c>
      <c r="G48">
        <v>394</v>
      </c>
      <c r="H48">
        <v>279</v>
      </c>
      <c r="I48">
        <v>24615</v>
      </c>
      <c r="J48">
        <v>51330</v>
      </c>
      <c r="K48">
        <v>176</v>
      </c>
      <c r="L48" t="s">
        <v>37</v>
      </c>
      <c r="M48" t="s">
        <v>34</v>
      </c>
      <c r="N48" t="s">
        <v>16</v>
      </c>
    </row>
    <row r="49" spans="1:14">
      <c r="A49" t="s">
        <v>150</v>
      </c>
      <c r="B49" t="s">
        <v>13</v>
      </c>
      <c r="C49" s="30">
        <v>45674</v>
      </c>
      <c r="D49" t="s">
        <v>14</v>
      </c>
      <c r="E49" t="s">
        <v>33</v>
      </c>
      <c r="F49">
        <v>2266</v>
      </c>
      <c r="G49">
        <v>126</v>
      </c>
      <c r="H49">
        <v>140</v>
      </c>
      <c r="I49">
        <v>53759</v>
      </c>
      <c r="J49">
        <v>46834</v>
      </c>
      <c r="K49">
        <v>277</v>
      </c>
      <c r="L49" t="s">
        <v>19</v>
      </c>
      <c r="N49" t="s">
        <v>20</v>
      </c>
    </row>
    <row r="50" spans="1:14">
      <c r="A50" t="s">
        <v>145</v>
      </c>
      <c r="B50" t="s">
        <v>13</v>
      </c>
      <c r="C50" s="30">
        <v>45762</v>
      </c>
      <c r="D50" t="s">
        <v>14</v>
      </c>
      <c r="E50" t="s">
        <v>18</v>
      </c>
      <c r="F50">
        <v>4177</v>
      </c>
      <c r="G50">
        <v>489</v>
      </c>
      <c r="H50">
        <v>331</v>
      </c>
      <c r="I50">
        <v>57451</v>
      </c>
      <c r="J50">
        <v>73793</v>
      </c>
      <c r="K50">
        <v>251</v>
      </c>
      <c r="L50" t="s">
        <v>19</v>
      </c>
      <c r="N50" t="s">
        <v>20</v>
      </c>
    </row>
    <row r="51" spans="1:14">
      <c r="A51" t="s">
        <v>143</v>
      </c>
      <c r="B51" t="s">
        <v>13</v>
      </c>
      <c r="C51" s="30">
        <v>45544</v>
      </c>
      <c r="D51" t="s">
        <v>14</v>
      </c>
      <c r="E51" t="s">
        <v>24</v>
      </c>
      <c r="F51">
        <v>1616</v>
      </c>
      <c r="G51">
        <v>360</v>
      </c>
      <c r="H51">
        <v>180</v>
      </c>
      <c r="I51">
        <v>54342</v>
      </c>
      <c r="J51">
        <v>18796</v>
      </c>
      <c r="K51">
        <v>282</v>
      </c>
      <c r="L51" t="s">
        <v>37</v>
      </c>
      <c r="M51" t="s">
        <v>34</v>
      </c>
      <c r="N51" t="s">
        <v>16</v>
      </c>
    </row>
    <row r="52" spans="1:14">
      <c r="A52" t="s">
        <v>142</v>
      </c>
      <c r="B52" t="s">
        <v>13</v>
      </c>
      <c r="C52" s="30">
        <v>45704</v>
      </c>
      <c r="D52" t="s">
        <v>14</v>
      </c>
      <c r="E52" t="s">
        <v>42</v>
      </c>
      <c r="F52">
        <v>1333</v>
      </c>
      <c r="G52">
        <v>286</v>
      </c>
      <c r="H52">
        <v>298</v>
      </c>
      <c r="I52">
        <v>36174</v>
      </c>
      <c r="J52">
        <v>34517</v>
      </c>
      <c r="K52">
        <v>170</v>
      </c>
      <c r="L52" t="s">
        <v>37</v>
      </c>
      <c r="M52" t="s">
        <v>34</v>
      </c>
      <c r="N52" t="s">
        <v>16</v>
      </c>
    </row>
    <row r="53" spans="1:14">
      <c r="A53" t="s">
        <v>140</v>
      </c>
      <c r="B53" t="s">
        <v>13</v>
      </c>
      <c r="C53" s="30">
        <v>45469</v>
      </c>
      <c r="D53" t="s">
        <v>14</v>
      </c>
      <c r="E53" t="s">
        <v>24</v>
      </c>
      <c r="F53">
        <v>3253</v>
      </c>
      <c r="G53">
        <v>483</v>
      </c>
      <c r="H53">
        <v>336</v>
      </c>
      <c r="I53">
        <v>25397</v>
      </c>
      <c r="J53">
        <v>51485</v>
      </c>
      <c r="K53">
        <v>131</v>
      </c>
      <c r="L53" t="s">
        <v>19</v>
      </c>
      <c r="N53" t="s">
        <v>20</v>
      </c>
    </row>
    <row r="54" spans="1:14">
      <c r="A54" t="s">
        <v>139</v>
      </c>
      <c r="B54" t="s">
        <v>13</v>
      </c>
      <c r="C54" s="30">
        <v>45617</v>
      </c>
      <c r="D54" t="s">
        <v>14</v>
      </c>
      <c r="E54" t="s">
        <v>361</v>
      </c>
      <c r="F54">
        <v>4581</v>
      </c>
      <c r="G54">
        <v>181</v>
      </c>
      <c r="H54">
        <v>112</v>
      </c>
      <c r="I54">
        <v>35221</v>
      </c>
      <c r="J54">
        <v>28797</v>
      </c>
      <c r="K54">
        <v>164</v>
      </c>
      <c r="L54" t="s">
        <v>37</v>
      </c>
      <c r="M54" t="s">
        <v>34</v>
      </c>
      <c r="N54" t="s">
        <v>16</v>
      </c>
    </row>
    <row r="55" spans="1:14">
      <c r="A55" t="s">
        <v>84</v>
      </c>
      <c r="B55" t="s">
        <v>13</v>
      </c>
      <c r="C55" s="30">
        <v>45722</v>
      </c>
      <c r="D55" t="s">
        <v>14</v>
      </c>
      <c r="E55" t="s">
        <v>30</v>
      </c>
      <c r="F55">
        <v>4851</v>
      </c>
      <c r="G55">
        <v>460</v>
      </c>
      <c r="H55">
        <v>212</v>
      </c>
      <c r="I55">
        <v>58075</v>
      </c>
      <c r="J55">
        <v>59574</v>
      </c>
      <c r="K55">
        <v>239</v>
      </c>
      <c r="L55" t="s">
        <v>19</v>
      </c>
      <c r="N55" t="s">
        <v>20</v>
      </c>
    </row>
    <row r="56" spans="1:14">
      <c r="A56" t="s">
        <v>133</v>
      </c>
      <c r="B56" t="s">
        <v>13</v>
      </c>
      <c r="C56" s="30">
        <v>45336</v>
      </c>
      <c r="D56" t="s">
        <v>14</v>
      </c>
      <c r="E56" t="s">
        <v>361</v>
      </c>
      <c r="F56">
        <v>1830</v>
      </c>
      <c r="G56">
        <v>112</v>
      </c>
      <c r="H56">
        <v>181</v>
      </c>
      <c r="I56">
        <v>31870</v>
      </c>
      <c r="J56">
        <v>55742</v>
      </c>
      <c r="K56">
        <v>263</v>
      </c>
      <c r="L56" t="s">
        <v>37</v>
      </c>
      <c r="M56" t="s">
        <v>34</v>
      </c>
      <c r="N56" t="s">
        <v>16</v>
      </c>
    </row>
    <row r="57" spans="1:14">
      <c r="A57" t="s">
        <v>130</v>
      </c>
      <c r="B57" t="s">
        <v>13</v>
      </c>
      <c r="C57" s="30">
        <v>45494</v>
      </c>
      <c r="D57" t="s">
        <v>14</v>
      </c>
      <c r="E57" t="s">
        <v>15</v>
      </c>
      <c r="F57">
        <v>3004</v>
      </c>
      <c r="G57">
        <v>415</v>
      </c>
      <c r="H57">
        <v>218</v>
      </c>
      <c r="I57">
        <v>36090</v>
      </c>
      <c r="J57">
        <v>37073</v>
      </c>
      <c r="K57">
        <v>181</v>
      </c>
      <c r="L57" t="s">
        <v>19</v>
      </c>
      <c r="N57" t="s">
        <v>20</v>
      </c>
    </row>
    <row r="58" spans="1:14">
      <c r="A58" t="s">
        <v>87</v>
      </c>
      <c r="B58" t="s">
        <v>13</v>
      </c>
      <c r="C58" s="30">
        <v>45299</v>
      </c>
      <c r="D58" t="s">
        <v>14</v>
      </c>
      <c r="E58" t="s">
        <v>33</v>
      </c>
      <c r="F58">
        <v>2683</v>
      </c>
      <c r="G58">
        <v>405</v>
      </c>
      <c r="H58">
        <v>223</v>
      </c>
      <c r="I58">
        <v>31233</v>
      </c>
      <c r="J58">
        <v>58106</v>
      </c>
      <c r="K58">
        <v>291</v>
      </c>
      <c r="L58" t="s">
        <v>19</v>
      </c>
      <c r="N58" t="s">
        <v>20</v>
      </c>
    </row>
    <row r="59" spans="1:14">
      <c r="A59" t="s">
        <v>127</v>
      </c>
      <c r="B59" t="s">
        <v>13</v>
      </c>
      <c r="C59" s="30">
        <v>45317</v>
      </c>
      <c r="D59" t="s">
        <v>14</v>
      </c>
      <c r="E59" t="s">
        <v>362</v>
      </c>
      <c r="F59">
        <v>3878</v>
      </c>
      <c r="G59">
        <v>431</v>
      </c>
      <c r="H59">
        <v>97</v>
      </c>
      <c r="I59">
        <v>41763</v>
      </c>
      <c r="J59">
        <v>29729</v>
      </c>
      <c r="K59">
        <v>191</v>
      </c>
      <c r="L59" t="s">
        <v>19</v>
      </c>
      <c r="N59" t="s">
        <v>20</v>
      </c>
    </row>
    <row r="60" spans="1:14">
      <c r="A60" t="s">
        <v>123</v>
      </c>
      <c r="B60" t="s">
        <v>13</v>
      </c>
      <c r="C60" s="30">
        <v>45351</v>
      </c>
      <c r="D60" t="s">
        <v>14</v>
      </c>
      <c r="E60" t="s">
        <v>363</v>
      </c>
      <c r="F60">
        <v>1100</v>
      </c>
      <c r="G60">
        <v>229</v>
      </c>
      <c r="H60">
        <v>312</v>
      </c>
      <c r="I60">
        <v>25641</v>
      </c>
      <c r="J60">
        <v>34601</v>
      </c>
      <c r="K60">
        <v>169</v>
      </c>
      <c r="L60" t="s">
        <v>19</v>
      </c>
      <c r="N60" t="s">
        <v>20</v>
      </c>
    </row>
    <row r="61" spans="1:14">
      <c r="A61" t="s">
        <v>119</v>
      </c>
      <c r="B61" t="s">
        <v>13</v>
      </c>
      <c r="C61" s="30">
        <v>45630</v>
      </c>
      <c r="D61" t="s">
        <v>14</v>
      </c>
      <c r="E61" t="s">
        <v>360</v>
      </c>
      <c r="F61">
        <v>2601</v>
      </c>
      <c r="G61">
        <v>336</v>
      </c>
      <c r="H61">
        <v>260</v>
      </c>
      <c r="I61">
        <v>32368</v>
      </c>
      <c r="J61">
        <v>49028</v>
      </c>
      <c r="K61">
        <v>120</v>
      </c>
      <c r="L61" t="s">
        <v>37</v>
      </c>
      <c r="M61" t="s">
        <v>34</v>
      </c>
      <c r="N61" t="s">
        <v>16</v>
      </c>
    </row>
    <row r="62" spans="1:14">
      <c r="A62" t="s">
        <v>115</v>
      </c>
      <c r="B62" t="s">
        <v>13</v>
      </c>
      <c r="C62" s="30">
        <v>45522</v>
      </c>
      <c r="D62" t="s">
        <v>14</v>
      </c>
      <c r="E62" t="s">
        <v>18</v>
      </c>
      <c r="F62">
        <v>2965</v>
      </c>
      <c r="G62">
        <v>328</v>
      </c>
      <c r="H62">
        <v>171</v>
      </c>
      <c r="I62">
        <v>57685</v>
      </c>
      <c r="J62">
        <v>67536</v>
      </c>
      <c r="K62">
        <v>264</v>
      </c>
      <c r="L62" t="s">
        <v>37</v>
      </c>
      <c r="M62" t="s">
        <v>34</v>
      </c>
      <c r="N62" t="s">
        <v>16</v>
      </c>
    </row>
    <row r="63" spans="1:14">
      <c r="A63" t="s">
        <v>112</v>
      </c>
      <c r="B63" t="s">
        <v>13</v>
      </c>
      <c r="C63" s="30">
        <v>45530</v>
      </c>
      <c r="D63" t="s">
        <v>14</v>
      </c>
      <c r="E63" t="s">
        <v>42</v>
      </c>
      <c r="F63">
        <v>2102</v>
      </c>
      <c r="G63">
        <v>181</v>
      </c>
      <c r="H63">
        <v>306</v>
      </c>
      <c r="I63">
        <v>43650</v>
      </c>
      <c r="J63">
        <v>50079</v>
      </c>
      <c r="K63">
        <v>182</v>
      </c>
      <c r="L63" t="s">
        <v>19</v>
      </c>
      <c r="N63" t="s">
        <v>20</v>
      </c>
    </row>
    <row r="64" spans="1:14">
      <c r="A64" t="s">
        <v>110</v>
      </c>
      <c r="B64" t="s">
        <v>13</v>
      </c>
      <c r="C64" s="30">
        <v>45825</v>
      </c>
      <c r="D64" t="s">
        <v>14</v>
      </c>
      <c r="E64" t="s">
        <v>361</v>
      </c>
      <c r="F64">
        <v>2284</v>
      </c>
      <c r="G64">
        <v>187</v>
      </c>
      <c r="H64">
        <v>260</v>
      </c>
      <c r="I64">
        <v>37400</v>
      </c>
      <c r="J64">
        <v>65014</v>
      </c>
      <c r="K64">
        <v>157</v>
      </c>
      <c r="L64" t="s">
        <v>37</v>
      </c>
      <c r="M64" t="s">
        <v>34</v>
      </c>
      <c r="N64" t="s">
        <v>16</v>
      </c>
    </row>
    <row r="65" spans="1:14">
      <c r="A65" t="s">
        <v>106</v>
      </c>
      <c r="B65" t="s">
        <v>13</v>
      </c>
      <c r="C65" s="30">
        <v>45487</v>
      </c>
      <c r="D65" t="s">
        <v>14</v>
      </c>
      <c r="E65" t="s">
        <v>360</v>
      </c>
      <c r="F65">
        <v>2464</v>
      </c>
      <c r="G65">
        <v>401</v>
      </c>
      <c r="H65">
        <v>78</v>
      </c>
      <c r="I65">
        <v>38665</v>
      </c>
      <c r="J65">
        <v>73593</v>
      </c>
      <c r="K65">
        <v>207</v>
      </c>
      <c r="L65" t="s">
        <v>19</v>
      </c>
      <c r="N65" t="s">
        <v>20</v>
      </c>
    </row>
    <row r="66" spans="1:14">
      <c r="A66" t="s">
        <v>102</v>
      </c>
      <c r="B66" t="s">
        <v>13</v>
      </c>
      <c r="C66" s="30">
        <v>45576</v>
      </c>
      <c r="D66" t="s">
        <v>14</v>
      </c>
      <c r="E66" t="s">
        <v>363</v>
      </c>
      <c r="F66">
        <v>1360</v>
      </c>
      <c r="G66">
        <v>249</v>
      </c>
      <c r="H66">
        <v>52</v>
      </c>
      <c r="I66">
        <v>20368</v>
      </c>
      <c r="J66">
        <v>42152</v>
      </c>
      <c r="K66">
        <v>193</v>
      </c>
      <c r="L66" t="s">
        <v>19</v>
      </c>
      <c r="N66" t="s">
        <v>20</v>
      </c>
    </row>
    <row r="67" spans="1:14">
      <c r="A67" t="s">
        <v>96</v>
      </c>
      <c r="B67" t="s">
        <v>13</v>
      </c>
      <c r="C67" s="30">
        <v>45763</v>
      </c>
      <c r="D67" t="s">
        <v>14</v>
      </c>
      <c r="E67" t="s">
        <v>360</v>
      </c>
      <c r="F67">
        <v>4836</v>
      </c>
      <c r="G67">
        <v>331</v>
      </c>
      <c r="H67">
        <v>140</v>
      </c>
      <c r="I67">
        <v>58792</v>
      </c>
      <c r="J67">
        <v>47711</v>
      </c>
      <c r="K67">
        <v>227</v>
      </c>
      <c r="L67" t="s">
        <v>37</v>
      </c>
      <c r="M67" t="s">
        <v>34</v>
      </c>
      <c r="N67" t="s">
        <v>16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01"/>
  <sheetViews>
    <sheetView zoomScale="70" zoomScaleNormal="70" workbookViewId="0">
      <selection activeCell="P17" sqref="P17"/>
    </sheetView>
  </sheetViews>
  <sheetFormatPr defaultColWidth="14.42578125" defaultRowHeight="15.75"/>
  <cols>
    <col min="1" max="1" width="10.42578125" style="2" customWidth="1"/>
    <col min="2" max="2" width="11.5703125" style="2" customWidth="1"/>
    <col min="3" max="3" width="11.5703125" style="6" customWidth="1"/>
    <col min="4" max="4" width="16.85546875" style="18" customWidth="1"/>
    <col min="5" max="5" width="41.28515625" style="18" customWidth="1"/>
    <col min="6" max="6" width="8.5703125" style="10" customWidth="1"/>
    <col min="7" max="7" width="10.28515625" style="10" customWidth="1"/>
    <col min="8" max="8" width="13.85546875" style="10" customWidth="1"/>
    <col min="9" max="9" width="15.42578125" style="10" customWidth="1"/>
    <col min="10" max="10" width="9.5703125" style="10" customWidth="1"/>
    <col min="11" max="11" width="9.28515625" style="10" customWidth="1"/>
    <col min="12" max="13" width="19.7109375" style="18" customWidth="1"/>
    <col min="14" max="14" width="20" style="18" customWidth="1"/>
    <col min="15" max="15" width="17.5703125" style="2" customWidth="1"/>
    <col min="16" max="16" width="13.28515625" style="15" bestFit="1" customWidth="1"/>
    <col min="17" max="17" width="12" style="15" bestFit="1" customWidth="1"/>
    <col min="18" max="18" width="17.42578125" style="15" bestFit="1" customWidth="1"/>
    <col min="19" max="19" width="13.5703125" style="13" bestFit="1" customWidth="1"/>
    <col min="20" max="28" width="8.7109375" style="2" customWidth="1"/>
    <col min="29" max="16384" width="14.42578125" style="2"/>
  </cols>
  <sheetData>
    <row r="1" spans="1:19" s="14" customFormat="1">
      <c r="A1" s="19" t="s">
        <v>0</v>
      </c>
      <c r="B1" s="19" t="s">
        <v>1</v>
      </c>
      <c r="C1" s="20" t="s">
        <v>2</v>
      </c>
      <c r="D1" s="19" t="s">
        <v>3</v>
      </c>
      <c r="E1" s="19" t="s">
        <v>4</v>
      </c>
      <c r="F1" s="21" t="s">
        <v>5</v>
      </c>
      <c r="G1" s="21" t="s">
        <v>6</v>
      </c>
      <c r="H1" s="21" t="s">
        <v>7</v>
      </c>
      <c r="I1" s="21" t="s">
        <v>8</v>
      </c>
      <c r="J1" s="21" t="s">
        <v>9</v>
      </c>
      <c r="K1" s="21" t="s">
        <v>10</v>
      </c>
      <c r="L1" s="19" t="s">
        <v>358</v>
      </c>
      <c r="M1" s="19" t="s">
        <v>359</v>
      </c>
      <c r="N1" s="19" t="s">
        <v>11</v>
      </c>
      <c r="O1" s="19"/>
      <c r="P1" s="24"/>
      <c r="Q1" s="24"/>
      <c r="R1" s="24"/>
      <c r="S1" s="22"/>
    </row>
    <row r="2" spans="1:19">
      <c r="A2" s="1" t="s">
        <v>12</v>
      </c>
      <c r="B2" s="1" t="s">
        <v>13</v>
      </c>
      <c r="C2" s="5">
        <v>45781</v>
      </c>
      <c r="D2" s="16" t="s">
        <v>14</v>
      </c>
      <c r="E2" s="17" t="s">
        <v>15</v>
      </c>
      <c r="F2" s="9">
        <v>2414</v>
      </c>
      <c r="G2" s="9">
        <v>245</v>
      </c>
      <c r="H2" s="9">
        <v>137</v>
      </c>
      <c r="I2" s="9">
        <v>21181</v>
      </c>
      <c r="J2" s="9">
        <v>45292</v>
      </c>
      <c r="K2" s="9">
        <v>133</v>
      </c>
      <c r="L2" s="16" t="s">
        <v>37</v>
      </c>
      <c r="M2" s="16" t="s">
        <v>34</v>
      </c>
      <c r="N2" s="16" t="s">
        <v>16</v>
      </c>
      <c r="O2" s="1"/>
      <c r="P2" s="24"/>
      <c r="Q2" s="24"/>
      <c r="R2" s="24"/>
    </row>
    <row r="3" spans="1:19" ht="15">
      <c r="A3" s="1" t="s">
        <v>17</v>
      </c>
      <c r="B3" s="1" t="s">
        <v>13</v>
      </c>
      <c r="C3" s="5">
        <v>45689</v>
      </c>
      <c r="D3" s="16" t="s">
        <v>14</v>
      </c>
      <c r="E3" s="17" t="s">
        <v>18</v>
      </c>
      <c r="F3" s="9">
        <v>1934</v>
      </c>
      <c r="G3" s="9">
        <v>210</v>
      </c>
      <c r="H3" s="9">
        <v>393</v>
      </c>
      <c r="I3" s="9">
        <v>29129</v>
      </c>
      <c r="J3" s="9">
        <v>73287</v>
      </c>
      <c r="K3" s="9">
        <v>273</v>
      </c>
      <c r="L3" s="16" t="s">
        <v>19</v>
      </c>
      <c r="M3" s="16"/>
      <c r="N3" s="16" t="s">
        <v>20</v>
      </c>
      <c r="O3" s="1"/>
      <c r="P3"/>
      <c r="Q3"/>
      <c r="R3"/>
      <c r="S3"/>
    </row>
    <row r="4" spans="1:19" ht="15">
      <c r="A4" s="1" t="s">
        <v>21</v>
      </c>
      <c r="B4" s="1" t="s">
        <v>22</v>
      </c>
      <c r="C4" s="5">
        <v>45629</v>
      </c>
      <c r="D4" s="16" t="s">
        <v>23</v>
      </c>
      <c r="E4" s="17" t="s">
        <v>24</v>
      </c>
      <c r="F4" s="9">
        <v>3092</v>
      </c>
      <c r="G4" s="9">
        <v>177</v>
      </c>
      <c r="H4" s="9">
        <v>81</v>
      </c>
      <c r="I4" s="9">
        <v>47533</v>
      </c>
      <c r="J4" s="9">
        <v>29220</v>
      </c>
      <c r="K4" s="9">
        <v>121</v>
      </c>
      <c r="L4" s="16" t="s">
        <v>364</v>
      </c>
      <c r="M4" s="16" t="s">
        <v>34</v>
      </c>
      <c r="N4" s="16" t="s">
        <v>16</v>
      </c>
      <c r="O4" s="1"/>
      <c r="P4"/>
      <c r="Q4"/>
      <c r="R4"/>
      <c r="S4"/>
    </row>
    <row r="5" spans="1:19" ht="30">
      <c r="A5" s="1" t="s">
        <v>25</v>
      </c>
      <c r="B5" s="1" t="s">
        <v>13</v>
      </c>
      <c r="C5" s="5">
        <v>45629</v>
      </c>
      <c r="D5" s="16" t="s">
        <v>14</v>
      </c>
      <c r="E5" s="17" t="s">
        <v>360</v>
      </c>
      <c r="F5" s="9">
        <v>3173</v>
      </c>
      <c r="G5" s="9">
        <v>229</v>
      </c>
      <c r="H5" s="9">
        <v>197</v>
      </c>
      <c r="I5" s="9">
        <v>29604</v>
      </c>
      <c r="J5" s="9">
        <v>21809</v>
      </c>
      <c r="K5" s="9">
        <v>272</v>
      </c>
      <c r="L5" s="16" t="s">
        <v>37</v>
      </c>
      <c r="M5" s="16" t="s">
        <v>34</v>
      </c>
      <c r="N5" s="16" t="s">
        <v>16</v>
      </c>
      <c r="O5" s="1"/>
      <c r="P5"/>
      <c r="Q5"/>
      <c r="R5"/>
      <c r="S5"/>
    </row>
    <row r="6" spans="1:19" ht="15">
      <c r="A6" s="1" t="s">
        <v>26</v>
      </c>
      <c r="B6" s="1" t="s">
        <v>27</v>
      </c>
      <c r="C6" s="5">
        <v>45388</v>
      </c>
      <c r="D6" s="16" t="s">
        <v>14</v>
      </c>
      <c r="E6" s="17" t="s">
        <v>361</v>
      </c>
      <c r="F6" s="9">
        <v>2748</v>
      </c>
      <c r="G6" s="9">
        <v>145</v>
      </c>
      <c r="H6" s="9">
        <v>315</v>
      </c>
      <c r="I6" s="9">
        <v>24401</v>
      </c>
      <c r="J6" s="9">
        <v>61182</v>
      </c>
      <c r="K6" s="9">
        <v>200</v>
      </c>
      <c r="L6" s="16" t="s">
        <v>19</v>
      </c>
      <c r="M6" s="16" t="s">
        <v>365</v>
      </c>
      <c r="N6" s="16" t="s">
        <v>20</v>
      </c>
      <c r="O6" s="1"/>
      <c r="P6"/>
      <c r="Q6"/>
      <c r="R6"/>
      <c r="S6"/>
    </row>
    <row r="7" spans="1:19" ht="15">
      <c r="A7" s="1" t="s">
        <v>28</v>
      </c>
      <c r="B7" s="1" t="s">
        <v>27</v>
      </c>
      <c r="C7" s="5">
        <v>45456</v>
      </c>
      <c r="D7" s="16" t="s">
        <v>14</v>
      </c>
      <c r="E7" s="17" t="s">
        <v>362</v>
      </c>
      <c r="F7" s="9">
        <v>3882</v>
      </c>
      <c r="G7" s="9">
        <v>239</v>
      </c>
      <c r="H7" s="9">
        <v>275</v>
      </c>
      <c r="I7" s="9">
        <v>58748</v>
      </c>
      <c r="J7" s="9">
        <v>44646</v>
      </c>
      <c r="K7" s="9">
        <v>149</v>
      </c>
      <c r="L7" s="16" t="s">
        <v>19</v>
      </c>
      <c r="M7" s="16" t="s">
        <v>365</v>
      </c>
      <c r="N7" s="16" t="s">
        <v>20</v>
      </c>
      <c r="O7" s="1"/>
      <c r="P7"/>
      <c r="Q7"/>
      <c r="R7"/>
      <c r="S7"/>
    </row>
    <row r="8" spans="1:19" ht="15">
      <c r="A8" s="1" t="s">
        <v>29</v>
      </c>
      <c r="B8" s="1" t="s">
        <v>22</v>
      </c>
      <c r="C8" s="5">
        <v>45645</v>
      </c>
      <c r="D8" s="16" t="s">
        <v>23</v>
      </c>
      <c r="E8" s="17" t="s">
        <v>30</v>
      </c>
      <c r="F8" s="9">
        <v>4674</v>
      </c>
      <c r="G8" s="9">
        <v>409</v>
      </c>
      <c r="H8" s="9">
        <v>327</v>
      </c>
      <c r="I8" s="9">
        <v>20756</v>
      </c>
      <c r="J8" s="9">
        <v>63599</v>
      </c>
      <c r="K8" s="9">
        <v>212</v>
      </c>
      <c r="L8" s="16" t="s">
        <v>37</v>
      </c>
      <c r="M8" s="16" t="s">
        <v>34</v>
      </c>
      <c r="N8" s="16" t="s">
        <v>16</v>
      </c>
      <c r="O8" s="1"/>
      <c r="P8"/>
      <c r="Q8"/>
      <c r="R8"/>
      <c r="S8"/>
    </row>
    <row r="9" spans="1:19" ht="30">
      <c r="A9" s="1" t="s">
        <v>31</v>
      </c>
      <c r="B9" s="1" t="s">
        <v>22</v>
      </c>
      <c r="C9" s="5">
        <v>45421</v>
      </c>
      <c r="D9" s="16" t="s">
        <v>23</v>
      </c>
      <c r="E9" s="17" t="s">
        <v>360</v>
      </c>
      <c r="F9" s="9">
        <v>1428</v>
      </c>
      <c r="G9" s="9">
        <v>347</v>
      </c>
      <c r="H9" s="9">
        <v>67</v>
      </c>
      <c r="I9" s="9">
        <v>21148</v>
      </c>
      <c r="J9" s="9">
        <v>19712</v>
      </c>
      <c r="K9" s="9">
        <v>120</v>
      </c>
      <c r="L9" s="16" t="s">
        <v>19</v>
      </c>
      <c r="M9" s="16" t="s">
        <v>364</v>
      </c>
      <c r="N9" s="16" t="s">
        <v>16</v>
      </c>
      <c r="O9" s="1"/>
      <c r="P9"/>
      <c r="Q9"/>
      <c r="R9"/>
      <c r="S9"/>
    </row>
    <row r="10" spans="1:19" ht="15">
      <c r="A10" s="1" t="s">
        <v>32</v>
      </c>
      <c r="B10" s="1" t="s">
        <v>22</v>
      </c>
      <c r="C10" s="5">
        <v>45823</v>
      </c>
      <c r="D10" s="16" t="s">
        <v>14</v>
      </c>
      <c r="E10" s="17" t="s">
        <v>33</v>
      </c>
      <c r="F10" s="9">
        <v>4432</v>
      </c>
      <c r="G10" s="9">
        <v>223</v>
      </c>
      <c r="H10" s="9">
        <v>299</v>
      </c>
      <c r="I10" s="9">
        <v>59016</v>
      </c>
      <c r="J10" s="9">
        <v>21742</v>
      </c>
      <c r="K10" s="9">
        <v>171</v>
      </c>
      <c r="L10" s="16" t="s">
        <v>34</v>
      </c>
      <c r="M10" s="16"/>
      <c r="N10" s="16" t="s">
        <v>16</v>
      </c>
      <c r="O10" s="1"/>
      <c r="P10"/>
      <c r="Q10"/>
      <c r="R10"/>
      <c r="S10"/>
    </row>
    <row r="11" spans="1:19" ht="30">
      <c r="A11" s="1" t="s">
        <v>35</v>
      </c>
      <c r="B11" s="1" t="s">
        <v>22</v>
      </c>
      <c r="C11" s="5">
        <v>45630</v>
      </c>
      <c r="D11" s="16" t="s">
        <v>14</v>
      </c>
      <c r="E11" s="17" t="s">
        <v>360</v>
      </c>
      <c r="F11" s="9">
        <v>2357</v>
      </c>
      <c r="G11" s="9">
        <v>274</v>
      </c>
      <c r="H11" s="9">
        <v>172</v>
      </c>
      <c r="I11" s="9">
        <v>21566</v>
      </c>
      <c r="J11" s="9">
        <v>66829</v>
      </c>
      <c r="K11" s="9">
        <v>284</v>
      </c>
      <c r="L11" s="16" t="s">
        <v>34</v>
      </c>
      <c r="M11" s="16"/>
      <c r="N11" s="16" t="s">
        <v>16</v>
      </c>
      <c r="O11" s="1"/>
      <c r="P11"/>
      <c r="Q11"/>
      <c r="R11"/>
      <c r="S11"/>
    </row>
    <row r="12" spans="1:19" ht="15">
      <c r="A12" s="1" t="s">
        <v>36</v>
      </c>
      <c r="B12" s="1" t="s">
        <v>22</v>
      </c>
      <c r="C12" s="5">
        <v>45357</v>
      </c>
      <c r="D12" s="16" t="s">
        <v>14</v>
      </c>
      <c r="E12" s="17" t="s">
        <v>15</v>
      </c>
      <c r="F12" s="9">
        <v>1971</v>
      </c>
      <c r="G12" s="9">
        <v>370</v>
      </c>
      <c r="H12" s="9">
        <v>306</v>
      </c>
      <c r="I12" s="9">
        <v>31316</v>
      </c>
      <c r="J12" s="9">
        <v>27897</v>
      </c>
      <c r="K12" s="9">
        <v>88</v>
      </c>
      <c r="L12" s="16" t="s">
        <v>37</v>
      </c>
      <c r="M12" s="16"/>
      <c r="N12" s="16" t="s">
        <v>20</v>
      </c>
      <c r="O12" s="1"/>
      <c r="P12"/>
      <c r="Q12"/>
      <c r="R12"/>
      <c r="S12"/>
    </row>
    <row r="13" spans="1:19" ht="15">
      <c r="A13" s="1" t="s">
        <v>38</v>
      </c>
      <c r="B13" s="1" t="s">
        <v>13</v>
      </c>
      <c r="C13" s="5">
        <v>45426</v>
      </c>
      <c r="D13" s="16" t="s">
        <v>14</v>
      </c>
      <c r="E13" s="17" t="s">
        <v>15</v>
      </c>
      <c r="F13" s="9">
        <v>1485</v>
      </c>
      <c r="G13" s="9">
        <v>353</v>
      </c>
      <c r="H13" s="9">
        <v>244</v>
      </c>
      <c r="I13" s="9">
        <v>38419</v>
      </c>
      <c r="J13" s="9">
        <v>38556</v>
      </c>
      <c r="K13" s="9">
        <v>86</v>
      </c>
      <c r="L13" s="16" t="s">
        <v>37</v>
      </c>
      <c r="M13" s="16" t="s">
        <v>34</v>
      </c>
      <c r="N13" s="16" t="s">
        <v>16</v>
      </c>
      <c r="O13" s="1"/>
      <c r="P13"/>
      <c r="Q13"/>
      <c r="R13"/>
      <c r="S13"/>
    </row>
    <row r="14" spans="1:19" ht="15">
      <c r="A14" s="1" t="s">
        <v>39</v>
      </c>
      <c r="B14" s="1" t="s">
        <v>22</v>
      </c>
      <c r="C14" s="5">
        <v>45826</v>
      </c>
      <c r="D14" s="16" t="s">
        <v>23</v>
      </c>
      <c r="E14" s="17" t="s">
        <v>15</v>
      </c>
      <c r="F14" s="9">
        <v>3956</v>
      </c>
      <c r="G14" s="9">
        <v>319</v>
      </c>
      <c r="H14" s="9">
        <v>61</v>
      </c>
      <c r="I14" s="9">
        <v>58162</v>
      </c>
      <c r="J14" s="9">
        <v>28720</v>
      </c>
      <c r="K14" s="9">
        <v>213</v>
      </c>
      <c r="L14" s="16" t="s">
        <v>364</v>
      </c>
      <c r="M14" s="16" t="s">
        <v>34</v>
      </c>
      <c r="N14" s="16" t="s">
        <v>16</v>
      </c>
      <c r="O14" s="1"/>
      <c r="P14"/>
      <c r="Q14"/>
      <c r="R14"/>
    </row>
    <row r="15" spans="1:19" ht="15">
      <c r="A15" s="1" t="s">
        <v>40</v>
      </c>
      <c r="B15" s="1" t="s">
        <v>22</v>
      </c>
      <c r="C15" s="5">
        <v>45573</v>
      </c>
      <c r="D15" s="16" t="s">
        <v>14</v>
      </c>
      <c r="E15" s="17" t="s">
        <v>363</v>
      </c>
      <c r="F15" s="9">
        <v>2460</v>
      </c>
      <c r="G15" s="9">
        <v>409</v>
      </c>
      <c r="H15" s="9">
        <v>253</v>
      </c>
      <c r="I15" s="9">
        <v>36702</v>
      </c>
      <c r="J15" s="9">
        <v>46122</v>
      </c>
      <c r="K15" s="9">
        <v>264</v>
      </c>
      <c r="L15" s="16" t="s">
        <v>34</v>
      </c>
      <c r="M15" s="16"/>
      <c r="N15" s="16" t="s">
        <v>16</v>
      </c>
      <c r="O15" s="1"/>
      <c r="P15"/>
      <c r="Q15"/>
      <c r="R15"/>
    </row>
    <row r="16" spans="1:19" ht="15">
      <c r="A16" s="1" t="s">
        <v>41</v>
      </c>
      <c r="B16" s="1" t="s">
        <v>22</v>
      </c>
      <c r="C16" s="5">
        <v>45418</v>
      </c>
      <c r="D16" s="16" t="s">
        <v>14</v>
      </c>
      <c r="E16" s="17" t="s">
        <v>42</v>
      </c>
      <c r="F16" s="9">
        <v>3476</v>
      </c>
      <c r="G16" s="9">
        <v>355</v>
      </c>
      <c r="H16" s="9">
        <v>396</v>
      </c>
      <c r="I16" s="9">
        <v>37492</v>
      </c>
      <c r="J16" s="9">
        <v>27285</v>
      </c>
      <c r="K16" s="9">
        <v>179</v>
      </c>
      <c r="L16" s="16" t="s">
        <v>34</v>
      </c>
      <c r="M16" s="16"/>
      <c r="N16" s="16" t="s">
        <v>16</v>
      </c>
      <c r="O16" s="1"/>
      <c r="P16"/>
      <c r="Q16"/>
      <c r="R16"/>
    </row>
    <row r="17" spans="1:18" ht="15">
      <c r="A17" s="1" t="s">
        <v>43</v>
      </c>
      <c r="B17" s="1" t="s">
        <v>22</v>
      </c>
      <c r="C17" s="5">
        <v>45655</v>
      </c>
      <c r="D17" s="16" t="s">
        <v>23</v>
      </c>
      <c r="E17" s="17" t="s">
        <v>24</v>
      </c>
      <c r="F17" s="9">
        <v>4049</v>
      </c>
      <c r="G17" s="9">
        <v>377</v>
      </c>
      <c r="H17" s="9">
        <v>94</v>
      </c>
      <c r="I17" s="9">
        <v>48182</v>
      </c>
      <c r="J17" s="9">
        <v>42875</v>
      </c>
      <c r="K17" s="9">
        <v>172</v>
      </c>
      <c r="L17" s="16" t="s">
        <v>364</v>
      </c>
      <c r="M17" s="16" t="s">
        <v>34</v>
      </c>
      <c r="N17" s="16" t="s">
        <v>16</v>
      </c>
      <c r="O17" s="1"/>
      <c r="P17"/>
      <c r="Q17"/>
      <c r="R17"/>
    </row>
    <row r="18" spans="1:18" ht="15">
      <c r="A18" s="1" t="s">
        <v>44</v>
      </c>
      <c r="B18" s="1" t="s">
        <v>22</v>
      </c>
      <c r="C18" s="5">
        <v>45453</v>
      </c>
      <c r="D18" s="16" t="s">
        <v>14</v>
      </c>
      <c r="E18" s="17" t="s">
        <v>362</v>
      </c>
      <c r="F18" s="9">
        <v>1514</v>
      </c>
      <c r="G18" s="9">
        <v>164</v>
      </c>
      <c r="H18" s="9">
        <v>275</v>
      </c>
      <c r="I18" s="9">
        <v>41364</v>
      </c>
      <c r="J18" s="9">
        <v>44389</v>
      </c>
      <c r="K18" s="9">
        <v>83</v>
      </c>
      <c r="L18" s="16" t="s">
        <v>34</v>
      </c>
      <c r="M18" s="16"/>
      <c r="N18" s="16" t="s">
        <v>16</v>
      </c>
      <c r="O18" s="1"/>
      <c r="P18"/>
      <c r="Q18"/>
      <c r="R18"/>
    </row>
    <row r="19" spans="1:18" ht="15">
      <c r="A19" s="1" t="s">
        <v>45</v>
      </c>
      <c r="B19" s="1" t="s">
        <v>13</v>
      </c>
      <c r="C19" s="5">
        <v>45325</v>
      </c>
      <c r="D19" s="16" t="s">
        <v>23</v>
      </c>
      <c r="E19" s="17" t="s">
        <v>361</v>
      </c>
      <c r="F19" s="9">
        <v>4281</v>
      </c>
      <c r="G19" s="9">
        <v>101</v>
      </c>
      <c r="H19" s="9">
        <v>163</v>
      </c>
      <c r="I19" s="9">
        <v>32278</v>
      </c>
      <c r="J19" s="9">
        <v>53382</v>
      </c>
      <c r="K19" s="9">
        <v>235</v>
      </c>
      <c r="L19" s="16" t="s">
        <v>34</v>
      </c>
      <c r="M19" s="16"/>
      <c r="N19" s="16" t="s">
        <v>46</v>
      </c>
      <c r="O19" s="1"/>
      <c r="P19"/>
      <c r="Q19"/>
      <c r="R19"/>
    </row>
    <row r="20" spans="1:18" ht="15">
      <c r="A20" s="1" t="s">
        <v>47</v>
      </c>
      <c r="B20" s="1" t="s">
        <v>27</v>
      </c>
      <c r="C20" s="5">
        <v>45458</v>
      </c>
      <c r="D20" s="16" t="s">
        <v>48</v>
      </c>
      <c r="E20" s="17" t="s">
        <v>30</v>
      </c>
      <c r="F20" s="9">
        <v>1751</v>
      </c>
      <c r="G20" s="9">
        <v>143</v>
      </c>
      <c r="H20" s="9">
        <v>151</v>
      </c>
      <c r="I20" s="9">
        <v>31826</v>
      </c>
      <c r="J20" s="9">
        <v>47729</v>
      </c>
      <c r="K20" s="9">
        <v>95</v>
      </c>
      <c r="L20" s="16" t="s">
        <v>19</v>
      </c>
      <c r="M20" s="16" t="s">
        <v>37</v>
      </c>
      <c r="N20" s="16" t="s">
        <v>49</v>
      </c>
      <c r="O20" s="1"/>
      <c r="P20"/>
      <c r="Q20"/>
      <c r="R20"/>
    </row>
    <row r="21" spans="1:18">
      <c r="A21" s="1" t="s">
        <v>50</v>
      </c>
      <c r="B21" s="1" t="s">
        <v>13</v>
      </c>
      <c r="C21" s="5">
        <v>45478</v>
      </c>
      <c r="D21" s="16" t="s">
        <v>14</v>
      </c>
      <c r="E21" s="17" t="s">
        <v>42</v>
      </c>
      <c r="F21" s="9">
        <v>3753</v>
      </c>
      <c r="G21" s="9">
        <v>411</v>
      </c>
      <c r="H21" s="9">
        <v>308</v>
      </c>
      <c r="I21" s="9">
        <v>29138</v>
      </c>
      <c r="J21" s="9">
        <v>27678</v>
      </c>
      <c r="K21" s="9">
        <v>90</v>
      </c>
      <c r="L21" s="16" t="s">
        <v>19</v>
      </c>
      <c r="M21" s="16"/>
      <c r="N21" s="16" t="s">
        <v>20</v>
      </c>
      <c r="O21" s="1"/>
    </row>
    <row r="22" spans="1:18" ht="30">
      <c r="A22" s="1" t="s">
        <v>51</v>
      </c>
      <c r="B22" s="1" t="s">
        <v>13</v>
      </c>
      <c r="C22" s="5">
        <v>45603</v>
      </c>
      <c r="D22" s="16" t="s">
        <v>23</v>
      </c>
      <c r="E22" s="17" t="s">
        <v>360</v>
      </c>
      <c r="F22" s="9">
        <v>1678</v>
      </c>
      <c r="G22" s="9">
        <v>423</v>
      </c>
      <c r="H22" s="9">
        <v>323</v>
      </c>
      <c r="I22" s="9">
        <v>55668</v>
      </c>
      <c r="J22" s="9">
        <v>37945</v>
      </c>
      <c r="K22" s="9">
        <v>230</v>
      </c>
      <c r="L22" s="16" t="s">
        <v>34</v>
      </c>
      <c r="M22" s="16"/>
      <c r="N22" s="16" t="s">
        <v>46</v>
      </c>
      <c r="O22" s="1"/>
    </row>
    <row r="23" spans="1:18">
      <c r="A23" s="1" t="s">
        <v>52</v>
      </c>
      <c r="B23" s="1" t="s">
        <v>13</v>
      </c>
      <c r="C23" s="5">
        <v>45823</v>
      </c>
      <c r="D23" s="16" t="s">
        <v>14</v>
      </c>
      <c r="E23" s="17" t="s">
        <v>362</v>
      </c>
      <c r="F23" s="9">
        <v>4896</v>
      </c>
      <c r="G23" s="9">
        <v>466</v>
      </c>
      <c r="H23" s="9">
        <v>233</v>
      </c>
      <c r="I23" s="9">
        <v>28621</v>
      </c>
      <c r="J23" s="9">
        <v>34270</v>
      </c>
      <c r="K23" s="9">
        <v>84</v>
      </c>
      <c r="L23" s="16" t="s">
        <v>37</v>
      </c>
      <c r="M23" s="16" t="s">
        <v>34</v>
      </c>
      <c r="N23" s="16" t="s">
        <v>16</v>
      </c>
      <c r="O23" s="1"/>
    </row>
    <row r="24" spans="1:18">
      <c r="A24" s="1" t="s">
        <v>53</v>
      </c>
      <c r="B24" s="1" t="s">
        <v>27</v>
      </c>
      <c r="C24" s="5">
        <v>45452</v>
      </c>
      <c r="D24" s="16" t="s">
        <v>48</v>
      </c>
      <c r="E24" s="17" t="s">
        <v>363</v>
      </c>
      <c r="F24" s="9">
        <v>2786</v>
      </c>
      <c r="G24" s="9">
        <v>368</v>
      </c>
      <c r="H24" s="9">
        <v>208</v>
      </c>
      <c r="I24" s="9">
        <v>42000</v>
      </c>
      <c r="J24" s="9">
        <v>39967</v>
      </c>
      <c r="K24" s="9">
        <v>103</v>
      </c>
      <c r="L24" s="16" t="s">
        <v>19</v>
      </c>
      <c r="M24" s="16" t="s">
        <v>37</v>
      </c>
      <c r="N24" s="16" t="s">
        <v>49</v>
      </c>
      <c r="O24" s="1"/>
    </row>
    <row r="25" spans="1:18">
      <c r="A25" s="1" t="s">
        <v>54</v>
      </c>
      <c r="B25" s="1" t="s">
        <v>22</v>
      </c>
      <c r="C25" s="5">
        <v>45583</v>
      </c>
      <c r="D25" s="16" t="s">
        <v>14</v>
      </c>
      <c r="E25" s="17" t="s">
        <v>24</v>
      </c>
      <c r="F25" s="9">
        <v>2607</v>
      </c>
      <c r="G25" s="9">
        <v>379</v>
      </c>
      <c r="H25" s="9">
        <v>180</v>
      </c>
      <c r="I25" s="9">
        <v>28712</v>
      </c>
      <c r="J25" s="9">
        <v>61620</v>
      </c>
      <c r="K25" s="9">
        <v>174</v>
      </c>
      <c r="L25" s="16" t="s">
        <v>37</v>
      </c>
      <c r="M25" s="16"/>
      <c r="N25" s="16" t="s">
        <v>20</v>
      </c>
      <c r="O25" s="1"/>
    </row>
    <row r="26" spans="1:18">
      <c r="A26" s="1" t="s">
        <v>55</v>
      </c>
      <c r="B26" s="1" t="s">
        <v>27</v>
      </c>
      <c r="C26" s="5">
        <v>45575</v>
      </c>
      <c r="D26" s="16" t="s">
        <v>48</v>
      </c>
      <c r="E26" s="17" t="s">
        <v>363</v>
      </c>
      <c r="F26" s="9">
        <v>4013</v>
      </c>
      <c r="G26" s="9">
        <v>320</v>
      </c>
      <c r="H26" s="9">
        <v>92</v>
      </c>
      <c r="I26" s="9">
        <v>54605</v>
      </c>
      <c r="J26" s="9">
        <v>60169</v>
      </c>
      <c r="K26" s="9">
        <v>232</v>
      </c>
      <c r="L26" s="16" t="s">
        <v>19</v>
      </c>
      <c r="M26" s="16" t="s">
        <v>37</v>
      </c>
      <c r="N26" s="16" t="s">
        <v>49</v>
      </c>
      <c r="O26" s="1"/>
    </row>
    <row r="27" spans="1:18">
      <c r="A27" s="1" t="s">
        <v>56</v>
      </c>
      <c r="B27" s="1" t="s">
        <v>22</v>
      </c>
      <c r="C27" s="5">
        <v>45791</v>
      </c>
      <c r="D27" s="16" t="s">
        <v>23</v>
      </c>
      <c r="E27" s="17" t="s">
        <v>363</v>
      </c>
      <c r="F27" s="9">
        <v>2707</v>
      </c>
      <c r="G27" s="9">
        <v>103</v>
      </c>
      <c r="H27" s="9">
        <v>51</v>
      </c>
      <c r="I27" s="9">
        <v>55302</v>
      </c>
      <c r="J27" s="9">
        <v>18801</v>
      </c>
      <c r="K27" s="9">
        <v>147</v>
      </c>
      <c r="L27" s="16" t="s">
        <v>19</v>
      </c>
      <c r="M27" s="16" t="s">
        <v>364</v>
      </c>
      <c r="N27" s="16" t="s">
        <v>16</v>
      </c>
      <c r="O27" s="1"/>
    </row>
    <row r="28" spans="1:18">
      <c r="A28" s="1" t="s">
        <v>57</v>
      </c>
      <c r="B28" s="1" t="s">
        <v>13</v>
      </c>
      <c r="C28" s="5">
        <v>45625</v>
      </c>
      <c r="D28" s="16" t="s">
        <v>14</v>
      </c>
      <c r="E28" s="17" t="s">
        <v>362</v>
      </c>
      <c r="F28" s="9">
        <v>2824</v>
      </c>
      <c r="G28" s="9">
        <v>425</v>
      </c>
      <c r="H28" s="9">
        <v>274</v>
      </c>
      <c r="I28" s="9">
        <v>31004</v>
      </c>
      <c r="J28" s="9">
        <v>53488</v>
      </c>
      <c r="K28" s="9">
        <v>268</v>
      </c>
      <c r="L28" s="16" t="s">
        <v>37</v>
      </c>
      <c r="M28" s="16" t="s">
        <v>34</v>
      </c>
      <c r="N28" s="16" t="s">
        <v>16</v>
      </c>
      <c r="O28" s="1"/>
    </row>
    <row r="29" spans="1:18">
      <c r="A29" s="1" t="s">
        <v>58</v>
      </c>
      <c r="B29" s="1" t="s">
        <v>27</v>
      </c>
      <c r="C29" s="5">
        <v>45356</v>
      </c>
      <c r="D29" s="16" t="s">
        <v>48</v>
      </c>
      <c r="E29" s="17" t="s">
        <v>18</v>
      </c>
      <c r="F29" s="9">
        <v>3558</v>
      </c>
      <c r="G29" s="9">
        <v>314</v>
      </c>
      <c r="H29" s="9">
        <v>199</v>
      </c>
      <c r="I29" s="9">
        <v>49612</v>
      </c>
      <c r="J29" s="9">
        <v>53929</v>
      </c>
      <c r="K29" s="9">
        <v>206</v>
      </c>
      <c r="L29" s="16" t="s">
        <v>19</v>
      </c>
      <c r="M29" s="16" t="s">
        <v>37</v>
      </c>
      <c r="N29" s="16" t="s">
        <v>49</v>
      </c>
      <c r="O29" s="1"/>
    </row>
    <row r="30" spans="1:18">
      <c r="A30" s="1" t="s">
        <v>59</v>
      </c>
      <c r="B30" s="1" t="s">
        <v>22</v>
      </c>
      <c r="C30" s="5">
        <v>45734</v>
      </c>
      <c r="D30" s="16" t="s">
        <v>23</v>
      </c>
      <c r="E30" s="17" t="s">
        <v>18</v>
      </c>
      <c r="F30" s="9">
        <v>3418</v>
      </c>
      <c r="G30" s="9">
        <v>188</v>
      </c>
      <c r="H30" s="9">
        <v>387</v>
      </c>
      <c r="I30" s="9">
        <v>57431</v>
      </c>
      <c r="J30" s="9">
        <v>36933</v>
      </c>
      <c r="K30" s="9">
        <v>202</v>
      </c>
      <c r="L30" s="16" t="s">
        <v>364</v>
      </c>
      <c r="M30" s="16" t="s">
        <v>34</v>
      </c>
      <c r="N30" s="16" t="s">
        <v>16</v>
      </c>
      <c r="O30" s="1"/>
    </row>
    <row r="31" spans="1:18">
      <c r="A31" s="1" t="s">
        <v>60</v>
      </c>
      <c r="B31" s="1" t="s">
        <v>22</v>
      </c>
      <c r="C31" s="5">
        <v>45773</v>
      </c>
      <c r="D31" s="16" t="s">
        <v>14</v>
      </c>
      <c r="E31" s="17" t="s">
        <v>15</v>
      </c>
      <c r="F31" s="9">
        <v>2411</v>
      </c>
      <c r="G31" s="9">
        <v>194</v>
      </c>
      <c r="H31" s="9">
        <v>168</v>
      </c>
      <c r="I31" s="9">
        <v>26665</v>
      </c>
      <c r="J31" s="9">
        <v>71699</v>
      </c>
      <c r="K31" s="9">
        <v>197</v>
      </c>
      <c r="L31" s="16" t="s">
        <v>34</v>
      </c>
      <c r="M31" s="16"/>
      <c r="N31" s="16" t="s">
        <v>16</v>
      </c>
      <c r="O31" s="1"/>
    </row>
    <row r="32" spans="1:18">
      <c r="A32" s="1" t="s">
        <v>61</v>
      </c>
      <c r="B32" s="1" t="s">
        <v>13</v>
      </c>
      <c r="C32" s="5">
        <v>45658</v>
      </c>
      <c r="D32" s="16" t="s">
        <v>14</v>
      </c>
      <c r="E32" s="17" t="s">
        <v>24</v>
      </c>
      <c r="F32" s="9">
        <v>4036</v>
      </c>
      <c r="G32" s="9">
        <v>112</v>
      </c>
      <c r="H32" s="9">
        <v>382</v>
      </c>
      <c r="I32" s="9">
        <v>56284</v>
      </c>
      <c r="J32" s="9">
        <v>29440</v>
      </c>
      <c r="K32" s="9">
        <v>279</v>
      </c>
      <c r="L32" s="16" t="s">
        <v>37</v>
      </c>
      <c r="M32" s="16" t="s">
        <v>34</v>
      </c>
      <c r="N32" s="16" t="s">
        <v>16</v>
      </c>
      <c r="O32" s="1"/>
    </row>
    <row r="33" spans="1:15">
      <c r="A33" s="1" t="s">
        <v>62</v>
      </c>
      <c r="B33" s="1" t="s">
        <v>22</v>
      </c>
      <c r="C33" s="5">
        <v>45419</v>
      </c>
      <c r="D33" s="16" t="s">
        <v>23</v>
      </c>
      <c r="E33" s="17" t="s">
        <v>18</v>
      </c>
      <c r="F33" s="9">
        <v>2776</v>
      </c>
      <c r="G33" s="9">
        <v>307</v>
      </c>
      <c r="H33" s="9">
        <v>178</v>
      </c>
      <c r="I33" s="9">
        <v>43365</v>
      </c>
      <c r="J33" s="9">
        <v>48408</v>
      </c>
      <c r="K33" s="9">
        <v>138</v>
      </c>
      <c r="L33" s="16" t="s">
        <v>37</v>
      </c>
      <c r="M33" s="16" t="s">
        <v>34</v>
      </c>
      <c r="N33" s="16" t="s">
        <v>16</v>
      </c>
      <c r="O33" s="1"/>
    </row>
    <row r="34" spans="1:15">
      <c r="A34" s="1" t="s">
        <v>63</v>
      </c>
      <c r="B34" s="1" t="s">
        <v>22</v>
      </c>
      <c r="C34" s="5">
        <v>45574</v>
      </c>
      <c r="D34" s="16" t="s">
        <v>23</v>
      </c>
      <c r="E34" s="17" t="s">
        <v>15</v>
      </c>
      <c r="F34" s="9">
        <v>4929</v>
      </c>
      <c r="G34" s="9">
        <v>182</v>
      </c>
      <c r="H34" s="9">
        <v>95</v>
      </c>
      <c r="I34" s="9">
        <v>32181</v>
      </c>
      <c r="J34" s="9">
        <v>31084</v>
      </c>
      <c r="K34" s="9">
        <v>289</v>
      </c>
      <c r="L34" s="16" t="s">
        <v>19</v>
      </c>
      <c r="M34" s="16" t="s">
        <v>364</v>
      </c>
      <c r="N34" s="16" t="s">
        <v>16</v>
      </c>
      <c r="O34" s="1"/>
    </row>
    <row r="35" spans="1:15">
      <c r="A35" s="1" t="s">
        <v>64</v>
      </c>
      <c r="B35" s="1" t="s">
        <v>13</v>
      </c>
      <c r="C35" s="5">
        <v>45666</v>
      </c>
      <c r="D35" s="16" t="s">
        <v>14</v>
      </c>
      <c r="E35" s="17" t="s">
        <v>24</v>
      </c>
      <c r="F35" s="9">
        <v>1015</v>
      </c>
      <c r="G35" s="9">
        <v>366</v>
      </c>
      <c r="H35" s="9">
        <v>308</v>
      </c>
      <c r="I35" s="9">
        <v>38127</v>
      </c>
      <c r="J35" s="9">
        <v>63790</v>
      </c>
      <c r="K35" s="9">
        <v>287</v>
      </c>
      <c r="L35" s="16" t="s">
        <v>37</v>
      </c>
      <c r="M35" s="16" t="s">
        <v>34</v>
      </c>
      <c r="N35" s="16" t="s">
        <v>16</v>
      </c>
      <c r="O35" s="1"/>
    </row>
    <row r="36" spans="1:15">
      <c r="A36" s="1" t="s">
        <v>65</v>
      </c>
      <c r="B36" s="1" t="s">
        <v>22</v>
      </c>
      <c r="C36" s="5">
        <v>45785</v>
      </c>
      <c r="D36" s="16" t="s">
        <v>23</v>
      </c>
      <c r="E36" s="17" t="s">
        <v>42</v>
      </c>
      <c r="F36" s="9">
        <v>3316</v>
      </c>
      <c r="G36" s="9">
        <v>332</v>
      </c>
      <c r="H36" s="9">
        <v>268</v>
      </c>
      <c r="I36" s="9">
        <v>40095</v>
      </c>
      <c r="J36" s="9">
        <v>36913</v>
      </c>
      <c r="K36" s="9">
        <v>265</v>
      </c>
      <c r="L36" s="16" t="s">
        <v>364</v>
      </c>
      <c r="M36" s="16" t="s">
        <v>34</v>
      </c>
      <c r="N36" s="16" t="s">
        <v>16</v>
      </c>
      <c r="O36" s="1"/>
    </row>
    <row r="37" spans="1:15">
      <c r="A37" s="1" t="s">
        <v>66</v>
      </c>
      <c r="B37" s="1" t="s">
        <v>13</v>
      </c>
      <c r="C37" s="5">
        <v>45416</v>
      </c>
      <c r="D37" s="16" t="s">
        <v>14</v>
      </c>
      <c r="E37" s="17" t="s">
        <v>360</v>
      </c>
      <c r="F37" s="9">
        <v>2274</v>
      </c>
      <c r="G37" s="9">
        <v>243</v>
      </c>
      <c r="H37" s="9">
        <v>222</v>
      </c>
      <c r="I37" s="9">
        <v>43066</v>
      </c>
      <c r="J37" s="9">
        <v>59174</v>
      </c>
      <c r="K37" s="9">
        <v>80</v>
      </c>
      <c r="L37" s="16" t="s">
        <v>19</v>
      </c>
      <c r="M37" s="16"/>
      <c r="N37" s="16" t="s">
        <v>20</v>
      </c>
      <c r="O37" s="1"/>
    </row>
    <row r="38" spans="1:15">
      <c r="A38" s="1" t="s">
        <v>67</v>
      </c>
      <c r="B38" s="1" t="s">
        <v>22</v>
      </c>
      <c r="C38" s="5">
        <v>45804</v>
      </c>
      <c r="D38" s="16" t="s">
        <v>23</v>
      </c>
      <c r="E38" s="17" t="s">
        <v>18</v>
      </c>
      <c r="F38" s="9">
        <v>4095</v>
      </c>
      <c r="G38" s="9">
        <v>385</v>
      </c>
      <c r="H38" s="9">
        <v>400</v>
      </c>
      <c r="I38" s="9">
        <v>45300</v>
      </c>
      <c r="J38" s="9">
        <v>31795</v>
      </c>
      <c r="K38" s="9">
        <v>80</v>
      </c>
      <c r="L38" s="16" t="s">
        <v>364</v>
      </c>
      <c r="M38" s="16" t="s">
        <v>34</v>
      </c>
      <c r="N38" s="16" t="s">
        <v>16</v>
      </c>
      <c r="O38" s="1"/>
    </row>
    <row r="39" spans="1:15">
      <c r="A39" s="1" t="s">
        <v>68</v>
      </c>
      <c r="B39" s="1" t="s">
        <v>13</v>
      </c>
      <c r="C39" s="5">
        <v>45545</v>
      </c>
      <c r="D39" s="16" t="s">
        <v>23</v>
      </c>
      <c r="E39" s="17" t="s">
        <v>24</v>
      </c>
      <c r="F39" s="9">
        <v>1230</v>
      </c>
      <c r="G39" s="9">
        <v>309</v>
      </c>
      <c r="H39" s="9">
        <v>207</v>
      </c>
      <c r="I39" s="9">
        <v>44629</v>
      </c>
      <c r="J39" s="9">
        <v>40699</v>
      </c>
      <c r="K39" s="9">
        <v>195</v>
      </c>
      <c r="L39" s="16" t="s">
        <v>34</v>
      </c>
      <c r="M39" s="16"/>
      <c r="N39" s="16" t="s">
        <v>46</v>
      </c>
      <c r="O39" s="1"/>
    </row>
    <row r="40" spans="1:15">
      <c r="A40" s="1" t="s">
        <v>69</v>
      </c>
      <c r="B40" s="1" t="s">
        <v>13</v>
      </c>
      <c r="C40" s="5">
        <v>45621</v>
      </c>
      <c r="D40" s="16" t="s">
        <v>14</v>
      </c>
      <c r="E40" s="17" t="s">
        <v>363</v>
      </c>
      <c r="F40" s="9">
        <v>1341</v>
      </c>
      <c r="G40" s="9">
        <v>472</v>
      </c>
      <c r="H40" s="9">
        <v>238</v>
      </c>
      <c r="I40" s="9">
        <v>51386</v>
      </c>
      <c r="J40" s="9">
        <v>51706</v>
      </c>
      <c r="K40" s="9">
        <v>133</v>
      </c>
      <c r="L40" s="16" t="s">
        <v>19</v>
      </c>
      <c r="M40" s="16"/>
      <c r="N40" s="16" t="s">
        <v>20</v>
      </c>
      <c r="O40" s="1"/>
    </row>
    <row r="41" spans="1:15">
      <c r="A41" s="1" t="s">
        <v>70</v>
      </c>
      <c r="B41" s="1" t="s">
        <v>22</v>
      </c>
      <c r="C41" s="5">
        <v>45818</v>
      </c>
      <c r="D41" s="16" t="s">
        <v>14</v>
      </c>
      <c r="E41" s="17" t="s">
        <v>18</v>
      </c>
      <c r="F41" s="9">
        <v>3615</v>
      </c>
      <c r="G41" s="9">
        <v>192</v>
      </c>
      <c r="H41" s="9">
        <v>162</v>
      </c>
      <c r="I41" s="9">
        <v>27492</v>
      </c>
      <c r="J41" s="9">
        <v>35341</v>
      </c>
      <c r="K41" s="9">
        <v>125</v>
      </c>
      <c r="L41" s="16" t="s">
        <v>34</v>
      </c>
      <c r="M41" s="16"/>
      <c r="N41" s="16" t="s">
        <v>16</v>
      </c>
      <c r="O41" s="1"/>
    </row>
    <row r="42" spans="1:15">
      <c r="A42" s="1" t="s">
        <v>71</v>
      </c>
      <c r="B42" s="1" t="s">
        <v>13</v>
      </c>
      <c r="C42" s="5">
        <v>45401</v>
      </c>
      <c r="D42" s="16" t="s">
        <v>14</v>
      </c>
      <c r="E42" s="17" t="s">
        <v>24</v>
      </c>
      <c r="F42" s="9">
        <v>4001</v>
      </c>
      <c r="G42" s="9">
        <v>353</v>
      </c>
      <c r="H42" s="9">
        <v>129</v>
      </c>
      <c r="I42" s="9">
        <v>41265</v>
      </c>
      <c r="J42" s="9">
        <v>37279</v>
      </c>
      <c r="K42" s="9">
        <v>275</v>
      </c>
      <c r="L42" s="16" t="s">
        <v>37</v>
      </c>
      <c r="M42" s="16" t="s">
        <v>34</v>
      </c>
      <c r="N42" s="16" t="s">
        <v>16</v>
      </c>
      <c r="O42" s="1"/>
    </row>
    <row r="43" spans="1:15">
      <c r="A43" s="1" t="s">
        <v>72</v>
      </c>
      <c r="B43" s="1" t="s">
        <v>13</v>
      </c>
      <c r="C43" s="5">
        <v>45683</v>
      </c>
      <c r="D43" s="16" t="s">
        <v>23</v>
      </c>
      <c r="E43" s="17" t="s">
        <v>362</v>
      </c>
      <c r="F43" s="9">
        <v>3451</v>
      </c>
      <c r="G43" s="9">
        <v>363</v>
      </c>
      <c r="H43" s="9">
        <v>393</v>
      </c>
      <c r="I43" s="9">
        <v>44853</v>
      </c>
      <c r="J43" s="9">
        <v>69032</v>
      </c>
      <c r="K43" s="9">
        <v>211</v>
      </c>
      <c r="L43" s="16" t="s">
        <v>34</v>
      </c>
      <c r="M43" s="16"/>
      <c r="N43" s="16" t="s">
        <v>46</v>
      </c>
      <c r="O43" s="1"/>
    </row>
    <row r="44" spans="1:15">
      <c r="A44" s="1" t="s">
        <v>73</v>
      </c>
      <c r="B44" s="1" t="s">
        <v>13</v>
      </c>
      <c r="C44" s="5">
        <v>45702</v>
      </c>
      <c r="D44" s="16" t="s">
        <v>14</v>
      </c>
      <c r="E44" s="17" t="s">
        <v>33</v>
      </c>
      <c r="F44" s="9">
        <v>4891</v>
      </c>
      <c r="G44" s="9">
        <v>450</v>
      </c>
      <c r="H44" s="9">
        <v>387</v>
      </c>
      <c r="I44" s="9">
        <v>48746</v>
      </c>
      <c r="J44" s="9">
        <v>37312</v>
      </c>
      <c r="K44" s="9">
        <v>154</v>
      </c>
      <c r="L44" s="16" t="s">
        <v>37</v>
      </c>
      <c r="M44" s="16" t="s">
        <v>34</v>
      </c>
      <c r="N44" s="16" t="s">
        <v>16</v>
      </c>
      <c r="O44" s="1"/>
    </row>
    <row r="45" spans="1:15">
      <c r="A45" s="1" t="s">
        <v>74</v>
      </c>
      <c r="B45" s="1" t="s">
        <v>13</v>
      </c>
      <c r="C45" s="5">
        <v>45541</v>
      </c>
      <c r="D45" s="16" t="s">
        <v>14</v>
      </c>
      <c r="E45" s="17" t="s">
        <v>24</v>
      </c>
      <c r="F45" s="9">
        <v>1452</v>
      </c>
      <c r="G45" s="9">
        <v>281</v>
      </c>
      <c r="H45" s="9">
        <v>326</v>
      </c>
      <c r="I45" s="9">
        <v>51556</v>
      </c>
      <c r="J45" s="9">
        <v>62599</v>
      </c>
      <c r="K45" s="9">
        <v>290</v>
      </c>
      <c r="L45" s="16" t="s">
        <v>19</v>
      </c>
      <c r="M45" s="16"/>
      <c r="N45" s="16" t="s">
        <v>20</v>
      </c>
      <c r="O45" s="1"/>
    </row>
    <row r="46" spans="1:15">
      <c r="A46" s="1" t="s">
        <v>75</v>
      </c>
      <c r="B46" s="1" t="s">
        <v>27</v>
      </c>
      <c r="C46" s="5">
        <v>45487</v>
      </c>
      <c r="D46" s="16" t="s">
        <v>14</v>
      </c>
      <c r="E46" s="17" t="s">
        <v>42</v>
      </c>
      <c r="F46" s="9">
        <v>3806</v>
      </c>
      <c r="G46" s="9">
        <v>114</v>
      </c>
      <c r="H46" s="9">
        <v>278</v>
      </c>
      <c r="I46" s="9">
        <v>36148</v>
      </c>
      <c r="J46" s="9">
        <v>24209</v>
      </c>
      <c r="K46" s="9">
        <v>201</v>
      </c>
      <c r="L46" s="16" t="s">
        <v>19</v>
      </c>
      <c r="M46" s="16" t="s">
        <v>365</v>
      </c>
      <c r="N46" s="16" t="s">
        <v>20</v>
      </c>
      <c r="O46" s="1"/>
    </row>
    <row r="47" spans="1:15">
      <c r="A47" s="1" t="s">
        <v>76</v>
      </c>
      <c r="B47" s="1" t="s">
        <v>13</v>
      </c>
      <c r="C47" s="5">
        <v>45334</v>
      </c>
      <c r="D47" s="16" t="s">
        <v>14</v>
      </c>
      <c r="E47" s="17" t="s">
        <v>18</v>
      </c>
      <c r="F47" s="9">
        <v>2923</v>
      </c>
      <c r="G47" s="9">
        <v>330</v>
      </c>
      <c r="H47" s="9">
        <v>250</v>
      </c>
      <c r="I47" s="9">
        <v>23993</v>
      </c>
      <c r="J47" s="9">
        <v>74590</v>
      </c>
      <c r="K47" s="9">
        <v>92</v>
      </c>
      <c r="L47" s="16" t="s">
        <v>19</v>
      </c>
      <c r="M47" s="16"/>
      <c r="N47" s="16" t="s">
        <v>20</v>
      </c>
      <c r="O47" s="1"/>
    </row>
    <row r="48" spans="1:15">
      <c r="A48" s="1" t="s">
        <v>77</v>
      </c>
      <c r="B48" s="1" t="s">
        <v>27</v>
      </c>
      <c r="C48" s="5">
        <v>45365</v>
      </c>
      <c r="D48" s="16" t="s">
        <v>48</v>
      </c>
      <c r="E48" s="17" t="s">
        <v>363</v>
      </c>
      <c r="F48" s="9">
        <v>3361</v>
      </c>
      <c r="G48" s="9">
        <v>188</v>
      </c>
      <c r="H48" s="9">
        <v>358</v>
      </c>
      <c r="I48" s="9">
        <v>39838</v>
      </c>
      <c r="J48" s="9">
        <v>24536</v>
      </c>
      <c r="K48" s="9">
        <v>120</v>
      </c>
      <c r="L48" s="16" t="s">
        <v>19</v>
      </c>
      <c r="M48" s="16" t="s">
        <v>37</v>
      </c>
      <c r="N48" s="16" t="s">
        <v>49</v>
      </c>
      <c r="O48" s="1"/>
    </row>
    <row r="49" spans="1:15">
      <c r="A49" s="1" t="s">
        <v>78</v>
      </c>
      <c r="B49" s="1" t="s">
        <v>13</v>
      </c>
      <c r="C49" s="5">
        <v>45693</v>
      </c>
      <c r="D49" s="16" t="s">
        <v>23</v>
      </c>
      <c r="E49" s="17" t="s">
        <v>361</v>
      </c>
      <c r="F49" s="9">
        <v>3074</v>
      </c>
      <c r="G49" s="9">
        <v>371</v>
      </c>
      <c r="H49" s="9">
        <v>348</v>
      </c>
      <c r="I49" s="9">
        <v>24104</v>
      </c>
      <c r="J49" s="9">
        <v>57803</v>
      </c>
      <c r="K49" s="9">
        <v>213</v>
      </c>
      <c r="L49" s="16" t="s">
        <v>34</v>
      </c>
      <c r="M49" s="16"/>
      <c r="N49" s="16" t="s">
        <v>46</v>
      </c>
      <c r="O49" s="1"/>
    </row>
    <row r="50" spans="1:15">
      <c r="A50" s="1" t="s">
        <v>79</v>
      </c>
      <c r="B50" s="1" t="s">
        <v>22</v>
      </c>
      <c r="C50" s="5">
        <v>45533</v>
      </c>
      <c r="D50" s="16" t="s">
        <v>23</v>
      </c>
      <c r="E50" s="17" t="s">
        <v>30</v>
      </c>
      <c r="F50" s="9">
        <v>4276</v>
      </c>
      <c r="G50" s="9">
        <v>227</v>
      </c>
      <c r="H50" s="9">
        <v>223</v>
      </c>
      <c r="I50" s="9">
        <v>43443</v>
      </c>
      <c r="J50" s="9">
        <v>41005</v>
      </c>
      <c r="K50" s="9">
        <v>191</v>
      </c>
      <c r="L50" s="16" t="s">
        <v>19</v>
      </c>
      <c r="M50" s="16" t="s">
        <v>364</v>
      </c>
      <c r="N50" s="16" t="s">
        <v>16</v>
      </c>
      <c r="O50" s="1"/>
    </row>
    <row r="51" spans="1:15">
      <c r="A51" s="1" t="s">
        <v>80</v>
      </c>
      <c r="B51" s="1" t="s">
        <v>22</v>
      </c>
      <c r="C51" s="5">
        <v>45769</v>
      </c>
      <c r="D51" s="16" t="s">
        <v>14</v>
      </c>
      <c r="E51" s="17" t="s">
        <v>15</v>
      </c>
      <c r="F51" s="9">
        <v>4401</v>
      </c>
      <c r="G51" s="9">
        <v>421</v>
      </c>
      <c r="H51" s="9">
        <v>216</v>
      </c>
      <c r="I51" s="9">
        <v>24890</v>
      </c>
      <c r="J51" s="9">
        <v>54361</v>
      </c>
      <c r="K51" s="9">
        <v>148</v>
      </c>
      <c r="L51" s="16" t="s">
        <v>34</v>
      </c>
      <c r="M51" s="16"/>
      <c r="N51" s="16" t="s">
        <v>16</v>
      </c>
      <c r="O51" s="1"/>
    </row>
    <row r="52" spans="1:15">
      <c r="A52" s="1" t="s">
        <v>81</v>
      </c>
      <c r="B52" s="1" t="s">
        <v>27</v>
      </c>
      <c r="C52" s="5">
        <v>45425</v>
      </c>
      <c r="D52" s="16" t="s">
        <v>48</v>
      </c>
      <c r="E52" s="17" t="s">
        <v>18</v>
      </c>
      <c r="F52" s="9">
        <v>4161</v>
      </c>
      <c r="G52" s="9">
        <v>481</v>
      </c>
      <c r="H52" s="9">
        <v>61</v>
      </c>
      <c r="I52" s="9">
        <v>45884</v>
      </c>
      <c r="J52" s="9">
        <v>48955</v>
      </c>
      <c r="K52" s="9">
        <v>215</v>
      </c>
      <c r="L52" s="16" t="s">
        <v>19</v>
      </c>
      <c r="M52" s="16" t="s">
        <v>37</v>
      </c>
      <c r="N52" s="16" t="s">
        <v>49</v>
      </c>
      <c r="O52" s="1"/>
    </row>
    <row r="53" spans="1:15">
      <c r="A53" s="1" t="s">
        <v>82</v>
      </c>
      <c r="B53" s="1" t="s">
        <v>22</v>
      </c>
      <c r="C53" s="5">
        <v>45539</v>
      </c>
      <c r="D53" s="16" t="s">
        <v>23</v>
      </c>
      <c r="E53" s="17" t="s">
        <v>24</v>
      </c>
      <c r="F53" s="9">
        <v>2613</v>
      </c>
      <c r="G53" s="9">
        <v>455</v>
      </c>
      <c r="H53" s="9">
        <v>228</v>
      </c>
      <c r="I53" s="9">
        <v>21645</v>
      </c>
      <c r="J53" s="9">
        <v>61334</v>
      </c>
      <c r="K53" s="9">
        <v>261</v>
      </c>
      <c r="L53" s="16" t="s">
        <v>19</v>
      </c>
      <c r="M53" s="16" t="s">
        <v>364</v>
      </c>
      <c r="N53" s="16" t="s">
        <v>16</v>
      </c>
      <c r="O53" s="1"/>
    </row>
    <row r="54" spans="1:15">
      <c r="A54" s="1" t="s">
        <v>83</v>
      </c>
      <c r="B54" s="1" t="s">
        <v>22</v>
      </c>
      <c r="C54" s="5">
        <v>45516</v>
      </c>
      <c r="D54" s="16" t="s">
        <v>23</v>
      </c>
      <c r="E54" s="17" t="s">
        <v>362</v>
      </c>
      <c r="F54" s="9">
        <v>2842</v>
      </c>
      <c r="G54" s="9">
        <v>213</v>
      </c>
      <c r="H54" s="9">
        <v>331</v>
      </c>
      <c r="I54" s="9">
        <v>57660</v>
      </c>
      <c r="J54" s="9">
        <v>68606</v>
      </c>
      <c r="K54" s="9">
        <v>87</v>
      </c>
      <c r="L54" s="16" t="s">
        <v>364</v>
      </c>
      <c r="M54" s="16" t="s">
        <v>34</v>
      </c>
      <c r="N54" s="16" t="s">
        <v>16</v>
      </c>
      <c r="O54" s="1"/>
    </row>
    <row r="55" spans="1:15">
      <c r="A55" s="1" t="s">
        <v>84</v>
      </c>
      <c r="B55" s="1" t="s">
        <v>13</v>
      </c>
      <c r="C55" s="5">
        <v>45722</v>
      </c>
      <c r="D55" s="16" t="s">
        <v>14</v>
      </c>
      <c r="E55" s="17" t="s">
        <v>30</v>
      </c>
      <c r="F55" s="9">
        <v>4851</v>
      </c>
      <c r="G55" s="9">
        <v>460</v>
      </c>
      <c r="H55" s="9">
        <v>212</v>
      </c>
      <c r="I55" s="9">
        <v>58075</v>
      </c>
      <c r="J55" s="9">
        <v>59574</v>
      </c>
      <c r="K55" s="9">
        <v>239</v>
      </c>
      <c r="L55" s="16" t="s">
        <v>19</v>
      </c>
      <c r="M55" s="16"/>
      <c r="N55" s="16" t="s">
        <v>20</v>
      </c>
      <c r="O55" s="1"/>
    </row>
    <row r="56" spans="1:15">
      <c r="A56" s="1" t="s">
        <v>85</v>
      </c>
      <c r="B56" s="1" t="s">
        <v>22</v>
      </c>
      <c r="C56" s="5">
        <v>45420</v>
      </c>
      <c r="D56" s="16" t="s">
        <v>14</v>
      </c>
      <c r="E56" s="17" t="s">
        <v>18</v>
      </c>
      <c r="F56" s="9">
        <v>1828</v>
      </c>
      <c r="G56" s="9">
        <v>450</v>
      </c>
      <c r="H56" s="9">
        <v>214</v>
      </c>
      <c r="I56" s="9">
        <v>52115</v>
      </c>
      <c r="J56" s="9">
        <v>19166</v>
      </c>
      <c r="K56" s="9">
        <v>190</v>
      </c>
      <c r="L56" s="16" t="s">
        <v>34</v>
      </c>
      <c r="M56" s="16"/>
      <c r="N56" s="16" t="s">
        <v>16</v>
      </c>
      <c r="O56" s="1"/>
    </row>
    <row r="57" spans="1:15">
      <c r="A57" s="1" t="s">
        <v>86</v>
      </c>
      <c r="B57" s="1" t="s">
        <v>13</v>
      </c>
      <c r="C57" s="5">
        <v>45707</v>
      </c>
      <c r="D57" s="16" t="s">
        <v>23</v>
      </c>
      <c r="E57" s="17" t="s">
        <v>363</v>
      </c>
      <c r="F57" s="9">
        <v>2422</v>
      </c>
      <c r="G57" s="9">
        <v>455</v>
      </c>
      <c r="H57" s="9">
        <v>376</v>
      </c>
      <c r="I57" s="9">
        <v>23428</v>
      </c>
      <c r="J57" s="9">
        <v>46775</v>
      </c>
      <c r="K57" s="9">
        <v>259</v>
      </c>
      <c r="L57" s="16" t="s">
        <v>34</v>
      </c>
      <c r="M57" s="16"/>
      <c r="N57" s="16" t="s">
        <v>46</v>
      </c>
      <c r="O57" s="1"/>
    </row>
    <row r="58" spans="1:15">
      <c r="A58" s="1" t="s">
        <v>87</v>
      </c>
      <c r="B58" s="1" t="s">
        <v>13</v>
      </c>
      <c r="C58" s="5">
        <v>45299</v>
      </c>
      <c r="D58" s="16" t="s">
        <v>14</v>
      </c>
      <c r="E58" s="17" t="s">
        <v>33</v>
      </c>
      <c r="F58" s="9">
        <v>2683</v>
      </c>
      <c r="G58" s="9">
        <v>405</v>
      </c>
      <c r="H58" s="9">
        <v>223</v>
      </c>
      <c r="I58" s="9">
        <v>31233</v>
      </c>
      <c r="J58" s="9">
        <v>58106</v>
      </c>
      <c r="K58" s="9">
        <v>291</v>
      </c>
      <c r="L58" s="16" t="s">
        <v>19</v>
      </c>
      <c r="M58" s="16"/>
      <c r="N58" s="16" t="s">
        <v>20</v>
      </c>
      <c r="O58" s="1"/>
    </row>
    <row r="59" spans="1:15">
      <c r="A59" s="1" t="s">
        <v>88</v>
      </c>
      <c r="B59" s="1" t="s">
        <v>27</v>
      </c>
      <c r="C59" s="5">
        <v>45490</v>
      </c>
      <c r="D59" s="16" t="s">
        <v>14</v>
      </c>
      <c r="E59" s="17" t="s">
        <v>33</v>
      </c>
      <c r="F59" s="9">
        <v>3135</v>
      </c>
      <c r="G59" s="9">
        <v>110</v>
      </c>
      <c r="H59" s="9">
        <v>215</v>
      </c>
      <c r="I59" s="9">
        <v>39192</v>
      </c>
      <c r="J59" s="9">
        <v>24744</v>
      </c>
      <c r="K59" s="9">
        <v>177</v>
      </c>
      <c r="L59" s="16" t="s">
        <v>19</v>
      </c>
      <c r="M59" s="16" t="s">
        <v>365</v>
      </c>
      <c r="N59" s="16" t="s">
        <v>20</v>
      </c>
      <c r="O59" s="1"/>
    </row>
    <row r="60" spans="1:15">
      <c r="A60" s="1" t="s">
        <v>89</v>
      </c>
      <c r="B60" s="1" t="s">
        <v>27</v>
      </c>
      <c r="C60" s="5">
        <v>45514</v>
      </c>
      <c r="D60" s="16" t="s">
        <v>14</v>
      </c>
      <c r="E60" s="17" t="s">
        <v>363</v>
      </c>
      <c r="F60" s="9">
        <v>1105</v>
      </c>
      <c r="G60" s="9">
        <v>181</v>
      </c>
      <c r="H60" s="9">
        <v>55</v>
      </c>
      <c r="I60" s="9">
        <v>53581</v>
      </c>
      <c r="J60" s="9">
        <v>74048</v>
      </c>
      <c r="K60" s="9">
        <v>220</v>
      </c>
      <c r="L60" s="16" t="s">
        <v>19</v>
      </c>
      <c r="M60" s="16" t="s">
        <v>365</v>
      </c>
      <c r="N60" s="16" t="s">
        <v>20</v>
      </c>
      <c r="O60" s="1"/>
    </row>
    <row r="61" spans="1:15">
      <c r="A61" s="1" t="s">
        <v>90</v>
      </c>
      <c r="B61" s="1" t="s">
        <v>27</v>
      </c>
      <c r="C61" s="5">
        <v>45398</v>
      </c>
      <c r="D61" s="16" t="s">
        <v>14</v>
      </c>
      <c r="E61" s="17" t="s">
        <v>15</v>
      </c>
      <c r="F61" s="9">
        <v>4674</v>
      </c>
      <c r="G61" s="9">
        <v>326</v>
      </c>
      <c r="H61" s="9">
        <v>62</v>
      </c>
      <c r="I61" s="9">
        <v>45503</v>
      </c>
      <c r="J61" s="9">
        <v>46814</v>
      </c>
      <c r="K61" s="9">
        <v>116</v>
      </c>
      <c r="L61" s="16" t="s">
        <v>19</v>
      </c>
      <c r="M61" s="16" t="s">
        <v>365</v>
      </c>
      <c r="N61" s="16" t="s">
        <v>20</v>
      </c>
      <c r="O61" s="1"/>
    </row>
    <row r="62" spans="1:15">
      <c r="A62" s="1" t="s">
        <v>91</v>
      </c>
      <c r="B62" s="1" t="s">
        <v>27</v>
      </c>
      <c r="C62" s="5">
        <v>45292</v>
      </c>
      <c r="D62" s="16" t="s">
        <v>48</v>
      </c>
      <c r="E62" s="17" t="s">
        <v>18</v>
      </c>
      <c r="F62" s="9">
        <v>3437</v>
      </c>
      <c r="G62" s="9">
        <v>129</v>
      </c>
      <c r="H62" s="9">
        <v>359</v>
      </c>
      <c r="I62" s="9">
        <v>44558</v>
      </c>
      <c r="J62" s="9">
        <v>30854</v>
      </c>
      <c r="K62" s="9">
        <v>171</v>
      </c>
      <c r="L62" s="16" t="s">
        <v>19</v>
      </c>
      <c r="M62" s="16" t="s">
        <v>37</v>
      </c>
      <c r="N62" s="16" t="s">
        <v>49</v>
      </c>
      <c r="O62" s="1"/>
    </row>
    <row r="63" spans="1:15">
      <c r="A63" s="1" t="s">
        <v>92</v>
      </c>
      <c r="B63" s="1" t="s">
        <v>22</v>
      </c>
      <c r="C63" s="5">
        <v>45599</v>
      </c>
      <c r="D63" s="16" t="s">
        <v>23</v>
      </c>
      <c r="E63" s="17" t="s">
        <v>360</v>
      </c>
      <c r="F63" s="9">
        <v>1959</v>
      </c>
      <c r="G63" s="9">
        <v>316</v>
      </c>
      <c r="H63" s="9">
        <v>82</v>
      </c>
      <c r="I63" s="9">
        <v>54036</v>
      </c>
      <c r="J63" s="9">
        <v>69015</v>
      </c>
      <c r="K63" s="9">
        <v>182</v>
      </c>
      <c r="L63" s="16" t="s">
        <v>364</v>
      </c>
      <c r="M63" s="16" t="s">
        <v>34</v>
      </c>
      <c r="N63" s="16" t="s">
        <v>16</v>
      </c>
      <c r="O63" s="1"/>
    </row>
    <row r="64" spans="1:15">
      <c r="A64" s="1" t="s">
        <v>93</v>
      </c>
      <c r="B64" s="1" t="s">
        <v>22</v>
      </c>
      <c r="C64" s="5">
        <v>45480</v>
      </c>
      <c r="D64" s="16" t="s">
        <v>14</v>
      </c>
      <c r="E64" s="17" t="s">
        <v>24</v>
      </c>
      <c r="F64" s="9">
        <v>1035</v>
      </c>
      <c r="G64" s="9">
        <v>137</v>
      </c>
      <c r="H64" s="9">
        <v>184</v>
      </c>
      <c r="I64" s="9">
        <v>37302</v>
      </c>
      <c r="J64" s="9">
        <v>68953</v>
      </c>
      <c r="K64" s="9">
        <v>237</v>
      </c>
      <c r="L64" s="16" t="s">
        <v>37</v>
      </c>
      <c r="M64" s="16"/>
      <c r="N64" s="16" t="s">
        <v>20</v>
      </c>
      <c r="O64" s="1"/>
    </row>
    <row r="65" spans="1:15">
      <c r="A65" s="1" t="s">
        <v>94</v>
      </c>
      <c r="B65" s="1" t="s">
        <v>22</v>
      </c>
      <c r="C65" s="5">
        <v>45679</v>
      </c>
      <c r="D65" s="16" t="s">
        <v>23</v>
      </c>
      <c r="E65" s="17" t="s">
        <v>24</v>
      </c>
      <c r="F65" s="9">
        <v>4478</v>
      </c>
      <c r="G65" s="9">
        <v>101</v>
      </c>
      <c r="H65" s="9">
        <v>121</v>
      </c>
      <c r="I65" s="9">
        <v>51035</v>
      </c>
      <c r="J65" s="9">
        <v>58207</v>
      </c>
      <c r="K65" s="9">
        <v>205</v>
      </c>
      <c r="L65" s="16" t="s">
        <v>364</v>
      </c>
      <c r="M65" s="16" t="s">
        <v>34</v>
      </c>
      <c r="N65" s="16" t="s">
        <v>16</v>
      </c>
      <c r="O65" s="1"/>
    </row>
    <row r="66" spans="1:15">
      <c r="A66" s="1" t="s">
        <v>95</v>
      </c>
      <c r="B66" s="1" t="s">
        <v>27</v>
      </c>
      <c r="C66" s="5">
        <v>45438</v>
      </c>
      <c r="D66" s="16" t="s">
        <v>14</v>
      </c>
      <c r="E66" s="17" t="s">
        <v>363</v>
      </c>
      <c r="F66" s="9">
        <v>1488</v>
      </c>
      <c r="G66" s="9">
        <v>327</v>
      </c>
      <c r="H66" s="9">
        <v>110</v>
      </c>
      <c r="I66" s="9">
        <v>53805</v>
      </c>
      <c r="J66" s="9">
        <v>30239</v>
      </c>
      <c r="K66" s="9">
        <v>109</v>
      </c>
      <c r="L66" s="16" t="s">
        <v>19</v>
      </c>
      <c r="M66" s="16" t="s">
        <v>365</v>
      </c>
      <c r="N66" s="16" t="s">
        <v>20</v>
      </c>
      <c r="O66" s="1"/>
    </row>
    <row r="67" spans="1:15">
      <c r="A67" s="1" t="s">
        <v>96</v>
      </c>
      <c r="B67" s="1" t="s">
        <v>13</v>
      </c>
      <c r="C67" s="5">
        <v>45763</v>
      </c>
      <c r="D67" s="16" t="s">
        <v>14</v>
      </c>
      <c r="E67" s="17" t="s">
        <v>360</v>
      </c>
      <c r="F67" s="9">
        <v>4836</v>
      </c>
      <c r="G67" s="9">
        <v>331</v>
      </c>
      <c r="H67" s="9">
        <v>140</v>
      </c>
      <c r="I67" s="9">
        <v>58792</v>
      </c>
      <c r="J67" s="9">
        <v>47711</v>
      </c>
      <c r="K67" s="9">
        <v>227</v>
      </c>
      <c r="L67" s="16" t="s">
        <v>37</v>
      </c>
      <c r="M67" s="16" t="s">
        <v>34</v>
      </c>
      <c r="N67" s="16" t="s">
        <v>16</v>
      </c>
      <c r="O67" s="1"/>
    </row>
    <row r="68" spans="1:15">
      <c r="A68" s="1" t="s">
        <v>97</v>
      </c>
      <c r="B68" s="1" t="s">
        <v>27</v>
      </c>
      <c r="C68" s="5">
        <v>45384</v>
      </c>
      <c r="D68" s="16" t="s">
        <v>48</v>
      </c>
      <c r="E68" s="17" t="s">
        <v>42</v>
      </c>
      <c r="F68" s="9">
        <v>4563</v>
      </c>
      <c r="G68" s="9">
        <v>488</v>
      </c>
      <c r="H68" s="9">
        <v>356</v>
      </c>
      <c r="I68" s="9">
        <v>30619</v>
      </c>
      <c r="J68" s="9">
        <v>23328</v>
      </c>
      <c r="K68" s="9">
        <v>267</v>
      </c>
      <c r="L68" s="16" t="s">
        <v>19</v>
      </c>
      <c r="M68" s="16" t="s">
        <v>37</v>
      </c>
      <c r="N68" s="16" t="s">
        <v>49</v>
      </c>
      <c r="O68" s="1"/>
    </row>
    <row r="69" spans="1:15">
      <c r="A69" s="1" t="s">
        <v>98</v>
      </c>
      <c r="B69" s="1" t="s">
        <v>22</v>
      </c>
      <c r="C69" s="5">
        <v>45379</v>
      </c>
      <c r="D69" s="16" t="s">
        <v>14</v>
      </c>
      <c r="E69" s="17" t="s">
        <v>361</v>
      </c>
      <c r="F69" s="9">
        <v>3276</v>
      </c>
      <c r="G69" s="9">
        <v>421</v>
      </c>
      <c r="H69" s="9">
        <v>114</v>
      </c>
      <c r="I69" s="9">
        <v>20580</v>
      </c>
      <c r="J69" s="9">
        <v>30324</v>
      </c>
      <c r="K69" s="9">
        <v>221</v>
      </c>
      <c r="L69" s="16" t="s">
        <v>37</v>
      </c>
      <c r="M69" s="16"/>
      <c r="N69" s="16" t="s">
        <v>20</v>
      </c>
      <c r="O69" s="1"/>
    </row>
    <row r="70" spans="1:15">
      <c r="A70" s="1" t="s">
        <v>99</v>
      </c>
      <c r="B70" s="1" t="s">
        <v>22</v>
      </c>
      <c r="C70" s="5">
        <v>45643</v>
      </c>
      <c r="D70" s="16" t="s">
        <v>23</v>
      </c>
      <c r="E70" s="17" t="s">
        <v>361</v>
      </c>
      <c r="F70" s="9">
        <v>1316</v>
      </c>
      <c r="G70" s="9">
        <v>472</v>
      </c>
      <c r="H70" s="9">
        <v>286</v>
      </c>
      <c r="I70" s="9">
        <v>44692</v>
      </c>
      <c r="J70" s="9">
        <v>53343</v>
      </c>
      <c r="K70" s="9">
        <v>227</v>
      </c>
      <c r="L70" s="16" t="s">
        <v>19</v>
      </c>
      <c r="M70" s="16" t="s">
        <v>364</v>
      </c>
      <c r="N70" s="16" t="s">
        <v>16</v>
      </c>
      <c r="O70" s="1"/>
    </row>
    <row r="71" spans="1:15">
      <c r="A71" s="1" t="s">
        <v>100</v>
      </c>
      <c r="B71" s="1" t="s">
        <v>22</v>
      </c>
      <c r="C71" s="5">
        <v>45662</v>
      </c>
      <c r="D71" s="16" t="s">
        <v>14</v>
      </c>
      <c r="E71" s="17" t="s">
        <v>360</v>
      </c>
      <c r="F71" s="9">
        <v>4811</v>
      </c>
      <c r="G71" s="9">
        <v>473</v>
      </c>
      <c r="H71" s="9">
        <v>254</v>
      </c>
      <c r="I71" s="9">
        <v>51964</v>
      </c>
      <c r="J71" s="9">
        <v>68795</v>
      </c>
      <c r="K71" s="9">
        <v>107</v>
      </c>
      <c r="L71" s="16" t="s">
        <v>34</v>
      </c>
      <c r="M71" s="16"/>
      <c r="N71" s="16" t="s">
        <v>16</v>
      </c>
      <c r="O71" s="1"/>
    </row>
    <row r="72" spans="1:15">
      <c r="A72" s="1" t="s">
        <v>101</v>
      </c>
      <c r="B72" s="1" t="s">
        <v>22</v>
      </c>
      <c r="C72" s="5">
        <v>45302</v>
      </c>
      <c r="D72" s="16" t="s">
        <v>14</v>
      </c>
      <c r="E72" s="17" t="s">
        <v>362</v>
      </c>
      <c r="F72" s="9">
        <v>4218</v>
      </c>
      <c r="G72" s="9">
        <v>247</v>
      </c>
      <c r="H72" s="9">
        <v>183</v>
      </c>
      <c r="I72" s="9">
        <v>28914</v>
      </c>
      <c r="J72" s="9">
        <v>18310</v>
      </c>
      <c r="K72" s="9">
        <v>135</v>
      </c>
      <c r="L72" s="16" t="s">
        <v>37</v>
      </c>
      <c r="M72" s="16"/>
      <c r="N72" s="16" t="s">
        <v>20</v>
      </c>
      <c r="O72" s="1"/>
    </row>
    <row r="73" spans="1:15">
      <c r="A73" s="1" t="s">
        <v>102</v>
      </c>
      <c r="B73" s="1" t="s">
        <v>13</v>
      </c>
      <c r="C73" s="5">
        <v>45576</v>
      </c>
      <c r="D73" s="16" t="s">
        <v>14</v>
      </c>
      <c r="E73" s="17" t="s">
        <v>363</v>
      </c>
      <c r="F73" s="9">
        <v>1360</v>
      </c>
      <c r="G73" s="9">
        <v>249</v>
      </c>
      <c r="H73" s="9">
        <v>52</v>
      </c>
      <c r="I73" s="9">
        <v>20368</v>
      </c>
      <c r="J73" s="9">
        <v>42152</v>
      </c>
      <c r="K73" s="9">
        <v>193</v>
      </c>
      <c r="L73" s="16" t="s">
        <v>19</v>
      </c>
      <c r="M73" s="16"/>
      <c r="N73" s="16" t="s">
        <v>20</v>
      </c>
      <c r="O73" s="1"/>
    </row>
    <row r="74" spans="1:15">
      <c r="A74" s="1" t="s">
        <v>103</v>
      </c>
      <c r="B74" s="1" t="s">
        <v>27</v>
      </c>
      <c r="C74" s="5">
        <v>45783</v>
      </c>
      <c r="D74" s="16" t="s">
        <v>48</v>
      </c>
      <c r="E74" s="17" t="s">
        <v>15</v>
      </c>
      <c r="F74" s="9">
        <v>1085</v>
      </c>
      <c r="G74" s="9">
        <v>496</v>
      </c>
      <c r="H74" s="9">
        <v>320</v>
      </c>
      <c r="I74" s="9">
        <v>36528</v>
      </c>
      <c r="J74" s="9">
        <v>38599</v>
      </c>
      <c r="K74" s="9">
        <v>270</v>
      </c>
      <c r="L74" s="16" t="s">
        <v>19</v>
      </c>
      <c r="M74" s="16" t="s">
        <v>37</v>
      </c>
      <c r="N74" s="16" t="s">
        <v>49</v>
      </c>
      <c r="O74" s="1"/>
    </row>
    <row r="75" spans="1:15">
      <c r="A75" s="1" t="s">
        <v>104</v>
      </c>
      <c r="B75" s="1" t="s">
        <v>22</v>
      </c>
      <c r="C75" s="5">
        <v>45431</v>
      </c>
      <c r="D75" s="16" t="s">
        <v>23</v>
      </c>
      <c r="E75" s="17" t="s">
        <v>30</v>
      </c>
      <c r="F75" s="9">
        <v>1763</v>
      </c>
      <c r="G75" s="9">
        <v>206</v>
      </c>
      <c r="H75" s="9">
        <v>187</v>
      </c>
      <c r="I75" s="9">
        <v>53342</v>
      </c>
      <c r="J75" s="9">
        <v>25095</v>
      </c>
      <c r="K75" s="9">
        <v>88</v>
      </c>
      <c r="L75" s="16" t="s">
        <v>19</v>
      </c>
      <c r="M75" s="16" t="s">
        <v>364</v>
      </c>
      <c r="N75" s="16" t="s">
        <v>16</v>
      </c>
      <c r="O75" s="1"/>
    </row>
    <row r="76" spans="1:15">
      <c r="A76" s="1" t="s">
        <v>105</v>
      </c>
      <c r="B76" s="1" t="s">
        <v>22</v>
      </c>
      <c r="C76" s="5">
        <v>45313</v>
      </c>
      <c r="D76" s="16" t="s">
        <v>23</v>
      </c>
      <c r="E76" s="17" t="s">
        <v>363</v>
      </c>
      <c r="F76" s="9">
        <v>1554</v>
      </c>
      <c r="G76" s="9">
        <v>455</v>
      </c>
      <c r="H76" s="9">
        <v>158</v>
      </c>
      <c r="I76" s="9">
        <v>41947</v>
      </c>
      <c r="J76" s="9">
        <v>48578</v>
      </c>
      <c r="K76" s="9">
        <v>101</v>
      </c>
      <c r="L76" s="16" t="s">
        <v>37</v>
      </c>
      <c r="M76" s="16" t="s">
        <v>34</v>
      </c>
      <c r="N76" s="16" t="s">
        <v>16</v>
      </c>
      <c r="O76" s="1"/>
    </row>
    <row r="77" spans="1:15">
      <c r="A77" s="1" t="s">
        <v>106</v>
      </c>
      <c r="B77" s="1" t="s">
        <v>13</v>
      </c>
      <c r="C77" s="5">
        <v>45487</v>
      </c>
      <c r="D77" s="16" t="s">
        <v>14</v>
      </c>
      <c r="E77" s="17" t="s">
        <v>360</v>
      </c>
      <c r="F77" s="9">
        <v>2464</v>
      </c>
      <c r="G77" s="9">
        <v>401</v>
      </c>
      <c r="H77" s="9">
        <v>78</v>
      </c>
      <c r="I77" s="9">
        <v>38665</v>
      </c>
      <c r="J77" s="9">
        <v>73593</v>
      </c>
      <c r="K77" s="9">
        <v>207</v>
      </c>
      <c r="L77" s="16" t="s">
        <v>19</v>
      </c>
      <c r="M77" s="16"/>
      <c r="N77" s="16" t="s">
        <v>20</v>
      </c>
      <c r="O77" s="1"/>
    </row>
    <row r="78" spans="1:15">
      <c r="A78" s="1" t="s">
        <v>107</v>
      </c>
      <c r="B78" s="1" t="s">
        <v>22</v>
      </c>
      <c r="C78" s="5">
        <v>45805</v>
      </c>
      <c r="D78" s="16" t="s">
        <v>14</v>
      </c>
      <c r="E78" s="17" t="s">
        <v>363</v>
      </c>
      <c r="F78" s="9">
        <v>2418</v>
      </c>
      <c r="G78" s="9">
        <v>161</v>
      </c>
      <c r="H78" s="9">
        <v>360</v>
      </c>
      <c r="I78" s="9">
        <v>30589</v>
      </c>
      <c r="J78" s="9">
        <v>41383</v>
      </c>
      <c r="K78" s="9">
        <v>88</v>
      </c>
      <c r="L78" s="16" t="s">
        <v>34</v>
      </c>
      <c r="M78" s="16"/>
      <c r="N78" s="16" t="s">
        <v>16</v>
      </c>
      <c r="O78" s="1"/>
    </row>
    <row r="79" spans="1:15">
      <c r="A79" s="1" t="s">
        <v>108</v>
      </c>
      <c r="B79" s="1" t="s">
        <v>22</v>
      </c>
      <c r="C79" s="5">
        <v>45678</v>
      </c>
      <c r="D79" s="16" t="s">
        <v>23</v>
      </c>
      <c r="E79" s="17" t="s">
        <v>15</v>
      </c>
      <c r="F79" s="9">
        <v>2494</v>
      </c>
      <c r="G79" s="9">
        <v>494</v>
      </c>
      <c r="H79" s="9">
        <v>55</v>
      </c>
      <c r="I79" s="9">
        <v>22580</v>
      </c>
      <c r="J79" s="9">
        <v>22214</v>
      </c>
      <c r="K79" s="9">
        <v>109</v>
      </c>
      <c r="L79" s="16" t="s">
        <v>364</v>
      </c>
      <c r="M79" s="16" t="s">
        <v>34</v>
      </c>
      <c r="N79" s="16" t="s">
        <v>16</v>
      </c>
      <c r="O79" s="1"/>
    </row>
    <row r="80" spans="1:15">
      <c r="A80" s="1" t="s">
        <v>109</v>
      </c>
      <c r="B80" s="1" t="s">
        <v>27</v>
      </c>
      <c r="C80" s="5">
        <v>45304</v>
      </c>
      <c r="D80" s="16" t="s">
        <v>48</v>
      </c>
      <c r="E80" s="17" t="s">
        <v>24</v>
      </c>
      <c r="F80" s="9">
        <v>4781</v>
      </c>
      <c r="G80" s="9">
        <v>191</v>
      </c>
      <c r="H80" s="9">
        <v>122</v>
      </c>
      <c r="I80" s="9">
        <v>35535</v>
      </c>
      <c r="J80" s="9">
        <v>50777</v>
      </c>
      <c r="K80" s="9">
        <v>128</v>
      </c>
      <c r="L80" s="16" t="s">
        <v>19</v>
      </c>
      <c r="M80" s="16" t="s">
        <v>37</v>
      </c>
      <c r="N80" s="16" t="s">
        <v>49</v>
      </c>
      <c r="O80" s="1"/>
    </row>
    <row r="81" spans="1:15">
      <c r="A81" s="1" t="s">
        <v>110</v>
      </c>
      <c r="B81" s="1" t="s">
        <v>13</v>
      </c>
      <c r="C81" s="5">
        <v>45825</v>
      </c>
      <c r="D81" s="16" t="s">
        <v>14</v>
      </c>
      <c r="E81" s="17" t="s">
        <v>361</v>
      </c>
      <c r="F81" s="9">
        <v>2284</v>
      </c>
      <c r="G81" s="9">
        <v>187</v>
      </c>
      <c r="H81" s="9">
        <v>260</v>
      </c>
      <c r="I81" s="9">
        <v>37400</v>
      </c>
      <c r="J81" s="9">
        <v>65014</v>
      </c>
      <c r="K81" s="9">
        <v>157</v>
      </c>
      <c r="L81" s="16" t="s">
        <v>37</v>
      </c>
      <c r="M81" s="16" t="s">
        <v>34</v>
      </c>
      <c r="N81" s="16" t="s">
        <v>16</v>
      </c>
      <c r="O81" s="1"/>
    </row>
    <row r="82" spans="1:15">
      <c r="A82" s="1" t="s">
        <v>111</v>
      </c>
      <c r="B82" s="1" t="s">
        <v>22</v>
      </c>
      <c r="C82" s="5">
        <v>45723</v>
      </c>
      <c r="D82" s="16" t="s">
        <v>14</v>
      </c>
      <c r="E82" s="17" t="s">
        <v>30</v>
      </c>
      <c r="F82" s="9">
        <v>4234</v>
      </c>
      <c r="G82" s="9">
        <v>486</v>
      </c>
      <c r="H82" s="9">
        <v>276</v>
      </c>
      <c r="I82" s="9">
        <v>56623</v>
      </c>
      <c r="J82" s="9">
        <v>41343</v>
      </c>
      <c r="K82" s="9">
        <v>184</v>
      </c>
      <c r="L82" s="16" t="s">
        <v>37</v>
      </c>
      <c r="M82" s="16"/>
      <c r="N82" s="16" t="s">
        <v>20</v>
      </c>
      <c r="O82" s="1"/>
    </row>
    <row r="83" spans="1:15">
      <c r="A83" s="1" t="s">
        <v>112</v>
      </c>
      <c r="B83" s="1" t="s">
        <v>13</v>
      </c>
      <c r="C83" s="5">
        <v>45530</v>
      </c>
      <c r="D83" s="16" t="s">
        <v>14</v>
      </c>
      <c r="E83" s="17" t="s">
        <v>42</v>
      </c>
      <c r="F83" s="9">
        <v>2102</v>
      </c>
      <c r="G83" s="9">
        <v>181</v>
      </c>
      <c r="H83" s="9">
        <v>306</v>
      </c>
      <c r="I83" s="9">
        <v>43650</v>
      </c>
      <c r="J83" s="9">
        <v>50079</v>
      </c>
      <c r="K83" s="9">
        <v>182</v>
      </c>
      <c r="L83" s="16" t="s">
        <v>19</v>
      </c>
      <c r="M83" s="16"/>
      <c r="N83" s="16" t="s">
        <v>20</v>
      </c>
      <c r="O83" s="1"/>
    </row>
    <row r="84" spans="1:15">
      <c r="A84" s="1" t="s">
        <v>113</v>
      </c>
      <c r="B84" s="1" t="s">
        <v>22</v>
      </c>
      <c r="C84" s="5">
        <v>45660</v>
      </c>
      <c r="D84" s="16" t="s">
        <v>23</v>
      </c>
      <c r="E84" s="17" t="s">
        <v>30</v>
      </c>
      <c r="F84" s="9">
        <v>4845</v>
      </c>
      <c r="G84" s="9">
        <v>158</v>
      </c>
      <c r="H84" s="9">
        <v>84</v>
      </c>
      <c r="I84" s="9">
        <v>34578</v>
      </c>
      <c r="J84" s="9">
        <v>51480</v>
      </c>
      <c r="K84" s="9">
        <v>180</v>
      </c>
      <c r="L84" s="16" t="s">
        <v>37</v>
      </c>
      <c r="M84" s="16" t="s">
        <v>34</v>
      </c>
      <c r="N84" s="16" t="s">
        <v>16</v>
      </c>
      <c r="O84" s="1"/>
    </row>
    <row r="85" spans="1:15">
      <c r="A85" s="1" t="s">
        <v>114</v>
      </c>
      <c r="B85" s="1" t="s">
        <v>22</v>
      </c>
      <c r="C85" s="5">
        <v>45507</v>
      </c>
      <c r="D85" s="16" t="s">
        <v>14</v>
      </c>
      <c r="E85" s="17" t="s">
        <v>42</v>
      </c>
      <c r="F85" s="9">
        <v>4247</v>
      </c>
      <c r="G85" s="9">
        <v>390</v>
      </c>
      <c r="H85" s="9">
        <v>213</v>
      </c>
      <c r="I85" s="9">
        <v>29785</v>
      </c>
      <c r="J85" s="9">
        <v>57768</v>
      </c>
      <c r="K85" s="9">
        <v>122</v>
      </c>
      <c r="L85" s="16" t="s">
        <v>34</v>
      </c>
      <c r="M85" s="16"/>
      <c r="N85" s="16" t="s">
        <v>16</v>
      </c>
      <c r="O85" s="1"/>
    </row>
    <row r="86" spans="1:15">
      <c r="A86" s="1" t="s">
        <v>115</v>
      </c>
      <c r="B86" s="1" t="s">
        <v>13</v>
      </c>
      <c r="C86" s="5">
        <v>45522</v>
      </c>
      <c r="D86" s="16" t="s">
        <v>14</v>
      </c>
      <c r="E86" s="17" t="s">
        <v>18</v>
      </c>
      <c r="F86" s="9">
        <v>2965</v>
      </c>
      <c r="G86" s="9">
        <v>328</v>
      </c>
      <c r="H86" s="9">
        <v>171</v>
      </c>
      <c r="I86" s="9">
        <v>57685</v>
      </c>
      <c r="J86" s="9">
        <v>67536</v>
      </c>
      <c r="K86" s="9">
        <v>264</v>
      </c>
      <c r="L86" s="16" t="s">
        <v>37</v>
      </c>
      <c r="M86" s="16" t="s">
        <v>34</v>
      </c>
      <c r="N86" s="16" t="s">
        <v>16</v>
      </c>
      <c r="O86" s="1"/>
    </row>
    <row r="87" spans="1:15">
      <c r="A87" s="1" t="s">
        <v>116</v>
      </c>
      <c r="B87" s="1" t="s">
        <v>22</v>
      </c>
      <c r="C87" s="5">
        <v>45791</v>
      </c>
      <c r="D87" s="16" t="s">
        <v>23</v>
      </c>
      <c r="E87" s="17" t="s">
        <v>360</v>
      </c>
      <c r="F87" s="9">
        <v>1371</v>
      </c>
      <c r="G87" s="9">
        <v>139</v>
      </c>
      <c r="H87" s="9">
        <v>96</v>
      </c>
      <c r="I87" s="9">
        <v>36140</v>
      </c>
      <c r="J87" s="9">
        <v>39395</v>
      </c>
      <c r="K87" s="9">
        <v>169</v>
      </c>
      <c r="L87" s="16" t="s">
        <v>37</v>
      </c>
      <c r="M87" s="16" t="s">
        <v>34</v>
      </c>
      <c r="N87" s="16" t="s">
        <v>16</v>
      </c>
      <c r="O87" s="1"/>
    </row>
    <row r="88" spans="1:15">
      <c r="A88" s="1" t="s">
        <v>117</v>
      </c>
      <c r="B88" s="1" t="s">
        <v>22</v>
      </c>
      <c r="C88" s="5">
        <v>45405</v>
      </c>
      <c r="D88" s="16" t="s">
        <v>23</v>
      </c>
      <c r="E88" s="17" t="s">
        <v>15</v>
      </c>
      <c r="F88" s="9">
        <v>2683</v>
      </c>
      <c r="G88" s="9">
        <v>496</v>
      </c>
      <c r="H88" s="9">
        <v>89</v>
      </c>
      <c r="I88" s="9">
        <v>53435</v>
      </c>
      <c r="J88" s="9">
        <v>30334</v>
      </c>
      <c r="K88" s="9">
        <v>160</v>
      </c>
      <c r="L88" s="16" t="s">
        <v>37</v>
      </c>
      <c r="M88" s="16" t="s">
        <v>34</v>
      </c>
      <c r="N88" s="16" t="s">
        <v>16</v>
      </c>
      <c r="O88" s="1"/>
    </row>
    <row r="89" spans="1:15">
      <c r="A89" s="1" t="s">
        <v>118</v>
      </c>
      <c r="B89" s="1" t="s">
        <v>22</v>
      </c>
      <c r="C89" s="5">
        <v>45705</v>
      </c>
      <c r="D89" s="16" t="s">
        <v>23</v>
      </c>
      <c r="E89" s="17" t="s">
        <v>362</v>
      </c>
      <c r="F89" s="9">
        <v>4796</v>
      </c>
      <c r="G89" s="9">
        <v>427</v>
      </c>
      <c r="H89" s="9">
        <v>339</v>
      </c>
      <c r="I89" s="9">
        <v>30752</v>
      </c>
      <c r="J89" s="9">
        <v>33870</v>
      </c>
      <c r="K89" s="9">
        <v>298</v>
      </c>
      <c r="L89" s="16" t="s">
        <v>37</v>
      </c>
      <c r="M89" s="16" t="s">
        <v>34</v>
      </c>
      <c r="N89" s="16" t="s">
        <v>16</v>
      </c>
      <c r="O89" s="1"/>
    </row>
    <row r="90" spans="1:15">
      <c r="A90" s="1" t="s">
        <v>119</v>
      </c>
      <c r="B90" s="1" t="s">
        <v>13</v>
      </c>
      <c r="C90" s="5">
        <v>45630</v>
      </c>
      <c r="D90" s="16" t="s">
        <v>14</v>
      </c>
      <c r="E90" s="17" t="s">
        <v>360</v>
      </c>
      <c r="F90" s="9">
        <v>2601</v>
      </c>
      <c r="G90" s="9">
        <v>336</v>
      </c>
      <c r="H90" s="9">
        <v>260</v>
      </c>
      <c r="I90" s="9">
        <v>32368</v>
      </c>
      <c r="J90" s="9">
        <v>49028</v>
      </c>
      <c r="K90" s="9">
        <v>120</v>
      </c>
      <c r="L90" s="16" t="s">
        <v>37</v>
      </c>
      <c r="M90" s="16" t="s">
        <v>34</v>
      </c>
      <c r="N90" s="16" t="s">
        <v>16</v>
      </c>
      <c r="O90" s="1"/>
    </row>
    <row r="91" spans="1:15">
      <c r="A91" s="1" t="s">
        <v>120</v>
      </c>
      <c r="B91" s="1" t="s">
        <v>22</v>
      </c>
      <c r="C91" s="5">
        <v>45495</v>
      </c>
      <c r="D91" s="16" t="s">
        <v>23</v>
      </c>
      <c r="E91" s="17" t="s">
        <v>360</v>
      </c>
      <c r="F91" s="9">
        <v>3336</v>
      </c>
      <c r="G91" s="9">
        <v>229</v>
      </c>
      <c r="H91" s="9">
        <v>337</v>
      </c>
      <c r="I91" s="9">
        <v>22117</v>
      </c>
      <c r="J91" s="9">
        <v>26205</v>
      </c>
      <c r="K91" s="9">
        <v>160</v>
      </c>
      <c r="L91" s="16" t="s">
        <v>364</v>
      </c>
      <c r="M91" s="16" t="s">
        <v>34</v>
      </c>
      <c r="N91" s="16" t="s">
        <v>16</v>
      </c>
      <c r="O91" s="1"/>
    </row>
    <row r="92" spans="1:15">
      <c r="A92" s="1" t="s">
        <v>121</v>
      </c>
      <c r="B92" s="1" t="s">
        <v>22</v>
      </c>
      <c r="C92" s="5">
        <v>45774</v>
      </c>
      <c r="D92" s="16" t="s">
        <v>14</v>
      </c>
      <c r="E92" s="17" t="s">
        <v>18</v>
      </c>
      <c r="F92" s="9">
        <v>1165</v>
      </c>
      <c r="G92" s="9">
        <v>294</v>
      </c>
      <c r="H92" s="9">
        <v>163</v>
      </c>
      <c r="I92" s="9">
        <v>20659</v>
      </c>
      <c r="J92" s="9">
        <v>45926</v>
      </c>
      <c r="K92" s="9">
        <v>111</v>
      </c>
      <c r="L92" s="16" t="s">
        <v>37</v>
      </c>
      <c r="M92" s="16"/>
      <c r="N92" s="16" t="s">
        <v>20</v>
      </c>
      <c r="O92" s="1"/>
    </row>
    <row r="93" spans="1:15">
      <c r="A93" s="1" t="s">
        <v>122</v>
      </c>
      <c r="B93" s="1" t="s">
        <v>27</v>
      </c>
      <c r="C93" s="5">
        <v>45376</v>
      </c>
      <c r="D93" s="16" t="s">
        <v>48</v>
      </c>
      <c r="E93" s="17" t="s">
        <v>18</v>
      </c>
      <c r="F93" s="9">
        <v>1948</v>
      </c>
      <c r="G93" s="9">
        <v>155</v>
      </c>
      <c r="H93" s="9">
        <v>315</v>
      </c>
      <c r="I93" s="9">
        <v>30321</v>
      </c>
      <c r="J93" s="9">
        <v>57121</v>
      </c>
      <c r="K93" s="9">
        <v>82</v>
      </c>
      <c r="L93" s="16" t="s">
        <v>19</v>
      </c>
      <c r="M93" s="16" t="s">
        <v>37</v>
      </c>
      <c r="N93" s="16" t="s">
        <v>49</v>
      </c>
      <c r="O93" s="1"/>
    </row>
    <row r="94" spans="1:15">
      <c r="A94" s="1" t="s">
        <v>123</v>
      </c>
      <c r="B94" s="1" t="s">
        <v>13</v>
      </c>
      <c r="C94" s="5">
        <v>45351</v>
      </c>
      <c r="D94" s="16" t="s">
        <v>14</v>
      </c>
      <c r="E94" s="17" t="s">
        <v>363</v>
      </c>
      <c r="F94" s="9">
        <v>1100</v>
      </c>
      <c r="G94" s="9">
        <v>229</v>
      </c>
      <c r="H94" s="9">
        <v>312</v>
      </c>
      <c r="I94" s="9">
        <v>25641</v>
      </c>
      <c r="J94" s="9">
        <v>34601</v>
      </c>
      <c r="K94" s="9">
        <v>169</v>
      </c>
      <c r="L94" s="16" t="s">
        <v>19</v>
      </c>
      <c r="M94" s="16"/>
      <c r="N94" s="16" t="s">
        <v>20</v>
      </c>
      <c r="O94" s="1"/>
    </row>
    <row r="95" spans="1:15">
      <c r="A95" s="1" t="s">
        <v>124</v>
      </c>
      <c r="B95" s="1" t="s">
        <v>22</v>
      </c>
      <c r="C95" s="5">
        <v>45609</v>
      </c>
      <c r="D95" s="16" t="s">
        <v>23</v>
      </c>
      <c r="E95" s="17" t="s">
        <v>33</v>
      </c>
      <c r="F95" s="9">
        <v>4628</v>
      </c>
      <c r="G95" s="9">
        <v>257</v>
      </c>
      <c r="H95" s="9">
        <v>397</v>
      </c>
      <c r="I95" s="9">
        <v>36686</v>
      </c>
      <c r="J95" s="9">
        <v>54683</v>
      </c>
      <c r="K95" s="9">
        <v>98</v>
      </c>
      <c r="L95" s="16" t="s">
        <v>37</v>
      </c>
      <c r="M95" s="16" t="s">
        <v>34</v>
      </c>
      <c r="N95" s="16" t="s">
        <v>16</v>
      </c>
      <c r="O95" s="1"/>
    </row>
    <row r="96" spans="1:15">
      <c r="A96" s="1" t="s">
        <v>125</v>
      </c>
      <c r="B96" s="1" t="s">
        <v>13</v>
      </c>
      <c r="C96" s="5">
        <v>45373</v>
      </c>
      <c r="D96" s="16" t="s">
        <v>23</v>
      </c>
      <c r="E96" s="17" t="s">
        <v>15</v>
      </c>
      <c r="F96" s="9">
        <v>2319</v>
      </c>
      <c r="G96" s="9">
        <v>484</v>
      </c>
      <c r="H96" s="9">
        <v>193</v>
      </c>
      <c r="I96" s="9">
        <v>21202</v>
      </c>
      <c r="J96" s="9">
        <v>18091</v>
      </c>
      <c r="K96" s="9">
        <v>241</v>
      </c>
      <c r="L96" s="16" t="s">
        <v>34</v>
      </c>
      <c r="M96" s="16"/>
      <c r="N96" s="16" t="s">
        <v>46</v>
      </c>
      <c r="O96" s="1"/>
    </row>
    <row r="97" spans="1:15">
      <c r="A97" s="1" t="s">
        <v>126</v>
      </c>
      <c r="B97" s="1" t="s">
        <v>22</v>
      </c>
      <c r="C97" s="5">
        <v>45367</v>
      </c>
      <c r="D97" s="16" t="s">
        <v>23</v>
      </c>
      <c r="E97" s="17" t="s">
        <v>360</v>
      </c>
      <c r="F97" s="9">
        <v>2895</v>
      </c>
      <c r="G97" s="9">
        <v>292</v>
      </c>
      <c r="H97" s="9">
        <v>90</v>
      </c>
      <c r="I97" s="9">
        <v>24223</v>
      </c>
      <c r="J97" s="9">
        <v>54626</v>
      </c>
      <c r="K97" s="9">
        <v>114</v>
      </c>
      <c r="L97" s="16" t="s">
        <v>37</v>
      </c>
      <c r="M97" s="16" t="s">
        <v>34</v>
      </c>
      <c r="N97" s="16" t="s">
        <v>16</v>
      </c>
      <c r="O97" s="1"/>
    </row>
    <row r="98" spans="1:15">
      <c r="A98" s="1" t="s">
        <v>127</v>
      </c>
      <c r="B98" s="1" t="s">
        <v>13</v>
      </c>
      <c r="C98" s="5">
        <v>45317</v>
      </c>
      <c r="D98" s="16" t="s">
        <v>14</v>
      </c>
      <c r="E98" s="17" t="s">
        <v>362</v>
      </c>
      <c r="F98" s="9">
        <v>3878</v>
      </c>
      <c r="G98" s="9">
        <v>431</v>
      </c>
      <c r="H98" s="9">
        <v>97</v>
      </c>
      <c r="I98" s="9">
        <v>41763</v>
      </c>
      <c r="J98" s="9">
        <v>29729</v>
      </c>
      <c r="K98" s="9">
        <v>191</v>
      </c>
      <c r="L98" s="16" t="s">
        <v>19</v>
      </c>
      <c r="M98" s="16"/>
      <c r="N98" s="16" t="s">
        <v>20</v>
      </c>
      <c r="O98" s="1"/>
    </row>
    <row r="99" spans="1:15">
      <c r="A99" s="1" t="s">
        <v>128</v>
      </c>
      <c r="B99" s="1" t="s">
        <v>22</v>
      </c>
      <c r="C99" s="5">
        <v>45366</v>
      </c>
      <c r="D99" s="16" t="s">
        <v>23</v>
      </c>
      <c r="E99" s="17" t="s">
        <v>30</v>
      </c>
      <c r="F99" s="9">
        <v>4969</v>
      </c>
      <c r="G99" s="9">
        <v>433</v>
      </c>
      <c r="H99" s="9">
        <v>237</v>
      </c>
      <c r="I99" s="9">
        <v>59552</v>
      </c>
      <c r="J99" s="9">
        <v>23885</v>
      </c>
      <c r="K99" s="9">
        <v>157</v>
      </c>
      <c r="L99" s="16" t="s">
        <v>19</v>
      </c>
      <c r="M99" s="16" t="s">
        <v>364</v>
      </c>
      <c r="N99" s="16" t="s">
        <v>16</v>
      </c>
      <c r="O99" s="1"/>
    </row>
    <row r="100" spans="1:15">
      <c r="A100" s="1" t="s">
        <v>129</v>
      </c>
      <c r="B100" s="1" t="s">
        <v>22</v>
      </c>
      <c r="C100" s="5">
        <v>45580</v>
      </c>
      <c r="D100" s="16" t="s">
        <v>14</v>
      </c>
      <c r="E100" s="17" t="s">
        <v>360</v>
      </c>
      <c r="F100" s="9">
        <v>1984</v>
      </c>
      <c r="G100" s="9">
        <v>481</v>
      </c>
      <c r="H100" s="9">
        <v>356</v>
      </c>
      <c r="I100" s="9">
        <v>40681</v>
      </c>
      <c r="J100" s="9">
        <v>63111</v>
      </c>
      <c r="K100" s="9">
        <v>258</v>
      </c>
      <c r="L100" s="16" t="s">
        <v>34</v>
      </c>
      <c r="M100" s="16"/>
      <c r="N100" s="16" t="s">
        <v>16</v>
      </c>
      <c r="O100" s="1"/>
    </row>
    <row r="101" spans="1:15">
      <c r="A101" s="1" t="s">
        <v>130</v>
      </c>
      <c r="B101" s="1" t="s">
        <v>13</v>
      </c>
      <c r="C101" s="5">
        <v>45494</v>
      </c>
      <c r="D101" s="16" t="s">
        <v>14</v>
      </c>
      <c r="E101" s="17" t="s">
        <v>15</v>
      </c>
      <c r="F101" s="9">
        <v>3004</v>
      </c>
      <c r="G101" s="9">
        <v>415</v>
      </c>
      <c r="H101" s="9">
        <v>218</v>
      </c>
      <c r="I101" s="9">
        <v>36090</v>
      </c>
      <c r="J101" s="9">
        <v>37073</v>
      </c>
      <c r="K101" s="9">
        <v>181</v>
      </c>
      <c r="L101" s="16" t="s">
        <v>19</v>
      </c>
      <c r="M101" s="16"/>
      <c r="N101" s="16" t="s">
        <v>20</v>
      </c>
      <c r="O101" s="1"/>
    </row>
    <row r="102" spans="1:15">
      <c r="A102" s="1" t="s">
        <v>131</v>
      </c>
      <c r="B102" s="1" t="s">
        <v>22</v>
      </c>
      <c r="C102" s="5">
        <v>45577</v>
      </c>
      <c r="D102" s="16" t="s">
        <v>14</v>
      </c>
      <c r="E102" s="17" t="s">
        <v>30</v>
      </c>
      <c r="F102" s="9">
        <v>3169</v>
      </c>
      <c r="G102" s="9">
        <v>386</v>
      </c>
      <c r="H102" s="9">
        <v>175</v>
      </c>
      <c r="I102" s="9">
        <v>45012</v>
      </c>
      <c r="J102" s="9">
        <v>38508</v>
      </c>
      <c r="K102" s="9">
        <v>218</v>
      </c>
      <c r="L102" s="16" t="s">
        <v>34</v>
      </c>
      <c r="M102" s="16"/>
      <c r="N102" s="16" t="s">
        <v>16</v>
      </c>
      <c r="O102" s="1"/>
    </row>
    <row r="103" spans="1:15">
      <c r="A103" s="1" t="s">
        <v>132</v>
      </c>
      <c r="B103" s="1" t="s">
        <v>22</v>
      </c>
      <c r="C103" s="5">
        <v>45591</v>
      </c>
      <c r="D103" s="16" t="s">
        <v>14</v>
      </c>
      <c r="E103" s="17" t="s">
        <v>15</v>
      </c>
      <c r="F103" s="9">
        <v>3036</v>
      </c>
      <c r="G103" s="9">
        <v>293</v>
      </c>
      <c r="H103" s="9">
        <v>115</v>
      </c>
      <c r="I103" s="9">
        <v>23776</v>
      </c>
      <c r="J103" s="9">
        <v>46386</v>
      </c>
      <c r="K103" s="9">
        <v>282</v>
      </c>
      <c r="L103" s="16" t="s">
        <v>34</v>
      </c>
      <c r="M103" s="16"/>
      <c r="N103" s="16" t="s">
        <v>16</v>
      </c>
      <c r="O103" s="1"/>
    </row>
    <row r="104" spans="1:15">
      <c r="A104" s="1" t="s">
        <v>133</v>
      </c>
      <c r="B104" s="1" t="s">
        <v>13</v>
      </c>
      <c r="C104" s="5">
        <v>45336</v>
      </c>
      <c r="D104" s="16" t="s">
        <v>14</v>
      </c>
      <c r="E104" s="17" t="s">
        <v>361</v>
      </c>
      <c r="F104" s="9">
        <v>1830</v>
      </c>
      <c r="G104" s="9">
        <v>112</v>
      </c>
      <c r="H104" s="9">
        <v>181</v>
      </c>
      <c r="I104" s="9">
        <v>31870</v>
      </c>
      <c r="J104" s="9">
        <v>55742</v>
      </c>
      <c r="K104" s="9">
        <v>263</v>
      </c>
      <c r="L104" s="16" t="s">
        <v>37</v>
      </c>
      <c r="M104" s="16" t="s">
        <v>34</v>
      </c>
      <c r="N104" s="16" t="s">
        <v>16</v>
      </c>
      <c r="O104" s="1"/>
    </row>
    <row r="105" spans="1:15">
      <c r="A105" s="1" t="s">
        <v>134</v>
      </c>
      <c r="B105" s="1" t="s">
        <v>22</v>
      </c>
      <c r="C105" s="5">
        <v>45413</v>
      </c>
      <c r="D105" s="16" t="s">
        <v>23</v>
      </c>
      <c r="E105" s="17" t="s">
        <v>362</v>
      </c>
      <c r="F105" s="9">
        <v>2587</v>
      </c>
      <c r="G105" s="9">
        <v>447</v>
      </c>
      <c r="H105" s="9">
        <v>183</v>
      </c>
      <c r="I105" s="9">
        <v>36266</v>
      </c>
      <c r="J105" s="9">
        <v>32877</v>
      </c>
      <c r="K105" s="9">
        <v>132</v>
      </c>
      <c r="L105" s="16" t="s">
        <v>19</v>
      </c>
      <c r="M105" s="16" t="s">
        <v>364</v>
      </c>
      <c r="N105" s="16" t="s">
        <v>16</v>
      </c>
      <c r="O105" s="1"/>
    </row>
    <row r="106" spans="1:15">
      <c r="A106" s="1" t="s">
        <v>135</v>
      </c>
      <c r="B106" s="1" t="s">
        <v>22</v>
      </c>
      <c r="C106" s="5">
        <v>45553</v>
      </c>
      <c r="D106" s="16" t="s">
        <v>14</v>
      </c>
      <c r="E106" s="17" t="s">
        <v>15</v>
      </c>
      <c r="F106" s="9">
        <v>2878</v>
      </c>
      <c r="G106" s="9">
        <v>265</v>
      </c>
      <c r="H106" s="9">
        <v>91</v>
      </c>
      <c r="I106" s="9">
        <v>52090</v>
      </c>
      <c r="J106" s="9">
        <v>28924</v>
      </c>
      <c r="K106" s="9">
        <v>133</v>
      </c>
      <c r="L106" s="16" t="s">
        <v>34</v>
      </c>
      <c r="M106" s="16"/>
      <c r="N106" s="16" t="s">
        <v>16</v>
      </c>
      <c r="O106" s="1"/>
    </row>
    <row r="107" spans="1:15">
      <c r="A107" s="1" t="s">
        <v>136</v>
      </c>
      <c r="B107" s="1" t="s">
        <v>22</v>
      </c>
      <c r="C107" s="5">
        <v>45677</v>
      </c>
      <c r="D107" s="16" t="s">
        <v>23</v>
      </c>
      <c r="E107" s="17" t="s">
        <v>24</v>
      </c>
      <c r="F107" s="9">
        <v>4619</v>
      </c>
      <c r="G107" s="9">
        <v>272</v>
      </c>
      <c r="H107" s="9">
        <v>57</v>
      </c>
      <c r="I107" s="9">
        <v>21334</v>
      </c>
      <c r="J107" s="9">
        <v>46292</v>
      </c>
      <c r="K107" s="9">
        <v>91</v>
      </c>
      <c r="L107" s="16" t="s">
        <v>37</v>
      </c>
      <c r="M107" s="16" t="s">
        <v>34</v>
      </c>
      <c r="N107" s="16" t="s">
        <v>16</v>
      </c>
      <c r="O107" s="1"/>
    </row>
    <row r="108" spans="1:15">
      <c r="A108" s="1" t="s">
        <v>137</v>
      </c>
      <c r="B108" s="1" t="s">
        <v>22</v>
      </c>
      <c r="C108" s="5">
        <v>45670</v>
      </c>
      <c r="D108" s="16" t="s">
        <v>14</v>
      </c>
      <c r="E108" s="17" t="s">
        <v>361</v>
      </c>
      <c r="F108" s="9">
        <v>4090</v>
      </c>
      <c r="G108" s="9">
        <v>209</v>
      </c>
      <c r="H108" s="9">
        <v>278</v>
      </c>
      <c r="I108" s="9">
        <v>52853</v>
      </c>
      <c r="J108" s="9">
        <v>57084</v>
      </c>
      <c r="K108" s="9">
        <v>102</v>
      </c>
      <c r="L108" s="16" t="s">
        <v>37</v>
      </c>
      <c r="M108" s="16"/>
      <c r="N108" s="16" t="s">
        <v>20</v>
      </c>
      <c r="O108" s="1"/>
    </row>
    <row r="109" spans="1:15">
      <c r="A109" s="1" t="s">
        <v>138</v>
      </c>
      <c r="B109" s="1" t="s">
        <v>27</v>
      </c>
      <c r="C109" s="5">
        <v>45542</v>
      </c>
      <c r="D109" s="16" t="s">
        <v>48</v>
      </c>
      <c r="E109" s="17" t="s">
        <v>361</v>
      </c>
      <c r="F109" s="9">
        <v>3882</v>
      </c>
      <c r="G109" s="9">
        <v>342</v>
      </c>
      <c r="H109" s="9">
        <v>374</v>
      </c>
      <c r="I109" s="9">
        <v>41991</v>
      </c>
      <c r="J109" s="9">
        <v>48554</v>
      </c>
      <c r="K109" s="9">
        <v>118</v>
      </c>
      <c r="L109" s="16" t="s">
        <v>19</v>
      </c>
      <c r="M109" s="16" t="s">
        <v>37</v>
      </c>
      <c r="N109" s="16" t="s">
        <v>49</v>
      </c>
      <c r="O109" s="1"/>
    </row>
    <row r="110" spans="1:15">
      <c r="A110" s="1" t="s">
        <v>139</v>
      </c>
      <c r="B110" s="1" t="s">
        <v>13</v>
      </c>
      <c r="C110" s="5">
        <v>45617</v>
      </c>
      <c r="D110" s="16" t="s">
        <v>14</v>
      </c>
      <c r="E110" s="17" t="s">
        <v>361</v>
      </c>
      <c r="F110" s="9">
        <v>4581</v>
      </c>
      <c r="G110" s="9">
        <v>181</v>
      </c>
      <c r="H110" s="9">
        <v>112</v>
      </c>
      <c r="I110" s="9">
        <v>35221</v>
      </c>
      <c r="J110" s="9">
        <v>28797</v>
      </c>
      <c r="K110" s="9">
        <v>164</v>
      </c>
      <c r="L110" s="16" t="s">
        <v>37</v>
      </c>
      <c r="M110" s="16" t="s">
        <v>34</v>
      </c>
      <c r="N110" s="16" t="s">
        <v>16</v>
      </c>
      <c r="O110" s="1"/>
    </row>
    <row r="111" spans="1:15">
      <c r="A111" s="1" t="s">
        <v>140</v>
      </c>
      <c r="B111" s="1" t="s">
        <v>13</v>
      </c>
      <c r="C111" s="5">
        <v>45469</v>
      </c>
      <c r="D111" s="16" t="s">
        <v>14</v>
      </c>
      <c r="E111" s="17" t="s">
        <v>24</v>
      </c>
      <c r="F111" s="9">
        <v>3253</v>
      </c>
      <c r="G111" s="9">
        <v>483</v>
      </c>
      <c r="H111" s="9">
        <v>336</v>
      </c>
      <c r="I111" s="9">
        <v>25397</v>
      </c>
      <c r="J111" s="9">
        <v>51485</v>
      </c>
      <c r="K111" s="9">
        <v>131</v>
      </c>
      <c r="L111" s="16" t="s">
        <v>19</v>
      </c>
      <c r="M111" s="16"/>
      <c r="N111" s="16" t="s">
        <v>20</v>
      </c>
      <c r="O111" s="1"/>
    </row>
    <row r="112" spans="1:15">
      <c r="A112" s="1" t="s">
        <v>141</v>
      </c>
      <c r="B112" s="1" t="s">
        <v>27</v>
      </c>
      <c r="C112" s="5">
        <v>45493</v>
      </c>
      <c r="D112" s="16" t="s">
        <v>48</v>
      </c>
      <c r="E112" s="17" t="s">
        <v>361</v>
      </c>
      <c r="F112" s="9">
        <v>4955</v>
      </c>
      <c r="G112" s="9">
        <v>299</v>
      </c>
      <c r="H112" s="9">
        <v>345</v>
      </c>
      <c r="I112" s="9">
        <v>33644</v>
      </c>
      <c r="J112" s="9">
        <v>43547</v>
      </c>
      <c r="K112" s="9">
        <v>194</v>
      </c>
      <c r="L112" s="16" t="s">
        <v>19</v>
      </c>
      <c r="M112" s="16" t="s">
        <v>37</v>
      </c>
      <c r="N112" s="16" t="s">
        <v>49</v>
      </c>
      <c r="O112" s="1"/>
    </row>
    <row r="113" spans="1:15">
      <c r="A113" s="1" t="s">
        <v>142</v>
      </c>
      <c r="B113" s="1" t="s">
        <v>13</v>
      </c>
      <c r="C113" s="5">
        <v>45704</v>
      </c>
      <c r="D113" s="16" t="s">
        <v>14</v>
      </c>
      <c r="E113" s="17" t="s">
        <v>42</v>
      </c>
      <c r="F113" s="9">
        <v>1333</v>
      </c>
      <c r="G113" s="9">
        <v>286</v>
      </c>
      <c r="H113" s="9">
        <v>298</v>
      </c>
      <c r="I113" s="9">
        <v>36174</v>
      </c>
      <c r="J113" s="9">
        <v>34517</v>
      </c>
      <c r="K113" s="9">
        <v>170</v>
      </c>
      <c r="L113" s="16" t="s">
        <v>37</v>
      </c>
      <c r="M113" s="16" t="s">
        <v>34</v>
      </c>
      <c r="N113" s="16" t="s">
        <v>16</v>
      </c>
      <c r="O113" s="1"/>
    </row>
    <row r="114" spans="1:15">
      <c r="A114" s="1" t="s">
        <v>143</v>
      </c>
      <c r="B114" s="1" t="s">
        <v>13</v>
      </c>
      <c r="C114" s="5">
        <v>45544</v>
      </c>
      <c r="D114" s="16" t="s">
        <v>14</v>
      </c>
      <c r="E114" s="17" t="s">
        <v>24</v>
      </c>
      <c r="F114" s="9">
        <v>1616</v>
      </c>
      <c r="G114" s="9">
        <v>360</v>
      </c>
      <c r="H114" s="9">
        <v>180</v>
      </c>
      <c r="I114" s="9">
        <v>54342</v>
      </c>
      <c r="J114" s="9">
        <v>18796</v>
      </c>
      <c r="K114" s="9">
        <v>282</v>
      </c>
      <c r="L114" s="16" t="s">
        <v>37</v>
      </c>
      <c r="M114" s="16" t="s">
        <v>34</v>
      </c>
      <c r="N114" s="16" t="s">
        <v>16</v>
      </c>
      <c r="O114" s="1"/>
    </row>
    <row r="115" spans="1:15">
      <c r="A115" s="1" t="s">
        <v>144</v>
      </c>
      <c r="B115" s="1" t="s">
        <v>22</v>
      </c>
      <c r="C115" s="5">
        <v>45489</v>
      </c>
      <c r="D115" s="16" t="s">
        <v>14</v>
      </c>
      <c r="E115" s="17" t="s">
        <v>33</v>
      </c>
      <c r="F115" s="9">
        <v>1803</v>
      </c>
      <c r="G115" s="9">
        <v>273</v>
      </c>
      <c r="H115" s="9">
        <v>287</v>
      </c>
      <c r="I115" s="9">
        <v>46176</v>
      </c>
      <c r="J115" s="9">
        <v>25488</v>
      </c>
      <c r="K115" s="9">
        <v>141</v>
      </c>
      <c r="L115" s="16" t="s">
        <v>34</v>
      </c>
      <c r="M115" s="16"/>
      <c r="N115" s="16" t="s">
        <v>16</v>
      </c>
      <c r="O115" s="1"/>
    </row>
    <row r="116" spans="1:15">
      <c r="A116" s="1" t="s">
        <v>145</v>
      </c>
      <c r="B116" s="1" t="s">
        <v>13</v>
      </c>
      <c r="C116" s="5">
        <v>45762</v>
      </c>
      <c r="D116" s="16" t="s">
        <v>14</v>
      </c>
      <c r="E116" s="17" t="s">
        <v>18</v>
      </c>
      <c r="F116" s="9">
        <v>4177</v>
      </c>
      <c r="G116" s="9">
        <v>489</v>
      </c>
      <c r="H116" s="9">
        <v>331</v>
      </c>
      <c r="I116" s="9">
        <v>57451</v>
      </c>
      <c r="J116" s="9">
        <v>73793</v>
      </c>
      <c r="K116" s="9">
        <v>251</v>
      </c>
      <c r="L116" s="16" t="s">
        <v>19</v>
      </c>
      <c r="M116" s="16"/>
      <c r="N116" s="16" t="s">
        <v>20</v>
      </c>
      <c r="O116" s="1"/>
    </row>
    <row r="117" spans="1:15">
      <c r="A117" s="1" t="s">
        <v>146</v>
      </c>
      <c r="B117" s="1" t="s">
        <v>13</v>
      </c>
      <c r="C117" s="5">
        <v>45781</v>
      </c>
      <c r="D117" s="16" t="s">
        <v>23</v>
      </c>
      <c r="E117" s="17" t="s">
        <v>24</v>
      </c>
      <c r="F117" s="9">
        <v>1311</v>
      </c>
      <c r="G117" s="9">
        <v>181</v>
      </c>
      <c r="H117" s="9">
        <v>361</v>
      </c>
      <c r="I117" s="9">
        <v>37148</v>
      </c>
      <c r="J117" s="9">
        <v>44875</v>
      </c>
      <c r="K117" s="9">
        <v>245</v>
      </c>
      <c r="L117" s="16" t="s">
        <v>34</v>
      </c>
      <c r="M117" s="16"/>
      <c r="N117" s="16" t="s">
        <v>46</v>
      </c>
      <c r="O117" s="1"/>
    </row>
    <row r="118" spans="1:15">
      <c r="A118" s="1" t="s">
        <v>147</v>
      </c>
      <c r="B118" s="1" t="s">
        <v>13</v>
      </c>
      <c r="C118" s="5">
        <v>45340</v>
      </c>
      <c r="D118" s="16" t="s">
        <v>23</v>
      </c>
      <c r="E118" s="17" t="s">
        <v>363</v>
      </c>
      <c r="F118" s="9">
        <v>1516</v>
      </c>
      <c r="G118" s="9">
        <v>215</v>
      </c>
      <c r="H118" s="9">
        <v>332</v>
      </c>
      <c r="I118" s="9">
        <v>58981</v>
      </c>
      <c r="J118" s="9">
        <v>36118</v>
      </c>
      <c r="K118" s="9">
        <v>211</v>
      </c>
      <c r="L118" s="16" t="s">
        <v>34</v>
      </c>
      <c r="M118" s="16"/>
      <c r="N118" s="16" t="s">
        <v>46</v>
      </c>
      <c r="O118" s="1"/>
    </row>
    <row r="119" spans="1:15">
      <c r="A119" s="1" t="s">
        <v>148</v>
      </c>
      <c r="B119" s="1" t="s">
        <v>22</v>
      </c>
      <c r="C119" s="5">
        <v>45428</v>
      </c>
      <c r="D119" s="16" t="s">
        <v>23</v>
      </c>
      <c r="E119" s="17" t="s">
        <v>361</v>
      </c>
      <c r="F119" s="9">
        <v>2023</v>
      </c>
      <c r="G119" s="9">
        <v>124</v>
      </c>
      <c r="H119" s="9">
        <v>99</v>
      </c>
      <c r="I119" s="9">
        <v>54524</v>
      </c>
      <c r="J119" s="9">
        <v>34790</v>
      </c>
      <c r="K119" s="9">
        <v>195</v>
      </c>
      <c r="L119" s="16" t="s">
        <v>19</v>
      </c>
      <c r="M119" s="16" t="s">
        <v>364</v>
      </c>
      <c r="N119" s="16" t="s">
        <v>16</v>
      </c>
      <c r="O119" s="1"/>
    </row>
    <row r="120" spans="1:15">
      <c r="A120" s="1" t="s">
        <v>149</v>
      </c>
      <c r="B120" s="1" t="s">
        <v>22</v>
      </c>
      <c r="C120" s="5">
        <v>45806</v>
      </c>
      <c r="D120" s="16" t="s">
        <v>23</v>
      </c>
      <c r="E120" s="17" t="s">
        <v>361</v>
      </c>
      <c r="F120" s="9">
        <v>2134</v>
      </c>
      <c r="G120" s="9">
        <v>322</v>
      </c>
      <c r="H120" s="9">
        <v>114</v>
      </c>
      <c r="I120" s="9">
        <v>44338</v>
      </c>
      <c r="J120" s="9">
        <v>52165</v>
      </c>
      <c r="K120" s="9">
        <v>176</v>
      </c>
      <c r="L120" s="16" t="s">
        <v>364</v>
      </c>
      <c r="M120" s="16" t="s">
        <v>34</v>
      </c>
      <c r="N120" s="16" t="s">
        <v>16</v>
      </c>
      <c r="O120" s="1"/>
    </row>
    <row r="121" spans="1:15">
      <c r="A121" s="1" t="s">
        <v>150</v>
      </c>
      <c r="B121" s="1" t="s">
        <v>13</v>
      </c>
      <c r="C121" s="5">
        <v>45674</v>
      </c>
      <c r="D121" s="16" t="s">
        <v>14</v>
      </c>
      <c r="E121" s="17" t="s">
        <v>33</v>
      </c>
      <c r="F121" s="9">
        <v>2266</v>
      </c>
      <c r="G121" s="9">
        <v>126</v>
      </c>
      <c r="H121" s="9">
        <v>140</v>
      </c>
      <c r="I121" s="9">
        <v>53759</v>
      </c>
      <c r="J121" s="9">
        <v>46834</v>
      </c>
      <c r="K121" s="9">
        <v>277</v>
      </c>
      <c r="L121" s="16" t="s">
        <v>19</v>
      </c>
      <c r="M121" s="16"/>
      <c r="N121" s="16" t="s">
        <v>20</v>
      </c>
      <c r="O121" s="1"/>
    </row>
    <row r="122" spans="1:15">
      <c r="A122" s="1" t="s">
        <v>151</v>
      </c>
      <c r="B122" s="1" t="s">
        <v>13</v>
      </c>
      <c r="C122" s="5">
        <v>45777</v>
      </c>
      <c r="D122" s="16" t="s">
        <v>23</v>
      </c>
      <c r="E122" s="17" t="s">
        <v>24</v>
      </c>
      <c r="F122" s="9">
        <v>3916</v>
      </c>
      <c r="G122" s="9">
        <v>459</v>
      </c>
      <c r="H122" s="9">
        <v>229</v>
      </c>
      <c r="I122" s="9">
        <v>48989</v>
      </c>
      <c r="J122" s="9">
        <v>39768</v>
      </c>
      <c r="K122" s="9">
        <v>200</v>
      </c>
      <c r="L122" s="16" t="s">
        <v>34</v>
      </c>
      <c r="M122" s="16"/>
      <c r="N122" s="16" t="s">
        <v>46</v>
      </c>
      <c r="O122" s="1"/>
    </row>
    <row r="123" spans="1:15">
      <c r="A123" s="1" t="s">
        <v>152</v>
      </c>
      <c r="B123" s="1" t="s">
        <v>22</v>
      </c>
      <c r="C123" s="5">
        <v>45346</v>
      </c>
      <c r="D123" s="16" t="s">
        <v>23</v>
      </c>
      <c r="E123" s="17" t="s">
        <v>361</v>
      </c>
      <c r="F123" s="9">
        <v>1022</v>
      </c>
      <c r="G123" s="9">
        <v>463</v>
      </c>
      <c r="H123" s="9">
        <v>360</v>
      </c>
      <c r="I123" s="9">
        <v>51468</v>
      </c>
      <c r="J123" s="9">
        <v>24279</v>
      </c>
      <c r="K123" s="9">
        <v>230</v>
      </c>
      <c r="L123" s="16" t="s">
        <v>19</v>
      </c>
      <c r="M123" s="16" t="s">
        <v>364</v>
      </c>
      <c r="N123" s="16" t="s">
        <v>16</v>
      </c>
      <c r="O123" s="1"/>
    </row>
    <row r="124" spans="1:15">
      <c r="A124" s="1" t="s">
        <v>153</v>
      </c>
      <c r="B124" s="1" t="s">
        <v>27</v>
      </c>
      <c r="C124" s="5">
        <v>45424</v>
      </c>
      <c r="D124" s="16" t="s">
        <v>14</v>
      </c>
      <c r="E124" s="17" t="s">
        <v>363</v>
      </c>
      <c r="F124" s="9">
        <v>2911</v>
      </c>
      <c r="G124" s="9">
        <v>467</v>
      </c>
      <c r="H124" s="9">
        <v>94</v>
      </c>
      <c r="I124" s="9">
        <v>59083</v>
      </c>
      <c r="J124" s="9">
        <v>49762</v>
      </c>
      <c r="K124" s="9">
        <v>236</v>
      </c>
      <c r="L124" s="16" t="s">
        <v>19</v>
      </c>
      <c r="M124" s="16" t="s">
        <v>365</v>
      </c>
      <c r="N124" s="16" t="s">
        <v>20</v>
      </c>
      <c r="O124" s="1"/>
    </row>
    <row r="125" spans="1:15">
      <c r="A125" s="1" t="s">
        <v>154</v>
      </c>
      <c r="B125" s="1" t="s">
        <v>22</v>
      </c>
      <c r="C125" s="5">
        <v>45421</v>
      </c>
      <c r="D125" s="16" t="s">
        <v>23</v>
      </c>
      <c r="E125" s="17" t="s">
        <v>24</v>
      </c>
      <c r="F125" s="9">
        <v>3277</v>
      </c>
      <c r="G125" s="9">
        <v>423</v>
      </c>
      <c r="H125" s="9">
        <v>259</v>
      </c>
      <c r="I125" s="9">
        <v>46328</v>
      </c>
      <c r="J125" s="9">
        <v>44293</v>
      </c>
      <c r="K125" s="9">
        <v>299</v>
      </c>
      <c r="L125" s="16" t="s">
        <v>37</v>
      </c>
      <c r="M125" s="16" t="s">
        <v>34</v>
      </c>
      <c r="N125" s="16" t="s">
        <v>16</v>
      </c>
      <c r="O125" s="1"/>
    </row>
    <row r="126" spans="1:15">
      <c r="A126" s="1" t="s">
        <v>155</v>
      </c>
      <c r="B126" s="1" t="s">
        <v>22</v>
      </c>
      <c r="C126" s="5">
        <v>45602</v>
      </c>
      <c r="D126" s="16" t="s">
        <v>14</v>
      </c>
      <c r="E126" s="17" t="s">
        <v>363</v>
      </c>
      <c r="F126" s="9">
        <v>2956</v>
      </c>
      <c r="G126" s="9">
        <v>381</v>
      </c>
      <c r="H126" s="9">
        <v>345</v>
      </c>
      <c r="I126" s="9">
        <v>33347</v>
      </c>
      <c r="J126" s="9">
        <v>22558</v>
      </c>
      <c r="K126" s="9">
        <v>173</v>
      </c>
      <c r="L126" s="16" t="s">
        <v>34</v>
      </c>
      <c r="M126" s="16"/>
      <c r="N126" s="16" t="s">
        <v>16</v>
      </c>
      <c r="O126" s="1"/>
    </row>
    <row r="127" spans="1:15">
      <c r="A127" s="1" t="s">
        <v>156</v>
      </c>
      <c r="B127" s="1" t="s">
        <v>22</v>
      </c>
      <c r="C127" s="5">
        <v>45295</v>
      </c>
      <c r="D127" s="16" t="s">
        <v>23</v>
      </c>
      <c r="E127" s="17" t="s">
        <v>362</v>
      </c>
      <c r="F127" s="9">
        <v>3208</v>
      </c>
      <c r="G127" s="9">
        <v>476</v>
      </c>
      <c r="H127" s="9">
        <v>277</v>
      </c>
      <c r="I127" s="9">
        <v>56072</v>
      </c>
      <c r="J127" s="9">
        <v>21061</v>
      </c>
      <c r="K127" s="9">
        <v>113</v>
      </c>
      <c r="L127" s="16" t="s">
        <v>364</v>
      </c>
      <c r="M127" s="16" t="s">
        <v>34</v>
      </c>
      <c r="N127" s="16" t="s">
        <v>16</v>
      </c>
      <c r="O127" s="1"/>
    </row>
    <row r="128" spans="1:15">
      <c r="A128" s="1" t="s">
        <v>157</v>
      </c>
      <c r="B128" s="1" t="s">
        <v>22</v>
      </c>
      <c r="C128" s="5">
        <v>45319</v>
      </c>
      <c r="D128" s="16" t="s">
        <v>14</v>
      </c>
      <c r="E128" s="17" t="s">
        <v>361</v>
      </c>
      <c r="F128" s="9">
        <v>1456</v>
      </c>
      <c r="G128" s="9">
        <v>265</v>
      </c>
      <c r="H128" s="9">
        <v>137</v>
      </c>
      <c r="I128" s="9">
        <v>53485</v>
      </c>
      <c r="J128" s="9">
        <v>59729</v>
      </c>
      <c r="K128" s="9">
        <v>145</v>
      </c>
      <c r="L128" s="16" t="s">
        <v>37</v>
      </c>
      <c r="M128" s="16"/>
      <c r="N128" s="16" t="s">
        <v>20</v>
      </c>
      <c r="O128" s="1"/>
    </row>
    <row r="129" spans="1:15">
      <c r="A129" s="1" t="s">
        <v>158</v>
      </c>
      <c r="B129" s="1" t="s">
        <v>13</v>
      </c>
      <c r="C129" s="5">
        <v>45344</v>
      </c>
      <c r="D129" s="16" t="s">
        <v>14</v>
      </c>
      <c r="E129" s="17" t="s">
        <v>24</v>
      </c>
      <c r="F129" s="9">
        <v>1902</v>
      </c>
      <c r="G129" s="9">
        <v>394</v>
      </c>
      <c r="H129" s="9">
        <v>279</v>
      </c>
      <c r="I129" s="9">
        <v>24615</v>
      </c>
      <c r="J129" s="9">
        <v>51330</v>
      </c>
      <c r="K129" s="9">
        <v>176</v>
      </c>
      <c r="L129" s="16" t="s">
        <v>37</v>
      </c>
      <c r="M129" s="16" t="s">
        <v>34</v>
      </c>
      <c r="N129" s="16" t="s">
        <v>16</v>
      </c>
      <c r="O129" s="1"/>
    </row>
    <row r="130" spans="1:15">
      <c r="A130" s="1" t="s">
        <v>159</v>
      </c>
      <c r="B130" s="1" t="s">
        <v>22</v>
      </c>
      <c r="C130" s="5">
        <v>45839</v>
      </c>
      <c r="D130" s="16" t="s">
        <v>23</v>
      </c>
      <c r="E130" s="17" t="s">
        <v>18</v>
      </c>
      <c r="F130" s="9">
        <v>3219</v>
      </c>
      <c r="G130" s="9">
        <v>424</v>
      </c>
      <c r="H130" s="9">
        <v>267</v>
      </c>
      <c r="I130" s="9">
        <v>48879</v>
      </c>
      <c r="J130" s="9">
        <v>37691</v>
      </c>
      <c r="K130" s="9">
        <v>224</v>
      </c>
      <c r="L130" s="16" t="s">
        <v>19</v>
      </c>
      <c r="M130" s="16" t="s">
        <v>364</v>
      </c>
      <c r="N130" s="16" t="s">
        <v>16</v>
      </c>
      <c r="O130" s="1"/>
    </row>
    <row r="131" spans="1:15">
      <c r="A131" s="1" t="s">
        <v>160</v>
      </c>
      <c r="B131" s="1" t="s">
        <v>27</v>
      </c>
      <c r="C131" s="5">
        <v>45301</v>
      </c>
      <c r="D131" s="16" t="s">
        <v>14</v>
      </c>
      <c r="E131" s="17" t="s">
        <v>18</v>
      </c>
      <c r="F131" s="9">
        <v>1261</v>
      </c>
      <c r="G131" s="9">
        <v>190</v>
      </c>
      <c r="H131" s="9">
        <v>233</v>
      </c>
      <c r="I131" s="9">
        <v>59888</v>
      </c>
      <c r="J131" s="9">
        <v>51449</v>
      </c>
      <c r="K131" s="9">
        <v>205</v>
      </c>
      <c r="L131" s="16" t="s">
        <v>19</v>
      </c>
      <c r="M131" s="16" t="s">
        <v>365</v>
      </c>
      <c r="N131" s="16" t="s">
        <v>20</v>
      </c>
      <c r="O131" s="1"/>
    </row>
    <row r="132" spans="1:15">
      <c r="A132" s="1" t="s">
        <v>161</v>
      </c>
      <c r="B132" s="1" t="s">
        <v>22</v>
      </c>
      <c r="C132" s="5">
        <v>45736</v>
      </c>
      <c r="D132" s="16" t="s">
        <v>14</v>
      </c>
      <c r="E132" s="17" t="s">
        <v>42</v>
      </c>
      <c r="F132" s="9">
        <v>1564</v>
      </c>
      <c r="G132" s="9">
        <v>362</v>
      </c>
      <c r="H132" s="9">
        <v>371</v>
      </c>
      <c r="I132" s="9">
        <v>42075</v>
      </c>
      <c r="J132" s="9">
        <v>66659</v>
      </c>
      <c r="K132" s="9">
        <v>205</v>
      </c>
      <c r="L132" s="16" t="s">
        <v>37</v>
      </c>
      <c r="M132" s="16"/>
      <c r="N132" s="16" t="s">
        <v>20</v>
      </c>
      <c r="O132" s="1"/>
    </row>
    <row r="133" spans="1:15">
      <c r="A133" s="1" t="s">
        <v>162</v>
      </c>
      <c r="B133" s="1" t="s">
        <v>22</v>
      </c>
      <c r="C133" s="5">
        <v>45563</v>
      </c>
      <c r="D133" s="16" t="s">
        <v>14</v>
      </c>
      <c r="E133" s="17" t="s">
        <v>362</v>
      </c>
      <c r="F133" s="9">
        <v>4006</v>
      </c>
      <c r="G133" s="9">
        <v>420</v>
      </c>
      <c r="H133" s="9">
        <v>194</v>
      </c>
      <c r="I133" s="9">
        <v>49964</v>
      </c>
      <c r="J133" s="9">
        <v>20685</v>
      </c>
      <c r="K133" s="9">
        <v>148</v>
      </c>
      <c r="L133" s="16" t="s">
        <v>34</v>
      </c>
      <c r="M133" s="16"/>
      <c r="N133" s="16" t="s">
        <v>16</v>
      </c>
      <c r="O133" s="1"/>
    </row>
    <row r="134" spans="1:15">
      <c r="A134" s="1" t="s">
        <v>163</v>
      </c>
      <c r="B134" s="1" t="s">
        <v>27</v>
      </c>
      <c r="C134" s="5">
        <v>45318</v>
      </c>
      <c r="D134" s="16" t="s">
        <v>14</v>
      </c>
      <c r="E134" s="17" t="s">
        <v>42</v>
      </c>
      <c r="F134" s="9">
        <v>1976</v>
      </c>
      <c r="G134" s="9">
        <v>262</v>
      </c>
      <c r="H134" s="9">
        <v>218</v>
      </c>
      <c r="I134" s="9">
        <v>51696</v>
      </c>
      <c r="J134" s="9">
        <v>44846</v>
      </c>
      <c r="K134" s="9">
        <v>139</v>
      </c>
      <c r="L134" s="16" t="s">
        <v>19</v>
      </c>
      <c r="M134" s="16" t="s">
        <v>365</v>
      </c>
      <c r="N134" s="16" t="s">
        <v>20</v>
      </c>
      <c r="O134" s="1"/>
    </row>
    <row r="135" spans="1:15">
      <c r="A135" s="1" t="s">
        <v>164</v>
      </c>
      <c r="B135" s="1" t="s">
        <v>22</v>
      </c>
      <c r="C135" s="5">
        <v>45792</v>
      </c>
      <c r="D135" s="16" t="s">
        <v>14</v>
      </c>
      <c r="E135" s="17" t="s">
        <v>24</v>
      </c>
      <c r="F135" s="9">
        <v>1583</v>
      </c>
      <c r="G135" s="9">
        <v>433</v>
      </c>
      <c r="H135" s="9">
        <v>249</v>
      </c>
      <c r="I135" s="9">
        <v>30256</v>
      </c>
      <c r="J135" s="9">
        <v>47066</v>
      </c>
      <c r="K135" s="9">
        <v>196</v>
      </c>
      <c r="L135" s="16" t="s">
        <v>34</v>
      </c>
      <c r="M135" s="16"/>
      <c r="N135" s="16" t="s">
        <v>16</v>
      </c>
      <c r="O135" s="1"/>
    </row>
    <row r="136" spans="1:15">
      <c r="A136" s="1" t="s">
        <v>165</v>
      </c>
      <c r="B136" s="1" t="s">
        <v>22</v>
      </c>
      <c r="C136" s="5">
        <v>45569</v>
      </c>
      <c r="D136" s="16" t="s">
        <v>23</v>
      </c>
      <c r="E136" s="17" t="s">
        <v>18</v>
      </c>
      <c r="F136" s="9">
        <v>2870</v>
      </c>
      <c r="G136" s="9">
        <v>380</v>
      </c>
      <c r="H136" s="9">
        <v>393</v>
      </c>
      <c r="I136" s="9">
        <v>37621</v>
      </c>
      <c r="J136" s="9">
        <v>71794</v>
      </c>
      <c r="K136" s="9">
        <v>127</v>
      </c>
      <c r="L136" s="16" t="s">
        <v>364</v>
      </c>
      <c r="M136" s="16" t="s">
        <v>34</v>
      </c>
      <c r="N136" s="16" t="s">
        <v>16</v>
      </c>
      <c r="O136" s="1"/>
    </row>
    <row r="137" spans="1:15">
      <c r="A137" s="1" t="s">
        <v>166</v>
      </c>
      <c r="B137" s="1" t="s">
        <v>22</v>
      </c>
      <c r="C137" s="5">
        <v>45615</v>
      </c>
      <c r="D137" s="16" t="s">
        <v>14</v>
      </c>
      <c r="E137" s="17" t="s">
        <v>33</v>
      </c>
      <c r="F137" s="9">
        <v>3728</v>
      </c>
      <c r="G137" s="9">
        <v>271</v>
      </c>
      <c r="H137" s="9">
        <v>275</v>
      </c>
      <c r="I137" s="9">
        <v>22827</v>
      </c>
      <c r="J137" s="9">
        <v>37034</v>
      </c>
      <c r="K137" s="9">
        <v>199</v>
      </c>
      <c r="L137" s="16" t="s">
        <v>34</v>
      </c>
      <c r="M137" s="16"/>
      <c r="N137" s="16" t="s">
        <v>16</v>
      </c>
      <c r="O137" s="1"/>
    </row>
    <row r="138" spans="1:15">
      <c r="A138" s="1" t="s">
        <v>167</v>
      </c>
      <c r="B138" s="1" t="s">
        <v>22</v>
      </c>
      <c r="C138" s="5">
        <v>45387</v>
      </c>
      <c r="D138" s="16" t="s">
        <v>23</v>
      </c>
      <c r="E138" s="17" t="s">
        <v>24</v>
      </c>
      <c r="F138" s="9">
        <v>4965</v>
      </c>
      <c r="G138" s="9">
        <v>175</v>
      </c>
      <c r="H138" s="9">
        <v>307</v>
      </c>
      <c r="I138" s="9">
        <v>32793</v>
      </c>
      <c r="J138" s="9">
        <v>43412</v>
      </c>
      <c r="K138" s="9">
        <v>296</v>
      </c>
      <c r="L138" s="16" t="s">
        <v>37</v>
      </c>
      <c r="M138" s="16" t="s">
        <v>34</v>
      </c>
      <c r="N138" s="16" t="s">
        <v>16</v>
      </c>
      <c r="O138" s="1"/>
    </row>
    <row r="139" spans="1:15">
      <c r="A139" s="1" t="s">
        <v>168</v>
      </c>
      <c r="B139" s="1" t="s">
        <v>22</v>
      </c>
      <c r="C139" s="5">
        <v>45624</v>
      </c>
      <c r="D139" s="16" t="s">
        <v>23</v>
      </c>
      <c r="E139" s="17" t="s">
        <v>24</v>
      </c>
      <c r="F139" s="9">
        <v>1131</v>
      </c>
      <c r="G139" s="9">
        <v>100</v>
      </c>
      <c r="H139" s="9">
        <v>116</v>
      </c>
      <c r="I139" s="9">
        <v>48437</v>
      </c>
      <c r="J139" s="9">
        <v>72704</v>
      </c>
      <c r="K139" s="9">
        <v>236</v>
      </c>
      <c r="L139" s="16" t="s">
        <v>19</v>
      </c>
      <c r="M139" s="16" t="s">
        <v>364</v>
      </c>
      <c r="N139" s="16" t="s">
        <v>16</v>
      </c>
      <c r="O139" s="1"/>
    </row>
    <row r="140" spans="1:15">
      <c r="A140" s="1" t="s">
        <v>169</v>
      </c>
      <c r="B140" s="1" t="s">
        <v>22</v>
      </c>
      <c r="C140" s="5">
        <v>45725</v>
      </c>
      <c r="D140" s="16" t="s">
        <v>14</v>
      </c>
      <c r="E140" s="17" t="s">
        <v>42</v>
      </c>
      <c r="F140" s="9">
        <v>2754</v>
      </c>
      <c r="G140" s="9">
        <v>215</v>
      </c>
      <c r="H140" s="9">
        <v>264</v>
      </c>
      <c r="I140" s="9">
        <v>27762</v>
      </c>
      <c r="J140" s="9">
        <v>70203</v>
      </c>
      <c r="K140" s="9">
        <v>289</v>
      </c>
      <c r="L140" s="16" t="s">
        <v>34</v>
      </c>
      <c r="M140" s="16"/>
      <c r="N140" s="16" t="s">
        <v>16</v>
      </c>
      <c r="O140" s="1"/>
    </row>
    <row r="141" spans="1:15">
      <c r="A141" s="1" t="s">
        <v>170</v>
      </c>
      <c r="B141" s="1" t="s">
        <v>22</v>
      </c>
      <c r="C141" s="5">
        <v>45531</v>
      </c>
      <c r="D141" s="16" t="s">
        <v>23</v>
      </c>
      <c r="E141" s="17" t="s">
        <v>24</v>
      </c>
      <c r="F141" s="9">
        <v>1856</v>
      </c>
      <c r="G141" s="9">
        <v>357</v>
      </c>
      <c r="H141" s="9">
        <v>348</v>
      </c>
      <c r="I141" s="9">
        <v>29428</v>
      </c>
      <c r="J141" s="9">
        <v>70206</v>
      </c>
      <c r="K141" s="9">
        <v>236</v>
      </c>
      <c r="L141" s="16" t="s">
        <v>364</v>
      </c>
      <c r="M141" s="16" t="s">
        <v>34</v>
      </c>
      <c r="N141" s="16" t="s">
        <v>16</v>
      </c>
      <c r="O141" s="1"/>
    </row>
    <row r="142" spans="1:15">
      <c r="A142" s="1" t="s">
        <v>171</v>
      </c>
      <c r="B142" s="1" t="s">
        <v>27</v>
      </c>
      <c r="C142" s="5">
        <v>45566</v>
      </c>
      <c r="D142" s="16" t="s">
        <v>48</v>
      </c>
      <c r="E142" s="17" t="s">
        <v>18</v>
      </c>
      <c r="F142" s="9">
        <v>3543</v>
      </c>
      <c r="G142" s="9">
        <v>334</v>
      </c>
      <c r="H142" s="9">
        <v>218</v>
      </c>
      <c r="I142" s="9">
        <v>58007</v>
      </c>
      <c r="J142" s="9">
        <v>24792</v>
      </c>
      <c r="K142" s="9">
        <v>273</v>
      </c>
      <c r="L142" s="16" t="s">
        <v>19</v>
      </c>
      <c r="M142" s="16" t="s">
        <v>37</v>
      </c>
      <c r="N142" s="16" t="s">
        <v>49</v>
      </c>
      <c r="O142" s="1"/>
    </row>
    <row r="143" spans="1:15">
      <c r="A143" s="1" t="s">
        <v>172</v>
      </c>
      <c r="B143" s="1" t="s">
        <v>13</v>
      </c>
      <c r="C143" s="5">
        <v>45647</v>
      </c>
      <c r="D143" s="16" t="s">
        <v>23</v>
      </c>
      <c r="E143" s="17" t="s">
        <v>24</v>
      </c>
      <c r="F143" s="9">
        <v>4563</v>
      </c>
      <c r="G143" s="9">
        <v>398</v>
      </c>
      <c r="H143" s="9">
        <v>163</v>
      </c>
      <c r="I143" s="9">
        <v>43679</v>
      </c>
      <c r="J143" s="9">
        <v>48760</v>
      </c>
      <c r="K143" s="9">
        <v>92</v>
      </c>
      <c r="L143" s="16" t="s">
        <v>34</v>
      </c>
      <c r="M143" s="16"/>
      <c r="N143" s="16" t="s">
        <v>46</v>
      </c>
      <c r="O143" s="1"/>
    </row>
    <row r="144" spans="1:15">
      <c r="A144" s="1" t="s">
        <v>173</v>
      </c>
      <c r="B144" s="1" t="s">
        <v>13</v>
      </c>
      <c r="C144" s="5">
        <v>45460</v>
      </c>
      <c r="D144" s="16" t="s">
        <v>14</v>
      </c>
      <c r="E144" s="17" t="s">
        <v>15</v>
      </c>
      <c r="F144" s="9">
        <v>4283</v>
      </c>
      <c r="G144" s="9">
        <v>471</v>
      </c>
      <c r="H144" s="9">
        <v>156</v>
      </c>
      <c r="I144" s="9">
        <v>53004</v>
      </c>
      <c r="J144" s="9">
        <v>25678</v>
      </c>
      <c r="K144" s="9">
        <v>105</v>
      </c>
      <c r="L144" s="16" t="s">
        <v>19</v>
      </c>
      <c r="M144" s="16"/>
      <c r="N144" s="16" t="s">
        <v>20</v>
      </c>
      <c r="O144" s="1"/>
    </row>
    <row r="145" spans="1:15">
      <c r="A145" s="1" t="s">
        <v>174</v>
      </c>
      <c r="B145" s="1" t="s">
        <v>13</v>
      </c>
      <c r="C145" s="5">
        <v>45702</v>
      </c>
      <c r="D145" s="16" t="s">
        <v>14</v>
      </c>
      <c r="E145" s="17" t="s">
        <v>15</v>
      </c>
      <c r="F145" s="9">
        <v>2329</v>
      </c>
      <c r="G145" s="9">
        <v>373</v>
      </c>
      <c r="H145" s="9">
        <v>291</v>
      </c>
      <c r="I145" s="9">
        <v>49577</v>
      </c>
      <c r="J145" s="9">
        <v>28002</v>
      </c>
      <c r="K145" s="9">
        <v>82</v>
      </c>
      <c r="L145" s="16" t="s">
        <v>37</v>
      </c>
      <c r="M145" s="16" t="s">
        <v>34</v>
      </c>
      <c r="N145" s="16" t="s">
        <v>16</v>
      </c>
      <c r="O145" s="1"/>
    </row>
    <row r="146" spans="1:15">
      <c r="A146" s="1" t="s">
        <v>175</v>
      </c>
      <c r="B146" s="1" t="s">
        <v>22</v>
      </c>
      <c r="C146" s="5">
        <v>45805</v>
      </c>
      <c r="D146" s="16" t="s">
        <v>23</v>
      </c>
      <c r="E146" s="17" t="s">
        <v>33</v>
      </c>
      <c r="F146" s="9">
        <v>4287</v>
      </c>
      <c r="G146" s="9">
        <v>273</v>
      </c>
      <c r="H146" s="9">
        <v>122</v>
      </c>
      <c r="I146" s="9">
        <v>40792</v>
      </c>
      <c r="J146" s="9">
        <v>23878</v>
      </c>
      <c r="K146" s="9">
        <v>277</v>
      </c>
      <c r="L146" s="16" t="s">
        <v>364</v>
      </c>
      <c r="M146" s="16" t="s">
        <v>34</v>
      </c>
      <c r="N146" s="16" t="s">
        <v>16</v>
      </c>
      <c r="O146" s="1"/>
    </row>
    <row r="147" spans="1:15">
      <c r="A147" s="1" t="s">
        <v>176</v>
      </c>
      <c r="B147" s="1" t="s">
        <v>13</v>
      </c>
      <c r="C147" s="5">
        <v>45799</v>
      </c>
      <c r="D147" s="16" t="s">
        <v>14</v>
      </c>
      <c r="E147" s="17" t="s">
        <v>15</v>
      </c>
      <c r="F147" s="9">
        <v>2633</v>
      </c>
      <c r="G147" s="9">
        <v>318</v>
      </c>
      <c r="H147" s="9">
        <v>380</v>
      </c>
      <c r="I147" s="9">
        <v>40869</v>
      </c>
      <c r="J147" s="9">
        <v>64474</v>
      </c>
      <c r="K147" s="9">
        <v>245</v>
      </c>
      <c r="L147" s="16" t="s">
        <v>19</v>
      </c>
      <c r="M147" s="16"/>
      <c r="N147" s="16" t="s">
        <v>20</v>
      </c>
      <c r="O147" s="1"/>
    </row>
    <row r="148" spans="1:15">
      <c r="A148" s="1" t="s">
        <v>177</v>
      </c>
      <c r="B148" s="1" t="s">
        <v>22</v>
      </c>
      <c r="C148" s="5">
        <v>45312</v>
      </c>
      <c r="D148" s="16" t="s">
        <v>23</v>
      </c>
      <c r="E148" s="17" t="s">
        <v>15</v>
      </c>
      <c r="F148" s="9">
        <v>2383</v>
      </c>
      <c r="G148" s="9">
        <v>136</v>
      </c>
      <c r="H148" s="9">
        <v>302</v>
      </c>
      <c r="I148" s="9">
        <v>39187</v>
      </c>
      <c r="J148" s="9">
        <v>22133</v>
      </c>
      <c r="K148" s="9">
        <v>208</v>
      </c>
      <c r="L148" s="16" t="s">
        <v>364</v>
      </c>
      <c r="M148" s="16" t="s">
        <v>34</v>
      </c>
      <c r="N148" s="16" t="s">
        <v>16</v>
      </c>
      <c r="O148" s="1"/>
    </row>
    <row r="149" spans="1:15">
      <c r="A149" s="1" t="s">
        <v>178</v>
      </c>
      <c r="B149" s="1" t="s">
        <v>22</v>
      </c>
      <c r="C149" s="5">
        <v>45696</v>
      </c>
      <c r="D149" s="16" t="s">
        <v>23</v>
      </c>
      <c r="E149" s="17" t="s">
        <v>42</v>
      </c>
      <c r="F149" s="9">
        <v>4752</v>
      </c>
      <c r="G149" s="9">
        <v>334</v>
      </c>
      <c r="H149" s="9">
        <v>56</v>
      </c>
      <c r="I149" s="9">
        <v>48017</v>
      </c>
      <c r="J149" s="9">
        <v>55534</v>
      </c>
      <c r="K149" s="9">
        <v>270</v>
      </c>
      <c r="L149" s="16" t="s">
        <v>19</v>
      </c>
      <c r="M149" s="16" t="s">
        <v>364</v>
      </c>
      <c r="N149" s="16" t="s">
        <v>16</v>
      </c>
      <c r="O149" s="1"/>
    </row>
    <row r="150" spans="1:15">
      <c r="A150" s="1" t="s">
        <v>179</v>
      </c>
      <c r="B150" s="1" t="s">
        <v>22</v>
      </c>
      <c r="C150" s="5">
        <v>45760</v>
      </c>
      <c r="D150" s="16" t="s">
        <v>14</v>
      </c>
      <c r="E150" s="17" t="s">
        <v>363</v>
      </c>
      <c r="F150" s="9">
        <v>3890</v>
      </c>
      <c r="G150" s="9">
        <v>408</v>
      </c>
      <c r="H150" s="9">
        <v>338</v>
      </c>
      <c r="I150" s="9">
        <v>56994</v>
      </c>
      <c r="J150" s="9">
        <v>32621</v>
      </c>
      <c r="K150" s="9">
        <v>286</v>
      </c>
      <c r="L150" s="16" t="s">
        <v>37</v>
      </c>
      <c r="M150" s="16"/>
      <c r="N150" s="16" t="s">
        <v>20</v>
      </c>
      <c r="O150" s="1"/>
    </row>
    <row r="151" spans="1:15">
      <c r="A151" s="1" t="s">
        <v>180</v>
      </c>
      <c r="B151" s="1" t="s">
        <v>22</v>
      </c>
      <c r="C151" s="5">
        <v>45442</v>
      </c>
      <c r="D151" s="16" t="s">
        <v>23</v>
      </c>
      <c r="E151" s="17" t="s">
        <v>42</v>
      </c>
      <c r="F151" s="9">
        <v>2311</v>
      </c>
      <c r="G151" s="9">
        <v>207</v>
      </c>
      <c r="H151" s="9">
        <v>363</v>
      </c>
      <c r="I151" s="9">
        <v>30349</v>
      </c>
      <c r="J151" s="9">
        <v>32925</v>
      </c>
      <c r="K151" s="9">
        <v>88</v>
      </c>
      <c r="L151" s="16" t="s">
        <v>364</v>
      </c>
      <c r="M151" s="16" t="s">
        <v>34</v>
      </c>
      <c r="N151" s="16" t="s">
        <v>16</v>
      </c>
      <c r="O151" s="1"/>
    </row>
    <row r="152" spans="1:15">
      <c r="A152" s="1" t="s">
        <v>181</v>
      </c>
      <c r="B152" s="1" t="s">
        <v>13</v>
      </c>
      <c r="C152" s="5">
        <v>45516</v>
      </c>
      <c r="D152" s="16" t="s">
        <v>23</v>
      </c>
      <c r="E152" s="17" t="s">
        <v>15</v>
      </c>
      <c r="F152" s="9">
        <v>2962</v>
      </c>
      <c r="G152" s="9">
        <v>400</v>
      </c>
      <c r="H152" s="9">
        <v>280</v>
      </c>
      <c r="I152" s="9">
        <v>52508</v>
      </c>
      <c r="J152" s="9">
        <v>58329</v>
      </c>
      <c r="K152" s="9">
        <v>219</v>
      </c>
      <c r="L152" s="16" t="s">
        <v>34</v>
      </c>
      <c r="M152" s="16"/>
      <c r="N152" s="16" t="s">
        <v>46</v>
      </c>
      <c r="O152" s="1"/>
    </row>
    <row r="153" spans="1:15">
      <c r="A153" s="1" t="s">
        <v>182</v>
      </c>
      <c r="B153" s="1" t="s">
        <v>13</v>
      </c>
      <c r="C153" s="5">
        <v>45562</v>
      </c>
      <c r="D153" s="16" t="s">
        <v>14</v>
      </c>
      <c r="E153" s="17" t="s">
        <v>15</v>
      </c>
      <c r="F153" s="9">
        <v>3118</v>
      </c>
      <c r="G153" s="9">
        <v>116</v>
      </c>
      <c r="H153" s="9">
        <v>195</v>
      </c>
      <c r="I153" s="9">
        <v>37100</v>
      </c>
      <c r="J153" s="9">
        <v>62629</v>
      </c>
      <c r="K153" s="9">
        <v>272</v>
      </c>
      <c r="L153" s="16" t="s">
        <v>19</v>
      </c>
      <c r="M153" s="16"/>
      <c r="N153" s="16" t="s">
        <v>20</v>
      </c>
      <c r="O153" s="1"/>
    </row>
    <row r="154" spans="1:15">
      <c r="A154" s="1" t="s">
        <v>183</v>
      </c>
      <c r="B154" s="1" t="s">
        <v>22</v>
      </c>
      <c r="C154" s="5">
        <v>45819</v>
      </c>
      <c r="D154" s="16" t="s">
        <v>23</v>
      </c>
      <c r="E154" s="17" t="s">
        <v>18</v>
      </c>
      <c r="F154" s="9">
        <v>3805</v>
      </c>
      <c r="G154" s="9">
        <v>453</v>
      </c>
      <c r="H154" s="9">
        <v>63</v>
      </c>
      <c r="I154" s="9">
        <v>52395</v>
      </c>
      <c r="J154" s="9">
        <v>72934</v>
      </c>
      <c r="K154" s="9">
        <v>87</v>
      </c>
      <c r="L154" s="16" t="s">
        <v>19</v>
      </c>
      <c r="M154" s="16" t="s">
        <v>364</v>
      </c>
      <c r="N154" s="16" t="s">
        <v>16</v>
      </c>
      <c r="O154" s="1"/>
    </row>
    <row r="155" spans="1:15">
      <c r="A155" s="1" t="s">
        <v>184</v>
      </c>
      <c r="B155" s="1" t="s">
        <v>13</v>
      </c>
      <c r="C155" s="5">
        <v>45615</v>
      </c>
      <c r="D155" s="16" t="s">
        <v>14</v>
      </c>
      <c r="E155" s="17" t="s">
        <v>362</v>
      </c>
      <c r="F155" s="9">
        <v>2525</v>
      </c>
      <c r="G155" s="9">
        <v>272</v>
      </c>
      <c r="H155" s="9">
        <v>294</v>
      </c>
      <c r="I155" s="9">
        <v>51875</v>
      </c>
      <c r="J155" s="9">
        <v>24732</v>
      </c>
      <c r="K155" s="9">
        <v>92</v>
      </c>
      <c r="L155" s="16" t="s">
        <v>19</v>
      </c>
      <c r="M155" s="16"/>
      <c r="N155" s="16" t="s">
        <v>20</v>
      </c>
      <c r="O155" s="1"/>
    </row>
    <row r="156" spans="1:15">
      <c r="A156" s="1" t="s">
        <v>185</v>
      </c>
      <c r="B156" s="1" t="s">
        <v>13</v>
      </c>
      <c r="C156" s="5">
        <v>45407</v>
      </c>
      <c r="D156" s="16" t="s">
        <v>14</v>
      </c>
      <c r="E156" s="17" t="s">
        <v>361</v>
      </c>
      <c r="F156" s="9">
        <v>3563</v>
      </c>
      <c r="G156" s="9">
        <v>483</v>
      </c>
      <c r="H156" s="9">
        <v>227</v>
      </c>
      <c r="I156" s="9">
        <v>41085</v>
      </c>
      <c r="J156" s="9">
        <v>26393</v>
      </c>
      <c r="K156" s="9">
        <v>236</v>
      </c>
      <c r="L156" s="16" t="s">
        <v>37</v>
      </c>
      <c r="M156" s="16" t="s">
        <v>34</v>
      </c>
      <c r="N156" s="16" t="s">
        <v>16</v>
      </c>
      <c r="O156" s="1"/>
    </row>
    <row r="157" spans="1:15">
      <c r="A157" s="1" t="s">
        <v>186</v>
      </c>
      <c r="B157" s="1" t="s">
        <v>27</v>
      </c>
      <c r="C157" s="5">
        <v>45538</v>
      </c>
      <c r="D157" s="16" t="s">
        <v>48</v>
      </c>
      <c r="E157" s="17" t="s">
        <v>362</v>
      </c>
      <c r="F157" s="9">
        <v>1437</v>
      </c>
      <c r="G157" s="9">
        <v>494</v>
      </c>
      <c r="H157" s="9">
        <v>129</v>
      </c>
      <c r="I157" s="9">
        <v>53048</v>
      </c>
      <c r="J157" s="9">
        <v>44090</v>
      </c>
      <c r="K157" s="9">
        <v>230</v>
      </c>
      <c r="L157" s="16" t="s">
        <v>19</v>
      </c>
      <c r="M157" s="16" t="s">
        <v>37</v>
      </c>
      <c r="N157" s="16" t="s">
        <v>49</v>
      </c>
      <c r="O157" s="1"/>
    </row>
    <row r="158" spans="1:15">
      <c r="A158" s="1" t="s">
        <v>187</v>
      </c>
      <c r="B158" s="1" t="s">
        <v>27</v>
      </c>
      <c r="C158" s="5">
        <v>45718</v>
      </c>
      <c r="D158" s="16" t="s">
        <v>14</v>
      </c>
      <c r="E158" s="17" t="s">
        <v>363</v>
      </c>
      <c r="F158" s="9">
        <v>4425</v>
      </c>
      <c r="G158" s="9">
        <v>185</v>
      </c>
      <c r="H158" s="9">
        <v>162</v>
      </c>
      <c r="I158" s="9">
        <v>24610</v>
      </c>
      <c r="J158" s="9">
        <v>21342</v>
      </c>
      <c r="K158" s="9">
        <v>158</v>
      </c>
      <c r="L158" s="16" t="s">
        <v>19</v>
      </c>
      <c r="M158" s="16" t="s">
        <v>365</v>
      </c>
      <c r="N158" s="16" t="s">
        <v>20</v>
      </c>
      <c r="O158" s="1"/>
    </row>
    <row r="159" spans="1:15">
      <c r="A159" s="1" t="s">
        <v>188</v>
      </c>
      <c r="B159" s="1" t="s">
        <v>22</v>
      </c>
      <c r="C159" s="5">
        <v>45737</v>
      </c>
      <c r="D159" s="16" t="s">
        <v>23</v>
      </c>
      <c r="E159" s="17" t="s">
        <v>24</v>
      </c>
      <c r="F159" s="9">
        <v>4609</v>
      </c>
      <c r="G159" s="9">
        <v>427</v>
      </c>
      <c r="H159" s="9">
        <v>395</v>
      </c>
      <c r="I159" s="9">
        <v>33698</v>
      </c>
      <c r="J159" s="9">
        <v>29259</v>
      </c>
      <c r="K159" s="9">
        <v>216</v>
      </c>
      <c r="L159" s="16" t="s">
        <v>19</v>
      </c>
      <c r="M159" s="16" t="s">
        <v>364</v>
      </c>
      <c r="N159" s="16" t="s">
        <v>16</v>
      </c>
      <c r="O159" s="1"/>
    </row>
    <row r="160" spans="1:15">
      <c r="A160" s="1" t="s">
        <v>189</v>
      </c>
      <c r="B160" s="1" t="s">
        <v>13</v>
      </c>
      <c r="C160" s="5">
        <v>45394</v>
      </c>
      <c r="D160" s="16" t="s">
        <v>23</v>
      </c>
      <c r="E160" s="17" t="s">
        <v>30</v>
      </c>
      <c r="F160" s="9">
        <v>1558</v>
      </c>
      <c r="G160" s="9">
        <v>352</v>
      </c>
      <c r="H160" s="9">
        <v>202</v>
      </c>
      <c r="I160" s="9">
        <v>25405</v>
      </c>
      <c r="J160" s="9">
        <v>69941</v>
      </c>
      <c r="K160" s="9">
        <v>219</v>
      </c>
      <c r="L160" s="16" t="s">
        <v>34</v>
      </c>
      <c r="M160" s="16"/>
      <c r="N160" s="16" t="s">
        <v>46</v>
      </c>
      <c r="O160" s="1"/>
    </row>
    <row r="161" spans="1:15">
      <c r="A161" s="1" t="s">
        <v>190</v>
      </c>
      <c r="B161" s="1" t="s">
        <v>27</v>
      </c>
      <c r="C161" s="5">
        <v>45330</v>
      </c>
      <c r="D161" s="16" t="s">
        <v>48</v>
      </c>
      <c r="E161" s="17" t="s">
        <v>33</v>
      </c>
      <c r="F161" s="9">
        <v>1889</v>
      </c>
      <c r="G161" s="9">
        <v>298</v>
      </c>
      <c r="H161" s="9">
        <v>122</v>
      </c>
      <c r="I161" s="9">
        <v>46225</v>
      </c>
      <c r="J161" s="9">
        <v>74305</v>
      </c>
      <c r="K161" s="9">
        <v>293</v>
      </c>
      <c r="L161" s="16" t="s">
        <v>19</v>
      </c>
      <c r="M161" s="16" t="s">
        <v>37</v>
      </c>
      <c r="N161" s="16" t="s">
        <v>49</v>
      </c>
      <c r="O161" s="1"/>
    </row>
    <row r="162" spans="1:15">
      <c r="A162" s="1" t="s">
        <v>191</v>
      </c>
      <c r="B162" s="1" t="s">
        <v>13</v>
      </c>
      <c r="C162" s="5">
        <v>45803</v>
      </c>
      <c r="D162" s="16" t="s">
        <v>14</v>
      </c>
      <c r="E162" s="17" t="s">
        <v>15</v>
      </c>
      <c r="F162" s="9">
        <v>3086</v>
      </c>
      <c r="G162" s="9">
        <v>148</v>
      </c>
      <c r="H162" s="9">
        <v>310</v>
      </c>
      <c r="I162" s="9">
        <v>22824</v>
      </c>
      <c r="J162" s="9">
        <v>58103</v>
      </c>
      <c r="K162" s="9">
        <v>275</v>
      </c>
      <c r="L162" s="16" t="s">
        <v>19</v>
      </c>
      <c r="M162" s="16"/>
      <c r="N162" s="16" t="s">
        <v>20</v>
      </c>
      <c r="O162" s="1"/>
    </row>
    <row r="163" spans="1:15">
      <c r="A163" s="1" t="s">
        <v>192</v>
      </c>
      <c r="B163" s="1" t="s">
        <v>13</v>
      </c>
      <c r="C163" s="5">
        <v>45610</v>
      </c>
      <c r="D163" s="16" t="s">
        <v>14</v>
      </c>
      <c r="E163" s="17" t="s">
        <v>361</v>
      </c>
      <c r="F163" s="9">
        <v>2422</v>
      </c>
      <c r="G163" s="9">
        <v>318</v>
      </c>
      <c r="H163" s="9">
        <v>118</v>
      </c>
      <c r="I163" s="9">
        <v>25386</v>
      </c>
      <c r="J163" s="9">
        <v>20873</v>
      </c>
      <c r="K163" s="9">
        <v>100</v>
      </c>
      <c r="L163" s="16" t="s">
        <v>37</v>
      </c>
      <c r="M163" s="16" t="s">
        <v>34</v>
      </c>
      <c r="N163" s="16" t="s">
        <v>16</v>
      </c>
      <c r="O163" s="1"/>
    </row>
    <row r="164" spans="1:15">
      <c r="A164" s="1" t="s">
        <v>193</v>
      </c>
      <c r="B164" s="1" t="s">
        <v>27</v>
      </c>
      <c r="C164" s="5">
        <v>45513</v>
      </c>
      <c r="D164" s="16" t="s">
        <v>48</v>
      </c>
      <c r="E164" s="17" t="s">
        <v>363</v>
      </c>
      <c r="F164" s="9">
        <v>3414</v>
      </c>
      <c r="G164" s="9">
        <v>154</v>
      </c>
      <c r="H164" s="9">
        <v>204</v>
      </c>
      <c r="I164" s="9">
        <v>34146</v>
      </c>
      <c r="J164" s="9">
        <v>44633</v>
      </c>
      <c r="K164" s="9">
        <v>256</v>
      </c>
      <c r="L164" s="16" t="s">
        <v>19</v>
      </c>
      <c r="M164" s="16" t="s">
        <v>37</v>
      </c>
      <c r="N164" s="16" t="s">
        <v>49</v>
      </c>
      <c r="O164" s="1"/>
    </row>
    <row r="165" spans="1:15">
      <c r="A165" s="1" t="s">
        <v>194</v>
      </c>
      <c r="B165" s="1" t="s">
        <v>13</v>
      </c>
      <c r="C165" s="5">
        <v>45835</v>
      </c>
      <c r="D165" s="16" t="s">
        <v>23</v>
      </c>
      <c r="E165" s="17" t="s">
        <v>362</v>
      </c>
      <c r="F165" s="9">
        <v>1342</v>
      </c>
      <c r="G165" s="9">
        <v>332</v>
      </c>
      <c r="H165" s="9">
        <v>163</v>
      </c>
      <c r="I165" s="9">
        <v>51712</v>
      </c>
      <c r="J165" s="9">
        <v>57922</v>
      </c>
      <c r="K165" s="9">
        <v>168</v>
      </c>
      <c r="L165" s="16" t="s">
        <v>34</v>
      </c>
      <c r="M165" s="16"/>
      <c r="N165" s="16" t="s">
        <v>46</v>
      </c>
      <c r="O165" s="1"/>
    </row>
    <row r="166" spans="1:15">
      <c r="A166" s="1" t="s">
        <v>195</v>
      </c>
      <c r="B166" s="1" t="s">
        <v>13</v>
      </c>
      <c r="C166" s="5">
        <v>45420</v>
      </c>
      <c r="D166" s="16" t="s">
        <v>23</v>
      </c>
      <c r="E166" s="17" t="s">
        <v>361</v>
      </c>
      <c r="F166" s="9">
        <v>2414</v>
      </c>
      <c r="G166" s="9">
        <v>220</v>
      </c>
      <c r="H166" s="9">
        <v>280</v>
      </c>
      <c r="I166" s="9">
        <v>27355</v>
      </c>
      <c r="J166" s="9">
        <v>50562</v>
      </c>
      <c r="K166" s="9">
        <v>258</v>
      </c>
      <c r="L166" s="16" t="s">
        <v>34</v>
      </c>
      <c r="M166" s="16"/>
      <c r="N166" s="16" t="s">
        <v>46</v>
      </c>
      <c r="O166" s="1"/>
    </row>
    <row r="167" spans="1:15">
      <c r="A167" s="1" t="s">
        <v>196</v>
      </c>
      <c r="B167" s="1" t="s">
        <v>13</v>
      </c>
      <c r="C167" s="5">
        <v>45387</v>
      </c>
      <c r="D167" s="16" t="s">
        <v>14</v>
      </c>
      <c r="E167" s="17" t="s">
        <v>24</v>
      </c>
      <c r="F167" s="9">
        <v>4383</v>
      </c>
      <c r="G167" s="9">
        <v>352</v>
      </c>
      <c r="H167" s="9">
        <v>176</v>
      </c>
      <c r="I167" s="9">
        <v>53239</v>
      </c>
      <c r="J167" s="9">
        <v>34168</v>
      </c>
      <c r="K167" s="9">
        <v>288</v>
      </c>
      <c r="L167" s="16" t="s">
        <v>19</v>
      </c>
      <c r="M167" s="16"/>
      <c r="N167" s="16" t="s">
        <v>20</v>
      </c>
      <c r="O167" s="1"/>
    </row>
    <row r="168" spans="1:15">
      <c r="A168" s="1" t="s">
        <v>197</v>
      </c>
      <c r="B168" s="1" t="s">
        <v>27</v>
      </c>
      <c r="C168" s="5">
        <v>45684</v>
      </c>
      <c r="D168" s="16" t="s">
        <v>14</v>
      </c>
      <c r="E168" s="17" t="s">
        <v>360</v>
      </c>
      <c r="F168" s="9">
        <v>4294</v>
      </c>
      <c r="G168" s="9">
        <v>423</v>
      </c>
      <c r="H168" s="9">
        <v>93</v>
      </c>
      <c r="I168" s="9">
        <v>29828</v>
      </c>
      <c r="J168" s="9">
        <v>73144</v>
      </c>
      <c r="K168" s="9">
        <v>298</v>
      </c>
      <c r="L168" s="16" t="s">
        <v>19</v>
      </c>
      <c r="M168" s="16" t="s">
        <v>365</v>
      </c>
      <c r="N168" s="16" t="s">
        <v>20</v>
      </c>
      <c r="O168" s="1"/>
    </row>
    <row r="169" spans="1:15">
      <c r="A169" s="1" t="s">
        <v>198</v>
      </c>
      <c r="B169" s="1" t="s">
        <v>13</v>
      </c>
      <c r="C169" s="5">
        <v>45385</v>
      </c>
      <c r="D169" s="16" t="s">
        <v>14</v>
      </c>
      <c r="E169" s="17" t="s">
        <v>33</v>
      </c>
      <c r="F169" s="9">
        <v>2762</v>
      </c>
      <c r="G169" s="9">
        <v>339</v>
      </c>
      <c r="H169" s="9">
        <v>323</v>
      </c>
      <c r="I169" s="9">
        <v>33757</v>
      </c>
      <c r="J169" s="9">
        <v>68511</v>
      </c>
      <c r="K169" s="9">
        <v>121</v>
      </c>
      <c r="L169" s="16" t="s">
        <v>37</v>
      </c>
      <c r="M169" s="16" t="s">
        <v>34</v>
      </c>
      <c r="N169" s="16" t="s">
        <v>16</v>
      </c>
      <c r="O169" s="1"/>
    </row>
    <row r="170" spans="1:15">
      <c r="A170" s="1" t="s">
        <v>199</v>
      </c>
      <c r="B170" s="1" t="s">
        <v>27</v>
      </c>
      <c r="C170" s="5">
        <v>45660</v>
      </c>
      <c r="D170" s="16" t="s">
        <v>14</v>
      </c>
      <c r="E170" s="17" t="s">
        <v>24</v>
      </c>
      <c r="F170" s="9">
        <v>3782</v>
      </c>
      <c r="G170" s="9">
        <v>484</v>
      </c>
      <c r="H170" s="9">
        <v>144</v>
      </c>
      <c r="I170" s="9">
        <v>52172</v>
      </c>
      <c r="J170" s="9">
        <v>59386</v>
      </c>
      <c r="K170" s="9">
        <v>175</v>
      </c>
      <c r="L170" s="16" t="s">
        <v>19</v>
      </c>
      <c r="M170" s="16" t="s">
        <v>365</v>
      </c>
      <c r="N170" s="16" t="s">
        <v>20</v>
      </c>
      <c r="O170" s="1"/>
    </row>
    <row r="171" spans="1:15">
      <c r="A171" s="1" t="s">
        <v>200</v>
      </c>
      <c r="B171" s="1" t="s">
        <v>22</v>
      </c>
      <c r="C171" s="5">
        <v>45619</v>
      </c>
      <c r="D171" s="16" t="s">
        <v>14</v>
      </c>
      <c r="E171" s="17" t="s">
        <v>24</v>
      </c>
      <c r="F171" s="9">
        <v>4318</v>
      </c>
      <c r="G171" s="9">
        <v>371</v>
      </c>
      <c r="H171" s="9">
        <v>329</v>
      </c>
      <c r="I171" s="9">
        <v>32347</v>
      </c>
      <c r="J171" s="9">
        <v>68956</v>
      </c>
      <c r="K171" s="9">
        <v>259</v>
      </c>
      <c r="L171" s="16" t="s">
        <v>37</v>
      </c>
      <c r="M171" s="16"/>
      <c r="N171" s="16" t="s">
        <v>20</v>
      </c>
      <c r="O171" s="1"/>
    </row>
    <row r="172" spans="1:15">
      <c r="A172" s="1" t="s">
        <v>201</v>
      </c>
      <c r="B172" s="1" t="s">
        <v>13</v>
      </c>
      <c r="C172" s="5">
        <v>45536</v>
      </c>
      <c r="D172" s="16" t="s">
        <v>23</v>
      </c>
      <c r="E172" s="17" t="s">
        <v>360</v>
      </c>
      <c r="F172" s="9">
        <v>2335</v>
      </c>
      <c r="G172" s="9">
        <v>150</v>
      </c>
      <c r="H172" s="9">
        <v>75</v>
      </c>
      <c r="I172" s="9">
        <v>26114</v>
      </c>
      <c r="J172" s="9">
        <v>57549</v>
      </c>
      <c r="K172" s="9">
        <v>135</v>
      </c>
      <c r="L172" s="16" t="s">
        <v>34</v>
      </c>
      <c r="M172" s="16"/>
      <c r="N172" s="16" t="s">
        <v>46</v>
      </c>
      <c r="O172" s="1"/>
    </row>
    <row r="173" spans="1:15">
      <c r="A173" s="1" t="s">
        <v>202</v>
      </c>
      <c r="B173" s="1" t="s">
        <v>27</v>
      </c>
      <c r="C173" s="5">
        <v>45400</v>
      </c>
      <c r="D173" s="16" t="s">
        <v>14</v>
      </c>
      <c r="E173" s="17" t="s">
        <v>18</v>
      </c>
      <c r="F173" s="9">
        <v>4023</v>
      </c>
      <c r="G173" s="9">
        <v>293</v>
      </c>
      <c r="H173" s="9">
        <v>91</v>
      </c>
      <c r="I173" s="9">
        <v>26795</v>
      </c>
      <c r="J173" s="9">
        <v>28924</v>
      </c>
      <c r="K173" s="9">
        <v>278</v>
      </c>
      <c r="L173" s="16" t="s">
        <v>19</v>
      </c>
      <c r="M173" s="16" t="s">
        <v>365</v>
      </c>
      <c r="N173" s="16" t="s">
        <v>20</v>
      </c>
      <c r="O173" s="1"/>
    </row>
    <row r="174" spans="1:15">
      <c r="A174" s="1" t="s">
        <v>203</v>
      </c>
      <c r="B174" s="1" t="s">
        <v>13</v>
      </c>
      <c r="C174" s="5">
        <v>45447</v>
      </c>
      <c r="D174" s="16" t="s">
        <v>14</v>
      </c>
      <c r="E174" s="17" t="s">
        <v>30</v>
      </c>
      <c r="F174" s="9">
        <v>3948</v>
      </c>
      <c r="G174" s="9">
        <v>151</v>
      </c>
      <c r="H174" s="9">
        <v>249</v>
      </c>
      <c r="I174" s="9">
        <v>43147</v>
      </c>
      <c r="J174" s="9">
        <v>63136</v>
      </c>
      <c r="K174" s="9">
        <v>230</v>
      </c>
      <c r="L174" s="16" t="s">
        <v>19</v>
      </c>
      <c r="M174" s="16"/>
      <c r="N174" s="16" t="s">
        <v>20</v>
      </c>
      <c r="O174" s="1"/>
    </row>
    <row r="175" spans="1:15">
      <c r="A175" s="1" t="s">
        <v>204</v>
      </c>
      <c r="B175" s="1" t="s">
        <v>27</v>
      </c>
      <c r="C175" s="5">
        <v>45749</v>
      </c>
      <c r="D175" s="16" t="s">
        <v>14</v>
      </c>
      <c r="E175" s="17" t="s">
        <v>360</v>
      </c>
      <c r="F175" s="9">
        <v>4598</v>
      </c>
      <c r="G175" s="9">
        <v>455</v>
      </c>
      <c r="H175" s="9">
        <v>378</v>
      </c>
      <c r="I175" s="9">
        <v>52952</v>
      </c>
      <c r="J175" s="9">
        <v>58504</v>
      </c>
      <c r="K175" s="9">
        <v>269</v>
      </c>
      <c r="L175" s="16" t="s">
        <v>19</v>
      </c>
      <c r="M175" s="16" t="s">
        <v>365</v>
      </c>
      <c r="N175" s="16" t="s">
        <v>20</v>
      </c>
      <c r="O175" s="1"/>
    </row>
    <row r="176" spans="1:15">
      <c r="A176" s="1" t="s">
        <v>205</v>
      </c>
      <c r="B176" s="1" t="s">
        <v>22</v>
      </c>
      <c r="C176" s="5">
        <v>45748</v>
      </c>
      <c r="D176" s="16" t="s">
        <v>23</v>
      </c>
      <c r="E176" s="17" t="s">
        <v>361</v>
      </c>
      <c r="F176" s="9">
        <v>2665</v>
      </c>
      <c r="G176" s="9">
        <v>143</v>
      </c>
      <c r="H176" s="9">
        <v>315</v>
      </c>
      <c r="I176" s="9">
        <v>54808</v>
      </c>
      <c r="J176" s="9">
        <v>29818</v>
      </c>
      <c r="K176" s="9">
        <v>98</v>
      </c>
      <c r="L176" s="16" t="s">
        <v>19</v>
      </c>
      <c r="M176" s="16" t="s">
        <v>364</v>
      </c>
      <c r="N176" s="16" t="s">
        <v>16</v>
      </c>
      <c r="O176" s="1"/>
    </row>
    <row r="177" spans="1:15">
      <c r="A177" s="1" t="s">
        <v>206</v>
      </c>
      <c r="B177" s="1" t="s">
        <v>13</v>
      </c>
      <c r="C177" s="5">
        <v>45475</v>
      </c>
      <c r="D177" s="16" t="s">
        <v>14</v>
      </c>
      <c r="E177" s="17" t="s">
        <v>33</v>
      </c>
      <c r="F177" s="9">
        <v>3469</v>
      </c>
      <c r="G177" s="9">
        <v>371</v>
      </c>
      <c r="H177" s="9">
        <v>76</v>
      </c>
      <c r="I177" s="9">
        <v>46493</v>
      </c>
      <c r="J177" s="9">
        <v>26906</v>
      </c>
      <c r="K177" s="9">
        <v>150</v>
      </c>
      <c r="L177" s="16" t="s">
        <v>37</v>
      </c>
      <c r="M177" s="16" t="s">
        <v>34</v>
      </c>
      <c r="N177" s="16" t="s">
        <v>16</v>
      </c>
      <c r="O177" s="1"/>
    </row>
    <row r="178" spans="1:15">
      <c r="A178" s="1" t="s">
        <v>207</v>
      </c>
      <c r="B178" s="1" t="s">
        <v>22</v>
      </c>
      <c r="C178" s="5">
        <v>45606</v>
      </c>
      <c r="D178" s="16" t="s">
        <v>14</v>
      </c>
      <c r="E178" s="17" t="s">
        <v>18</v>
      </c>
      <c r="F178" s="9">
        <v>4823</v>
      </c>
      <c r="G178" s="9">
        <v>489</v>
      </c>
      <c r="H178" s="9">
        <v>302</v>
      </c>
      <c r="I178" s="9">
        <v>32470</v>
      </c>
      <c r="J178" s="9">
        <v>31861</v>
      </c>
      <c r="K178" s="9">
        <v>178</v>
      </c>
      <c r="L178" s="16" t="s">
        <v>37</v>
      </c>
      <c r="M178" s="16"/>
      <c r="N178" s="16" t="s">
        <v>20</v>
      </c>
      <c r="O178" s="1"/>
    </row>
    <row r="179" spans="1:15">
      <c r="A179" s="1" t="s">
        <v>208</v>
      </c>
      <c r="B179" s="1" t="s">
        <v>13</v>
      </c>
      <c r="C179" s="5">
        <v>45640</v>
      </c>
      <c r="D179" s="16" t="s">
        <v>23</v>
      </c>
      <c r="E179" s="17" t="s">
        <v>363</v>
      </c>
      <c r="F179" s="9">
        <v>3812</v>
      </c>
      <c r="G179" s="9">
        <v>321</v>
      </c>
      <c r="H179" s="9">
        <v>289</v>
      </c>
      <c r="I179" s="9">
        <v>59838</v>
      </c>
      <c r="J179" s="9">
        <v>36337</v>
      </c>
      <c r="K179" s="9">
        <v>161</v>
      </c>
      <c r="L179" s="16" t="s">
        <v>34</v>
      </c>
      <c r="M179" s="16"/>
      <c r="N179" s="16" t="s">
        <v>46</v>
      </c>
      <c r="O179" s="1"/>
    </row>
    <row r="180" spans="1:15">
      <c r="A180" s="1" t="s">
        <v>209</v>
      </c>
      <c r="B180" s="1" t="s">
        <v>22</v>
      </c>
      <c r="C180" s="5">
        <v>45615</v>
      </c>
      <c r="D180" s="16" t="s">
        <v>14</v>
      </c>
      <c r="E180" s="17" t="s">
        <v>18</v>
      </c>
      <c r="F180" s="9">
        <v>2387</v>
      </c>
      <c r="G180" s="9">
        <v>353</v>
      </c>
      <c r="H180" s="9">
        <v>78</v>
      </c>
      <c r="I180" s="9">
        <v>39745</v>
      </c>
      <c r="J180" s="9">
        <v>69226</v>
      </c>
      <c r="K180" s="9">
        <v>208</v>
      </c>
      <c r="L180" s="16" t="s">
        <v>37</v>
      </c>
      <c r="M180" s="16"/>
      <c r="N180" s="16" t="s">
        <v>20</v>
      </c>
      <c r="O180" s="1"/>
    </row>
    <row r="181" spans="1:15">
      <c r="A181" s="1" t="s">
        <v>210</v>
      </c>
      <c r="B181" s="1" t="s">
        <v>22</v>
      </c>
      <c r="C181" s="5">
        <v>45777</v>
      </c>
      <c r="D181" s="16" t="s">
        <v>23</v>
      </c>
      <c r="E181" s="17" t="s">
        <v>360</v>
      </c>
      <c r="F181" s="9">
        <v>3929</v>
      </c>
      <c r="G181" s="9">
        <v>275</v>
      </c>
      <c r="H181" s="9">
        <v>330</v>
      </c>
      <c r="I181" s="9">
        <v>58329</v>
      </c>
      <c r="J181" s="9">
        <v>33196</v>
      </c>
      <c r="K181" s="9">
        <v>85</v>
      </c>
      <c r="L181" s="16" t="s">
        <v>364</v>
      </c>
      <c r="M181" s="16" t="s">
        <v>34</v>
      </c>
      <c r="N181" s="16" t="s">
        <v>16</v>
      </c>
      <c r="O181" s="1"/>
    </row>
    <row r="182" spans="1:15">
      <c r="A182" s="1" t="s">
        <v>211</v>
      </c>
      <c r="B182" s="1" t="s">
        <v>22</v>
      </c>
      <c r="C182" s="5">
        <v>45370</v>
      </c>
      <c r="D182" s="16" t="s">
        <v>14</v>
      </c>
      <c r="E182" s="17" t="s">
        <v>363</v>
      </c>
      <c r="F182" s="9">
        <v>2191</v>
      </c>
      <c r="G182" s="9">
        <v>288</v>
      </c>
      <c r="H182" s="9">
        <v>83</v>
      </c>
      <c r="I182" s="9">
        <v>59606</v>
      </c>
      <c r="J182" s="9">
        <v>24765</v>
      </c>
      <c r="K182" s="9">
        <v>281</v>
      </c>
      <c r="L182" s="16" t="s">
        <v>37</v>
      </c>
      <c r="M182" s="16"/>
      <c r="N182" s="16" t="s">
        <v>20</v>
      </c>
      <c r="O182" s="1"/>
    </row>
    <row r="183" spans="1:15">
      <c r="A183" s="1" t="s">
        <v>212</v>
      </c>
      <c r="B183" s="1" t="s">
        <v>13</v>
      </c>
      <c r="C183" s="5">
        <v>45370</v>
      </c>
      <c r="D183" s="16" t="s">
        <v>14</v>
      </c>
      <c r="E183" s="17" t="s">
        <v>363</v>
      </c>
      <c r="F183" s="9">
        <v>2878</v>
      </c>
      <c r="G183" s="9">
        <v>278</v>
      </c>
      <c r="H183" s="9">
        <v>255</v>
      </c>
      <c r="I183" s="9">
        <v>47235</v>
      </c>
      <c r="J183" s="9">
        <v>57922</v>
      </c>
      <c r="K183" s="9">
        <v>112</v>
      </c>
      <c r="L183" s="16" t="s">
        <v>37</v>
      </c>
      <c r="M183" s="16" t="s">
        <v>34</v>
      </c>
      <c r="N183" s="16" t="s">
        <v>16</v>
      </c>
      <c r="O183" s="1"/>
    </row>
    <row r="184" spans="1:15">
      <c r="A184" s="1" t="s">
        <v>213</v>
      </c>
      <c r="B184" s="1" t="s">
        <v>22</v>
      </c>
      <c r="C184" s="5">
        <v>45496</v>
      </c>
      <c r="D184" s="16" t="s">
        <v>14</v>
      </c>
      <c r="E184" s="17" t="s">
        <v>33</v>
      </c>
      <c r="F184" s="9">
        <v>3204</v>
      </c>
      <c r="G184" s="9">
        <v>398</v>
      </c>
      <c r="H184" s="9">
        <v>85</v>
      </c>
      <c r="I184" s="9">
        <v>22020</v>
      </c>
      <c r="J184" s="9">
        <v>58353</v>
      </c>
      <c r="K184" s="9">
        <v>286</v>
      </c>
      <c r="L184" s="16" t="s">
        <v>37</v>
      </c>
      <c r="M184" s="16"/>
      <c r="N184" s="16" t="s">
        <v>20</v>
      </c>
      <c r="O184" s="1"/>
    </row>
    <row r="185" spans="1:15">
      <c r="A185" s="1" t="s">
        <v>214</v>
      </c>
      <c r="B185" s="1" t="s">
        <v>22</v>
      </c>
      <c r="C185" s="5">
        <v>45486</v>
      </c>
      <c r="D185" s="16" t="s">
        <v>23</v>
      </c>
      <c r="E185" s="17" t="s">
        <v>30</v>
      </c>
      <c r="F185" s="9">
        <v>2408</v>
      </c>
      <c r="G185" s="9">
        <v>323</v>
      </c>
      <c r="H185" s="9">
        <v>251</v>
      </c>
      <c r="I185" s="9">
        <v>47599</v>
      </c>
      <c r="J185" s="9">
        <v>35543</v>
      </c>
      <c r="K185" s="9">
        <v>287</v>
      </c>
      <c r="L185" s="16" t="s">
        <v>364</v>
      </c>
      <c r="M185" s="16" t="s">
        <v>34</v>
      </c>
      <c r="N185" s="16" t="s">
        <v>16</v>
      </c>
      <c r="O185" s="1"/>
    </row>
    <row r="186" spans="1:15">
      <c r="A186" s="1" t="s">
        <v>215</v>
      </c>
      <c r="B186" s="1" t="s">
        <v>27</v>
      </c>
      <c r="C186" s="5">
        <v>45769</v>
      </c>
      <c r="D186" s="16" t="s">
        <v>48</v>
      </c>
      <c r="E186" s="17" t="s">
        <v>24</v>
      </c>
      <c r="F186" s="9">
        <v>2733</v>
      </c>
      <c r="G186" s="9">
        <v>297</v>
      </c>
      <c r="H186" s="9">
        <v>235</v>
      </c>
      <c r="I186" s="9">
        <v>37980</v>
      </c>
      <c r="J186" s="9">
        <v>33058</v>
      </c>
      <c r="K186" s="9">
        <v>219</v>
      </c>
      <c r="L186" s="16" t="s">
        <v>19</v>
      </c>
      <c r="M186" s="16" t="s">
        <v>37</v>
      </c>
      <c r="N186" s="16" t="s">
        <v>49</v>
      </c>
      <c r="O186" s="1"/>
    </row>
    <row r="187" spans="1:15">
      <c r="A187" s="1" t="s">
        <v>216</v>
      </c>
      <c r="B187" s="1" t="s">
        <v>22</v>
      </c>
      <c r="C187" s="5">
        <v>45459</v>
      </c>
      <c r="D187" s="16" t="s">
        <v>23</v>
      </c>
      <c r="E187" s="17" t="s">
        <v>18</v>
      </c>
      <c r="F187" s="9">
        <v>4618</v>
      </c>
      <c r="G187" s="9">
        <v>312</v>
      </c>
      <c r="H187" s="9">
        <v>254</v>
      </c>
      <c r="I187" s="9">
        <v>22571</v>
      </c>
      <c r="J187" s="9">
        <v>29453</v>
      </c>
      <c r="K187" s="9">
        <v>197</v>
      </c>
      <c r="L187" s="16" t="s">
        <v>364</v>
      </c>
      <c r="M187" s="16" t="s">
        <v>34</v>
      </c>
      <c r="N187" s="16" t="s">
        <v>16</v>
      </c>
      <c r="O187" s="1"/>
    </row>
    <row r="188" spans="1:15">
      <c r="A188" s="1" t="s">
        <v>217</v>
      </c>
      <c r="B188" s="1" t="s">
        <v>27</v>
      </c>
      <c r="C188" s="5">
        <v>45795</v>
      </c>
      <c r="D188" s="16" t="s">
        <v>48</v>
      </c>
      <c r="E188" s="17" t="s">
        <v>360</v>
      </c>
      <c r="F188" s="9">
        <v>4210</v>
      </c>
      <c r="G188" s="9">
        <v>319</v>
      </c>
      <c r="H188" s="9">
        <v>350</v>
      </c>
      <c r="I188" s="9">
        <v>37762</v>
      </c>
      <c r="J188" s="9">
        <v>55162</v>
      </c>
      <c r="K188" s="9">
        <v>204</v>
      </c>
      <c r="L188" s="16" t="s">
        <v>19</v>
      </c>
      <c r="M188" s="16" t="s">
        <v>37</v>
      </c>
      <c r="N188" s="16" t="s">
        <v>49</v>
      </c>
      <c r="O188" s="1"/>
    </row>
    <row r="189" spans="1:15">
      <c r="A189" s="1" t="s">
        <v>218</v>
      </c>
      <c r="B189" s="1" t="s">
        <v>13</v>
      </c>
      <c r="C189" s="5">
        <v>45814</v>
      </c>
      <c r="D189" s="16" t="s">
        <v>14</v>
      </c>
      <c r="E189" s="17" t="s">
        <v>360</v>
      </c>
      <c r="F189" s="9">
        <v>3987</v>
      </c>
      <c r="G189" s="9">
        <v>171</v>
      </c>
      <c r="H189" s="9">
        <v>274</v>
      </c>
      <c r="I189" s="9">
        <v>45122</v>
      </c>
      <c r="J189" s="9">
        <v>65431</v>
      </c>
      <c r="K189" s="9">
        <v>168</v>
      </c>
      <c r="L189" s="16" t="s">
        <v>19</v>
      </c>
      <c r="M189" s="16"/>
      <c r="N189" s="16" t="s">
        <v>20</v>
      </c>
      <c r="O189" s="1"/>
    </row>
    <row r="190" spans="1:15">
      <c r="A190" s="1" t="s">
        <v>219</v>
      </c>
      <c r="B190" s="1" t="s">
        <v>27</v>
      </c>
      <c r="C190" s="5">
        <v>45708</v>
      </c>
      <c r="D190" s="16" t="s">
        <v>48</v>
      </c>
      <c r="E190" s="17" t="s">
        <v>30</v>
      </c>
      <c r="F190" s="9">
        <v>4957</v>
      </c>
      <c r="G190" s="9">
        <v>262</v>
      </c>
      <c r="H190" s="9">
        <v>365</v>
      </c>
      <c r="I190" s="9">
        <v>49199</v>
      </c>
      <c r="J190" s="9">
        <v>40314</v>
      </c>
      <c r="K190" s="9">
        <v>216</v>
      </c>
      <c r="L190" s="16" t="s">
        <v>19</v>
      </c>
      <c r="M190" s="16" t="s">
        <v>37</v>
      </c>
      <c r="N190" s="16" t="s">
        <v>49</v>
      </c>
      <c r="O190" s="1"/>
    </row>
    <row r="191" spans="1:15">
      <c r="A191" s="1" t="s">
        <v>220</v>
      </c>
      <c r="B191" s="1" t="s">
        <v>13</v>
      </c>
      <c r="C191" s="5">
        <v>45673</v>
      </c>
      <c r="D191" s="16" t="s">
        <v>14</v>
      </c>
      <c r="E191" s="17" t="s">
        <v>361</v>
      </c>
      <c r="F191" s="9">
        <v>2605</v>
      </c>
      <c r="G191" s="9">
        <v>282</v>
      </c>
      <c r="H191" s="9">
        <v>148</v>
      </c>
      <c r="I191" s="9">
        <v>32201</v>
      </c>
      <c r="J191" s="9">
        <v>49583</v>
      </c>
      <c r="K191" s="9">
        <v>241</v>
      </c>
      <c r="L191" s="16" t="s">
        <v>37</v>
      </c>
      <c r="M191" s="16" t="s">
        <v>34</v>
      </c>
      <c r="N191" s="16" t="s">
        <v>16</v>
      </c>
      <c r="O191" s="1"/>
    </row>
    <row r="192" spans="1:15">
      <c r="A192" s="1" t="s">
        <v>221</v>
      </c>
      <c r="B192" s="1" t="s">
        <v>27</v>
      </c>
      <c r="C192" s="5">
        <v>45346</v>
      </c>
      <c r="D192" s="16" t="s">
        <v>48</v>
      </c>
      <c r="E192" s="17" t="s">
        <v>15</v>
      </c>
      <c r="F192" s="9">
        <v>4221</v>
      </c>
      <c r="G192" s="9">
        <v>307</v>
      </c>
      <c r="H192" s="9">
        <v>58</v>
      </c>
      <c r="I192" s="9">
        <v>45080</v>
      </c>
      <c r="J192" s="9">
        <v>37214</v>
      </c>
      <c r="K192" s="9">
        <v>240</v>
      </c>
      <c r="L192" s="16" t="s">
        <v>19</v>
      </c>
      <c r="M192" s="16" t="s">
        <v>37</v>
      </c>
      <c r="N192" s="16" t="s">
        <v>49</v>
      </c>
      <c r="O192" s="1"/>
    </row>
    <row r="193" spans="1:15">
      <c r="A193" s="1" t="s">
        <v>222</v>
      </c>
      <c r="B193" s="1" t="s">
        <v>22</v>
      </c>
      <c r="C193" s="5">
        <v>45551</v>
      </c>
      <c r="D193" s="16" t="s">
        <v>23</v>
      </c>
      <c r="E193" s="17" t="s">
        <v>362</v>
      </c>
      <c r="F193" s="9">
        <v>4422</v>
      </c>
      <c r="G193" s="9">
        <v>434</v>
      </c>
      <c r="H193" s="9">
        <v>156</v>
      </c>
      <c r="I193" s="9">
        <v>56165</v>
      </c>
      <c r="J193" s="9">
        <v>52431</v>
      </c>
      <c r="K193" s="9">
        <v>173</v>
      </c>
      <c r="L193" s="16" t="s">
        <v>19</v>
      </c>
      <c r="M193" s="16" t="s">
        <v>364</v>
      </c>
      <c r="N193" s="16" t="s">
        <v>16</v>
      </c>
      <c r="O193" s="1"/>
    </row>
    <row r="194" spans="1:15">
      <c r="A194" s="1" t="s">
        <v>223</v>
      </c>
      <c r="B194" s="1" t="s">
        <v>27</v>
      </c>
      <c r="C194" s="5">
        <v>45447</v>
      </c>
      <c r="D194" s="16" t="s">
        <v>48</v>
      </c>
      <c r="E194" s="17" t="s">
        <v>360</v>
      </c>
      <c r="F194" s="9">
        <v>1211</v>
      </c>
      <c r="G194" s="9">
        <v>431</v>
      </c>
      <c r="H194" s="9">
        <v>83</v>
      </c>
      <c r="I194" s="9">
        <v>26532</v>
      </c>
      <c r="J194" s="9">
        <v>47305</v>
      </c>
      <c r="K194" s="9">
        <v>232</v>
      </c>
      <c r="L194" s="16" t="s">
        <v>19</v>
      </c>
      <c r="M194" s="16" t="s">
        <v>37</v>
      </c>
      <c r="N194" s="16" t="s">
        <v>49</v>
      </c>
      <c r="O194" s="1"/>
    </row>
    <row r="195" spans="1:15">
      <c r="A195" s="1" t="s">
        <v>224</v>
      </c>
      <c r="B195" s="1" t="s">
        <v>22</v>
      </c>
      <c r="C195" s="5">
        <v>45422</v>
      </c>
      <c r="D195" s="16" t="s">
        <v>23</v>
      </c>
      <c r="E195" s="17" t="s">
        <v>18</v>
      </c>
      <c r="F195" s="9">
        <v>2784</v>
      </c>
      <c r="G195" s="9">
        <v>111</v>
      </c>
      <c r="H195" s="9">
        <v>399</v>
      </c>
      <c r="I195" s="9">
        <v>58366</v>
      </c>
      <c r="J195" s="9">
        <v>69512</v>
      </c>
      <c r="K195" s="9">
        <v>269</v>
      </c>
      <c r="L195" s="16" t="s">
        <v>364</v>
      </c>
      <c r="M195" s="16" t="s">
        <v>34</v>
      </c>
      <c r="N195" s="16" t="s">
        <v>16</v>
      </c>
      <c r="O195" s="1"/>
    </row>
    <row r="196" spans="1:15">
      <c r="A196" s="1" t="s">
        <v>225</v>
      </c>
      <c r="B196" s="1" t="s">
        <v>27</v>
      </c>
      <c r="C196" s="5">
        <v>45305</v>
      </c>
      <c r="D196" s="16" t="s">
        <v>14</v>
      </c>
      <c r="E196" s="17" t="s">
        <v>24</v>
      </c>
      <c r="F196" s="9">
        <v>3634</v>
      </c>
      <c r="G196" s="9">
        <v>280</v>
      </c>
      <c r="H196" s="9">
        <v>399</v>
      </c>
      <c r="I196" s="9">
        <v>40256</v>
      </c>
      <c r="J196" s="9">
        <v>52605</v>
      </c>
      <c r="K196" s="9">
        <v>213</v>
      </c>
      <c r="L196" s="16" t="s">
        <v>19</v>
      </c>
      <c r="M196" s="16" t="s">
        <v>365</v>
      </c>
      <c r="N196" s="16" t="s">
        <v>20</v>
      </c>
      <c r="O196" s="1"/>
    </row>
    <row r="197" spans="1:15">
      <c r="A197" s="1" t="s">
        <v>226</v>
      </c>
      <c r="B197" s="1" t="s">
        <v>13</v>
      </c>
      <c r="C197" s="5">
        <v>45669</v>
      </c>
      <c r="D197" s="16" t="s">
        <v>14</v>
      </c>
      <c r="E197" s="17" t="s">
        <v>363</v>
      </c>
      <c r="F197" s="9">
        <v>1771</v>
      </c>
      <c r="G197" s="9">
        <v>487</v>
      </c>
      <c r="H197" s="9">
        <v>272</v>
      </c>
      <c r="I197" s="9">
        <v>48810</v>
      </c>
      <c r="J197" s="9">
        <v>48084</v>
      </c>
      <c r="K197" s="9">
        <v>272</v>
      </c>
      <c r="L197" s="16" t="s">
        <v>37</v>
      </c>
      <c r="M197" s="16" t="s">
        <v>34</v>
      </c>
      <c r="N197" s="16" t="s">
        <v>16</v>
      </c>
      <c r="O197" s="1"/>
    </row>
    <row r="198" spans="1:15">
      <c r="A198" s="1" t="s">
        <v>227</v>
      </c>
      <c r="B198" s="1" t="s">
        <v>27</v>
      </c>
      <c r="C198" s="5">
        <v>45634</v>
      </c>
      <c r="D198" s="16" t="s">
        <v>14</v>
      </c>
      <c r="E198" s="17" t="s">
        <v>33</v>
      </c>
      <c r="F198" s="9">
        <v>1424</v>
      </c>
      <c r="G198" s="9">
        <v>396</v>
      </c>
      <c r="H198" s="9">
        <v>312</v>
      </c>
      <c r="I198" s="9">
        <v>59517</v>
      </c>
      <c r="J198" s="9">
        <v>46102</v>
      </c>
      <c r="K198" s="9">
        <v>239</v>
      </c>
      <c r="L198" s="16" t="s">
        <v>19</v>
      </c>
      <c r="M198" s="16" t="s">
        <v>365</v>
      </c>
      <c r="N198" s="16" t="s">
        <v>20</v>
      </c>
      <c r="O198" s="1"/>
    </row>
    <row r="199" spans="1:15">
      <c r="A199" s="1" t="s">
        <v>228</v>
      </c>
      <c r="B199" s="1" t="s">
        <v>22</v>
      </c>
      <c r="C199" s="5">
        <v>45689</v>
      </c>
      <c r="D199" s="16" t="s">
        <v>23</v>
      </c>
      <c r="E199" s="17" t="s">
        <v>33</v>
      </c>
      <c r="F199" s="9">
        <v>1079</v>
      </c>
      <c r="G199" s="9">
        <v>265</v>
      </c>
      <c r="H199" s="9">
        <v>190</v>
      </c>
      <c r="I199" s="9">
        <v>43786</v>
      </c>
      <c r="J199" s="9">
        <v>72428</v>
      </c>
      <c r="K199" s="9">
        <v>222</v>
      </c>
      <c r="L199" s="16" t="s">
        <v>37</v>
      </c>
      <c r="M199" s="16" t="s">
        <v>34</v>
      </c>
      <c r="N199" s="16" t="s">
        <v>16</v>
      </c>
      <c r="O199" s="1"/>
    </row>
    <row r="200" spans="1:15">
      <c r="A200" s="1" t="s">
        <v>229</v>
      </c>
      <c r="B200" s="1" t="s">
        <v>22</v>
      </c>
      <c r="C200" s="5">
        <v>45484</v>
      </c>
      <c r="D200" s="16" t="s">
        <v>23</v>
      </c>
      <c r="E200" s="17" t="s">
        <v>30</v>
      </c>
      <c r="F200" s="9">
        <v>4247</v>
      </c>
      <c r="G200" s="9">
        <v>179</v>
      </c>
      <c r="H200" s="9">
        <v>175</v>
      </c>
      <c r="I200" s="9">
        <v>32991</v>
      </c>
      <c r="J200" s="9">
        <v>70120</v>
      </c>
      <c r="K200" s="9">
        <v>276</v>
      </c>
      <c r="L200" s="16" t="s">
        <v>37</v>
      </c>
      <c r="M200" s="16" t="s">
        <v>34</v>
      </c>
      <c r="N200" s="16" t="s">
        <v>16</v>
      </c>
      <c r="O200" s="1"/>
    </row>
    <row r="201" spans="1:15">
      <c r="A201" s="1" t="s">
        <v>230</v>
      </c>
      <c r="B201" s="1" t="s">
        <v>22</v>
      </c>
      <c r="C201" s="5">
        <v>45369</v>
      </c>
      <c r="D201" s="16" t="s">
        <v>14</v>
      </c>
      <c r="E201" s="17" t="s">
        <v>24</v>
      </c>
      <c r="F201" s="9">
        <v>2033</v>
      </c>
      <c r="G201" s="9">
        <v>420</v>
      </c>
      <c r="H201" s="9">
        <v>94</v>
      </c>
      <c r="I201" s="9">
        <v>56290</v>
      </c>
      <c r="J201" s="9">
        <v>57391</v>
      </c>
      <c r="K201" s="9">
        <v>196</v>
      </c>
      <c r="L201" s="16" t="s">
        <v>34</v>
      </c>
      <c r="M201" s="16"/>
      <c r="N201" s="16" t="s">
        <v>16</v>
      </c>
      <c r="O201" s="1"/>
    </row>
    <row r="202" spans="1:15">
      <c r="A202" s="1" t="s">
        <v>231</v>
      </c>
      <c r="B202" s="1" t="s">
        <v>22</v>
      </c>
      <c r="C202" s="5">
        <v>45547</v>
      </c>
      <c r="D202" s="16" t="s">
        <v>23</v>
      </c>
      <c r="E202" s="17" t="s">
        <v>360</v>
      </c>
      <c r="F202" s="9">
        <v>1839</v>
      </c>
      <c r="G202" s="9">
        <v>223</v>
      </c>
      <c r="H202" s="9">
        <v>171</v>
      </c>
      <c r="I202" s="9">
        <v>35459</v>
      </c>
      <c r="J202" s="9">
        <v>69988</v>
      </c>
      <c r="K202" s="9">
        <v>114</v>
      </c>
      <c r="L202" s="16" t="s">
        <v>364</v>
      </c>
      <c r="M202" s="16" t="s">
        <v>34</v>
      </c>
      <c r="N202" s="16" t="s">
        <v>16</v>
      </c>
      <c r="O202" s="1"/>
    </row>
    <row r="203" spans="1:15">
      <c r="A203" s="1" t="s">
        <v>232</v>
      </c>
      <c r="B203" s="1" t="s">
        <v>22</v>
      </c>
      <c r="C203" s="5">
        <v>45302</v>
      </c>
      <c r="D203" s="16" t="s">
        <v>23</v>
      </c>
      <c r="E203" s="17" t="s">
        <v>360</v>
      </c>
      <c r="F203" s="9">
        <v>2340</v>
      </c>
      <c r="G203" s="9">
        <v>141</v>
      </c>
      <c r="H203" s="9">
        <v>206</v>
      </c>
      <c r="I203" s="9">
        <v>24916</v>
      </c>
      <c r="J203" s="9">
        <v>30582</v>
      </c>
      <c r="K203" s="9">
        <v>157</v>
      </c>
      <c r="L203" s="16" t="s">
        <v>37</v>
      </c>
      <c r="M203" s="16" t="s">
        <v>34</v>
      </c>
      <c r="N203" s="16" t="s">
        <v>16</v>
      </c>
      <c r="O203" s="1"/>
    </row>
    <row r="204" spans="1:15">
      <c r="A204" s="1" t="s">
        <v>233</v>
      </c>
      <c r="B204" s="1" t="s">
        <v>13</v>
      </c>
      <c r="C204" s="5">
        <v>45571</v>
      </c>
      <c r="D204" s="16" t="s">
        <v>14</v>
      </c>
      <c r="E204" s="17" t="s">
        <v>33</v>
      </c>
      <c r="F204" s="9">
        <v>2080</v>
      </c>
      <c r="G204" s="9">
        <v>389</v>
      </c>
      <c r="H204" s="9">
        <v>92</v>
      </c>
      <c r="I204" s="9">
        <v>30971</v>
      </c>
      <c r="J204" s="9">
        <v>25347</v>
      </c>
      <c r="K204" s="9">
        <v>111</v>
      </c>
      <c r="L204" s="16" t="s">
        <v>19</v>
      </c>
      <c r="M204" s="16"/>
      <c r="N204" s="16" t="s">
        <v>20</v>
      </c>
      <c r="O204" s="1"/>
    </row>
    <row r="205" spans="1:15">
      <c r="A205" s="1" t="s">
        <v>234</v>
      </c>
      <c r="B205" s="1" t="s">
        <v>22</v>
      </c>
      <c r="C205" s="5">
        <v>45656</v>
      </c>
      <c r="D205" s="16" t="s">
        <v>14</v>
      </c>
      <c r="E205" s="17" t="s">
        <v>30</v>
      </c>
      <c r="F205" s="9">
        <v>4214</v>
      </c>
      <c r="G205" s="9">
        <v>286</v>
      </c>
      <c r="H205" s="9">
        <v>127</v>
      </c>
      <c r="I205" s="9">
        <v>47293</v>
      </c>
      <c r="J205" s="9">
        <v>27184</v>
      </c>
      <c r="K205" s="9">
        <v>232</v>
      </c>
      <c r="L205" s="16" t="s">
        <v>34</v>
      </c>
      <c r="M205" s="16"/>
      <c r="N205" s="16" t="s">
        <v>16</v>
      </c>
      <c r="O205" s="1"/>
    </row>
    <row r="206" spans="1:15">
      <c r="A206" s="1" t="s">
        <v>235</v>
      </c>
      <c r="B206" s="1" t="s">
        <v>22</v>
      </c>
      <c r="C206" s="5">
        <v>45763</v>
      </c>
      <c r="D206" s="16" t="s">
        <v>14</v>
      </c>
      <c r="E206" s="17" t="s">
        <v>360</v>
      </c>
      <c r="F206" s="9">
        <v>3792</v>
      </c>
      <c r="G206" s="9">
        <v>315</v>
      </c>
      <c r="H206" s="9">
        <v>120</v>
      </c>
      <c r="I206" s="9">
        <v>54592</v>
      </c>
      <c r="J206" s="9">
        <v>67886</v>
      </c>
      <c r="K206" s="9">
        <v>117</v>
      </c>
      <c r="L206" s="16" t="s">
        <v>37</v>
      </c>
      <c r="M206" s="16"/>
      <c r="N206" s="16" t="s">
        <v>20</v>
      </c>
      <c r="O206" s="1"/>
    </row>
    <row r="207" spans="1:15">
      <c r="A207" s="1" t="s">
        <v>236</v>
      </c>
      <c r="B207" s="1" t="s">
        <v>22</v>
      </c>
      <c r="C207" s="5">
        <v>45525</v>
      </c>
      <c r="D207" s="16" t="s">
        <v>23</v>
      </c>
      <c r="E207" s="17" t="s">
        <v>18</v>
      </c>
      <c r="F207" s="9">
        <v>3989</v>
      </c>
      <c r="G207" s="9">
        <v>476</v>
      </c>
      <c r="H207" s="9">
        <v>128</v>
      </c>
      <c r="I207" s="9">
        <v>57569</v>
      </c>
      <c r="J207" s="9">
        <v>40193</v>
      </c>
      <c r="K207" s="9">
        <v>222</v>
      </c>
      <c r="L207" s="16" t="s">
        <v>19</v>
      </c>
      <c r="M207" s="16" t="s">
        <v>364</v>
      </c>
      <c r="N207" s="16" t="s">
        <v>16</v>
      </c>
      <c r="O207" s="1"/>
    </row>
    <row r="208" spans="1:15">
      <c r="A208" s="1" t="s">
        <v>237</v>
      </c>
      <c r="B208" s="1" t="s">
        <v>22</v>
      </c>
      <c r="C208" s="5">
        <v>45387</v>
      </c>
      <c r="D208" s="16" t="s">
        <v>23</v>
      </c>
      <c r="E208" s="17" t="s">
        <v>360</v>
      </c>
      <c r="F208" s="9">
        <v>2857</v>
      </c>
      <c r="G208" s="9">
        <v>443</v>
      </c>
      <c r="H208" s="9">
        <v>359</v>
      </c>
      <c r="I208" s="9">
        <v>51519</v>
      </c>
      <c r="J208" s="9">
        <v>28256</v>
      </c>
      <c r="K208" s="9">
        <v>155</v>
      </c>
      <c r="L208" s="16" t="s">
        <v>37</v>
      </c>
      <c r="M208" s="16" t="s">
        <v>34</v>
      </c>
      <c r="N208" s="16" t="s">
        <v>16</v>
      </c>
      <c r="O208" s="1"/>
    </row>
    <row r="209" spans="1:15">
      <c r="A209" s="1" t="s">
        <v>238</v>
      </c>
      <c r="B209" s="1" t="s">
        <v>22</v>
      </c>
      <c r="C209" s="5">
        <v>45754</v>
      </c>
      <c r="D209" s="16" t="s">
        <v>14</v>
      </c>
      <c r="E209" s="17" t="s">
        <v>363</v>
      </c>
      <c r="F209" s="9">
        <v>1403</v>
      </c>
      <c r="G209" s="9">
        <v>385</v>
      </c>
      <c r="H209" s="9">
        <v>344</v>
      </c>
      <c r="I209" s="9">
        <v>54223</v>
      </c>
      <c r="J209" s="9">
        <v>72595</v>
      </c>
      <c r="K209" s="9">
        <v>239</v>
      </c>
      <c r="L209" s="16" t="s">
        <v>37</v>
      </c>
      <c r="M209" s="16"/>
      <c r="N209" s="16" t="s">
        <v>20</v>
      </c>
      <c r="O209" s="1"/>
    </row>
    <row r="210" spans="1:15">
      <c r="A210" s="1" t="s">
        <v>239</v>
      </c>
      <c r="B210" s="1" t="s">
        <v>22</v>
      </c>
      <c r="C210" s="5">
        <v>45492</v>
      </c>
      <c r="D210" s="16" t="s">
        <v>23</v>
      </c>
      <c r="E210" s="17" t="s">
        <v>362</v>
      </c>
      <c r="F210" s="9">
        <v>3071</v>
      </c>
      <c r="G210" s="9">
        <v>126</v>
      </c>
      <c r="H210" s="9">
        <v>200</v>
      </c>
      <c r="I210" s="9">
        <v>44013</v>
      </c>
      <c r="J210" s="9">
        <v>44679</v>
      </c>
      <c r="K210" s="9">
        <v>118</v>
      </c>
      <c r="L210" s="16" t="s">
        <v>19</v>
      </c>
      <c r="M210" s="16" t="s">
        <v>364</v>
      </c>
      <c r="N210" s="16" t="s">
        <v>16</v>
      </c>
      <c r="O210" s="1"/>
    </row>
    <row r="211" spans="1:15">
      <c r="A211" s="1" t="s">
        <v>240</v>
      </c>
      <c r="B211" s="1" t="s">
        <v>22</v>
      </c>
      <c r="C211" s="5">
        <v>45780</v>
      </c>
      <c r="D211" s="16" t="s">
        <v>23</v>
      </c>
      <c r="E211" s="17" t="s">
        <v>33</v>
      </c>
      <c r="F211" s="9">
        <v>1010</v>
      </c>
      <c r="G211" s="9">
        <v>361</v>
      </c>
      <c r="H211" s="9">
        <v>240</v>
      </c>
      <c r="I211" s="9">
        <v>47229</v>
      </c>
      <c r="J211" s="9">
        <v>72573</v>
      </c>
      <c r="K211" s="9">
        <v>275</v>
      </c>
      <c r="L211" s="16" t="s">
        <v>37</v>
      </c>
      <c r="M211" s="16" t="s">
        <v>34</v>
      </c>
      <c r="N211" s="16" t="s">
        <v>16</v>
      </c>
      <c r="O211" s="1"/>
    </row>
    <row r="212" spans="1:15">
      <c r="A212" s="1" t="s">
        <v>241</v>
      </c>
      <c r="B212" s="1" t="s">
        <v>22</v>
      </c>
      <c r="C212" s="5">
        <v>45396</v>
      </c>
      <c r="D212" s="16" t="s">
        <v>23</v>
      </c>
      <c r="E212" s="17" t="s">
        <v>15</v>
      </c>
      <c r="F212" s="9">
        <v>1295</v>
      </c>
      <c r="G212" s="9">
        <v>153</v>
      </c>
      <c r="H212" s="9">
        <v>81</v>
      </c>
      <c r="I212" s="9">
        <v>48350</v>
      </c>
      <c r="J212" s="9">
        <v>61033</v>
      </c>
      <c r="K212" s="9">
        <v>232</v>
      </c>
      <c r="L212" s="16" t="s">
        <v>19</v>
      </c>
      <c r="M212" s="16" t="s">
        <v>364</v>
      </c>
      <c r="N212" s="16" t="s">
        <v>16</v>
      </c>
      <c r="O212" s="1"/>
    </row>
    <row r="213" spans="1:15">
      <c r="A213" s="1" t="s">
        <v>242</v>
      </c>
      <c r="B213" s="1" t="s">
        <v>22</v>
      </c>
      <c r="C213" s="5">
        <v>45827</v>
      </c>
      <c r="D213" s="16" t="s">
        <v>23</v>
      </c>
      <c r="E213" s="17" t="s">
        <v>362</v>
      </c>
      <c r="F213" s="9">
        <v>1433</v>
      </c>
      <c r="G213" s="9">
        <v>452</v>
      </c>
      <c r="H213" s="9">
        <v>305</v>
      </c>
      <c r="I213" s="9">
        <v>54541</v>
      </c>
      <c r="J213" s="9">
        <v>63700</v>
      </c>
      <c r="K213" s="9">
        <v>296</v>
      </c>
      <c r="L213" s="16" t="s">
        <v>19</v>
      </c>
      <c r="M213" s="16" t="s">
        <v>364</v>
      </c>
      <c r="N213" s="16" t="s">
        <v>16</v>
      </c>
      <c r="O213" s="1"/>
    </row>
    <row r="214" spans="1:15">
      <c r="A214" s="1" t="s">
        <v>243</v>
      </c>
      <c r="B214" s="1" t="s">
        <v>13</v>
      </c>
      <c r="C214" s="5">
        <v>45832</v>
      </c>
      <c r="D214" s="16" t="s">
        <v>23</v>
      </c>
      <c r="E214" s="17" t="s">
        <v>30</v>
      </c>
      <c r="F214" s="9">
        <v>4902</v>
      </c>
      <c r="G214" s="9">
        <v>422</v>
      </c>
      <c r="H214" s="9">
        <v>376</v>
      </c>
      <c r="I214" s="9">
        <v>31674</v>
      </c>
      <c r="J214" s="9">
        <v>53225</v>
      </c>
      <c r="K214" s="9">
        <v>147</v>
      </c>
      <c r="L214" s="16" t="s">
        <v>34</v>
      </c>
      <c r="M214" s="16"/>
      <c r="N214" s="16" t="s">
        <v>46</v>
      </c>
      <c r="O214" s="1"/>
    </row>
    <row r="215" spans="1:15">
      <c r="A215" s="1" t="s">
        <v>244</v>
      </c>
      <c r="B215" s="1" t="s">
        <v>22</v>
      </c>
      <c r="C215" s="5">
        <v>45574</v>
      </c>
      <c r="D215" s="16" t="s">
        <v>14</v>
      </c>
      <c r="E215" s="17" t="s">
        <v>360</v>
      </c>
      <c r="F215" s="9">
        <v>2659</v>
      </c>
      <c r="G215" s="9">
        <v>167</v>
      </c>
      <c r="H215" s="9">
        <v>73</v>
      </c>
      <c r="I215" s="9">
        <v>23090</v>
      </c>
      <c r="J215" s="9">
        <v>25872</v>
      </c>
      <c r="K215" s="9">
        <v>293</v>
      </c>
      <c r="L215" s="16" t="s">
        <v>37</v>
      </c>
      <c r="M215" s="16"/>
      <c r="N215" s="16" t="s">
        <v>20</v>
      </c>
      <c r="O215" s="1"/>
    </row>
    <row r="216" spans="1:15">
      <c r="A216" s="1" t="s">
        <v>245</v>
      </c>
      <c r="B216" s="1" t="s">
        <v>27</v>
      </c>
      <c r="C216" s="5">
        <v>45672</v>
      </c>
      <c r="D216" s="16" t="s">
        <v>14</v>
      </c>
      <c r="E216" s="17" t="s">
        <v>42</v>
      </c>
      <c r="F216" s="9">
        <v>2599</v>
      </c>
      <c r="G216" s="9">
        <v>324</v>
      </c>
      <c r="H216" s="9">
        <v>182</v>
      </c>
      <c r="I216" s="9">
        <v>37525</v>
      </c>
      <c r="J216" s="9">
        <v>37216</v>
      </c>
      <c r="K216" s="9">
        <v>186</v>
      </c>
      <c r="L216" s="16" t="s">
        <v>19</v>
      </c>
      <c r="M216" s="16" t="s">
        <v>365</v>
      </c>
      <c r="N216" s="16" t="s">
        <v>20</v>
      </c>
      <c r="O216" s="1"/>
    </row>
    <row r="217" spans="1:15">
      <c r="A217" s="1" t="s">
        <v>246</v>
      </c>
      <c r="B217" s="1" t="s">
        <v>22</v>
      </c>
      <c r="C217" s="5">
        <v>45669</v>
      </c>
      <c r="D217" s="16" t="s">
        <v>14</v>
      </c>
      <c r="E217" s="17" t="s">
        <v>361</v>
      </c>
      <c r="F217" s="9">
        <v>1765</v>
      </c>
      <c r="G217" s="9">
        <v>285</v>
      </c>
      <c r="H217" s="9">
        <v>100</v>
      </c>
      <c r="I217" s="9">
        <v>41313</v>
      </c>
      <c r="J217" s="9">
        <v>56575</v>
      </c>
      <c r="K217" s="9">
        <v>174</v>
      </c>
      <c r="L217" s="16" t="s">
        <v>37</v>
      </c>
      <c r="M217" s="16"/>
      <c r="N217" s="16" t="s">
        <v>20</v>
      </c>
      <c r="O217" s="1"/>
    </row>
    <row r="218" spans="1:15">
      <c r="A218" s="1" t="s">
        <v>247</v>
      </c>
      <c r="B218" s="1" t="s">
        <v>13</v>
      </c>
      <c r="C218" s="5">
        <v>45808</v>
      </c>
      <c r="D218" s="16" t="s">
        <v>14</v>
      </c>
      <c r="E218" s="17" t="s">
        <v>362</v>
      </c>
      <c r="F218" s="9">
        <v>2169</v>
      </c>
      <c r="G218" s="9">
        <v>240</v>
      </c>
      <c r="H218" s="9">
        <v>57</v>
      </c>
      <c r="I218" s="9">
        <v>26109</v>
      </c>
      <c r="J218" s="9">
        <v>46667</v>
      </c>
      <c r="K218" s="9">
        <v>133</v>
      </c>
      <c r="L218" s="16" t="s">
        <v>37</v>
      </c>
      <c r="M218" s="16" t="s">
        <v>34</v>
      </c>
      <c r="N218" s="16" t="s">
        <v>16</v>
      </c>
      <c r="O218" s="1"/>
    </row>
    <row r="219" spans="1:15">
      <c r="A219" s="1" t="s">
        <v>248</v>
      </c>
      <c r="B219" s="1" t="s">
        <v>22</v>
      </c>
      <c r="C219" s="5">
        <v>45579</v>
      </c>
      <c r="D219" s="16" t="s">
        <v>23</v>
      </c>
      <c r="E219" s="17" t="s">
        <v>18</v>
      </c>
      <c r="F219" s="9">
        <v>4303</v>
      </c>
      <c r="G219" s="9">
        <v>306</v>
      </c>
      <c r="H219" s="9">
        <v>302</v>
      </c>
      <c r="I219" s="9">
        <v>39575</v>
      </c>
      <c r="J219" s="9">
        <v>33762</v>
      </c>
      <c r="K219" s="9">
        <v>265</v>
      </c>
      <c r="L219" s="16" t="s">
        <v>19</v>
      </c>
      <c r="M219" s="16" t="s">
        <v>364</v>
      </c>
      <c r="N219" s="16" t="s">
        <v>16</v>
      </c>
      <c r="O219" s="1"/>
    </row>
    <row r="220" spans="1:15">
      <c r="A220" s="1" t="s">
        <v>249</v>
      </c>
      <c r="B220" s="1" t="s">
        <v>22</v>
      </c>
      <c r="C220" s="5">
        <v>45332</v>
      </c>
      <c r="D220" s="16" t="s">
        <v>14</v>
      </c>
      <c r="E220" s="17" t="s">
        <v>363</v>
      </c>
      <c r="F220" s="9">
        <v>1519</v>
      </c>
      <c r="G220" s="9">
        <v>456</v>
      </c>
      <c r="H220" s="9">
        <v>379</v>
      </c>
      <c r="I220" s="9">
        <v>51611</v>
      </c>
      <c r="J220" s="9">
        <v>45880</v>
      </c>
      <c r="K220" s="9">
        <v>176</v>
      </c>
      <c r="L220" s="16" t="s">
        <v>37</v>
      </c>
      <c r="M220" s="16"/>
      <c r="N220" s="16" t="s">
        <v>20</v>
      </c>
      <c r="O220" s="1"/>
    </row>
    <row r="221" spans="1:15">
      <c r="A221" s="1" t="s">
        <v>250</v>
      </c>
      <c r="B221" s="1" t="s">
        <v>27</v>
      </c>
      <c r="C221" s="5">
        <v>45636</v>
      </c>
      <c r="D221" s="16" t="s">
        <v>14</v>
      </c>
      <c r="E221" s="17" t="s">
        <v>362</v>
      </c>
      <c r="F221" s="9">
        <v>2569</v>
      </c>
      <c r="G221" s="9">
        <v>140</v>
      </c>
      <c r="H221" s="9">
        <v>375</v>
      </c>
      <c r="I221" s="9">
        <v>38372</v>
      </c>
      <c r="J221" s="9">
        <v>22102</v>
      </c>
      <c r="K221" s="9">
        <v>255</v>
      </c>
      <c r="L221" s="16" t="s">
        <v>19</v>
      </c>
      <c r="M221" s="16" t="s">
        <v>365</v>
      </c>
      <c r="N221" s="16" t="s">
        <v>20</v>
      </c>
      <c r="O221" s="1"/>
    </row>
    <row r="222" spans="1:15">
      <c r="A222" s="1" t="s">
        <v>251</v>
      </c>
      <c r="B222" s="1" t="s">
        <v>22</v>
      </c>
      <c r="C222" s="5">
        <v>45786</v>
      </c>
      <c r="D222" s="16" t="s">
        <v>23</v>
      </c>
      <c r="E222" s="17" t="s">
        <v>361</v>
      </c>
      <c r="F222" s="9">
        <v>2778</v>
      </c>
      <c r="G222" s="9">
        <v>241</v>
      </c>
      <c r="H222" s="9">
        <v>317</v>
      </c>
      <c r="I222" s="9">
        <v>26247</v>
      </c>
      <c r="J222" s="9">
        <v>20677</v>
      </c>
      <c r="K222" s="9">
        <v>282</v>
      </c>
      <c r="L222" s="16" t="s">
        <v>364</v>
      </c>
      <c r="M222" s="16" t="s">
        <v>34</v>
      </c>
      <c r="N222" s="16" t="s">
        <v>16</v>
      </c>
      <c r="O222" s="1"/>
    </row>
    <row r="223" spans="1:15">
      <c r="A223" s="1" t="s">
        <v>252</v>
      </c>
      <c r="B223" s="1" t="s">
        <v>22</v>
      </c>
      <c r="C223" s="5">
        <v>45829</v>
      </c>
      <c r="D223" s="16" t="s">
        <v>14</v>
      </c>
      <c r="E223" s="17" t="s">
        <v>18</v>
      </c>
      <c r="F223" s="9">
        <v>3611</v>
      </c>
      <c r="G223" s="9">
        <v>127</v>
      </c>
      <c r="H223" s="9">
        <v>139</v>
      </c>
      <c r="I223" s="9">
        <v>44768</v>
      </c>
      <c r="J223" s="9">
        <v>29435</v>
      </c>
      <c r="K223" s="9">
        <v>178</v>
      </c>
      <c r="L223" s="16" t="s">
        <v>34</v>
      </c>
      <c r="M223" s="16"/>
      <c r="N223" s="16" t="s">
        <v>16</v>
      </c>
      <c r="O223" s="1"/>
    </row>
    <row r="224" spans="1:15">
      <c r="A224" s="1" t="s">
        <v>253</v>
      </c>
      <c r="B224" s="1" t="s">
        <v>22</v>
      </c>
      <c r="C224" s="5">
        <v>45462</v>
      </c>
      <c r="D224" s="16" t="s">
        <v>14</v>
      </c>
      <c r="E224" s="17" t="s">
        <v>362</v>
      </c>
      <c r="F224" s="9">
        <v>1224</v>
      </c>
      <c r="G224" s="9">
        <v>168</v>
      </c>
      <c r="H224" s="9">
        <v>199</v>
      </c>
      <c r="I224" s="9">
        <v>54232</v>
      </c>
      <c r="J224" s="9">
        <v>52844</v>
      </c>
      <c r="K224" s="9">
        <v>271</v>
      </c>
      <c r="L224" s="16" t="s">
        <v>37</v>
      </c>
      <c r="M224" s="16"/>
      <c r="N224" s="16" t="s">
        <v>20</v>
      </c>
      <c r="O224" s="1"/>
    </row>
    <row r="225" spans="1:15">
      <c r="A225" s="1" t="s">
        <v>254</v>
      </c>
      <c r="B225" s="1" t="s">
        <v>22</v>
      </c>
      <c r="C225" s="5">
        <v>45636</v>
      </c>
      <c r="D225" s="16" t="s">
        <v>14</v>
      </c>
      <c r="E225" s="17" t="s">
        <v>363</v>
      </c>
      <c r="F225" s="9">
        <v>4673</v>
      </c>
      <c r="G225" s="9">
        <v>270</v>
      </c>
      <c r="H225" s="9">
        <v>93</v>
      </c>
      <c r="I225" s="9">
        <v>45260</v>
      </c>
      <c r="J225" s="9">
        <v>57513</v>
      </c>
      <c r="K225" s="9">
        <v>103</v>
      </c>
      <c r="L225" s="16" t="s">
        <v>34</v>
      </c>
      <c r="M225" s="16"/>
      <c r="N225" s="16" t="s">
        <v>16</v>
      </c>
      <c r="O225" s="1"/>
    </row>
    <row r="226" spans="1:15">
      <c r="A226" s="1" t="s">
        <v>255</v>
      </c>
      <c r="B226" s="1" t="s">
        <v>27</v>
      </c>
      <c r="C226" s="5">
        <v>45323</v>
      </c>
      <c r="D226" s="16" t="s">
        <v>14</v>
      </c>
      <c r="E226" s="17" t="s">
        <v>360</v>
      </c>
      <c r="F226" s="9">
        <v>1432</v>
      </c>
      <c r="G226" s="9">
        <v>437</v>
      </c>
      <c r="H226" s="9">
        <v>267</v>
      </c>
      <c r="I226" s="9">
        <v>40634</v>
      </c>
      <c r="J226" s="9">
        <v>54511</v>
      </c>
      <c r="K226" s="9">
        <v>197</v>
      </c>
      <c r="L226" s="16" t="s">
        <v>19</v>
      </c>
      <c r="M226" s="16" t="s">
        <v>365</v>
      </c>
      <c r="N226" s="16" t="s">
        <v>20</v>
      </c>
      <c r="O226" s="1"/>
    </row>
    <row r="227" spans="1:15">
      <c r="A227" s="1" t="s">
        <v>256</v>
      </c>
      <c r="B227" s="1" t="s">
        <v>22</v>
      </c>
      <c r="C227" s="5">
        <v>45308</v>
      </c>
      <c r="D227" s="16" t="s">
        <v>23</v>
      </c>
      <c r="E227" s="17" t="s">
        <v>24</v>
      </c>
      <c r="F227" s="9">
        <v>2174</v>
      </c>
      <c r="G227" s="9">
        <v>499</v>
      </c>
      <c r="H227" s="9">
        <v>212</v>
      </c>
      <c r="I227" s="9">
        <v>54938</v>
      </c>
      <c r="J227" s="9">
        <v>27190</v>
      </c>
      <c r="K227" s="9">
        <v>265</v>
      </c>
      <c r="L227" s="16" t="s">
        <v>364</v>
      </c>
      <c r="M227" s="16" t="s">
        <v>34</v>
      </c>
      <c r="N227" s="16" t="s">
        <v>16</v>
      </c>
      <c r="O227" s="1"/>
    </row>
    <row r="228" spans="1:15">
      <c r="A228" s="1" t="s">
        <v>257</v>
      </c>
      <c r="B228" s="1" t="s">
        <v>27</v>
      </c>
      <c r="C228" s="5">
        <v>45738</v>
      </c>
      <c r="D228" s="16" t="s">
        <v>14</v>
      </c>
      <c r="E228" s="17" t="s">
        <v>361</v>
      </c>
      <c r="F228" s="9">
        <v>4308</v>
      </c>
      <c r="G228" s="9">
        <v>171</v>
      </c>
      <c r="H228" s="9">
        <v>106</v>
      </c>
      <c r="I228" s="9">
        <v>36955</v>
      </c>
      <c r="J228" s="9">
        <v>23949</v>
      </c>
      <c r="K228" s="9">
        <v>294</v>
      </c>
      <c r="L228" s="16" t="s">
        <v>19</v>
      </c>
      <c r="M228" s="16" t="s">
        <v>365</v>
      </c>
      <c r="N228" s="16" t="s">
        <v>20</v>
      </c>
      <c r="O228" s="1"/>
    </row>
    <row r="229" spans="1:15">
      <c r="A229" s="1" t="s">
        <v>258</v>
      </c>
      <c r="B229" s="1" t="s">
        <v>27</v>
      </c>
      <c r="C229" s="5">
        <v>45442</v>
      </c>
      <c r="D229" s="16" t="s">
        <v>48</v>
      </c>
      <c r="E229" s="17" t="s">
        <v>362</v>
      </c>
      <c r="F229" s="9">
        <v>1060</v>
      </c>
      <c r="G229" s="9">
        <v>442</v>
      </c>
      <c r="H229" s="9">
        <v>319</v>
      </c>
      <c r="I229" s="9">
        <v>57194</v>
      </c>
      <c r="J229" s="9">
        <v>24258</v>
      </c>
      <c r="K229" s="9">
        <v>101</v>
      </c>
      <c r="L229" s="16" t="s">
        <v>19</v>
      </c>
      <c r="M229" s="16" t="s">
        <v>37</v>
      </c>
      <c r="N229" s="16" t="s">
        <v>49</v>
      </c>
      <c r="O229" s="1"/>
    </row>
    <row r="230" spans="1:15">
      <c r="A230" s="1" t="s">
        <v>259</v>
      </c>
      <c r="B230" s="1" t="s">
        <v>27</v>
      </c>
      <c r="C230" s="5">
        <v>45346</v>
      </c>
      <c r="D230" s="16" t="s">
        <v>14</v>
      </c>
      <c r="E230" s="17" t="s">
        <v>361</v>
      </c>
      <c r="F230" s="9">
        <v>4653</v>
      </c>
      <c r="G230" s="9">
        <v>226</v>
      </c>
      <c r="H230" s="9">
        <v>349</v>
      </c>
      <c r="I230" s="9">
        <v>56876</v>
      </c>
      <c r="J230" s="9">
        <v>28452</v>
      </c>
      <c r="K230" s="9">
        <v>257</v>
      </c>
      <c r="L230" s="16" t="s">
        <v>19</v>
      </c>
      <c r="M230" s="16" t="s">
        <v>365</v>
      </c>
      <c r="N230" s="16" t="s">
        <v>20</v>
      </c>
      <c r="O230" s="1"/>
    </row>
    <row r="231" spans="1:15">
      <c r="A231" s="1" t="s">
        <v>260</v>
      </c>
      <c r="B231" s="1" t="s">
        <v>27</v>
      </c>
      <c r="C231" s="5">
        <v>45791</v>
      </c>
      <c r="D231" s="16" t="s">
        <v>14</v>
      </c>
      <c r="E231" s="17" t="s">
        <v>15</v>
      </c>
      <c r="F231" s="9">
        <v>1701</v>
      </c>
      <c r="G231" s="9">
        <v>272</v>
      </c>
      <c r="H231" s="9">
        <v>385</v>
      </c>
      <c r="I231" s="9">
        <v>47496</v>
      </c>
      <c r="J231" s="9">
        <v>40832</v>
      </c>
      <c r="K231" s="9">
        <v>246</v>
      </c>
      <c r="L231" s="16" t="s">
        <v>19</v>
      </c>
      <c r="M231" s="16" t="s">
        <v>365</v>
      </c>
      <c r="N231" s="16" t="s">
        <v>20</v>
      </c>
      <c r="O231" s="1"/>
    </row>
    <row r="232" spans="1:15">
      <c r="A232" s="1" t="s">
        <v>261</v>
      </c>
      <c r="B232" s="1" t="s">
        <v>13</v>
      </c>
      <c r="C232" s="5">
        <v>45379</v>
      </c>
      <c r="D232" s="16" t="s">
        <v>14</v>
      </c>
      <c r="E232" s="17" t="s">
        <v>362</v>
      </c>
      <c r="F232" s="9">
        <v>1673</v>
      </c>
      <c r="G232" s="9">
        <v>280</v>
      </c>
      <c r="H232" s="9">
        <v>67</v>
      </c>
      <c r="I232" s="9">
        <v>29847</v>
      </c>
      <c r="J232" s="9">
        <v>48016</v>
      </c>
      <c r="K232" s="9">
        <v>213</v>
      </c>
      <c r="L232" s="16" t="s">
        <v>37</v>
      </c>
      <c r="M232" s="16" t="s">
        <v>34</v>
      </c>
      <c r="N232" s="16" t="s">
        <v>16</v>
      </c>
      <c r="O232" s="1"/>
    </row>
    <row r="233" spans="1:15">
      <c r="A233" s="1" t="s">
        <v>262</v>
      </c>
      <c r="B233" s="1" t="s">
        <v>27</v>
      </c>
      <c r="C233" s="5">
        <v>45723</v>
      </c>
      <c r="D233" s="16" t="s">
        <v>14</v>
      </c>
      <c r="E233" s="17" t="s">
        <v>33</v>
      </c>
      <c r="F233" s="9">
        <v>4310</v>
      </c>
      <c r="G233" s="9">
        <v>284</v>
      </c>
      <c r="H233" s="9">
        <v>306</v>
      </c>
      <c r="I233" s="9">
        <v>44606</v>
      </c>
      <c r="J233" s="9">
        <v>42604</v>
      </c>
      <c r="K233" s="9">
        <v>290</v>
      </c>
      <c r="L233" s="16" t="s">
        <v>19</v>
      </c>
      <c r="M233" s="16" t="s">
        <v>365</v>
      </c>
      <c r="N233" s="16" t="s">
        <v>20</v>
      </c>
      <c r="O233" s="1"/>
    </row>
    <row r="234" spans="1:15">
      <c r="A234" s="1" t="s">
        <v>263</v>
      </c>
      <c r="B234" s="1" t="s">
        <v>22</v>
      </c>
      <c r="C234" s="5">
        <v>45585</v>
      </c>
      <c r="D234" s="16" t="s">
        <v>14</v>
      </c>
      <c r="E234" s="17" t="s">
        <v>363</v>
      </c>
      <c r="F234" s="9">
        <v>2752</v>
      </c>
      <c r="G234" s="9">
        <v>309</v>
      </c>
      <c r="H234" s="9">
        <v>91</v>
      </c>
      <c r="I234" s="9">
        <v>39038</v>
      </c>
      <c r="J234" s="9">
        <v>28095</v>
      </c>
      <c r="K234" s="9">
        <v>277</v>
      </c>
      <c r="L234" s="16" t="s">
        <v>34</v>
      </c>
      <c r="M234" s="16"/>
      <c r="N234" s="16" t="s">
        <v>16</v>
      </c>
      <c r="O234" s="1"/>
    </row>
    <row r="235" spans="1:15">
      <c r="A235" s="1" t="s">
        <v>264</v>
      </c>
      <c r="B235" s="1" t="s">
        <v>22</v>
      </c>
      <c r="C235" s="5">
        <v>45324</v>
      </c>
      <c r="D235" s="16" t="s">
        <v>14</v>
      </c>
      <c r="E235" s="17" t="s">
        <v>363</v>
      </c>
      <c r="F235" s="9">
        <v>3818</v>
      </c>
      <c r="G235" s="9">
        <v>115</v>
      </c>
      <c r="H235" s="9">
        <v>286</v>
      </c>
      <c r="I235" s="9">
        <v>25127</v>
      </c>
      <c r="J235" s="9">
        <v>22277</v>
      </c>
      <c r="K235" s="9">
        <v>263</v>
      </c>
      <c r="L235" s="16" t="s">
        <v>34</v>
      </c>
      <c r="M235" s="16"/>
      <c r="N235" s="16" t="s">
        <v>16</v>
      </c>
      <c r="O235" s="1"/>
    </row>
    <row r="236" spans="1:15">
      <c r="A236" s="1" t="s">
        <v>265</v>
      </c>
      <c r="B236" s="1" t="s">
        <v>27</v>
      </c>
      <c r="C236" s="5">
        <v>45542</v>
      </c>
      <c r="D236" s="16" t="s">
        <v>14</v>
      </c>
      <c r="E236" s="17" t="s">
        <v>42</v>
      </c>
      <c r="F236" s="9">
        <v>2101</v>
      </c>
      <c r="G236" s="9">
        <v>411</v>
      </c>
      <c r="H236" s="9">
        <v>190</v>
      </c>
      <c r="I236" s="9">
        <v>41791</v>
      </c>
      <c r="J236" s="9">
        <v>57090</v>
      </c>
      <c r="K236" s="9">
        <v>172</v>
      </c>
      <c r="L236" s="16" t="s">
        <v>19</v>
      </c>
      <c r="M236" s="16" t="s">
        <v>365</v>
      </c>
      <c r="N236" s="16" t="s">
        <v>20</v>
      </c>
      <c r="O236" s="1"/>
    </row>
    <row r="237" spans="1:15">
      <c r="A237" s="1" t="s">
        <v>266</v>
      </c>
      <c r="B237" s="1" t="s">
        <v>13</v>
      </c>
      <c r="C237" s="5">
        <v>45646</v>
      </c>
      <c r="D237" s="16" t="s">
        <v>14</v>
      </c>
      <c r="E237" s="17" t="s">
        <v>15</v>
      </c>
      <c r="F237" s="9">
        <v>2519</v>
      </c>
      <c r="G237" s="9">
        <v>202</v>
      </c>
      <c r="H237" s="9">
        <v>239</v>
      </c>
      <c r="I237" s="9">
        <v>36245</v>
      </c>
      <c r="J237" s="9">
        <v>48606</v>
      </c>
      <c r="K237" s="9">
        <v>145</v>
      </c>
      <c r="L237" s="16" t="s">
        <v>19</v>
      </c>
      <c r="M237" s="16"/>
      <c r="N237" s="16" t="s">
        <v>20</v>
      </c>
      <c r="O237" s="1"/>
    </row>
    <row r="238" spans="1:15">
      <c r="A238" s="1" t="s">
        <v>267</v>
      </c>
      <c r="B238" s="1" t="s">
        <v>27</v>
      </c>
      <c r="C238" s="5">
        <v>45305</v>
      </c>
      <c r="D238" s="16" t="s">
        <v>14</v>
      </c>
      <c r="E238" s="17" t="s">
        <v>362</v>
      </c>
      <c r="F238" s="9">
        <v>4502</v>
      </c>
      <c r="G238" s="9">
        <v>238</v>
      </c>
      <c r="H238" s="9">
        <v>386</v>
      </c>
      <c r="I238" s="9">
        <v>39198</v>
      </c>
      <c r="J238" s="9">
        <v>25050</v>
      </c>
      <c r="K238" s="9">
        <v>297</v>
      </c>
      <c r="L238" s="16" t="s">
        <v>19</v>
      </c>
      <c r="M238" s="16" t="s">
        <v>365</v>
      </c>
      <c r="N238" s="16" t="s">
        <v>20</v>
      </c>
      <c r="O238" s="1"/>
    </row>
    <row r="239" spans="1:15">
      <c r="A239" s="1" t="s">
        <v>268</v>
      </c>
      <c r="B239" s="1" t="s">
        <v>13</v>
      </c>
      <c r="C239" s="5">
        <v>45823</v>
      </c>
      <c r="D239" s="16" t="s">
        <v>14</v>
      </c>
      <c r="E239" s="17" t="s">
        <v>18</v>
      </c>
      <c r="F239" s="9">
        <v>2478</v>
      </c>
      <c r="G239" s="9">
        <v>427</v>
      </c>
      <c r="H239" s="9">
        <v>242</v>
      </c>
      <c r="I239" s="9">
        <v>59272</v>
      </c>
      <c r="J239" s="9">
        <v>37833</v>
      </c>
      <c r="K239" s="9">
        <v>214</v>
      </c>
      <c r="L239" s="16" t="s">
        <v>37</v>
      </c>
      <c r="M239" s="16" t="s">
        <v>34</v>
      </c>
      <c r="N239" s="16" t="s">
        <v>16</v>
      </c>
      <c r="O239" s="1"/>
    </row>
    <row r="240" spans="1:15">
      <c r="A240" s="1" t="s">
        <v>269</v>
      </c>
      <c r="B240" s="1" t="s">
        <v>22</v>
      </c>
      <c r="C240" s="5">
        <v>45639</v>
      </c>
      <c r="D240" s="16" t="s">
        <v>23</v>
      </c>
      <c r="E240" s="17" t="s">
        <v>24</v>
      </c>
      <c r="F240" s="9">
        <v>4984</v>
      </c>
      <c r="G240" s="9">
        <v>300</v>
      </c>
      <c r="H240" s="9">
        <v>338</v>
      </c>
      <c r="I240" s="9">
        <v>32900</v>
      </c>
      <c r="J240" s="9">
        <v>31691</v>
      </c>
      <c r="K240" s="9">
        <v>160</v>
      </c>
      <c r="L240" s="16" t="s">
        <v>364</v>
      </c>
      <c r="M240" s="16" t="s">
        <v>34</v>
      </c>
      <c r="N240" s="16" t="s">
        <v>16</v>
      </c>
      <c r="O240" s="1"/>
    </row>
    <row r="241" spans="1:15">
      <c r="A241" s="1" t="s">
        <v>270</v>
      </c>
      <c r="B241" s="1" t="s">
        <v>27</v>
      </c>
      <c r="C241" s="5">
        <v>45533</v>
      </c>
      <c r="D241" s="16" t="s">
        <v>14</v>
      </c>
      <c r="E241" s="17" t="s">
        <v>360</v>
      </c>
      <c r="F241" s="9">
        <v>4774</v>
      </c>
      <c r="G241" s="9">
        <v>389</v>
      </c>
      <c r="H241" s="9">
        <v>358</v>
      </c>
      <c r="I241" s="9">
        <v>52346</v>
      </c>
      <c r="J241" s="9">
        <v>30518</v>
      </c>
      <c r="K241" s="9">
        <v>277</v>
      </c>
      <c r="L241" s="16" t="s">
        <v>19</v>
      </c>
      <c r="M241" s="16" t="s">
        <v>365</v>
      </c>
      <c r="N241" s="16" t="s">
        <v>20</v>
      </c>
      <c r="O241" s="1"/>
    </row>
    <row r="242" spans="1:15">
      <c r="A242" s="1" t="s">
        <v>271</v>
      </c>
      <c r="B242" s="1" t="s">
        <v>22</v>
      </c>
      <c r="C242" s="5">
        <v>45550</v>
      </c>
      <c r="D242" s="16" t="s">
        <v>14</v>
      </c>
      <c r="E242" s="17" t="s">
        <v>30</v>
      </c>
      <c r="F242" s="9">
        <v>2145</v>
      </c>
      <c r="G242" s="9">
        <v>340</v>
      </c>
      <c r="H242" s="9">
        <v>85</v>
      </c>
      <c r="I242" s="9">
        <v>53323</v>
      </c>
      <c r="J242" s="9">
        <v>49938</v>
      </c>
      <c r="K242" s="9">
        <v>104</v>
      </c>
      <c r="L242" s="16" t="s">
        <v>34</v>
      </c>
      <c r="M242" s="16"/>
      <c r="N242" s="16" t="s">
        <v>16</v>
      </c>
      <c r="O242" s="1"/>
    </row>
    <row r="243" spans="1:15">
      <c r="A243" s="1" t="s">
        <v>272</v>
      </c>
      <c r="B243" s="1" t="s">
        <v>22</v>
      </c>
      <c r="C243" s="5">
        <v>45759</v>
      </c>
      <c r="D243" s="16" t="s">
        <v>23</v>
      </c>
      <c r="E243" s="17" t="s">
        <v>363</v>
      </c>
      <c r="F243" s="9">
        <v>4315</v>
      </c>
      <c r="G243" s="9">
        <v>208</v>
      </c>
      <c r="H243" s="9">
        <v>273</v>
      </c>
      <c r="I243" s="9">
        <v>35780</v>
      </c>
      <c r="J243" s="9">
        <v>44349</v>
      </c>
      <c r="K243" s="9">
        <v>133</v>
      </c>
      <c r="L243" s="16" t="s">
        <v>19</v>
      </c>
      <c r="M243" s="16" t="s">
        <v>364</v>
      </c>
      <c r="N243" s="16" t="s">
        <v>16</v>
      </c>
      <c r="O243" s="1"/>
    </row>
    <row r="244" spans="1:15">
      <c r="A244" s="1" t="s">
        <v>273</v>
      </c>
      <c r="B244" s="1" t="s">
        <v>22</v>
      </c>
      <c r="C244" s="5">
        <v>45636</v>
      </c>
      <c r="D244" s="16" t="s">
        <v>23</v>
      </c>
      <c r="E244" s="17" t="s">
        <v>360</v>
      </c>
      <c r="F244" s="9">
        <v>2267</v>
      </c>
      <c r="G244" s="9">
        <v>230</v>
      </c>
      <c r="H244" s="9">
        <v>243</v>
      </c>
      <c r="I244" s="9">
        <v>27904</v>
      </c>
      <c r="J244" s="9">
        <v>69771</v>
      </c>
      <c r="K244" s="9">
        <v>255</v>
      </c>
      <c r="L244" s="16" t="s">
        <v>19</v>
      </c>
      <c r="M244" s="16" t="s">
        <v>364</v>
      </c>
      <c r="N244" s="16" t="s">
        <v>16</v>
      </c>
      <c r="O244" s="1"/>
    </row>
    <row r="245" spans="1:15">
      <c r="A245" s="1" t="s">
        <v>274</v>
      </c>
      <c r="B245" s="1" t="s">
        <v>27</v>
      </c>
      <c r="C245" s="5">
        <v>45816</v>
      </c>
      <c r="D245" s="16" t="s">
        <v>14</v>
      </c>
      <c r="E245" s="17" t="s">
        <v>361</v>
      </c>
      <c r="F245" s="9">
        <v>4375</v>
      </c>
      <c r="G245" s="9">
        <v>303</v>
      </c>
      <c r="H245" s="9">
        <v>294</v>
      </c>
      <c r="I245" s="9">
        <v>57468</v>
      </c>
      <c r="J245" s="9">
        <v>53397</v>
      </c>
      <c r="K245" s="9">
        <v>159</v>
      </c>
      <c r="L245" s="16" t="s">
        <v>19</v>
      </c>
      <c r="M245" s="16" t="s">
        <v>365</v>
      </c>
      <c r="N245" s="16" t="s">
        <v>20</v>
      </c>
      <c r="O245" s="1"/>
    </row>
    <row r="246" spans="1:15">
      <c r="A246" s="1" t="s">
        <v>275</v>
      </c>
      <c r="B246" s="1" t="s">
        <v>22</v>
      </c>
      <c r="C246" s="5">
        <v>45666</v>
      </c>
      <c r="D246" s="16" t="s">
        <v>23</v>
      </c>
      <c r="E246" s="17" t="s">
        <v>42</v>
      </c>
      <c r="F246" s="9">
        <v>3817</v>
      </c>
      <c r="G246" s="9">
        <v>284</v>
      </c>
      <c r="H246" s="9">
        <v>204</v>
      </c>
      <c r="I246" s="9">
        <v>46434</v>
      </c>
      <c r="J246" s="9">
        <v>53396</v>
      </c>
      <c r="K246" s="9">
        <v>104</v>
      </c>
      <c r="L246" s="16" t="s">
        <v>364</v>
      </c>
      <c r="M246" s="16" t="s">
        <v>34</v>
      </c>
      <c r="N246" s="16" t="s">
        <v>16</v>
      </c>
      <c r="O246" s="1"/>
    </row>
    <row r="247" spans="1:15">
      <c r="A247" s="1" t="s">
        <v>276</v>
      </c>
      <c r="B247" s="1" t="s">
        <v>22</v>
      </c>
      <c r="C247" s="5">
        <v>45481</v>
      </c>
      <c r="D247" s="16" t="s">
        <v>23</v>
      </c>
      <c r="E247" s="17" t="s">
        <v>33</v>
      </c>
      <c r="F247" s="9">
        <v>2981</v>
      </c>
      <c r="G247" s="9">
        <v>258</v>
      </c>
      <c r="H247" s="9">
        <v>168</v>
      </c>
      <c r="I247" s="9">
        <v>20677</v>
      </c>
      <c r="J247" s="9">
        <v>68290</v>
      </c>
      <c r="K247" s="9">
        <v>130</v>
      </c>
      <c r="L247" s="16" t="s">
        <v>37</v>
      </c>
      <c r="M247" s="16" t="s">
        <v>34</v>
      </c>
      <c r="N247" s="16" t="s">
        <v>16</v>
      </c>
      <c r="O247" s="1"/>
    </row>
    <row r="248" spans="1:15">
      <c r="A248" s="1" t="s">
        <v>277</v>
      </c>
      <c r="B248" s="1" t="s">
        <v>22</v>
      </c>
      <c r="C248" s="5">
        <v>45551</v>
      </c>
      <c r="D248" s="16" t="s">
        <v>23</v>
      </c>
      <c r="E248" s="17" t="s">
        <v>42</v>
      </c>
      <c r="F248" s="9">
        <v>3300</v>
      </c>
      <c r="G248" s="9">
        <v>354</v>
      </c>
      <c r="H248" s="9">
        <v>397</v>
      </c>
      <c r="I248" s="9">
        <v>56773</v>
      </c>
      <c r="J248" s="9">
        <v>72110</v>
      </c>
      <c r="K248" s="9">
        <v>163</v>
      </c>
      <c r="L248" s="16" t="s">
        <v>19</v>
      </c>
      <c r="M248" s="16" t="s">
        <v>364</v>
      </c>
      <c r="N248" s="16" t="s">
        <v>16</v>
      </c>
      <c r="O248" s="1"/>
    </row>
    <row r="249" spans="1:15">
      <c r="A249" s="1" t="s">
        <v>278</v>
      </c>
      <c r="B249" s="1" t="s">
        <v>27</v>
      </c>
      <c r="C249" s="5">
        <v>45457</v>
      </c>
      <c r="D249" s="16" t="s">
        <v>48</v>
      </c>
      <c r="E249" s="17" t="s">
        <v>360</v>
      </c>
      <c r="F249" s="9">
        <v>4722</v>
      </c>
      <c r="G249" s="9">
        <v>310</v>
      </c>
      <c r="H249" s="9">
        <v>344</v>
      </c>
      <c r="I249" s="9">
        <v>27911</v>
      </c>
      <c r="J249" s="9">
        <v>19000</v>
      </c>
      <c r="K249" s="9">
        <v>225</v>
      </c>
      <c r="L249" s="16" t="s">
        <v>19</v>
      </c>
      <c r="M249" s="16" t="s">
        <v>37</v>
      </c>
      <c r="N249" s="16" t="s">
        <v>49</v>
      </c>
      <c r="O249" s="1"/>
    </row>
    <row r="250" spans="1:15">
      <c r="A250" s="1" t="s">
        <v>279</v>
      </c>
      <c r="B250" s="1" t="s">
        <v>13</v>
      </c>
      <c r="C250" s="5">
        <v>45357</v>
      </c>
      <c r="D250" s="16" t="s">
        <v>14</v>
      </c>
      <c r="E250" s="17" t="s">
        <v>362</v>
      </c>
      <c r="F250" s="9">
        <v>3529</v>
      </c>
      <c r="G250" s="9">
        <v>263</v>
      </c>
      <c r="H250" s="9">
        <v>107</v>
      </c>
      <c r="I250" s="9">
        <v>26570</v>
      </c>
      <c r="J250" s="9">
        <v>19367</v>
      </c>
      <c r="K250" s="9">
        <v>96</v>
      </c>
      <c r="L250" s="16" t="s">
        <v>19</v>
      </c>
      <c r="M250" s="16"/>
      <c r="N250" s="16" t="s">
        <v>20</v>
      </c>
      <c r="O250" s="1"/>
    </row>
    <row r="251" spans="1:15">
      <c r="A251" s="1" t="s">
        <v>280</v>
      </c>
      <c r="B251" s="1" t="s">
        <v>22</v>
      </c>
      <c r="C251" s="5">
        <v>45792</v>
      </c>
      <c r="D251" s="16" t="s">
        <v>14</v>
      </c>
      <c r="E251" s="17" t="s">
        <v>42</v>
      </c>
      <c r="F251" s="9">
        <v>4782</v>
      </c>
      <c r="G251" s="9">
        <v>210</v>
      </c>
      <c r="H251" s="9">
        <v>311</v>
      </c>
      <c r="I251" s="9">
        <v>29793</v>
      </c>
      <c r="J251" s="9">
        <v>37543</v>
      </c>
      <c r="K251" s="9">
        <v>145</v>
      </c>
      <c r="L251" s="16" t="s">
        <v>34</v>
      </c>
      <c r="M251" s="16"/>
      <c r="N251" s="16" t="s">
        <v>16</v>
      </c>
      <c r="O251" s="1"/>
    </row>
    <row r="252" spans="1:15">
      <c r="A252" s="1" t="s">
        <v>281</v>
      </c>
      <c r="B252" s="1" t="s">
        <v>22</v>
      </c>
      <c r="C252" s="5">
        <v>45480</v>
      </c>
      <c r="D252" s="16" t="s">
        <v>14</v>
      </c>
      <c r="E252" s="17" t="s">
        <v>362</v>
      </c>
      <c r="F252" s="9">
        <v>1848</v>
      </c>
      <c r="G252" s="9">
        <v>417</v>
      </c>
      <c r="H252" s="9">
        <v>294</v>
      </c>
      <c r="I252" s="9">
        <v>57819</v>
      </c>
      <c r="J252" s="9">
        <v>19798</v>
      </c>
      <c r="K252" s="9">
        <v>262</v>
      </c>
      <c r="L252" s="16" t="s">
        <v>37</v>
      </c>
      <c r="M252" s="16"/>
      <c r="N252" s="16" t="s">
        <v>20</v>
      </c>
      <c r="O252" s="1"/>
    </row>
    <row r="253" spans="1:15">
      <c r="A253" s="1" t="s">
        <v>282</v>
      </c>
      <c r="B253" s="1" t="s">
        <v>27</v>
      </c>
      <c r="C253" s="5">
        <v>45591</v>
      </c>
      <c r="D253" s="16" t="s">
        <v>14</v>
      </c>
      <c r="E253" s="17" t="s">
        <v>24</v>
      </c>
      <c r="F253" s="9">
        <v>4676</v>
      </c>
      <c r="G253" s="9">
        <v>211</v>
      </c>
      <c r="H253" s="9">
        <v>55</v>
      </c>
      <c r="I253" s="9">
        <v>45917</v>
      </c>
      <c r="J253" s="9">
        <v>73503</v>
      </c>
      <c r="K253" s="9">
        <v>248</v>
      </c>
      <c r="L253" s="16" t="s">
        <v>19</v>
      </c>
      <c r="M253" s="16" t="s">
        <v>365</v>
      </c>
      <c r="N253" s="16" t="s">
        <v>20</v>
      </c>
      <c r="O253" s="1"/>
    </row>
    <row r="254" spans="1:15">
      <c r="A254" s="1" t="s">
        <v>283</v>
      </c>
      <c r="B254" s="1" t="s">
        <v>27</v>
      </c>
      <c r="C254" s="5">
        <v>45512</v>
      </c>
      <c r="D254" s="16" t="s">
        <v>14</v>
      </c>
      <c r="E254" s="17" t="s">
        <v>363</v>
      </c>
      <c r="F254" s="9">
        <v>1994</v>
      </c>
      <c r="G254" s="9">
        <v>197</v>
      </c>
      <c r="H254" s="9">
        <v>290</v>
      </c>
      <c r="I254" s="9">
        <v>49500</v>
      </c>
      <c r="J254" s="9">
        <v>23343</v>
      </c>
      <c r="K254" s="9">
        <v>160</v>
      </c>
      <c r="L254" s="16" t="s">
        <v>19</v>
      </c>
      <c r="M254" s="16" t="s">
        <v>365</v>
      </c>
      <c r="N254" s="16" t="s">
        <v>20</v>
      </c>
      <c r="O254" s="1"/>
    </row>
    <row r="255" spans="1:15">
      <c r="A255" s="1" t="s">
        <v>284</v>
      </c>
      <c r="B255" s="1" t="s">
        <v>22</v>
      </c>
      <c r="C255" s="5">
        <v>45691</v>
      </c>
      <c r="D255" s="16" t="s">
        <v>14</v>
      </c>
      <c r="E255" s="17" t="s">
        <v>362</v>
      </c>
      <c r="F255" s="9">
        <v>4995</v>
      </c>
      <c r="G255" s="9">
        <v>231</v>
      </c>
      <c r="H255" s="9">
        <v>94</v>
      </c>
      <c r="I255" s="9">
        <v>34431</v>
      </c>
      <c r="J255" s="9">
        <v>32560</v>
      </c>
      <c r="K255" s="9">
        <v>262</v>
      </c>
      <c r="L255" s="16" t="s">
        <v>34</v>
      </c>
      <c r="M255" s="16"/>
      <c r="N255" s="16" t="s">
        <v>16</v>
      </c>
      <c r="O255" s="1"/>
    </row>
    <row r="256" spans="1:15">
      <c r="A256" s="1" t="s">
        <v>285</v>
      </c>
      <c r="B256" s="1" t="s">
        <v>22</v>
      </c>
      <c r="C256" s="5">
        <v>45385</v>
      </c>
      <c r="D256" s="16" t="s">
        <v>23</v>
      </c>
      <c r="E256" s="17" t="s">
        <v>33</v>
      </c>
      <c r="F256" s="9">
        <v>2291</v>
      </c>
      <c r="G256" s="9">
        <v>146</v>
      </c>
      <c r="H256" s="9">
        <v>399</v>
      </c>
      <c r="I256" s="9">
        <v>49319</v>
      </c>
      <c r="J256" s="9">
        <v>28056</v>
      </c>
      <c r="K256" s="9">
        <v>90</v>
      </c>
      <c r="L256" s="16" t="s">
        <v>19</v>
      </c>
      <c r="M256" s="16" t="s">
        <v>364</v>
      </c>
      <c r="N256" s="16" t="s">
        <v>16</v>
      </c>
      <c r="O256" s="1"/>
    </row>
    <row r="257" spans="1:15">
      <c r="A257" s="1" t="s">
        <v>286</v>
      </c>
      <c r="B257" s="1" t="s">
        <v>22</v>
      </c>
      <c r="C257" s="5">
        <v>45481</v>
      </c>
      <c r="D257" s="16" t="s">
        <v>23</v>
      </c>
      <c r="E257" s="17" t="s">
        <v>360</v>
      </c>
      <c r="F257" s="9">
        <v>2304</v>
      </c>
      <c r="G257" s="9">
        <v>289</v>
      </c>
      <c r="H257" s="9">
        <v>161</v>
      </c>
      <c r="I257" s="9">
        <v>52645</v>
      </c>
      <c r="J257" s="9">
        <v>66262</v>
      </c>
      <c r="K257" s="9">
        <v>146</v>
      </c>
      <c r="L257" s="16" t="s">
        <v>364</v>
      </c>
      <c r="M257" s="16" t="s">
        <v>34</v>
      </c>
      <c r="N257" s="16" t="s">
        <v>16</v>
      </c>
      <c r="O257" s="1"/>
    </row>
    <row r="258" spans="1:15">
      <c r="A258" s="1" t="s">
        <v>287</v>
      </c>
      <c r="B258" s="1" t="s">
        <v>22</v>
      </c>
      <c r="C258" s="5">
        <v>45451</v>
      </c>
      <c r="D258" s="16" t="s">
        <v>23</v>
      </c>
      <c r="E258" s="17" t="s">
        <v>33</v>
      </c>
      <c r="F258" s="9">
        <v>3413</v>
      </c>
      <c r="G258" s="9">
        <v>326</v>
      </c>
      <c r="H258" s="9">
        <v>86</v>
      </c>
      <c r="I258" s="9">
        <v>44680</v>
      </c>
      <c r="J258" s="9">
        <v>52719</v>
      </c>
      <c r="K258" s="9">
        <v>272</v>
      </c>
      <c r="L258" s="16" t="s">
        <v>19</v>
      </c>
      <c r="M258" s="16" t="s">
        <v>364</v>
      </c>
      <c r="N258" s="16" t="s">
        <v>16</v>
      </c>
      <c r="O258" s="1"/>
    </row>
    <row r="259" spans="1:15">
      <c r="A259" s="1" t="s">
        <v>288</v>
      </c>
      <c r="B259" s="1" t="s">
        <v>27</v>
      </c>
      <c r="C259" s="5">
        <v>45736</v>
      </c>
      <c r="D259" s="16" t="s">
        <v>48</v>
      </c>
      <c r="E259" s="17" t="s">
        <v>363</v>
      </c>
      <c r="F259" s="9">
        <v>1453</v>
      </c>
      <c r="G259" s="9">
        <v>156</v>
      </c>
      <c r="H259" s="9">
        <v>178</v>
      </c>
      <c r="I259" s="9">
        <v>52980</v>
      </c>
      <c r="J259" s="9">
        <v>57180</v>
      </c>
      <c r="K259" s="9">
        <v>286</v>
      </c>
      <c r="L259" s="16" t="s">
        <v>19</v>
      </c>
      <c r="M259" s="16" t="s">
        <v>37</v>
      </c>
      <c r="N259" s="16" t="s">
        <v>49</v>
      </c>
      <c r="O259" s="1"/>
    </row>
    <row r="260" spans="1:15">
      <c r="A260" s="1" t="s">
        <v>289</v>
      </c>
      <c r="B260" s="1" t="s">
        <v>22</v>
      </c>
      <c r="C260" s="5">
        <v>45676</v>
      </c>
      <c r="D260" s="16" t="s">
        <v>23</v>
      </c>
      <c r="E260" s="17" t="s">
        <v>361</v>
      </c>
      <c r="F260" s="9">
        <v>1651</v>
      </c>
      <c r="G260" s="9">
        <v>480</v>
      </c>
      <c r="H260" s="9">
        <v>282</v>
      </c>
      <c r="I260" s="9">
        <v>32140</v>
      </c>
      <c r="J260" s="9">
        <v>70560</v>
      </c>
      <c r="K260" s="9">
        <v>138</v>
      </c>
      <c r="L260" s="16" t="s">
        <v>37</v>
      </c>
      <c r="M260" s="16" t="s">
        <v>34</v>
      </c>
      <c r="N260" s="16" t="s">
        <v>16</v>
      </c>
      <c r="O260" s="1"/>
    </row>
    <row r="261" spans="1:15">
      <c r="A261" s="1" t="s">
        <v>290</v>
      </c>
      <c r="B261" s="1" t="s">
        <v>22</v>
      </c>
      <c r="C261" s="5">
        <v>45662</v>
      </c>
      <c r="D261" s="16" t="s">
        <v>23</v>
      </c>
      <c r="E261" s="17" t="s">
        <v>18</v>
      </c>
      <c r="F261" s="9">
        <v>3341</v>
      </c>
      <c r="G261" s="9">
        <v>154</v>
      </c>
      <c r="H261" s="9">
        <v>123</v>
      </c>
      <c r="I261" s="9">
        <v>43369</v>
      </c>
      <c r="J261" s="9">
        <v>49035</v>
      </c>
      <c r="K261" s="9">
        <v>128</v>
      </c>
      <c r="L261" s="16" t="s">
        <v>364</v>
      </c>
      <c r="M261" s="16" t="s">
        <v>34</v>
      </c>
      <c r="N261" s="16" t="s">
        <v>16</v>
      </c>
      <c r="O261" s="1"/>
    </row>
    <row r="262" spans="1:15">
      <c r="A262" s="1" t="s">
        <v>291</v>
      </c>
      <c r="B262" s="1" t="s">
        <v>22</v>
      </c>
      <c r="C262" s="5">
        <v>45612</v>
      </c>
      <c r="D262" s="16" t="s">
        <v>14</v>
      </c>
      <c r="E262" s="17" t="s">
        <v>363</v>
      </c>
      <c r="F262" s="9">
        <v>2972</v>
      </c>
      <c r="G262" s="9">
        <v>263</v>
      </c>
      <c r="H262" s="9">
        <v>308</v>
      </c>
      <c r="I262" s="9">
        <v>51740</v>
      </c>
      <c r="J262" s="9">
        <v>28214</v>
      </c>
      <c r="K262" s="9">
        <v>190</v>
      </c>
      <c r="L262" s="16" t="s">
        <v>37</v>
      </c>
      <c r="M262" s="16"/>
      <c r="N262" s="16" t="s">
        <v>20</v>
      </c>
      <c r="O262" s="1"/>
    </row>
    <row r="263" spans="1:15">
      <c r="A263" s="1" t="s">
        <v>292</v>
      </c>
      <c r="B263" s="1" t="s">
        <v>22</v>
      </c>
      <c r="C263" s="5">
        <v>45626</v>
      </c>
      <c r="D263" s="16" t="s">
        <v>23</v>
      </c>
      <c r="E263" s="17" t="s">
        <v>18</v>
      </c>
      <c r="F263" s="9">
        <v>4963</v>
      </c>
      <c r="G263" s="9">
        <v>255</v>
      </c>
      <c r="H263" s="9">
        <v>193</v>
      </c>
      <c r="I263" s="9">
        <v>44386</v>
      </c>
      <c r="J263" s="9">
        <v>28415</v>
      </c>
      <c r="K263" s="9">
        <v>174</v>
      </c>
      <c r="L263" s="16" t="s">
        <v>364</v>
      </c>
      <c r="M263" s="16" t="s">
        <v>34</v>
      </c>
      <c r="N263" s="16" t="s">
        <v>16</v>
      </c>
      <c r="O263" s="1"/>
    </row>
    <row r="264" spans="1:15">
      <c r="A264" s="1" t="s">
        <v>293</v>
      </c>
      <c r="B264" s="1" t="s">
        <v>27</v>
      </c>
      <c r="C264" s="5">
        <v>45378</v>
      </c>
      <c r="D264" s="16" t="s">
        <v>14</v>
      </c>
      <c r="E264" s="17" t="s">
        <v>361</v>
      </c>
      <c r="F264" s="9">
        <v>2399</v>
      </c>
      <c r="G264" s="9">
        <v>191</v>
      </c>
      <c r="H264" s="9">
        <v>221</v>
      </c>
      <c r="I264" s="9">
        <v>51603</v>
      </c>
      <c r="J264" s="9">
        <v>40033</v>
      </c>
      <c r="K264" s="9">
        <v>173</v>
      </c>
      <c r="L264" s="16" t="s">
        <v>19</v>
      </c>
      <c r="M264" s="16" t="s">
        <v>365</v>
      </c>
      <c r="N264" s="16" t="s">
        <v>20</v>
      </c>
      <c r="O264" s="1"/>
    </row>
    <row r="265" spans="1:15">
      <c r="A265" s="1" t="s">
        <v>294</v>
      </c>
      <c r="B265" s="1" t="s">
        <v>27</v>
      </c>
      <c r="C265" s="5">
        <v>45808</v>
      </c>
      <c r="D265" s="16" t="s">
        <v>48</v>
      </c>
      <c r="E265" s="17" t="s">
        <v>30</v>
      </c>
      <c r="F265" s="9">
        <v>2162</v>
      </c>
      <c r="G265" s="9">
        <v>318</v>
      </c>
      <c r="H265" s="9">
        <v>83</v>
      </c>
      <c r="I265" s="9">
        <v>46719</v>
      </c>
      <c r="J265" s="9">
        <v>20482</v>
      </c>
      <c r="K265" s="9">
        <v>185</v>
      </c>
      <c r="L265" s="16" t="s">
        <v>19</v>
      </c>
      <c r="M265" s="16" t="s">
        <v>37</v>
      </c>
      <c r="N265" s="16" t="s">
        <v>49</v>
      </c>
      <c r="O265" s="1"/>
    </row>
    <row r="266" spans="1:15">
      <c r="A266" s="1" t="s">
        <v>295</v>
      </c>
      <c r="B266" s="1" t="s">
        <v>22</v>
      </c>
      <c r="C266" s="5">
        <v>45825</v>
      </c>
      <c r="D266" s="16" t="s">
        <v>23</v>
      </c>
      <c r="E266" s="17" t="s">
        <v>18</v>
      </c>
      <c r="F266" s="9">
        <v>4341</v>
      </c>
      <c r="G266" s="9">
        <v>141</v>
      </c>
      <c r="H266" s="9">
        <v>63</v>
      </c>
      <c r="I266" s="9">
        <v>50081</v>
      </c>
      <c r="J266" s="9">
        <v>27507</v>
      </c>
      <c r="K266" s="9">
        <v>221</v>
      </c>
      <c r="L266" s="16" t="s">
        <v>19</v>
      </c>
      <c r="M266" s="16" t="s">
        <v>364</v>
      </c>
      <c r="N266" s="16" t="s">
        <v>16</v>
      </c>
      <c r="O266" s="1"/>
    </row>
    <row r="267" spans="1:15">
      <c r="A267" s="1" t="s">
        <v>296</v>
      </c>
      <c r="B267" s="1" t="s">
        <v>13</v>
      </c>
      <c r="C267" s="5">
        <v>45442</v>
      </c>
      <c r="D267" s="16" t="s">
        <v>23</v>
      </c>
      <c r="E267" s="17" t="s">
        <v>30</v>
      </c>
      <c r="F267" s="9">
        <v>2448</v>
      </c>
      <c r="G267" s="9">
        <v>464</v>
      </c>
      <c r="H267" s="9">
        <v>98</v>
      </c>
      <c r="I267" s="9">
        <v>25737</v>
      </c>
      <c r="J267" s="9">
        <v>48545</v>
      </c>
      <c r="K267" s="9">
        <v>246</v>
      </c>
      <c r="L267" s="16" t="s">
        <v>34</v>
      </c>
      <c r="M267" s="16"/>
      <c r="N267" s="16" t="s">
        <v>46</v>
      </c>
      <c r="O267" s="1"/>
    </row>
    <row r="268" spans="1:15">
      <c r="A268" s="1" t="s">
        <v>297</v>
      </c>
      <c r="B268" s="1" t="s">
        <v>27</v>
      </c>
      <c r="C268" s="5">
        <v>45604</v>
      </c>
      <c r="D268" s="16" t="s">
        <v>14</v>
      </c>
      <c r="E268" s="17" t="s">
        <v>33</v>
      </c>
      <c r="F268" s="9">
        <v>2471</v>
      </c>
      <c r="G268" s="9">
        <v>166</v>
      </c>
      <c r="H268" s="9">
        <v>320</v>
      </c>
      <c r="I268" s="9">
        <v>48254</v>
      </c>
      <c r="J268" s="9">
        <v>46900</v>
      </c>
      <c r="K268" s="9">
        <v>111</v>
      </c>
      <c r="L268" s="16" t="s">
        <v>19</v>
      </c>
      <c r="M268" s="16" t="s">
        <v>365</v>
      </c>
      <c r="N268" s="16" t="s">
        <v>20</v>
      </c>
      <c r="O268" s="1"/>
    </row>
    <row r="269" spans="1:15">
      <c r="A269" s="1" t="s">
        <v>298</v>
      </c>
      <c r="B269" s="1" t="s">
        <v>27</v>
      </c>
      <c r="C269" s="5">
        <v>45368</v>
      </c>
      <c r="D269" s="16" t="s">
        <v>48</v>
      </c>
      <c r="E269" s="17" t="s">
        <v>18</v>
      </c>
      <c r="F269" s="9">
        <v>2692</v>
      </c>
      <c r="G269" s="9">
        <v>446</v>
      </c>
      <c r="H269" s="9">
        <v>216</v>
      </c>
      <c r="I269" s="9">
        <v>45818</v>
      </c>
      <c r="J269" s="9">
        <v>62723</v>
      </c>
      <c r="K269" s="9">
        <v>85</v>
      </c>
      <c r="L269" s="16" t="s">
        <v>19</v>
      </c>
      <c r="M269" s="16" t="s">
        <v>37</v>
      </c>
      <c r="N269" s="16" t="s">
        <v>49</v>
      </c>
      <c r="O269" s="1"/>
    </row>
    <row r="270" spans="1:15">
      <c r="A270" s="1" t="s">
        <v>299</v>
      </c>
      <c r="B270" s="1" t="s">
        <v>27</v>
      </c>
      <c r="C270" s="5">
        <v>45464</v>
      </c>
      <c r="D270" s="16" t="s">
        <v>48</v>
      </c>
      <c r="E270" s="17" t="s">
        <v>361</v>
      </c>
      <c r="F270" s="9">
        <v>4621</v>
      </c>
      <c r="G270" s="9">
        <v>374</v>
      </c>
      <c r="H270" s="9">
        <v>298</v>
      </c>
      <c r="I270" s="9">
        <v>56979</v>
      </c>
      <c r="J270" s="9">
        <v>24098</v>
      </c>
      <c r="K270" s="9">
        <v>205</v>
      </c>
      <c r="L270" s="16" t="s">
        <v>19</v>
      </c>
      <c r="M270" s="16" t="s">
        <v>37</v>
      </c>
      <c r="N270" s="16" t="s">
        <v>49</v>
      </c>
      <c r="O270" s="1"/>
    </row>
    <row r="271" spans="1:15">
      <c r="A271" s="1" t="s">
        <v>300</v>
      </c>
      <c r="B271" s="1" t="s">
        <v>22</v>
      </c>
      <c r="C271" s="5">
        <v>45609</v>
      </c>
      <c r="D271" s="16" t="s">
        <v>23</v>
      </c>
      <c r="E271" s="17" t="s">
        <v>24</v>
      </c>
      <c r="F271" s="9">
        <v>1409</v>
      </c>
      <c r="G271" s="9">
        <v>466</v>
      </c>
      <c r="H271" s="9">
        <v>105</v>
      </c>
      <c r="I271" s="9">
        <v>58923</v>
      </c>
      <c r="J271" s="9">
        <v>38753</v>
      </c>
      <c r="K271" s="9">
        <v>265</v>
      </c>
      <c r="L271" s="16" t="s">
        <v>19</v>
      </c>
      <c r="M271" s="16" t="s">
        <v>364</v>
      </c>
      <c r="N271" s="16" t="s">
        <v>16</v>
      </c>
      <c r="O271" s="1"/>
    </row>
    <row r="272" spans="1:15">
      <c r="A272" s="1" t="s">
        <v>301</v>
      </c>
      <c r="B272" s="1" t="s">
        <v>22</v>
      </c>
      <c r="C272" s="5">
        <v>45693</v>
      </c>
      <c r="D272" s="16" t="s">
        <v>23</v>
      </c>
      <c r="E272" s="17" t="s">
        <v>15</v>
      </c>
      <c r="F272" s="9">
        <v>3029</v>
      </c>
      <c r="G272" s="9">
        <v>440</v>
      </c>
      <c r="H272" s="9">
        <v>66</v>
      </c>
      <c r="I272" s="9">
        <v>23815</v>
      </c>
      <c r="J272" s="9">
        <v>47895</v>
      </c>
      <c r="K272" s="9">
        <v>210</v>
      </c>
      <c r="L272" s="16" t="s">
        <v>19</v>
      </c>
      <c r="M272" s="16" t="s">
        <v>364</v>
      </c>
      <c r="N272" s="16" t="s">
        <v>16</v>
      </c>
      <c r="O272" s="1"/>
    </row>
    <row r="273" spans="1:15">
      <c r="A273" s="1" t="s">
        <v>302</v>
      </c>
      <c r="B273" s="1" t="s">
        <v>22</v>
      </c>
      <c r="C273" s="5">
        <v>45603</v>
      </c>
      <c r="D273" s="16" t="s">
        <v>14</v>
      </c>
      <c r="E273" s="17" t="s">
        <v>18</v>
      </c>
      <c r="F273" s="9">
        <v>2229</v>
      </c>
      <c r="G273" s="9">
        <v>395</v>
      </c>
      <c r="H273" s="9">
        <v>328</v>
      </c>
      <c r="I273" s="9">
        <v>56921</v>
      </c>
      <c r="J273" s="9">
        <v>37176</v>
      </c>
      <c r="K273" s="9">
        <v>126</v>
      </c>
      <c r="L273" s="16" t="s">
        <v>37</v>
      </c>
      <c r="M273" s="16"/>
      <c r="N273" s="16" t="s">
        <v>20</v>
      </c>
      <c r="O273" s="1"/>
    </row>
    <row r="274" spans="1:15">
      <c r="A274" s="1" t="s">
        <v>303</v>
      </c>
      <c r="B274" s="1" t="s">
        <v>22</v>
      </c>
      <c r="C274" s="5">
        <v>45334</v>
      </c>
      <c r="D274" s="16" t="s">
        <v>14</v>
      </c>
      <c r="E274" s="17" t="s">
        <v>18</v>
      </c>
      <c r="F274" s="9">
        <v>2691</v>
      </c>
      <c r="G274" s="9">
        <v>486</v>
      </c>
      <c r="H274" s="9">
        <v>206</v>
      </c>
      <c r="I274" s="9">
        <v>51133</v>
      </c>
      <c r="J274" s="9">
        <v>44583</v>
      </c>
      <c r="K274" s="9">
        <v>276</v>
      </c>
      <c r="L274" s="16" t="s">
        <v>34</v>
      </c>
      <c r="M274" s="16"/>
      <c r="N274" s="16" t="s">
        <v>16</v>
      </c>
      <c r="O274" s="1"/>
    </row>
    <row r="275" spans="1:15">
      <c r="A275" s="1" t="s">
        <v>304</v>
      </c>
      <c r="B275" s="1" t="s">
        <v>13</v>
      </c>
      <c r="C275" s="5">
        <v>45573</v>
      </c>
      <c r="D275" s="16" t="s">
        <v>14</v>
      </c>
      <c r="E275" s="17" t="s">
        <v>18</v>
      </c>
      <c r="F275" s="9">
        <v>2110</v>
      </c>
      <c r="G275" s="9">
        <v>384</v>
      </c>
      <c r="H275" s="9">
        <v>236</v>
      </c>
      <c r="I275" s="9">
        <v>49965</v>
      </c>
      <c r="J275" s="9">
        <v>61555</v>
      </c>
      <c r="K275" s="9">
        <v>195</v>
      </c>
      <c r="L275" s="16" t="s">
        <v>19</v>
      </c>
      <c r="M275" s="16"/>
      <c r="N275" s="16" t="s">
        <v>20</v>
      </c>
      <c r="O275" s="1"/>
    </row>
    <row r="276" spans="1:15">
      <c r="A276" s="1" t="s">
        <v>305</v>
      </c>
      <c r="B276" s="1" t="s">
        <v>13</v>
      </c>
      <c r="C276" s="5">
        <v>45341</v>
      </c>
      <c r="D276" s="16" t="s">
        <v>14</v>
      </c>
      <c r="E276" s="17" t="s">
        <v>360</v>
      </c>
      <c r="F276" s="9">
        <v>4752</v>
      </c>
      <c r="G276" s="9">
        <v>449</v>
      </c>
      <c r="H276" s="9">
        <v>309</v>
      </c>
      <c r="I276" s="9">
        <v>58530</v>
      </c>
      <c r="J276" s="9">
        <v>26630</v>
      </c>
      <c r="K276" s="9">
        <v>234</v>
      </c>
      <c r="L276" s="16" t="s">
        <v>19</v>
      </c>
      <c r="M276" s="16"/>
      <c r="N276" s="16" t="s">
        <v>20</v>
      </c>
      <c r="O276" s="1"/>
    </row>
    <row r="277" spans="1:15">
      <c r="A277" s="1" t="s">
        <v>306</v>
      </c>
      <c r="B277" s="1" t="s">
        <v>22</v>
      </c>
      <c r="C277" s="5">
        <v>45720</v>
      </c>
      <c r="D277" s="16" t="s">
        <v>14</v>
      </c>
      <c r="E277" s="17" t="s">
        <v>15</v>
      </c>
      <c r="F277" s="9">
        <v>2177</v>
      </c>
      <c r="G277" s="9">
        <v>258</v>
      </c>
      <c r="H277" s="9">
        <v>292</v>
      </c>
      <c r="I277" s="9">
        <v>47276</v>
      </c>
      <c r="J277" s="9">
        <v>51324</v>
      </c>
      <c r="K277" s="9">
        <v>143</v>
      </c>
      <c r="L277" s="16" t="s">
        <v>34</v>
      </c>
      <c r="M277" s="16"/>
      <c r="N277" s="16" t="s">
        <v>16</v>
      </c>
      <c r="O277" s="1"/>
    </row>
    <row r="278" spans="1:15">
      <c r="A278" s="1" t="s">
        <v>307</v>
      </c>
      <c r="B278" s="1" t="s">
        <v>13</v>
      </c>
      <c r="C278" s="5">
        <v>45691</v>
      </c>
      <c r="D278" s="16" t="s">
        <v>23</v>
      </c>
      <c r="E278" s="17" t="s">
        <v>24</v>
      </c>
      <c r="F278" s="9">
        <v>1205</v>
      </c>
      <c r="G278" s="9">
        <v>486</v>
      </c>
      <c r="H278" s="9">
        <v>269</v>
      </c>
      <c r="I278" s="9">
        <v>23341</v>
      </c>
      <c r="J278" s="9">
        <v>42411</v>
      </c>
      <c r="K278" s="9">
        <v>184</v>
      </c>
      <c r="L278" s="16" t="s">
        <v>34</v>
      </c>
      <c r="M278" s="16"/>
      <c r="N278" s="16" t="s">
        <v>46</v>
      </c>
      <c r="O278" s="1"/>
    </row>
    <row r="279" spans="1:15">
      <c r="A279" s="1" t="s">
        <v>308</v>
      </c>
      <c r="B279" s="1" t="s">
        <v>13</v>
      </c>
      <c r="C279" s="5">
        <v>45628</v>
      </c>
      <c r="D279" s="16" t="s">
        <v>14</v>
      </c>
      <c r="E279" s="17" t="s">
        <v>33</v>
      </c>
      <c r="F279" s="9">
        <v>3194</v>
      </c>
      <c r="G279" s="9">
        <v>292</v>
      </c>
      <c r="H279" s="9">
        <v>245</v>
      </c>
      <c r="I279" s="9">
        <v>56371</v>
      </c>
      <c r="J279" s="9">
        <v>65597</v>
      </c>
      <c r="K279" s="9">
        <v>163</v>
      </c>
      <c r="L279" s="16" t="s">
        <v>37</v>
      </c>
      <c r="M279" s="16" t="s">
        <v>34</v>
      </c>
      <c r="N279" s="16" t="s">
        <v>16</v>
      </c>
      <c r="O279" s="1"/>
    </row>
    <row r="280" spans="1:15">
      <c r="A280" s="1" t="s">
        <v>309</v>
      </c>
      <c r="B280" s="1" t="s">
        <v>22</v>
      </c>
      <c r="C280" s="5">
        <v>45676</v>
      </c>
      <c r="D280" s="16" t="s">
        <v>23</v>
      </c>
      <c r="E280" s="17" t="s">
        <v>24</v>
      </c>
      <c r="F280" s="9">
        <v>3507</v>
      </c>
      <c r="G280" s="9">
        <v>295</v>
      </c>
      <c r="H280" s="9">
        <v>371</v>
      </c>
      <c r="I280" s="9">
        <v>20410</v>
      </c>
      <c r="J280" s="9">
        <v>53965</v>
      </c>
      <c r="K280" s="9">
        <v>212</v>
      </c>
      <c r="L280" s="16" t="s">
        <v>37</v>
      </c>
      <c r="M280" s="16" t="s">
        <v>34</v>
      </c>
      <c r="N280" s="16" t="s">
        <v>16</v>
      </c>
      <c r="O280" s="1"/>
    </row>
    <row r="281" spans="1:15">
      <c r="A281" s="1" t="s">
        <v>310</v>
      </c>
      <c r="B281" s="1" t="s">
        <v>22</v>
      </c>
      <c r="C281" s="5">
        <v>45563</v>
      </c>
      <c r="D281" s="16" t="s">
        <v>23</v>
      </c>
      <c r="E281" s="17" t="s">
        <v>360</v>
      </c>
      <c r="F281" s="9">
        <v>4471</v>
      </c>
      <c r="G281" s="9">
        <v>317</v>
      </c>
      <c r="H281" s="9">
        <v>249</v>
      </c>
      <c r="I281" s="9">
        <v>44862</v>
      </c>
      <c r="J281" s="9">
        <v>33365</v>
      </c>
      <c r="K281" s="9">
        <v>184</v>
      </c>
      <c r="L281" s="16" t="s">
        <v>19</v>
      </c>
      <c r="M281" s="16" t="s">
        <v>364</v>
      </c>
      <c r="N281" s="16" t="s">
        <v>16</v>
      </c>
      <c r="O281" s="1"/>
    </row>
    <row r="282" spans="1:15">
      <c r="A282" s="1" t="s">
        <v>311</v>
      </c>
      <c r="B282" s="1" t="s">
        <v>13</v>
      </c>
      <c r="C282" s="5">
        <v>45298</v>
      </c>
      <c r="D282" s="16" t="s">
        <v>14</v>
      </c>
      <c r="E282" s="17" t="s">
        <v>33</v>
      </c>
      <c r="F282" s="9">
        <v>4931</v>
      </c>
      <c r="G282" s="9">
        <v>469</v>
      </c>
      <c r="H282" s="9">
        <v>193</v>
      </c>
      <c r="I282" s="9">
        <v>56701</v>
      </c>
      <c r="J282" s="9">
        <v>69437</v>
      </c>
      <c r="K282" s="9">
        <v>291</v>
      </c>
      <c r="L282" s="16" t="s">
        <v>37</v>
      </c>
      <c r="M282" s="16" t="s">
        <v>34</v>
      </c>
      <c r="N282" s="16" t="s">
        <v>16</v>
      </c>
      <c r="O282" s="1"/>
    </row>
    <row r="283" spans="1:15">
      <c r="A283" s="1" t="s">
        <v>312</v>
      </c>
      <c r="B283" s="1" t="s">
        <v>22</v>
      </c>
      <c r="C283" s="5">
        <v>45343</v>
      </c>
      <c r="D283" s="16" t="s">
        <v>23</v>
      </c>
      <c r="E283" s="17" t="s">
        <v>30</v>
      </c>
      <c r="F283" s="9">
        <v>2604</v>
      </c>
      <c r="G283" s="9">
        <v>439</v>
      </c>
      <c r="H283" s="9">
        <v>148</v>
      </c>
      <c r="I283" s="9">
        <v>58468</v>
      </c>
      <c r="J283" s="9">
        <v>39629</v>
      </c>
      <c r="K283" s="9">
        <v>163</v>
      </c>
      <c r="L283" s="16" t="s">
        <v>364</v>
      </c>
      <c r="M283" s="16" t="s">
        <v>34</v>
      </c>
      <c r="N283" s="16" t="s">
        <v>16</v>
      </c>
      <c r="O283" s="1"/>
    </row>
    <row r="284" spans="1:15">
      <c r="A284" s="1" t="s">
        <v>313</v>
      </c>
      <c r="B284" s="1" t="s">
        <v>13</v>
      </c>
      <c r="C284" s="5">
        <v>45531</v>
      </c>
      <c r="D284" s="16" t="s">
        <v>14</v>
      </c>
      <c r="E284" s="17" t="s">
        <v>361</v>
      </c>
      <c r="F284" s="9">
        <v>4197</v>
      </c>
      <c r="G284" s="9">
        <v>359</v>
      </c>
      <c r="H284" s="9">
        <v>280</v>
      </c>
      <c r="I284" s="9">
        <v>56048</v>
      </c>
      <c r="J284" s="9">
        <v>70930</v>
      </c>
      <c r="K284" s="9">
        <v>295</v>
      </c>
      <c r="L284" s="16" t="s">
        <v>19</v>
      </c>
      <c r="M284" s="16"/>
      <c r="N284" s="16" t="s">
        <v>20</v>
      </c>
      <c r="O284" s="1"/>
    </row>
    <row r="285" spans="1:15">
      <c r="A285" s="1" t="s">
        <v>314</v>
      </c>
      <c r="B285" s="1" t="s">
        <v>13</v>
      </c>
      <c r="C285" s="5">
        <v>45589</v>
      </c>
      <c r="D285" s="16" t="s">
        <v>23</v>
      </c>
      <c r="E285" s="17" t="s">
        <v>33</v>
      </c>
      <c r="F285" s="9">
        <v>1914</v>
      </c>
      <c r="G285" s="9">
        <v>255</v>
      </c>
      <c r="H285" s="9">
        <v>156</v>
      </c>
      <c r="I285" s="9">
        <v>27660</v>
      </c>
      <c r="J285" s="9">
        <v>47776</v>
      </c>
      <c r="K285" s="9">
        <v>111</v>
      </c>
      <c r="L285" s="16" t="s">
        <v>34</v>
      </c>
      <c r="M285" s="16"/>
      <c r="N285" s="16" t="s">
        <v>46</v>
      </c>
      <c r="O285" s="1"/>
    </row>
    <row r="286" spans="1:15">
      <c r="A286" s="1" t="s">
        <v>315</v>
      </c>
      <c r="B286" s="1" t="s">
        <v>27</v>
      </c>
      <c r="C286" s="5">
        <v>45686</v>
      </c>
      <c r="D286" s="16" t="s">
        <v>14</v>
      </c>
      <c r="E286" s="17" t="s">
        <v>24</v>
      </c>
      <c r="F286" s="9">
        <v>1334</v>
      </c>
      <c r="G286" s="9">
        <v>357</v>
      </c>
      <c r="H286" s="9">
        <v>257</v>
      </c>
      <c r="I286" s="9">
        <v>56910</v>
      </c>
      <c r="J286" s="9">
        <v>70606</v>
      </c>
      <c r="K286" s="9">
        <v>228</v>
      </c>
      <c r="L286" s="16" t="s">
        <v>19</v>
      </c>
      <c r="M286" s="16" t="s">
        <v>365</v>
      </c>
      <c r="N286" s="16" t="s">
        <v>20</v>
      </c>
      <c r="O286" s="1"/>
    </row>
    <row r="287" spans="1:15">
      <c r="A287" s="1" t="s">
        <v>316</v>
      </c>
      <c r="B287" s="1" t="s">
        <v>13</v>
      </c>
      <c r="C287" s="5">
        <v>45413</v>
      </c>
      <c r="D287" s="16" t="s">
        <v>14</v>
      </c>
      <c r="E287" s="17" t="s">
        <v>30</v>
      </c>
      <c r="F287" s="9">
        <v>3359</v>
      </c>
      <c r="G287" s="9">
        <v>137</v>
      </c>
      <c r="H287" s="9">
        <v>387</v>
      </c>
      <c r="I287" s="9">
        <v>33861</v>
      </c>
      <c r="J287" s="9">
        <v>47257</v>
      </c>
      <c r="K287" s="9">
        <v>198</v>
      </c>
      <c r="L287" s="16" t="s">
        <v>19</v>
      </c>
      <c r="M287" s="16"/>
      <c r="N287" s="16" t="s">
        <v>20</v>
      </c>
      <c r="O287" s="1"/>
    </row>
    <row r="288" spans="1:15">
      <c r="A288" s="1" t="s">
        <v>317</v>
      </c>
      <c r="B288" s="1" t="s">
        <v>27</v>
      </c>
      <c r="C288" s="5">
        <v>45468</v>
      </c>
      <c r="D288" s="16" t="s">
        <v>14</v>
      </c>
      <c r="E288" s="17" t="s">
        <v>42</v>
      </c>
      <c r="F288" s="9">
        <v>2172</v>
      </c>
      <c r="G288" s="9">
        <v>338</v>
      </c>
      <c r="H288" s="9">
        <v>70</v>
      </c>
      <c r="I288" s="9">
        <v>30515</v>
      </c>
      <c r="J288" s="9">
        <v>57853</v>
      </c>
      <c r="K288" s="9">
        <v>156</v>
      </c>
      <c r="L288" s="16" t="s">
        <v>19</v>
      </c>
      <c r="M288" s="16" t="s">
        <v>365</v>
      </c>
      <c r="N288" s="16" t="s">
        <v>20</v>
      </c>
      <c r="O288" s="1"/>
    </row>
    <row r="289" spans="1:15">
      <c r="A289" s="1" t="s">
        <v>318</v>
      </c>
      <c r="B289" s="1" t="s">
        <v>22</v>
      </c>
      <c r="C289" s="5">
        <v>45513</v>
      </c>
      <c r="D289" s="16" t="s">
        <v>23</v>
      </c>
      <c r="E289" s="17" t="s">
        <v>363</v>
      </c>
      <c r="F289" s="9">
        <v>4877</v>
      </c>
      <c r="G289" s="9">
        <v>442</v>
      </c>
      <c r="H289" s="9">
        <v>236</v>
      </c>
      <c r="I289" s="9">
        <v>52673</v>
      </c>
      <c r="J289" s="9">
        <v>48241</v>
      </c>
      <c r="K289" s="9">
        <v>114</v>
      </c>
      <c r="L289" s="16" t="s">
        <v>19</v>
      </c>
      <c r="M289" s="16" t="s">
        <v>364</v>
      </c>
      <c r="N289" s="16" t="s">
        <v>16</v>
      </c>
      <c r="O289" s="1"/>
    </row>
    <row r="290" spans="1:15">
      <c r="A290" s="1" t="s">
        <v>319</v>
      </c>
      <c r="B290" s="1" t="s">
        <v>13</v>
      </c>
      <c r="C290" s="5">
        <v>45678</v>
      </c>
      <c r="D290" s="16" t="s">
        <v>23</v>
      </c>
      <c r="E290" s="17" t="s">
        <v>24</v>
      </c>
      <c r="F290" s="9">
        <v>4918</v>
      </c>
      <c r="G290" s="9">
        <v>440</v>
      </c>
      <c r="H290" s="9">
        <v>149</v>
      </c>
      <c r="I290" s="9">
        <v>53269</v>
      </c>
      <c r="J290" s="9">
        <v>64370</v>
      </c>
      <c r="K290" s="9">
        <v>269</v>
      </c>
      <c r="L290" s="16" t="s">
        <v>34</v>
      </c>
      <c r="M290" s="16"/>
      <c r="N290" s="16" t="s">
        <v>46</v>
      </c>
      <c r="O290" s="1"/>
    </row>
    <row r="291" spans="1:15">
      <c r="A291" s="1" t="s">
        <v>320</v>
      </c>
      <c r="B291" s="1" t="s">
        <v>22</v>
      </c>
      <c r="C291" s="5">
        <v>45517</v>
      </c>
      <c r="D291" s="16" t="s">
        <v>14</v>
      </c>
      <c r="E291" s="17" t="s">
        <v>18</v>
      </c>
      <c r="F291" s="9">
        <v>3418</v>
      </c>
      <c r="G291" s="9">
        <v>107</v>
      </c>
      <c r="H291" s="9">
        <v>221</v>
      </c>
      <c r="I291" s="9">
        <v>23927</v>
      </c>
      <c r="J291" s="9">
        <v>26182</v>
      </c>
      <c r="K291" s="9">
        <v>155</v>
      </c>
      <c r="L291" s="16" t="s">
        <v>37</v>
      </c>
      <c r="M291" s="16"/>
      <c r="N291" s="16" t="s">
        <v>20</v>
      </c>
      <c r="O291" s="1"/>
    </row>
    <row r="292" spans="1:15">
      <c r="A292" s="1" t="s">
        <v>321</v>
      </c>
      <c r="B292" s="1" t="s">
        <v>13</v>
      </c>
      <c r="C292" s="5">
        <v>45472</v>
      </c>
      <c r="D292" s="16" t="s">
        <v>14</v>
      </c>
      <c r="E292" s="17" t="s">
        <v>42</v>
      </c>
      <c r="F292" s="9">
        <v>2088</v>
      </c>
      <c r="G292" s="9">
        <v>490</v>
      </c>
      <c r="H292" s="9">
        <v>124</v>
      </c>
      <c r="I292" s="9">
        <v>46544</v>
      </c>
      <c r="J292" s="9">
        <v>69346</v>
      </c>
      <c r="K292" s="9">
        <v>178</v>
      </c>
      <c r="L292" s="16" t="s">
        <v>37</v>
      </c>
      <c r="M292" s="16" t="s">
        <v>34</v>
      </c>
      <c r="N292" s="16" t="s">
        <v>16</v>
      </c>
      <c r="O292" s="1"/>
    </row>
    <row r="293" spans="1:15">
      <c r="A293" s="1" t="s">
        <v>322</v>
      </c>
      <c r="B293" s="1" t="s">
        <v>22</v>
      </c>
      <c r="C293" s="5">
        <v>45599</v>
      </c>
      <c r="D293" s="16" t="s">
        <v>23</v>
      </c>
      <c r="E293" s="17" t="s">
        <v>18</v>
      </c>
      <c r="F293" s="9">
        <v>3061</v>
      </c>
      <c r="G293" s="9">
        <v>320</v>
      </c>
      <c r="H293" s="9">
        <v>76</v>
      </c>
      <c r="I293" s="9">
        <v>26640</v>
      </c>
      <c r="J293" s="9">
        <v>24306</v>
      </c>
      <c r="K293" s="9">
        <v>112</v>
      </c>
      <c r="L293" s="16" t="s">
        <v>364</v>
      </c>
      <c r="M293" s="16" t="s">
        <v>34</v>
      </c>
      <c r="N293" s="16" t="s">
        <v>16</v>
      </c>
      <c r="O293" s="1"/>
    </row>
    <row r="294" spans="1:15">
      <c r="A294" s="1" t="s">
        <v>323</v>
      </c>
      <c r="B294" s="1" t="s">
        <v>27</v>
      </c>
      <c r="C294" s="5">
        <v>45765</v>
      </c>
      <c r="D294" s="16" t="s">
        <v>48</v>
      </c>
      <c r="E294" s="17" t="s">
        <v>42</v>
      </c>
      <c r="F294" s="9">
        <v>1265</v>
      </c>
      <c r="G294" s="9">
        <v>230</v>
      </c>
      <c r="H294" s="9">
        <v>364</v>
      </c>
      <c r="I294" s="9">
        <v>41312</v>
      </c>
      <c r="J294" s="9">
        <v>50382</v>
      </c>
      <c r="K294" s="9">
        <v>106</v>
      </c>
      <c r="L294" s="16" t="s">
        <v>19</v>
      </c>
      <c r="M294" s="16" t="s">
        <v>37</v>
      </c>
      <c r="N294" s="16" t="s">
        <v>49</v>
      </c>
      <c r="O294" s="1"/>
    </row>
    <row r="295" spans="1:15">
      <c r="A295" s="1" t="s">
        <v>324</v>
      </c>
      <c r="B295" s="1" t="s">
        <v>13</v>
      </c>
      <c r="C295" s="5">
        <v>45653</v>
      </c>
      <c r="D295" s="16" t="s">
        <v>14</v>
      </c>
      <c r="E295" s="17" t="s">
        <v>363</v>
      </c>
      <c r="F295" s="9">
        <v>1436</v>
      </c>
      <c r="G295" s="9">
        <v>219</v>
      </c>
      <c r="H295" s="9">
        <v>229</v>
      </c>
      <c r="I295" s="9">
        <v>58488</v>
      </c>
      <c r="J295" s="9">
        <v>24314</v>
      </c>
      <c r="K295" s="9">
        <v>147</v>
      </c>
      <c r="L295" s="16" t="s">
        <v>19</v>
      </c>
      <c r="M295" s="16"/>
      <c r="N295" s="16" t="s">
        <v>20</v>
      </c>
      <c r="O295" s="1"/>
    </row>
    <row r="296" spans="1:15">
      <c r="A296" s="1" t="s">
        <v>325</v>
      </c>
      <c r="B296" s="1" t="s">
        <v>13</v>
      </c>
      <c r="C296" s="5">
        <v>45724</v>
      </c>
      <c r="D296" s="16" t="s">
        <v>23</v>
      </c>
      <c r="E296" s="17" t="s">
        <v>33</v>
      </c>
      <c r="F296" s="9">
        <v>2244</v>
      </c>
      <c r="G296" s="9">
        <v>392</v>
      </c>
      <c r="H296" s="9">
        <v>231</v>
      </c>
      <c r="I296" s="9">
        <v>25834</v>
      </c>
      <c r="J296" s="9">
        <v>50906</v>
      </c>
      <c r="K296" s="9">
        <v>165</v>
      </c>
      <c r="L296" s="16" t="s">
        <v>34</v>
      </c>
      <c r="M296" s="16"/>
      <c r="N296" s="16" t="s">
        <v>46</v>
      </c>
      <c r="O296" s="1"/>
    </row>
    <row r="297" spans="1:15">
      <c r="A297" s="1" t="s">
        <v>326</v>
      </c>
      <c r="B297" s="1" t="s">
        <v>22</v>
      </c>
      <c r="C297" s="5">
        <v>45736</v>
      </c>
      <c r="D297" s="16" t="s">
        <v>23</v>
      </c>
      <c r="E297" s="17" t="s">
        <v>42</v>
      </c>
      <c r="F297" s="9">
        <v>3393</v>
      </c>
      <c r="G297" s="9">
        <v>104</v>
      </c>
      <c r="H297" s="9">
        <v>79</v>
      </c>
      <c r="I297" s="9">
        <v>30025</v>
      </c>
      <c r="J297" s="9">
        <v>21593</v>
      </c>
      <c r="K297" s="9">
        <v>165</v>
      </c>
      <c r="L297" s="16" t="s">
        <v>364</v>
      </c>
      <c r="M297" s="16" t="s">
        <v>34</v>
      </c>
      <c r="N297" s="16" t="s">
        <v>16</v>
      </c>
      <c r="O297" s="1"/>
    </row>
    <row r="298" spans="1:15">
      <c r="A298" s="1" t="s">
        <v>327</v>
      </c>
      <c r="B298" s="1" t="s">
        <v>22</v>
      </c>
      <c r="C298" s="5">
        <v>45612</v>
      </c>
      <c r="D298" s="16" t="s">
        <v>14</v>
      </c>
      <c r="E298" s="17" t="s">
        <v>18</v>
      </c>
      <c r="F298" s="9">
        <v>2901</v>
      </c>
      <c r="G298" s="9">
        <v>108</v>
      </c>
      <c r="H298" s="9">
        <v>86</v>
      </c>
      <c r="I298" s="9">
        <v>51777</v>
      </c>
      <c r="J298" s="9">
        <v>23773</v>
      </c>
      <c r="K298" s="9">
        <v>160</v>
      </c>
      <c r="L298" s="16" t="s">
        <v>37</v>
      </c>
      <c r="M298" s="16"/>
      <c r="N298" s="16" t="s">
        <v>20</v>
      </c>
      <c r="O298" s="1"/>
    </row>
    <row r="299" spans="1:15">
      <c r="A299" s="1" t="s">
        <v>328</v>
      </c>
      <c r="B299" s="1" t="s">
        <v>22</v>
      </c>
      <c r="C299" s="5">
        <v>45838</v>
      </c>
      <c r="D299" s="16" t="s">
        <v>14</v>
      </c>
      <c r="E299" s="17" t="s">
        <v>362</v>
      </c>
      <c r="F299" s="9">
        <v>2275</v>
      </c>
      <c r="G299" s="9">
        <v>285</v>
      </c>
      <c r="H299" s="9">
        <v>125</v>
      </c>
      <c r="I299" s="9">
        <v>43970</v>
      </c>
      <c r="J299" s="9">
        <v>74761</v>
      </c>
      <c r="K299" s="9">
        <v>83</v>
      </c>
      <c r="L299" s="16" t="s">
        <v>34</v>
      </c>
      <c r="M299" s="16"/>
      <c r="N299" s="16" t="s">
        <v>16</v>
      </c>
      <c r="O299" s="1"/>
    </row>
    <row r="300" spans="1:15">
      <c r="A300" s="1" t="s">
        <v>329</v>
      </c>
      <c r="B300" s="1" t="s">
        <v>22</v>
      </c>
      <c r="C300" s="5">
        <v>45303</v>
      </c>
      <c r="D300" s="16" t="s">
        <v>23</v>
      </c>
      <c r="E300" s="17" t="s">
        <v>360</v>
      </c>
      <c r="F300" s="9">
        <v>2227</v>
      </c>
      <c r="G300" s="9">
        <v>494</v>
      </c>
      <c r="H300" s="9">
        <v>161</v>
      </c>
      <c r="I300" s="9">
        <v>51651</v>
      </c>
      <c r="J300" s="9">
        <v>68074</v>
      </c>
      <c r="K300" s="9">
        <v>240</v>
      </c>
      <c r="L300" s="16" t="s">
        <v>19</v>
      </c>
      <c r="M300" s="16" t="s">
        <v>364</v>
      </c>
      <c r="N300" s="16" t="s">
        <v>16</v>
      </c>
      <c r="O300" s="1"/>
    </row>
    <row r="301" spans="1:15">
      <c r="A301" s="1" t="s">
        <v>330</v>
      </c>
      <c r="B301" s="1" t="s">
        <v>13</v>
      </c>
      <c r="C301" s="5">
        <v>45329</v>
      </c>
      <c r="D301" s="16" t="s">
        <v>14</v>
      </c>
      <c r="E301" s="17" t="s">
        <v>361</v>
      </c>
      <c r="F301" s="9">
        <v>1883</v>
      </c>
      <c r="G301" s="9">
        <v>432</v>
      </c>
      <c r="H301" s="9">
        <v>397</v>
      </c>
      <c r="I301" s="9">
        <v>28759</v>
      </c>
      <c r="J301" s="9">
        <v>18691</v>
      </c>
      <c r="K301" s="9">
        <v>270</v>
      </c>
      <c r="L301" s="16" t="s">
        <v>37</v>
      </c>
      <c r="M301" s="16" t="s">
        <v>34</v>
      </c>
      <c r="N301" s="16" t="s">
        <v>16</v>
      </c>
      <c r="O301" s="1"/>
    </row>
  </sheetData>
  <pageMargins left="0.7" right="0.7" top="0.75" bottom="0.75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D4D76-A625-42FF-86B4-F51554902FF2}">
  <dimension ref="B1:I6"/>
  <sheetViews>
    <sheetView tabSelected="1" workbookViewId="0">
      <pane ySplit="1" topLeftCell="A5" activePane="bottomLeft" state="frozen"/>
      <selection pane="bottomLeft" activeCell="J16" sqref="J16"/>
    </sheetView>
  </sheetViews>
  <sheetFormatPr defaultRowHeight="15"/>
  <cols>
    <col min="2" max="3" width="18.5703125" bestFit="1" customWidth="1"/>
    <col min="4" max="4" width="17" bestFit="1" customWidth="1"/>
    <col min="5" max="5" width="16.140625" bestFit="1" customWidth="1"/>
    <col min="6" max="6" width="17.85546875" bestFit="1" customWidth="1"/>
    <col min="7" max="7" width="21.85546875" bestFit="1" customWidth="1"/>
    <col min="8" max="8" width="22.140625" bestFit="1" customWidth="1"/>
    <col min="9" max="9" width="16.85546875" bestFit="1" customWidth="1"/>
    <col min="10" max="10" width="16.7109375" bestFit="1" customWidth="1"/>
  </cols>
  <sheetData>
    <row r="1" spans="2:9">
      <c r="B1" t="s">
        <v>368</v>
      </c>
      <c r="C1" t="s">
        <v>369</v>
      </c>
      <c r="D1" t="s">
        <v>370</v>
      </c>
      <c r="E1" t="s">
        <v>371</v>
      </c>
      <c r="F1" t="s">
        <v>372</v>
      </c>
      <c r="G1" t="s">
        <v>373</v>
      </c>
      <c r="H1" t="s">
        <v>374</v>
      </c>
      <c r="I1" t="s">
        <v>375</v>
      </c>
    </row>
    <row r="2" spans="2:9">
      <c r="B2" t="s">
        <v>34</v>
      </c>
      <c r="C2">
        <v>143</v>
      </c>
      <c r="D2" s="25">
        <v>2997.0769230769229</v>
      </c>
      <c r="E2" s="25">
        <v>315.88811188811189</v>
      </c>
      <c r="F2" s="25">
        <v>223.09790209790208</v>
      </c>
      <c r="G2" s="25">
        <v>39446.174825174821</v>
      </c>
      <c r="H2" s="25">
        <v>44969.447552447549</v>
      </c>
      <c r="I2" s="25">
        <v>186.72027972027973</v>
      </c>
    </row>
    <row r="3" spans="2:9">
      <c r="B3" t="s">
        <v>19</v>
      </c>
      <c r="C3">
        <v>130</v>
      </c>
      <c r="D3" s="25">
        <v>3049.4923076923078</v>
      </c>
      <c r="E3" s="25">
        <v>305.27692307692308</v>
      </c>
      <c r="F3" s="25">
        <v>225.41538461538462</v>
      </c>
      <c r="G3" s="25">
        <v>43789.869230769233</v>
      </c>
      <c r="H3" s="25">
        <v>45124.3</v>
      </c>
      <c r="I3" s="25">
        <v>197.16923076923075</v>
      </c>
    </row>
    <row r="4" spans="2:9">
      <c r="B4" t="s">
        <v>37</v>
      </c>
      <c r="C4">
        <v>109</v>
      </c>
      <c r="D4" s="25">
        <v>2914.5229357798166</v>
      </c>
      <c r="E4" s="25">
        <v>320.51376146788994</v>
      </c>
      <c r="F4" s="25">
        <v>222.60550458715596</v>
      </c>
      <c r="G4" s="25">
        <v>40336.412844036699</v>
      </c>
      <c r="H4" s="25">
        <v>45273.348623853213</v>
      </c>
      <c r="I4" s="25">
        <v>192.45871559633028</v>
      </c>
    </row>
    <row r="5" spans="2:9">
      <c r="B5" t="s">
        <v>364</v>
      </c>
      <c r="C5">
        <v>67</v>
      </c>
      <c r="D5" s="25">
        <v>3124.5970149253731</v>
      </c>
      <c r="E5" s="25">
        <v>302.41791044776119</v>
      </c>
      <c r="F5" s="25">
        <v>210</v>
      </c>
      <c r="G5" s="25">
        <v>44429.328358208957</v>
      </c>
      <c r="H5" s="25">
        <v>42321.40298507463</v>
      </c>
      <c r="I5" s="25">
        <v>183.47761194029852</v>
      </c>
    </row>
    <row r="6" spans="2:9">
      <c r="B6" t="s">
        <v>365</v>
      </c>
      <c r="C6">
        <v>34</v>
      </c>
      <c r="D6" s="25">
        <v>3104</v>
      </c>
      <c r="E6" s="25">
        <v>280.35294117647061</v>
      </c>
      <c r="F6" s="25">
        <v>230.73529411764707</v>
      </c>
      <c r="G6" s="25">
        <v>45415.911764705881</v>
      </c>
      <c r="H6" s="25">
        <v>44703.088235294119</v>
      </c>
      <c r="I6" s="25">
        <v>208.47058823529412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04B13-BE9A-43F8-AE0D-3D552A264252}">
  <dimension ref="A1:AE302"/>
  <sheetViews>
    <sheetView topLeftCell="B1" zoomScale="55" zoomScaleNormal="55" workbookViewId="0">
      <pane ySplit="1" topLeftCell="A2" activePane="bottomLeft" state="frozen"/>
      <selection activeCell="F1" sqref="F1"/>
      <selection pane="bottomLeft" activeCell="Z23" sqref="Z23:AE23"/>
    </sheetView>
  </sheetViews>
  <sheetFormatPr defaultColWidth="14.42578125" defaultRowHeight="15.75"/>
  <cols>
    <col min="1" max="1" width="10.42578125" style="2" hidden="1" customWidth="1"/>
    <col min="2" max="2" width="11.5703125" style="2" customWidth="1"/>
    <col min="3" max="3" width="13.5703125" style="6" hidden="1" customWidth="1"/>
    <col min="4" max="4" width="16.85546875" style="18" customWidth="1"/>
    <col min="5" max="5" width="41.28515625" style="18" hidden="1" customWidth="1"/>
    <col min="6" max="6" width="8.5703125" style="10" customWidth="1"/>
    <col min="7" max="7" width="10.28515625" style="10" customWidth="1"/>
    <col min="8" max="8" width="13.85546875" style="10" customWidth="1"/>
    <col min="9" max="9" width="15.42578125" style="10" customWidth="1"/>
    <col min="10" max="10" width="9.5703125" style="10" customWidth="1"/>
    <col min="11" max="11" width="9.28515625" style="10" customWidth="1"/>
    <col min="12" max="13" width="19.7109375" style="18" hidden="1" customWidth="1"/>
    <col min="14" max="14" width="20" style="18" hidden="1" customWidth="1"/>
    <col min="15" max="15" width="17.5703125" style="2" customWidth="1"/>
    <col min="16" max="16" width="14.28515625" style="15" bestFit="1" customWidth="1"/>
    <col min="17" max="17" width="13.140625" style="15" bestFit="1" customWidth="1"/>
    <col min="18" max="18" width="12.5703125" style="15" bestFit="1" customWidth="1"/>
    <col min="19" max="19" width="13.5703125" style="13" bestFit="1" customWidth="1"/>
    <col min="20" max="20" width="19.5703125" style="2" bestFit="1" customWidth="1"/>
    <col min="21" max="21" width="17.85546875" style="2" bestFit="1" customWidth="1"/>
    <col min="22" max="22" width="14.28515625" style="2" bestFit="1" customWidth="1"/>
    <col min="23" max="23" width="12.85546875" style="2" bestFit="1" customWidth="1"/>
    <col min="24" max="24" width="10.28515625" style="2" bestFit="1" customWidth="1"/>
    <col min="25" max="25" width="15" style="2" bestFit="1" customWidth="1"/>
    <col min="26" max="26" width="15.28515625" style="2" bestFit="1" customWidth="1"/>
    <col min="27" max="27" width="10.5703125" style="2" bestFit="1" customWidth="1"/>
    <col min="28" max="28" width="9.5703125" style="2" bestFit="1" customWidth="1"/>
    <col min="29" max="16384" width="14.42578125" style="2"/>
  </cols>
  <sheetData>
    <row r="1" spans="1:28" s="14" customFormat="1">
      <c r="A1" s="19" t="s">
        <v>0</v>
      </c>
      <c r="B1" s="19" t="s">
        <v>1</v>
      </c>
      <c r="C1" s="20" t="s">
        <v>2</v>
      </c>
      <c r="D1" s="19" t="s">
        <v>3</v>
      </c>
      <c r="E1" s="19" t="s">
        <v>4</v>
      </c>
      <c r="F1" s="21" t="s">
        <v>5</v>
      </c>
      <c r="G1" s="21" t="s">
        <v>6</v>
      </c>
      <c r="H1" s="21" t="s">
        <v>7</v>
      </c>
      <c r="I1" s="21" t="s">
        <v>8</v>
      </c>
      <c r="J1" s="21" t="s">
        <v>9</v>
      </c>
      <c r="K1" s="21" t="s">
        <v>10</v>
      </c>
      <c r="L1" s="19" t="s">
        <v>358</v>
      </c>
      <c r="M1" s="19" t="s">
        <v>359</v>
      </c>
      <c r="N1" s="19" t="s">
        <v>11</v>
      </c>
      <c r="O1" s="19"/>
      <c r="P1" s="24"/>
      <c r="Q1" s="24"/>
      <c r="R1" s="24"/>
      <c r="S1" s="22"/>
      <c r="T1" s="2"/>
    </row>
    <row r="2" spans="1:28">
      <c r="A2" s="1" t="s">
        <v>12</v>
      </c>
      <c r="B2" s="1" t="s">
        <v>13</v>
      </c>
      <c r="C2" s="5">
        <v>45781</v>
      </c>
      <c r="D2" s="16" t="s">
        <v>14</v>
      </c>
      <c r="E2" s="17" t="s">
        <v>15</v>
      </c>
      <c r="F2" s="9">
        <v>2414</v>
      </c>
      <c r="G2" s="9">
        <v>245</v>
      </c>
      <c r="H2" s="9">
        <v>137</v>
      </c>
      <c r="I2" s="9">
        <v>21181</v>
      </c>
      <c r="J2" s="9">
        <v>45292</v>
      </c>
      <c r="K2" s="9">
        <v>133</v>
      </c>
      <c r="L2" s="16" t="s">
        <v>37</v>
      </c>
      <c r="M2" s="16" t="s">
        <v>34</v>
      </c>
      <c r="N2" s="16" t="s">
        <v>16</v>
      </c>
      <c r="O2" s="1"/>
      <c r="P2" s="24"/>
      <c r="Q2" s="24"/>
      <c r="R2" s="24"/>
    </row>
    <row r="3" spans="1:28" ht="15">
      <c r="A3" s="1" t="s">
        <v>17</v>
      </c>
      <c r="B3" s="1" t="s">
        <v>13</v>
      </c>
      <c r="C3" s="5">
        <v>45689</v>
      </c>
      <c r="D3" s="16" t="s">
        <v>14</v>
      </c>
      <c r="E3" s="17" t="s">
        <v>18</v>
      </c>
      <c r="F3" s="9">
        <v>1934</v>
      </c>
      <c r="G3" s="9">
        <v>210</v>
      </c>
      <c r="H3" s="9">
        <v>393</v>
      </c>
      <c r="I3" s="9">
        <v>29129</v>
      </c>
      <c r="J3" s="9">
        <v>73287</v>
      </c>
      <c r="K3" s="9">
        <v>273</v>
      </c>
      <c r="L3" s="16" t="s">
        <v>19</v>
      </c>
      <c r="M3" s="16"/>
      <c r="N3" s="16" t="s">
        <v>20</v>
      </c>
      <c r="O3" s="1"/>
      <c r="P3" s="26" t="s">
        <v>376</v>
      </c>
      <c r="Q3" t="s">
        <v>384</v>
      </c>
      <c r="R3" t="s">
        <v>378</v>
      </c>
      <c r="S3" t="s">
        <v>383</v>
      </c>
      <c r="T3" t="s">
        <v>382</v>
      </c>
      <c r="U3" t="s">
        <v>380</v>
      </c>
      <c r="V3" t="s">
        <v>379</v>
      </c>
      <c r="W3" s="33"/>
      <c r="X3" s="33"/>
      <c r="Y3" s="33"/>
      <c r="Z3" s="33"/>
      <c r="AA3" s="33"/>
      <c r="AB3" s="33"/>
    </row>
    <row r="4" spans="1:28" ht="15">
      <c r="A4" s="1" t="s">
        <v>21</v>
      </c>
      <c r="B4" s="1" t="s">
        <v>22</v>
      </c>
      <c r="C4" s="5">
        <v>45629</v>
      </c>
      <c r="D4" s="16" t="s">
        <v>23</v>
      </c>
      <c r="E4" s="17" t="s">
        <v>24</v>
      </c>
      <c r="F4" s="9">
        <v>3092</v>
      </c>
      <c r="G4" s="9">
        <v>177</v>
      </c>
      <c r="H4" s="9">
        <v>81</v>
      </c>
      <c r="I4" s="9">
        <v>47533</v>
      </c>
      <c r="J4" s="9">
        <v>29220</v>
      </c>
      <c r="K4" s="9">
        <v>121</v>
      </c>
      <c r="L4" s="16" t="s">
        <v>364</v>
      </c>
      <c r="M4" s="16" t="s">
        <v>34</v>
      </c>
      <c r="N4" s="16" t="s">
        <v>16</v>
      </c>
      <c r="O4" s="1"/>
      <c r="P4" s="27" t="s">
        <v>14</v>
      </c>
      <c r="Q4" s="29">
        <v>31411</v>
      </c>
      <c r="R4" s="29">
        <v>473386</v>
      </c>
      <c r="S4" s="29">
        <v>7297752</v>
      </c>
      <c r="T4" s="29">
        <v>6698403</v>
      </c>
      <c r="U4" s="29">
        <v>36142</v>
      </c>
      <c r="V4" s="29">
        <v>49828</v>
      </c>
      <c r="W4" s="10"/>
      <c r="X4" s="10"/>
      <c r="Y4" s="10"/>
      <c r="Z4" s="10"/>
      <c r="AA4" s="10"/>
      <c r="AB4" s="10"/>
    </row>
    <row r="5" spans="1:28" ht="16.5" customHeight="1">
      <c r="A5" s="1" t="s">
        <v>25</v>
      </c>
      <c r="B5" s="1" t="s">
        <v>13</v>
      </c>
      <c r="C5" s="5">
        <v>45629</v>
      </c>
      <c r="D5" s="16" t="s">
        <v>14</v>
      </c>
      <c r="E5" s="17" t="s">
        <v>360</v>
      </c>
      <c r="F5" s="9">
        <v>3173</v>
      </c>
      <c r="G5" s="9">
        <v>229</v>
      </c>
      <c r="H5" s="9">
        <v>197</v>
      </c>
      <c r="I5" s="9">
        <v>29604</v>
      </c>
      <c r="J5" s="9">
        <v>21809</v>
      </c>
      <c r="K5" s="9">
        <v>272</v>
      </c>
      <c r="L5" s="16" t="s">
        <v>37</v>
      </c>
      <c r="M5" s="16" t="s">
        <v>34</v>
      </c>
      <c r="N5" s="16" t="s">
        <v>16</v>
      </c>
      <c r="O5" s="1"/>
      <c r="P5" s="28" t="s">
        <v>13</v>
      </c>
      <c r="Q5" s="32">
        <v>12803</v>
      </c>
      <c r="R5" s="32">
        <v>189658</v>
      </c>
      <c r="S5" s="32">
        <v>3089978</v>
      </c>
      <c r="T5" s="32">
        <v>2688083</v>
      </c>
      <c r="U5" s="32">
        <v>15162</v>
      </c>
      <c r="V5" s="32">
        <v>21292</v>
      </c>
      <c r="W5" s="10"/>
      <c r="X5" s="10"/>
      <c r="Y5" s="10"/>
      <c r="Z5" s="10"/>
      <c r="AA5" s="10"/>
      <c r="AB5" s="10"/>
    </row>
    <row r="6" spans="1:28" ht="15">
      <c r="A6" s="1" t="s">
        <v>26</v>
      </c>
      <c r="B6" s="1" t="s">
        <v>27</v>
      </c>
      <c r="C6" s="5">
        <v>45388</v>
      </c>
      <c r="D6" s="16" t="s">
        <v>14</v>
      </c>
      <c r="E6" s="17" t="s">
        <v>361</v>
      </c>
      <c r="F6" s="9">
        <v>2748</v>
      </c>
      <c r="G6" s="9">
        <v>145</v>
      </c>
      <c r="H6" s="9">
        <v>315</v>
      </c>
      <c r="I6" s="9">
        <v>24401</v>
      </c>
      <c r="J6" s="9">
        <v>61182</v>
      </c>
      <c r="K6" s="9">
        <v>200</v>
      </c>
      <c r="L6" s="16" t="s">
        <v>19</v>
      </c>
      <c r="M6" s="16" t="s">
        <v>365</v>
      </c>
      <c r="N6" s="16" t="s">
        <v>20</v>
      </c>
      <c r="O6" s="1"/>
      <c r="P6" s="28" t="s">
        <v>22</v>
      </c>
      <c r="Q6" s="29">
        <v>11520</v>
      </c>
      <c r="R6" s="29">
        <v>178192</v>
      </c>
      <c r="S6" s="29">
        <v>2687869</v>
      </c>
      <c r="T6" s="29">
        <v>2466179</v>
      </c>
      <c r="U6" s="29">
        <v>13135</v>
      </c>
      <c r="V6" s="29">
        <v>19004</v>
      </c>
      <c r="W6" s="10"/>
      <c r="X6" s="10"/>
      <c r="Y6" s="10"/>
      <c r="Z6" s="10"/>
      <c r="AA6" s="10"/>
      <c r="AB6" s="10"/>
    </row>
    <row r="7" spans="1:28" ht="15">
      <c r="A7" s="1" t="s">
        <v>28</v>
      </c>
      <c r="B7" s="1" t="s">
        <v>27</v>
      </c>
      <c r="C7" s="5">
        <v>45456</v>
      </c>
      <c r="D7" s="16" t="s">
        <v>14</v>
      </c>
      <c r="E7" s="17" t="s">
        <v>362</v>
      </c>
      <c r="F7" s="9">
        <v>3882</v>
      </c>
      <c r="G7" s="9">
        <v>239</v>
      </c>
      <c r="H7" s="9">
        <v>275</v>
      </c>
      <c r="I7" s="9">
        <v>58748</v>
      </c>
      <c r="J7" s="9">
        <v>44646</v>
      </c>
      <c r="K7" s="9">
        <v>149</v>
      </c>
      <c r="L7" s="16" t="s">
        <v>19</v>
      </c>
      <c r="M7" s="16" t="s">
        <v>365</v>
      </c>
      <c r="N7" s="16" t="s">
        <v>20</v>
      </c>
      <c r="O7" s="1"/>
      <c r="P7" s="28" t="s">
        <v>27</v>
      </c>
      <c r="Q7" s="29">
        <v>7088</v>
      </c>
      <c r="R7" s="29">
        <v>105536</v>
      </c>
      <c r="S7" s="29">
        <v>1519905</v>
      </c>
      <c r="T7" s="29">
        <v>1544141</v>
      </c>
      <c r="U7" s="29">
        <v>7845</v>
      </c>
      <c r="V7" s="29">
        <v>9532</v>
      </c>
      <c r="W7" s="10"/>
      <c r="X7" s="10"/>
      <c r="Y7" s="10"/>
      <c r="Z7" s="10"/>
      <c r="AA7" s="10"/>
      <c r="AB7" s="10"/>
    </row>
    <row r="8" spans="1:28" ht="15">
      <c r="A8" s="1" t="s">
        <v>29</v>
      </c>
      <c r="B8" s="1" t="s">
        <v>22</v>
      </c>
      <c r="C8" s="5">
        <v>45645</v>
      </c>
      <c r="D8" s="16" t="s">
        <v>23</v>
      </c>
      <c r="E8" s="17" t="s">
        <v>30</v>
      </c>
      <c r="F8" s="9">
        <v>4674</v>
      </c>
      <c r="G8" s="9">
        <v>409</v>
      </c>
      <c r="H8" s="9">
        <v>327</v>
      </c>
      <c r="I8" s="9">
        <v>20756</v>
      </c>
      <c r="J8" s="9">
        <v>63599</v>
      </c>
      <c r="K8" s="9">
        <v>212</v>
      </c>
      <c r="L8" s="16" t="s">
        <v>37</v>
      </c>
      <c r="M8" s="16" t="s">
        <v>34</v>
      </c>
      <c r="N8" s="16" t="s">
        <v>16</v>
      </c>
      <c r="O8" s="1"/>
      <c r="P8" s="27" t="s">
        <v>23</v>
      </c>
      <c r="Q8" s="29">
        <v>20628</v>
      </c>
      <c r="R8" s="29">
        <v>333918</v>
      </c>
      <c r="S8" s="29">
        <v>4992399</v>
      </c>
      <c r="T8" s="29">
        <v>4538176</v>
      </c>
      <c r="U8" s="29">
        <v>24098</v>
      </c>
      <c r="V8" s="29">
        <v>34487</v>
      </c>
      <c r="W8" s="10"/>
      <c r="X8" s="10"/>
      <c r="Y8" s="10"/>
      <c r="Z8" s="10"/>
      <c r="AA8" s="10"/>
      <c r="AB8" s="10"/>
    </row>
    <row r="9" spans="1:28" ht="30">
      <c r="A9" s="1" t="s">
        <v>31</v>
      </c>
      <c r="B9" s="1" t="s">
        <v>22</v>
      </c>
      <c r="C9" s="5">
        <v>45421</v>
      </c>
      <c r="D9" s="16" t="s">
        <v>23</v>
      </c>
      <c r="E9" s="17" t="s">
        <v>360</v>
      </c>
      <c r="F9" s="9">
        <v>1428</v>
      </c>
      <c r="G9" s="9">
        <v>347</v>
      </c>
      <c r="H9" s="9">
        <v>67</v>
      </c>
      <c r="I9" s="9">
        <v>21148</v>
      </c>
      <c r="J9" s="9">
        <v>19712</v>
      </c>
      <c r="K9" s="9">
        <v>120</v>
      </c>
      <c r="L9" s="16" t="s">
        <v>19</v>
      </c>
      <c r="M9" s="16" t="s">
        <v>364</v>
      </c>
      <c r="N9" s="16" t="s">
        <v>16</v>
      </c>
      <c r="O9" s="1"/>
      <c r="P9" s="28" t="s">
        <v>13</v>
      </c>
      <c r="Q9" s="29">
        <v>4614</v>
      </c>
      <c r="R9" s="29">
        <v>61815</v>
      </c>
      <c r="S9" s="29">
        <v>1131121</v>
      </c>
      <c r="T9" s="29">
        <v>865406</v>
      </c>
      <c r="U9" s="29">
        <v>5656</v>
      </c>
      <c r="V9" s="29">
        <v>7993</v>
      </c>
      <c r="W9" s="10"/>
      <c r="X9" s="10"/>
      <c r="Y9" s="10"/>
      <c r="Z9" s="10"/>
      <c r="AA9" s="10"/>
      <c r="AB9" s="10"/>
    </row>
    <row r="10" spans="1:28" ht="15">
      <c r="A10" s="1" t="s">
        <v>32</v>
      </c>
      <c r="B10" s="1" t="s">
        <v>22</v>
      </c>
      <c r="C10" s="5">
        <v>45823</v>
      </c>
      <c r="D10" s="16" t="s">
        <v>14</v>
      </c>
      <c r="E10" s="17" t="s">
        <v>33</v>
      </c>
      <c r="F10" s="9">
        <v>4432</v>
      </c>
      <c r="G10" s="9">
        <v>223</v>
      </c>
      <c r="H10" s="9">
        <v>299</v>
      </c>
      <c r="I10" s="9">
        <v>59016</v>
      </c>
      <c r="J10" s="9">
        <v>21742</v>
      </c>
      <c r="K10" s="9">
        <v>171</v>
      </c>
      <c r="L10" s="16" t="s">
        <v>34</v>
      </c>
      <c r="M10" s="16"/>
      <c r="N10" s="16" t="s">
        <v>16</v>
      </c>
      <c r="O10" s="1"/>
      <c r="P10" s="28" t="s">
        <v>22</v>
      </c>
      <c r="Q10" s="32">
        <v>16014</v>
      </c>
      <c r="R10" s="32">
        <v>272103</v>
      </c>
      <c r="S10" s="32">
        <v>3861278</v>
      </c>
      <c r="T10" s="32">
        <v>3672770</v>
      </c>
      <c r="U10" s="32">
        <v>18442</v>
      </c>
      <c r="V10" s="32">
        <v>26494</v>
      </c>
    </row>
    <row r="11" spans="1:28" ht="30">
      <c r="A11" s="1" t="s">
        <v>35</v>
      </c>
      <c r="B11" s="1" t="s">
        <v>22</v>
      </c>
      <c r="C11" s="5">
        <v>45630</v>
      </c>
      <c r="D11" s="16" t="s">
        <v>14</v>
      </c>
      <c r="E11" s="17" t="s">
        <v>360</v>
      </c>
      <c r="F11" s="9">
        <v>2357</v>
      </c>
      <c r="G11" s="9">
        <v>274</v>
      </c>
      <c r="H11" s="9">
        <v>172</v>
      </c>
      <c r="I11" s="9">
        <v>21566</v>
      </c>
      <c r="J11" s="9">
        <v>66829</v>
      </c>
      <c r="K11" s="9">
        <v>284</v>
      </c>
      <c r="L11" s="16" t="s">
        <v>34</v>
      </c>
      <c r="M11" s="16"/>
      <c r="N11" s="16" t="s">
        <v>16</v>
      </c>
      <c r="O11" s="1"/>
      <c r="P11" s="27" t="s">
        <v>48</v>
      </c>
      <c r="Q11" s="29">
        <v>5557</v>
      </c>
      <c r="R11" s="29">
        <v>89871</v>
      </c>
      <c r="S11" s="29">
        <v>1227061</v>
      </c>
      <c r="T11" s="29">
        <v>1233853</v>
      </c>
      <c r="U11" s="29">
        <v>6826</v>
      </c>
      <c r="V11" s="29">
        <v>9086</v>
      </c>
    </row>
    <row r="12" spans="1:28" ht="15">
      <c r="A12" s="1" t="s">
        <v>36</v>
      </c>
      <c r="B12" s="1" t="s">
        <v>22</v>
      </c>
      <c r="C12" s="5">
        <v>45357</v>
      </c>
      <c r="D12" s="16" t="s">
        <v>14</v>
      </c>
      <c r="E12" s="17" t="s">
        <v>15</v>
      </c>
      <c r="F12" s="9">
        <v>1971</v>
      </c>
      <c r="G12" s="9">
        <v>370</v>
      </c>
      <c r="H12" s="9">
        <v>306</v>
      </c>
      <c r="I12" s="9">
        <v>31316</v>
      </c>
      <c r="J12" s="9">
        <v>27897</v>
      </c>
      <c r="K12" s="9">
        <v>88</v>
      </c>
      <c r="L12" s="16" t="s">
        <v>37</v>
      </c>
      <c r="M12" s="16"/>
      <c r="N12" s="16" t="s">
        <v>20</v>
      </c>
      <c r="O12" s="1"/>
      <c r="P12" s="28" t="s">
        <v>27</v>
      </c>
      <c r="Q12" s="32">
        <v>5557</v>
      </c>
      <c r="R12" s="32">
        <v>89871</v>
      </c>
      <c r="S12" s="32">
        <v>1227061</v>
      </c>
      <c r="T12" s="32">
        <v>1233853</v>
      </c>
      <c r="U12" s="32">
        <v>6826</v>
      </c>
      <c r="V12" s="32">
        <v>9086</v>
      </c>
    </row>
    <row r="13" spans="1:28" ht="15">
      <c r="A13" s="1" t="s">
        <v>38</v>
      </c>
      <c r="B13" s="1" t="s">
        <v>13</v>
      </c>
      <c r="C13" s="5">
        <v>45426</v>
      </c>
      <c r="D13" s="16" t="s">
        <v>14</v>
      </c>
      <c r="E13" s="17" t="s">
        <v>15</v>
      </c>
      <c r="F13" s="9">
        <v>1485</v>
      </c>
      <c r="G13" s="9">
        <v>353</v>
      </c>
      <c r="H13" s="9">
        <v>244</v>
      </c>
      <c r="I13" s="9">
        <v>38419</v>
      </c>
      <c r="J13" s="9">
        <v>38556</v>
      </c>
      <c r="K13" s="9">
        <v>86</v>
      </c>
      <c r="L13" s="16" t="s">
        <v>37</v>
      </c>
      <c r="M13" s="16" t="s">
        <v>34</v>
      </c>
      <c r="N13" s="16" t="s">
        <v>16</v>
      </c>
      <c r="O13" s="1"/>
      <c r="P13"/>
      <c r="Q13"/>
      <c r="R13"/>
      <c r="S13"/>
      <c r="W13" s="10"/>
    </row>
    <row r="14" spans="1:28">
      <c r="A14" s="1" t="s">
        <v>39</v>
      </c>
      <c r="B14" s="1" t="s">
        <v>22</v>
      </c>
      <c r="C14" s="5">
        <v>45826</v>
      </c>
      <c r="D14" s="16" t="s">
        <v>23</v>
      </c>
      <c r="E14" s="17" t="s">
        <v>15</v>
      </c>
      <c r="F14" s="9">
        <v>3956</v>
      </c>
      <c r="G14" s="9">
        <v>319</v>
      </c>
      <c r="H14" s="9">
        <v>61</v>
      </c>
      <c r="I14" s="9">
        <v>58162</v>
      </c>
      <c r="J14" s="9">
        <v>28720</v>
      </c>
      <c r="K14" s="9">
        <v>213</v>
      </c>
      <c r="L14" s="16" t="s">
        <v>364</v>
      </c>
      <c r="M14" s="16" t="s">
        <v>34</v>
      </c>
      <c r="N14" s="16" t="s">
        <v>16</v>
      </c>
      <c r="O14" s="1"/>
    </row>
    <row r="15" spans="1:28">
      <c r="A15" s="1" t="s">
        <v>40</v>
      </c>
      <c r="B15" s="1" t="s">
        <v>22</v>
      </c>
      <c r="C15" s="5">
        <v>45573</v>
      </c>
      <c r="D15" s="16" t="s">
        <v>14</v>
      </c>
      <c r="E15" s="17" t="s">
        <v>363</v>
      </c>
      <c r="F15" s="9">
        <v>2460</v>
      </c>
      <c r="G15" s="9">
        <v>409</v>
      </c>
      <c r="H15" s="9">
        <v>253</v>
      </c>
      <c r="I15" s="9">
        <v>36702</v>
      </c>
      <c r="J15" s="9">
        <v>46122</v>
      </c>
      <c r="K15" s="9">
        <v>264</v>
      </c>
      <c r="L15" s="16" t="s">
        <v>34</v>
      </c>
      <c r="M15" s="16"/>
      <c r="N15" s="16" t="s">
        <v>16</v>
      </c>
      <c r="O15" s="1"/>
    </row>
    <row r="16" spans="1:28">
      <c r="A16" s="1" t="s">
        <v>41</v>
      </c>
      <c r="B16" s="1" t="s">
        <v>22</v>
      </c>
      <c r="C16" s="5">
        <v>45418</v>
      </c>
      <c r="D16" s="16" t="s">
        <v>14</v>
      </c>
      <c r="E16" s="17" t="s">
        <v>42</v>
      </c>
      <c r="F16" s="9">
        <v>3476</v>
      </c>
      <c r="G16" s="9">
        <v>355</v>
      </c>
      <c r="H16" s="9">
        <v>396</v>
      </c>
      <c r="I16" s="9">
        <v>37492</v>
      </c>
      <c r="J16" s="9">
        <v>27285</v>
      </c>
      <c r="K16" s="9">
        <v>179</v>
      </c>
      <c r="L16" s="16" t="s">
        <v>34</v>
      </c>
      <c r="M16" s="16"/>
      <c r="N16" s="16" t="s">
        <v>16</v>
      </c>
      <c r="O16" s="1"/>
    </row>
    <row r="17" spans="1:31">
      <c r="A17" s="1" t="s">
        <v>43</v>
      </c>
      <c r="B17" s="1" t="s">
        <v>22</v>
      </c>
      <c r="C17" s="5">
        <v>45655</v>
      </c>
      <c r="D17" s="16" t="s">
        <v>23</v>
      </c>
      <c r="E17" s="17" t="s">
        <v>24</v>
      </c>
      <c r="F17" s="9">
        <v>4049</v>
      </c>
      <c r="G17" s="9">
        <v>377</v>
      </c>
      <c r="H17" s="9">
        <v>94</v>
      </c>
      <c r="I17" s="9">
        <v>48182</v>
      </c>
      <c r="J17" s="9">
        <v>42875</v>
      </c>
      <c r="K17" s="9">
        <v>172</v>
      </c>
      <c r="L17" s="16" t="s">
        <v>364</v>
      </c>
      <c r="M17" s="16" t="s">
        <v>34</v>
      </c>
      <c r="N17" s="16" t="s">
        <v>16</v>
      </c>
      <c r="O17" s="1"/>
    </row>
    <row r="18" spans="1:31">
      <c r="A18" s="1" t="s">
        <v>44</v>
      </c>
      <c r="B18" s="1" t="s">
        <v>22</v>
      </c>
      <c r="C18" s="5">
        <v>45453</v>
      </c>
      <c r="D18" s="16" t="s">
        <v>14</v>
      </c>
      <c r="E18" s="17" t="s">
        <v>362</v>
      </c>
      <c r="F18" s="9">
        <v>1514</v>
      </c>
      <c r="G18" s="9">
        <v>164</v>
      </c>
      <c r="H18" s="9">
        <v>275</v>
      </c>
      <c r="I18" s="9">
        <v>41364</v>
      </c>
      <c r="J18" s="9">
        <v>44389</v>
      </c>
      <c r="K18" s="9">
        <v>83</v>
      </c>
      <c r="L18" s="16" t="s">
        <v>34</v>
      </c>
      <c r="M18" s="16"/>
      <c r="N18" s="16" t="s">
        <v>16</v>
      </c>
      <c r="O18" s="1"/>
    </row>
    <row r="19" spans="1:31">
      <c r="A19" s="1" t="s">
        <v>45</v>
      </c>
      <c r="B19" s="1" t="s">
        <v>13</v>
      </c>
      <c r="C19" s="5">
        <v>45325</v>
      </c>
      <c r="D19" s="16" t="s">
        <v>23</v>
      </c>
      <c r="E19" s="17" t="s">
        <v>361</v>
      </c>
      <c r="F19" s="9">
        <v>4281</v>
      </c>
      <c r="G19" s="9">
        <v>101</v>
      </c>
      <c r="H19" s="9">
        <v>163</v>
      </c>
      <c r="I19" s="9">
        <v>32278</v>
      </c>
      <c r="J19" s="9">
        <v>53382</v>
      </c>
      <c r="K19" s="9">
        <v>235</v>
      </c>
      <c r="L19" s="16" t="s">
        <v>34</v>
      </c>
      <c r="M19" s="16"/>
      <c r="N19" s="16" t="s">
        <v>46</v>
      </c>
      <c r="O19" s="1"/>
    </row>
    <row r="20" spans="1:31">
      <c r="A20" s="1" t="s">
        <v>47</v>
      </c>
      <c r="B20" s="1" t="s">
        <v>27</v>
      </c>
      <c r="C20" s="5">
        <v>45458</v>
      </c>
      <c r="D20" s="16" t="s">
        <v>48</v>
      </c>
      <c r="E20" s="17" t="s">
        <v>30</v>
      </c>
      <c r="F20" s="9">
        <v>1751</v>
      </c>
      <c r="G20" s="9">
        <v>143</v>
      </c>
      <c r="H20" s="9">
        <v>151</v>
      </c>
      <c r="I20" s="9">
        <v>31826</v>
      </c>
      <c r="J20" s="9">
        <v>47729</v>
      </c>
      <c r="K20" s="9">
        <v>95</v>
      </c>
      <c r="L20" s="16" t="s">
        <v>19</v>
      </c>
      <c r="M20" s="16" t="s">
        <v>37</v>
      </c>
      <c r="N20" s="16" t="s">
        <v>49</v>
      </c>
      <c r="O20" s="1"/>
    </row>
    <row r="21" spans="1:31">
      <c r="A21" s="1" t="s">
        <v>50</v>
      </c>
      <c r="B21" s="1" t="s">
        <v>13</v>
      </c>
      <c r="C21" s="5">
        <v>45478</v>
      </c>
      <c r="D21" s="16" t="s">
        <v>14</v>
      </c>
      <c r="E21" s="17" t="s">
        <v>42</v>
      </c>
      <c r="F21" s="9">
        <v>3753</v>
      </c>
      <c r="G21" s="9">
        <v>411</v>
      </c>
      <c r="H21" s="9">
        <v>308</v>
      </c>
      <c r="I21" s="9">
        <v>29138</v>
      </c>
      <c r="J21" s="9">
        <v>27678</v>
      </c>
      <c r="K21" s="9">
        <v>90</v>
      </c>
      <c r="L21" s="16" t="s">
        <v>19</v>
      </c>
      <c r="M21" s="16"/>
      <c r="N21" s="16" t="s">
        <v>20</v>
      </c>
      <c r="O21" s="1"/>
    </row>
    <row r="22" spans="1:31" ht="30">
      <c r="A22" s="1" t="s">
        <v>51</v>
      </c>
      <c r="B22" s="1" t="s">
        <v>13</v>
      </c>
      <c r="C22" s="5">
        <v>45603</v>
      </c>
      <c r="D22" s="16" t="s">
        <v>23</v>
      </c>
      <c r="E22" s="17" t="s">
        <v>360</v>
      </c>
      <c r="F22" s="9">
        <v>1678</v>
      </c>
      <c r="G22" s="9">
        <v>423</v>
      </c>
      <c r="H22" s="9">
        <v>323</v>
      </c>
      <c r="I22" s="9">
        <v>55668</v>
      </c>
      <c r="J22" s="9">
        <v>37945</v>
      </c>
      <c r="K22" s="9">
        <v>230</v>
      </c>
      <c r="L22" s="16" t="s">
        <v>34</v>
      </c>
      <c r="M22" s="16"/>
      <c r="N22" s="16" t="s">
        <v>46</v>
      </c>
      <c r="O22" s="1"/>
    </row>
    <row r="23" spans="1:31" ht="18.75">
      <c r="A23" s="1" t="s">
        <v>52</v>
      </c>
      <c r="B23" s="1" t="s">
        <v>13</v>
      </c>
      <c r="C23" s="5">
        <v>45823</v>
      </c>
      <c r="D23" s="16" t="s">
        <v>14</v>
      </c>
      <c r="E23" s="17" t="s">
        <v>362</v>
      </c>
      <c r="F23" s="9">
        <v>4896</v>
      </c>
      <c r="G23" s="9">
        <v>466</v>
      </c>
      <c r="H23" s="9">
        <v>233</v>
      </c>
      <c r="I23" s="9">
        <v>28621</v>
      </c>
      <c r="J23" s="9">
        <v>34270</v>
      </c>
      <c r="K23" s="9">
        <v>84</v>
      </c>
      <c r="L23" s="16" t="s">
        <v>37</v>
      </c>
      <c r="M23" s="16" t="s">
        <v>34</v>
      </c>
      <c r="N23" s="16" t="s">
        <v>16</v>
      </c>
      <c r="O23" s="1"/>
      <c r="Z23" s="34" t="s">
        <v>389</v>
      </c>
      <c r="AA23" s="34"/>
      <c r="AB23" s="34"/>
      <c r="AC23" s="34"/>
      <c r="AD23" s="34"/>
      <c r="AE23" s="34"/>
    </row>
    <row r="24" spans="1:31">
      <c r="A24" s="1" t="s">
        <v>53</v>
      </c>
      <c r="B24" s="1" t="s">
        <v>27</v>
      </c>
      <c r="C24" s="5">
        <v>45452</v>
      </c>
      <c r="D24" s="16" t="s">
        <v>48</v>
      </c>
      <c r="E24" s="17" t="s">
        <v>363</v>
      </c>
      <c r="F24" s="9">
        <v>2786</v>
      </c>
      <c r="G24" s="9">
        <v>368</v>
      </c>
      <c r="H24" s="9">
        <v>208</v>
      </c>
      <c r="I24" s="9">
        <v>42000</v>
      </c>
      <c r="J24" s="9">
        <v>39967</v>
      </c>
      <c r="K24" s="9">
        <v>103</v>
      </c>
      <c r="L24" s="16" t="s">
        <v>19</v>
      </c>
      <c r="M24" s="16" t="s">
        <v>37</v>
      </c>
      <c r="N24" s="16" t="s">
        <v>49</v>
      </c>
      <c r="O24" s="1"/>
    </row>
    <row r="25" spans="1:31">
      <c r="A25" s="1" t="s">
        <v>54</v>
      </c>
      <c r="B25" s="1" t="s">
        <v>22</v>
      </c>
      <c r="C25" s="5">
        <v>45583</v>
      </c>
      <c r="D25" s="16" t="s">
        <v>14</v>
      </c>
      <c r="E25" s="17" t="s">
        <v>24</v>
      </c>
      <c r="F25" s="9">
        <v>2607</v>
      </c>
      <c r="G25" s="9">
        <v>379</v>
      </c>
      <c r="H25" s="9">
        <v>180</v>
      </c>
      <c r="I25" s="9">
        <v>28712</v>
      </c>
      <c r="J25" s="9">
        <v>61620</v>
      </c>
      <c r="K25" s="9">
        <v>174</v>
      </c>
      <c r="L25" s="16" t="s">
        <v>37</v>
      </c>
      <c r="M25" s="16"/>
      <c r="N25" s="16" t="s">
        <v>20</v>
      </c>
      <c r="O25" s="1"/>
    </row>
    <row r="26" spans="1:31">
      <c r="A26" s="1" t="s">
        <v>55</v>
      </c>
      <c r="B26" s="1" t="s">
        <v>27</v>
      </c>
      <c r="C26" s="5">
        <v>45575</v>
      </c>
      <c r="D26" s="16" t="s">
        <v>48</v>
      </c>
      <c r="E26" s="17" t="s">
        <v>363</v>
      </c>
      <c r="F26" s="9">
        <v>4013</v>
      </c>
      <c r="G26" s="9">
        <v>320</v>
      </c>
      <c r="H26" s="9">
        <v>92</v>
      </c>
      <c r="I26" s="9">
        <v>54605</v>
      </c>
      <c r="J26" s="9">
        <v>60169</v>
      </c>
      <c r="K26" s="9">
        <v>232</v>
      </c>
      <c r="L26" s="16" t="s">
        <v>19</v>
      </c>
      <c r="M26" s="16" t="s">
        <v>37</v>
      </c>
      <c r="N26" s="16" t="s">
        <v>49</v>
      </c>
      <c r="O26" s="1"/>
    </row>
    <row r="27" spans="1:31">
      <c r="A27" s="1" t="s">
        <v>56</v>
      </c>
      <c r="B27" s="1" t="s">
        <v>22</v>
      </c>
      <c r="C27" s="5">
        <v>45791</v>
      </c>
      <c r="D27" s="16" t="s">
        <v>23</v>
      </c>
      <c r="E27" s="17" t="s">
        <v>363</v>
      </c>
      <c r="F27" s="9">
        <v>2707</v>
      </c>
      <c r="G27" s="9">
        <v>103</v>
      </c>
      <c r="H27" s="9">
        <v>51</v>
      </c>
      <c r="I27" s="9">
        <v>55302</v>
      </c>
      <c r="J27" s="9">
        <v>18801</v>
      </c>
      <c r="K27" s="9">
        <v>147</v>
      </c>
      <c r="L27" s="16" t="s">
        <v>19</v>
      </c>
      <c r="M27" s="16" t="s">
        <v>364</v>
      </c>
      <c r="N27" s="16" t="s">
        <v>16</v>
      </c>
      <c r="O27" s="1"/>
    </row>
    <row r="28" spans="1:31">
      <c r="A28" s="1" t="s">
        <v>57</v>
      </c>
      <c r="B28" s="1" t="s">
        <v>13</v>
      </c>
      <c r="C28" s="5">
        <v>45625</v>
      </c>
      <c r="D28" s="16" t="s">
        <v>14</v>
      </c>
      <c r="E28" s="17" t="s">
        <v>362</v>
      </c>
      <c r="F28" s="9">
        <v>2824</v>
      </c>
      <c r="G28" s="9">
        <v>425</v>
      </c>
      <c r="H28" s="9">
        <v>274</v>
      </c>
      <c r="I28" s="9">
        <v>31004</v>
      </c>
      <c r="J28" s="9">
        <v>53488</v>
      </c>
      <c r="K28" s="9">
        <v>268</v>
      </c>
      <c r="L28" s="16" t="s">
        <v>37</v>
      </c>
      <c r="M28" s="16" t="s">
        <v>34</v>
      </c>
      <c r="N28" s="16" t="s">
        <v>16</v>
      </c>
      <c r="O28" s="1"/>
    </row>
    <row r="29" spans="1:31">
      <c r="A29" s="1" t="s">
        <v>58</v>
      </c>
      <c r="B29" s="1" t="s">
        <v>27</v>
      </c>
      <c r="C29" s="5">
        <v>45356</v>
      </c>
      <c r="D29" s="16" t="s">
        <v>48</v>
      </c>
      <c r="E29" s="17" t="s">
        <v>18</v>
      </c>
      <c r="F29" s="9">
        <v>3558</v>
      </c>
      <c r="G29" s="9">
        <v>314</v>
      </c>
      <c r="H29" s="9">
        <v>199</v>
      </c>
      <c r="I29" s="9">
        <v>49612</v>
      </c>
      <c r="J29" s="9">
        <v>53929</v>
      </c>
      <c r="K29" s="9">
        <v>206</v>
      </c>
      <c r="L29" s="16" t="s">
        <v>19</v>
      </c>
      <c r="M29" s="16" t="s">
        <v>37</v>
      </c>
      <c r="N29" s="16" t="s">
        <v>49</v>
      </c>
      <c r="O29" s="1"/>
    </row>
    <row r="30" spans="1:31">
      <c r="A30" s="1" t="s">
        <v>59</v>
      </c>
      <c r="B30" s="1" t="s">
        <v>22</v>
      </c>
      <c r="C30" s="5">
        <v>45734</v>
      </c>
      <c r="D30" s="16" t="s">
        <v>23</v>
      </c>
      <c r="E30" s="17" t="s">
        <v>18</v>
      </c>
      <c r="F30" s="9">
        <v>3418</v>
      </c>
      <c r="G30" s="9">
        <v>188</v>
      </c>
      <c r="H30" s="9">
        <v>387</v>
      </c>
      <c r="I30" s="9">
        <v>57431</v>
      </c>
      <c r="J30" s="9">
        <v>36933</v>
      </c>
      <c r="K30" s="9">
        <v>202</v>
      </c>
      <c r="L30" s="16" t="s">
        <v>364</v>
      </c>
      <c r="M30" s="16" t="s">
        <v>34</v>
      </c>
      <c r="N30" s="16" t="s">
        <v>16</v>
      </c>
      <c r="O30" s="1"/>
    </row>
    <row r="31" spans="1:31">
      <c r="A31" s="1" t="s">
        <v>60</v>
      </c>
      <c r="B31" s="1" t="s">
        <v>22</v>
      </c>
      <c r="C31" s="5">
        <v>45773</v>
      </c>
      <c r="D31" s="16" t="s">
        <v>14</v>
      </c>
      <c r="E31" s="17" t="s">
        <v>15</v>
      </c>
      <c r="F31" s="9">
        <v>2411</v>
      </c>
      <c r="G31" s="9">
        <v>194</v>
      </c>
      <c r="H31" s="9">
        <v>168</v>
      </c>
      <c r="I31" s="9">
        <v>26665</v>
      </c>
      <c r="J31" s="9">
        <v>71699</v>
      </c>
      <c r="K31" s="9">
        <v>197</v>
      </c>
      <c r="L31" s="16" t="s">
        <v>34</v>
      </c>
      <c r="M31" s="16"/>
      <c r="N31" s="16" t="s">
        <v>16</v>
      </c>
      <c r="O31" s="1"/>
    </row>
    <row r="32" spans="1:31">
      <c r="A32" s="1" t="s">
        <v>61</v>
      </c>
      <c r="B32" s="1" t="s">
        <v>13</v>
      </c>
      <c r="C32" s="5">
        <v>45658</v>
      </c>
      <c r="D32" s="16" t="s">
        <v>14</v>
      </c>
      <c r="E32" s="17" t="s">
        <v>24</v>
      </c>
      <c r="F32" s="9">
        <v>4036</v>
      </c>
      <c r="G32" s="9">
        <v>112</v>
      </c>
      <c r="H32" s="9">
        <v>382</v>
      </c>
      <c r="I32" s="9">
        <v>56284</v>
      </c>
      <c r="J32" s="9">
        <v>29440</v>
      </c>
      <c r="K32" s="9">
        <v>279</v>
      </c>
      <c r="L32" s="16" t="s">
        <v>37</v>
      </c>
      <c r="M32" s="16" t="s">
        <v>34</v>
      </c>
      <c r="N32" s="16" t="s">
        <v>16</v>
      </c>
      <c r="O32" s="1"/>
    </row>
    <row r="33" spans="1:15">
      <c r="A33" s="1" t="s">
        <v>62</v>
      </c>
      <c r="B33" s="1" t="s">
        <v>22</v>
      </c>
      <c r="C33" s="5">
        <v>45419</v>
      </c>
      <c r="D33" s="16" t="s">
        <v>23</v>
      </c>
      <c r="E33" s="17" t="s">
        <v>18</v>
      </c>
      <c r="F33" s="9">
        <v>2776</v>
      </c>
      <c r="G33" s="9">
        <v>307</v>
      </c>
      <c r="H33" s="9">
        <v>178</v>
      </c>
      <c r="I33" s="9">
        <v>43365</v>
      </c>
      <c r="J33" s="9">
        <v>48408</v>
      </c>
      <c r="K33" s="9">
        <v>138</v>
      </c>
      <c r="L33" s="16" t="s">
        <v>37</v>
      </c>
      <c r="M33" s="16" t="s">
        <v>34</v>
      </c>
      <c r="N33" s="16" t="s">
        <v>16</v>
      </c>
      <c r="O33" s="1"/>
    </row>
    <row r="34" spans="1:15">
      <c r="A34" s="1" t="s">
        <v>63</v>
      </c>
      <c r="B34" s="1" t="s">
        <v>22</v>
      </c>
      <c r="C34" s="5">
        <v>45574</v>
      </c>
      <c r="D34" s="16" t="s">
        <v>23</v>
      </c>
      <c r="E34" s="17" t="s">
        <v>15</v>
      </c>
      <c r="F34" s="9">
        <v>4929</v>
      </c>
      <c r="G34" s="9">
        <v>182</v>
      </c>
      <c r="H34" s="9">
        <v>95</v>
      </c>
      <c r="I34" s="9">
        <v>32181</v>
      </c>
      <c r="J34" s="9">
        <v>31084</v>
      </c>
      <c r="K34" s="9">
        <v>289</v>
      </c>
      <c r="L34" s="16" t="s">
        <v>19</v>
      </c>
      <c r="M34" s="16" t="s">
        <v>364</v>
      </c>
      <c r="N34" s="16" t="s">
        <v>16</v>
      </c>
      <c r="O34" s="1"/>
    </row>
    <row r="35" spans="1:15">
      <c r="A35" s="1" t="s">
        <v>64</v>
      </c>
      <c r="B35" s="1" t="s">
        <v>13</v>
      </c>
      <c r="C35" s="5">
        <v>45666</v>
      </c>
      <c r="D35" s="16" t="s">
        <v>14</v>
      </c>
      <c r="E35" s="17" t="s">
        <v>24</v>
      </c>
      <c r="F35" s="9">
        <v>1015</v>
      </c>
      <c r="G35" s="9">
        <v>366</v>
      </c>
      <c r="H35" s="9">
        <v>308</v>
      </c>
      <c r="I35" s="9">
        <v>38127</v>
      </c>
      <c r="J35" s="9">
        <v>63790</v>
      </c>
      <c r="K35" s="9">
        <v>287</v>
      </c>
      <c r="L35" s="16" t="s">
        <v>37</v>
      </c>
      <c r="M35" s="16" t="s">
        <v>34</v>
      </c>
      <c r="N35" s="16" t="s">
        <v>16</v>
      </c>
      <c r="O35" s="1"/>
    </row>
    <row r="36" spans="1:15">
      <c r="A36" s="1" t="s">
        <v>65</v>
      </c>
      <c r="B36" s="1" t="s">
        <v>22</v>
      </c>
      <c r="C36" s="5">
        <v>45785</v>
      </c>
      <c r="D36" s="16" t="s">
        <v>23</v>
      </c>
      <c r="E36" s="17" t="s">
        <v>42</v>
      </c>
      <c r="F36" s="9">
        <v>3316</v>
      </c>
      <c r="G36" s="9">
        <v>332</v>
      </c>
      <c r="H36" s="9">
        <v>268</v>
      </c>
      <c r="I36" s="9">
        <v>40095</v>
      </c>
      <c r="J36" s="9">
        <v>36913</v>
      </c>
      <c r="K36" s="9">
        <v>265</v>
      </c>
      <c r="L36" s="16" t="s">
        <v>364</v>
      </c>
      <c r="M36" s="16" t="s">
        <v>34</v>
      </c>
      <c r="N36" s="16" t="s">
        <v>16</v>
      </c>
      <c r="O36" s="1"/>
    </row>
    <row r="37" spans="1:15" ht="30">
      <c r="A37" s="1" t="s">
        <v>66</v>
      </c>
      <c r="B37" s="1" t="s">
        <v>13</v>
      </c>
      <c r="C37" s="5">
        <v>45416</v>
      </c>
      <c r="D37" s="16" t="s">
        <v>14</v>
      </c>
      <c r="E37" s="17" t="s">
        <v>360</v>
      </c>
      <c r="F37" s="9">
        <v>2274</v>
      </c>
      <c r="G37" s="9">
        <v>243</v>
      </c>
      <c r="H37" s="9">
        <v>222</v>
      </c>
      <c r="I37" s="9">
        <v>43066</v>
      </c>
      <c r="J37" s="9">
        <v>59174</v>
      </c>
      <c r="K37" s="9">
        <v>80</v>
      </c>
      <c r="L37" s="16" t="s">
        <v>19</v>
      </c>
      <c r="M37" s="16"/>
      <c r="N37" s="16" t="s">
        <v>20</v>
      </c>
      <c r="O37" s="1"/>
    </row>
    <row r="38" spans="1:15">
      <c r="A38" s="1" t="s">
        <v>67</v>
      </c>
      <c r="B38" s="1" t="s">
        <v>22</v>
      </c>
      <c r="C38" s="5">
        <v>45804</v>
      </c>
      <c r="D38" s="16" t="s">
        <v>23</v>
      </c>
      <c r="E38" s="17" t="s">
        <v>18</v>
      </c>
      <c r="F38" s="9">
        <v>4095</v>
      </c>
      <c r="G38" s="9">
        <v>385</v>
      </c>
      <c r="H38" s="9">
        <v>400</v>
      </c>
      <c r="I38" s="9">
        <v>45300</v>
      </c>
      <c r="J38" s="9">
        <v>31795</v>
      </c>
      <c r="K38" s="9">
        <v>80</v>
      </c>
      <c r="L38" s="16" t="s">
        <v>364</v>
      </c>
      <c r="M38" s="16" t="s">
        <v>34</v>
      </c>
      <c r="N38" s="16" t="s">
        <v>16</v>
      </c>
      <c r="O38" s="1"/>
    </row>
    <row r="39" spans="1:15">
      <c r="A39" s="1" t="s">
        <v>68</v>
      </c>
      <c r="B39" s="1" t="s">
        <v>13</v>
      </c>
      <c r="C39" s="5">
        <v>45545</v>
      </c>
      <c r="D39" s="16" t="s">
        <v>23</v>
      </c>
      <c r="E39" s="17" t="s">
        <v>24</v>
      </c>
      <c r="F39" s="9">
        <v>1230</v>
      </c>
      <c r="G39" s="9">
        <v>309</v>
      </c>
      <c r="H39" s="9">
        <v>207</v>
      </c>
      <c r="I39" s="9">
        <v>44629</v>
      </c>
      <c r="J39" s="9">
        <v>40699</v>
      </c>
      <c r="K39" s="9">
        <v>195</v>
      </c>
      <c r="L39" s="16" t="s">
        <v>34</v>
      </c>
      <c r="M39" s="16"/>
      <c r="N39" s="16" t="s">
        <v>46</v>
      </c>
      <c r="O39" s="1"/>
    </row>
    <row r="40" spans="1:15">
      <c r="A40" s="1" t="s">
        <v>69</v>
      </c>
      <c r="B40" s="1" t="s">
        <v>13</v>
      </c>
      <c r="C40" s="5">
        <v>45621</v>
      </c>
      <c r="D40" s="16" t="s">
        <v>14</v>
      </c>
      <c r="E40" s="17" t="s">
        <v>363</v>
      </c>
      <c r="F40" s="9">
        <v>1341</v>
      </c>
      <c r="G40" s="9">
        <v>472</v>
      </c>
      <c r="H40" s="9">
        <v>238</v>
      </c>
      <c r="I40" s="9">
        <v>51386</v>
      </c>
      <c r="J40" s="9">
        <v>51706</v>
      </c>
      <c r="K40" s="9">
        <v>133</v>
      </c>
      <c r="L40" s="16" t="s">
        <v>19</v>
      </c>
      <c r="M40" s="16"/>
      <c r="N40" s="16" t="s">
        <v>20</v>
      </c>
      <c r="O40" s="1"/>
    </row>
    <row r="41" spans="1:15">
      <c r="A41" s="1" t="s">
        <v>70</v>
      </c>
      <c r="B41" s="1" t="s">
        <v>22</v>
      </c>
      <c r="C41" s="5">
        <v>45818</v>
      </c>
      <c r="D41" s="16" t="s">
        <v>14</v>
      </c>
      <c r="E41" s="17" t="s">
        <v>18</v>
      </c>
      <c r="F41" s="9">
        <v>3615</v>
      </c>
      <c r="G41" s="9">
        <v>192</v>
      </c>
      <c r="H41" s="9">
        <v>162</v>
      </c>
      <c r="I41" s="9">
        <v>27492</v>
      </c>
      <c r="J41" s="9">
        <v>35341</v>
      </c>
      <c r="K41" s="9">
        <v>125</v>
      </c>
      <c r="L41" s="16" t="s">
        <v>34</v>
      </c>
      <c r="M41" s="16"/>
      <c r="N41" s="16" t="s">
        <v>16</v>
      </c>
      <c r="O41" s="1"/>
    </row>
    <row r="42" spans="1:15">
      <c r="A42" s="1" t="s">
        <v>71</v>
      </c>
      <c r="B42" s="1" t="s">
        <v>13</v>
      </c>
      <c r="C42" s="5">
        <v>45401</v>
      </c>
      <c r="D42" s="16" t="s">
        <v>14</v>
      </c>
      <c r="E42" s="17" t="s">
        <v>24</v>
      </c>
      <c r="F42" s="9">
        <v>4001</v>
      </c>
      <c r="G42" s="9">
        <v>353</v>
      </c>
      <c r="H42" s="9">
        <v>129</v>
      </c>
      <c r="I42" s="9">
        <v>41265</v>
      </c>
      <c r="J42" s="9">
        <v>37279</v>
      </c>
      <c r="K42" s="9">
        <v>275</v>
      </c>
      <c r="L42" s="16" t="s">
        <v>37</v>
      </c>
      <c r="M42" s="16" t="s">
        <v>34</v>
      </c>
      <c r="N42" s="16" t="s">
        <v>16</v>
      </c>
      <c r="O42" s="1"/>
    </row>
    <row r="43" spans="1:15">
      <c r="A43" s="1" t="s">
        <v>72</v>
      </c>
      <c r="B43" s="1" t="s">
        <v>13</v>
      </c>
      <c r="C43" s="5">
        <v>45683</v>
      </c>
      <c r="D43" s="16" t="s">
        <v>23</v>
      </c>
      <c r="E43" s="17" t="s">
        <v>362</v>
      </c>
      <c r="F43" s="9">
        <v>3451</v>
      </c>
      <c r="G43" s="9">
        <v>363</v>
      </c>
      <c r="H43" s="9">
        <v>393</v>
      </c>
      <c r="I43" s="9">
        <v>44853</v>
      </c>
      <c r="J43" s="9">
        <v>69032</v>
      </c>
      <c r="K43" s="9">
        <v>211</v>
      </c>
      <c r="L43" s="16" t="s">
        <v>34</v>
      </c>
      <c r="M43" s="16"/>
      <c r="N43" s="16" t="s">
        <v>46</v>
      </c>
      <c r="O43" s="1"/>
    </row>
    <row r="44" spans="1:15">
      <c r="A44" s="1" t="s">
        <v>73</v>
      </c>
      <c r="B44" s="1" t="s">
        <v>13</v>
      </c>
      <c r="C44" s="5">
        <v>45702</v>
      </c>
      <c r="D44" s="16" t="s">
        <v>14</v>
      </c>
      <c r="E44" s="17" t="s">
        <v>33</v>
      </c>
      <c r="F44" s="9">
        <v>4891</v>
      </c>
      <c r="G44" s="9">
        <v>450</v>
      </c>
      <c r="H44" s="9">
        <v>387</v>
      </c>
      <c r="I44" s="9">
        <v>48746</v>
      </c>
      <c r="J44" s="9">
        <v>37312</v>
      </c>
      <c r="K44" s="9">
        <v>154</v>
      </c>
      <c r="L44" s="16" t="s">
        <v>37</v>
      </c>
      <c r="M44" s="16" t="s">
        <v>34</v>
      </c>
      <c r="N44" s="16" t="s">
        <v>16</v>
      </c>
      <c r="O44" s="1"/>
    </row>
    <row r="45" spans="1:15">
      <c r="A45" s="1" t="s">
        <v>74</v>
      </c>
      <c r="B45" s="1" t="s">
        <v>13</v>
      </c>
      <c r="C45" s="5">
        <v>45541</v>
      </c>
      <c r="D45" s="16" t="s">
        <v>14</v>
      </c>
      <c r="E45" s="17" t="s">
        <v>24</v>
      </c>
      <c r="F45" s="9">
        <v>1452</v>
      </c>
      <c r="G45" s="9">
        <v>281</v>
      </c>
      <c r="H45" s="9">
        <v>326</v>
      </c>
      <c r="I45" s="9">
        <v>51556</v>
      </c>
      <c r="J45" s="9">
        <v>62599</v>
      </c>
      <c r="K45" s="9">
        <v>290</v>
      </c>
      <c r="L45" s="16" t="s">
        <v>19</v>
      </c>
      <c r="M45" s="16"/>
      <c r="N45" s="16" t="s">
        <v>20</v>
      </c>
      <c r="O45" s="1"/>
    </row>
    <row r="46" spans="1:15">
      <c r="A46" s="1" t="s">
        <v>75</v>
      </c>
      <c r="B46" s="1" t="s">
        <v>27</v>
      </c>
      <c r="C46" s="5">
        <v>45487</v>
      </c>
      <c r="D46" s="16" t="s">
        <v>14</v>
      </c>
      <c r="E46" s="17" t="s">
        <v>42</v>
      </c>
      <c r="F46" s="9">
        <v>3806</v>
      </c>
      <c r="G46" s="9">
        <v>114</v>
      </c>
      <c r="H46" s="9">
        <v>278</v>
      </c>
      <c r="I46" s="9">
        <v>36148</v>
      </c>
      <c r="J46" s="9">
        <v>24209</v>
      </c>
      <c r="K46" s="9">
        <v>201</v>
      </c>
      <c r="L46" s="16" t="s">
        <v>19</v>
      </c>
      <c r="M46" s="16" t="s">
        <v>365</v>
      </c>
      <c r="N46" s="16" t="s">
        <v>20</v>
      </c>
      <c r="O46" s="1"/>
    </row>
    <row r="47" spans="1:15">
      <c r="A47" s="1" t="s">
        <v>76</v>
      </c>
      <c r="B47" s="1" t="s">
        <v>13</v>
      </c>
      <c r="C47" s="5">
        <v>45334</v>
      </c>
      <c r="D47" s="16" t="s">
        <v>14</v>
      </c>
      <c r="E47" s="17" t="s">
        <v>18</v>
      </c>
      <c r="F47" s="9">
        <v>2923</v>
      </c>
      <c r="G47" s="9">
        <v>330</v>
      </c>
      <c r="H47" s="9">
        <v>250</v>
      </c>
      <c r="I47" s="9">
        <v>23993</v>
      </c>
      <c r="J47" s="9">
        <v>74590</v>
      </c>
      <c r="K47" s="9">
        <v>92</v>
      </c>
      <c r="L47" s="16" t="s">
        <v>19</v>
      </c>
      <c r="M47" s="16"/>
      <c r="N47" s="16" t="s">
        <v>20</v>
      </c>
      <c r="O47" s="1"/>
    </row>
    <row r="48" spans="1:15">
      <c r="A48" s="1" t="s">
        <v>77</v>
      </c>
      <c r="B48" s="1" t="s">
        <v>27</v>
      </c>
      <c r="C48" s="5">
        <v>45365</v>
      </c>
      <c r="D48" s="16" t="s">
        <v>48</v>
      </c>
      <c r="E48" s="17" t="s">
        <v>363</v>
      </c>
      <c r="F48" s="9">
        <v>3361</v>
      </c>
      <c r="G48" s="9">
        <v>188</v>
      </c>
      <c r="H48" s="9">
        <v>358</v>
      </c>
      <c r="I48" s="9">
        <v>39838</v>
      </c>
      <c r="J48" s="9">
        <v>24536</v>
      </c>
      <c r="K48" s="9">
        <v>120</v>
      </c>
      <c r="L48" s="16" t="s">
        <v>19</v>
      </c>
      <c r="M48" s="16" t="s">
        <v>37</v>
      </c>
      <c r="N48" s="16" t="s">
        <v>49</v>
      </c>
      <c r="O48" s="1"/>
    </row>
    <row r="49" spans="1:15">
      <c r="A49" s="1" t="s">
        <v>78</v>
      </c>
      <c r="B49" s="1" t="s">
        <v>13</v>
      </c>
      <c r="C49" s="5">
        <v>45693</v>
      </c>
      <c r="D49" s="16" t="s">
        <v>23</v>
      </c>
      <c r="E49" s="17" t="s">
        <v>361</v>
      </c>
      <c r="F49" s="9">
        <v>3074</v>
      </c>
      <c r="G49" s="9">
        <v>371</v>
      </c>
      <c r="H49" s="9">
        <v>348</v>
      </c>
      <c r="I49" s="9">
        <v>24104</v>
      </c>
      <c r="J49" s="9">
        <v>57803</v>
      </c>
      <c r="K49" s="9">
        <v>213</v>
      </c>
      <c r="L49" s="16" t="s">
        <v>34</v>
      </c>
      <c r="M49" s="16"/>
      <c r="N49" s="16" t="s">
        <v>46</v>
      </c>
      <c r="O49" s="1"/>
    </row>
    <row r="50" spans="1:15">
      <c r="A50" s="1" t="s">
        <v>79</v>
      </c>
      <c r="B50" s="1" t="s">
        <v>22</v>
      </c>
      <c r="C50" s="5">
        <v>45533</v>
      </c>
      <c r="D50" s="16" t="s">
        <v>23</v>
      </c>
      <c r="E50" s="17" t="s">
        <v>30</v>
      </c>
      <c r="F50" s="9">
        <v>4276</v>
      </c>
      <c r="G50" s="9">
        <v>227</v>
      </c>
      <c r="H50" s="9">
        <v>223</v>
      </c>
      <c r="I50" s="9">
        <v>43443</v>
      </c>
      <c r="J50" s="9">
        <v>41005</v>
      </c>
      <c r="K50" s="9">
        <v>191</v>
      </c>
      <c r="L50" s="16" t="s">
        <v>19</v>
      </c>
      <c r="M50" s="16" t="s">
        <v>364</v>
      </c>
      <c r="N50" s="16" t="s">
        <v>16</v>
      </c>
      <c r="O50" s="1"/>
    </row>
    <row r="51" spans="1:15">
      <c r="A51" s="1" t="s">
        <v>80</v>
      </c>
      <c r="B51" s="1" t="s">
        <v>22</v>
      </c>
      <c r="C51" s="5">
        <v>45769</v>
      </c>
      <c r="D51" s="16" t="s">
        <v>14</v>
      </c>
      <c r="E51" s="17" t="s">
        <v>15</v>
      </c>
      <c r="F51" s="9">
        <v>4401</v>
      </c>
      <c r="G51" s="9">
        <v>421</v>
      </c>
      <c r="H51" s="9">
        <v>216</v>
      </c>
      <c r="I51" s="9">
        <v>24890</v>
      </c>
      <c r="J51" s="9">
        <v>54361</v>
      </c>
      <c r="K51" s="9">
        <v>148</v>
      </c>
      <c r="L51" s="16" t="s">
        <v>34</v>
      </c>
      <c r="M51" s="16"/>
      <c r="N51" s="16" t="s">
        <v>16</v>
      </c>
      <c r="O51" s="1"/>
    </row>
    <row r="52" spans="1:15">
      <c r="A52" s="1" t="s">
        <v>81</v>
      </c>
      <c r="B52" s="1" t="s">
        <v>27</v>
      </c>
      <c r="C52" s="5">
        <v>45425</v>
      </c>
      <c r="D52" s="16" t="s">
        <v>48</v>
      </c>
      <c r="E52" s="17" t="s">
        <v>18</v>
      </c>
      <c r="F52" s="9">
        <v>4161</v>
      </c>
      <c r="G52" s="9">
        <v>481</v>
      </c>
      <c r="H52" s="9">
        <v>61</v>
      </c>
      <c r="I52" s="9">
        <v>45884</v>
      </c>
      <c r="J52" s="9">
        <v>48955</v>
      </c>
      <c r="K52" s="9">
        <v>215</v>
      </c>
      <c r="L52" s="16" t="s">
        <v>19</v>
      </c>
      <c r="M52" s="16" t="s">
        <v>37</v>
      </c>
      <c r="N52" s="16" t="s">
        <v>49</v>
      </c>
      <c r="O52" s="1"/>
    </row>
    <row r="53" spans="1:15">
      <c r="A53" s="1" t="s">
        <v>82</v>
      </c>
      <c r="B53" s="1" t="s">
        <v>22</v>
      </c>
      <c r="C53" s="5">
        <v>45539</v>
      </c>
      <c r="D53" s="16" t="s">
        <v>23</v>
      </c>
      <c r="E53" s="17" t="s">
        <v>24</v>
      </c>
      <c r="F53" s="9">
        <v>2613</v>
      </c>
      <c r="G53" s="9">
        <v>455</v>
      </c>
      <c r="H53" s="9">
        <v>228</v>
      </c>
      <c r="I53" s="9">
        <v>21645</v>
      </c>
      <c r="J53" s="9">
        <v>61334</v>
      </c>
      <c r="K53" s="9">
        <v>261</v>
      </c>
      <c r="L53" s="16" t="s">
        <v>19</v>
      </c>
      <c r="M53" s="16" t="s">
        <v>364</v>
      </c>
      <c r="N53" s="16" t="s">
        <v>16</v>
      </c>
      <c r="O53" s="1"/>
    </row>
    <row r="54" spans="1:15">
      <c r="A54" s="1" t="s">
        <v>83</v>
      </c>
      <c r="B54" s="1" t="s">
        <v>22</v>
      </c>
      <c r="C54" s="5">
        <v>45516</v>
      </c>
      <c r="D54" s="16" t="s">
        <v>23</v>
      </c>
      <c r="E54" s="17" t="s">
        <v>362</v>
      </c>
      <c r="F54" s="9">
        <v>2842</v>
      </c>
      <c r="G54" s="9">
        <v>213</v>
      </c>
      <c r="H54" s="9">
        <v>331</v>
      </c>
      <c r="I54" s="9">
        <v>57660</v>
      </c>
      <c r="J54" s="9">
        <v>68606</v>
      </c>
      <c r="K54" s="9">
        <v>87</v>
      </c>
      <c r="L54" s="16" t="s">
        <v>364</v>
      </c>
      <c r="M54" s="16" t="s">
        <v>34</v>
      </c>
      <c r="N54" s="16" t="s">
        <v>16</v>
      </c>
      <c r="O54" s="1"/>
    </row>
    <row r="55" spans="1:15">
      <c r="A55" s="1" t="s">
        <v>84</v>
      </c>
      <c r="B55" s="1" t="s">
        <v>13</v>
      </c>
      <c r="C55" s="5">
        <v>45722</v>
      </c>
      <c r="D55" s="16" t="s">
        <v>14</v>
      </c>
      <c r="E55" s="17" t="s">
        <v>30</v>
      </c>
      <c r="F55" s="9">
        <v>4851</v>
      </c>
      <c r="G55" s="9">
        <v>460</v>
      </c>
      <c r="H55" s="9">
        <v>212</v>
      </c>
      <c r="I55" s="9">
        <v>58075</v>
      </c>
      <c r="J55" s="9">
        <v>59574</v>
      </c>
      <c r="K55" s="9">
        <v>239</v>
      </c>
      <c r="L55" s="16" t="s">
        <v>19</v>
      </c>
      <c r="M55" s="16"/>
      <c r="N55" s="16" t="s">
        <v>20</v>
      </c>
      <c r="O55" s="1"/>
    </row>
    <row r="56" spans="1:15">
      <c r="A56" s="1" t="s">
        <v>85</v>
      </c>
      <c r="B56" s="1" t="s">
        <v>22</v>
      </c>
      <c r="C56" s="5">
        <v>45420</v>
      </c>
      <c r="D56" s="16" t="s">
        <v>14</v>
      </c>
      <c r="E56" s="17" t="s">
        <v>18</v>
      </c>
      <c r="F56" s="9">
        <v>1828</v>
      </c>
      <c r="G56" s="9">
        <v>450</v>
      </c>
      <c r="H56" s="9">
        <v>214</v>
      </c>
      <c r="I56" s="9">
        <v>52115</v>
      </c>
      <c r="J56" s="9">
        <v>19166</v>
      </c>
      <c r="K56" s="9">
        <v>190</v>
      </c>
      <c r="L56" s="16" t="s">
        <v>34</v>
      </c>
      <c r="M56" s="16"/>
      <c r="N56" s="16" t="s">
        <v>16</v>
      </c>
      <c r="O56" s="1"/>
    </row>
    <row r="57" spans="1:15">
      <c r="A57" s="1" t="s">
        <v>86</v>
      </c>
      <c r="B57" s="1" t="s">
        <v>13</v>
      </c>
      <c r="C57" s="5">
        <v>45707</v>
      </c>
      <c r="D57" s="16" t="s">
        <v>23</v>
      </c>
      <c r="E57" s="17" t="s">
        <v>363</v>
      </c>
      <c r="F57" s="9">
        <v>2422</v>
      </c>
      <c r="G57" s="9">
        <v>455</v>
      </c>
      <c r="H57" s="9">
        <v>376</v>
      </c>
      <c r="I57" s="9">
        <v>23428</v>
      </c>
      <c r="J57" s="9">
        <v>46775</v>
      </c>
      <c r="K57" s="9">
        <v>259</v>
      </c>
      <c r="L57" s="16" t="s">
        <v>34</v>
      </c>
      <c r="M57" s="16"/>
      <c r="N57" s="16" t="s">
        <v>46</v>
      </c>
      <c r="O57" s="1"/>
    </row>
    <row r="58" spans="1:15">
      <c r="A58" s="1" t="s">
        <v>87</v>
      </c>
      <c r="B58" s="1" t="s">
        <v>13</v>
      </c>
      <c r="C58" s="5">
        <v>45299</v>
      </c>
      <c r="D58" s="16" t="s">
        <v>14</v>
      </c>
      <c r="E58" s="17" t="s">
        <v>33</v>
      </c>
      <c r="F58" s="9">
        <v>2683</v>
      </c>
      <c r="G58" s="9">
        <v>405</v>
      </c>
      <c r="H58" s="9">
        <v>223</v>
      </c>
      <c r="I58" s="9">
        <v>31233</v>
      </c>
      <c r="J58" s="9">
        <v>58106</v>
      </c>
      <c r="K58" s="9">
        <v>291</v>
      </c>
      <c r="L58" s="16" t="s">
        <v>19</v>
      </c>
      <c r="M58" s="16"/>
      <c r="N58" s="16" t="s">
        <v>20</v>
      </c>
      <c r="O58" s="1"/>
    </row>
    <row r="59" spans="1:15">
      <c r="A59" s="1" t="s">
        <v>88</v>
      </c>
      <c r="B59" s="1" t="s">
        <v>27</v>
      </c>
      <c r="C59" s="5">
        <v>45490</v>
      </c>
      <c r="D59" s="16" t="s">
        <v>14</v>
      </c>
      <c r="E59" s="17" t="s">
        <v>33</v>
      </c>
      <c r="F59" s="9">
        <v>3135</v>
      </c>
      <c r="G59" s="9">
        <v>110</v>
      </c>
      <c r="H59" s="9">
        <v>215</v>
      </c>
      <c r="I59" s="9">
        <v>39192</v>
      </c>
      <c r="J59" s="9">
        <v>24744</v>
      </c>
      <c r="K59" s="9">
        <v>177</v>
      </c>
      <c r="L59" s="16" t="s">
        <v>19</v>
      </c>
      <c r="M59" s="16" t="s">
        <v>365</v>
      </c>
      <c r="N59" s="16" t="s">
        <v>20</v>
      </c>
      <c r="O59" s="1"/>
    </row>
    <row r="60" spans="1:15">
      <c r="A60" s="1" t="s">
        <v>89</v>
      </c>
      <c r="B60" s="1" t="s">
        <v>27</v>
      </c>
      <c r="C60" s="5">
        <v>45514</v>
      </c>
      <c r="D60" s="16" t="s">
        <v>14</v>
      </c>
      <c r="E60" s="17" t="s">
        <v>363</v>
      </c>
      <c r="F60" s="9">
        <v>1105</v>
      </c>
      <c r="G60" s="9">
        <v>181</v>
      </c>
      <c r="H60" s="9">
        <v>55</v>
      </c>
      <c r="I60" s="9">
        <v>53581</v>
      </c>
      <c r="J60" s="9">
        <v>74048</v>
      </c>
      <c r="K60" s="9">
        <v>220</v>
      </c>
      <c r="L60" s="16" t="s">
        <v>19</v>
      </c>
      <c r="M60" s="16" t="s">
        <v>365</v>
      </c>
      <c r="N60" s="16" t="s">
        <v>20</v>
      </c>
      <c r="O60" s="1"/>
    </row>
    <row r="61" spans="1:15">
      <c r="A61" s="1" t="s">
        <v>90</v>
      </c>
      <c r="B61" s="1" t="s">
        <v>27</v>
      </c>
      <c r="C61" s="5">
        <v>45398</v>
      </c>
      <c r="D61" s="16" t="s">
        <v>14</v>
      </c>
      <c r="E61" s="17" t="s">
        <v>15</v>
      </c>
      <c r="F61" s="9">
        <v>4674</v>
      </c>
      <c r="G61" s="9">
        <v>326</v>
      </c>
      <c r="H61" s="9">
        <v>62</v>
      </c>
      <c r="I61" s="9">
        <v>45503</v>
      </c>
      <c r="J61" s="9">
        <v>46814</v>
      </c>
      <c r="K61" s="9">
        <v>116</v>
      </c>
      <c r="L61" s="16" t="s">
        <v>19</v>
      </c>
      <c r="M61" s="16" t="s">
        <v>365</v>
      </c>
      <c r="N61" s="16" t="s">
        <v>20</v>
      </c>
      <c r="O61" s="1"/>
    </row>
    <row r="62" spans="1:15">
      <c r="A62" s="1" t="s">
        <v>91</v>
      </c>
      <c r="B62" s="1" t="s">
        <v>27</v>
      </c>
      <c r="C62" s="5">
        <v>45292</v>
      </c>
      <c r="D62" s="16" t="s">
        <v>48</v>
      </c>
      <c r="E62" s="17" t="s">
        <v>18</v>
      </c>
      <c r="F62" s="9">
        <v>3437</v>
      </c>
      <c r="G62" s="9">
        <v>129</v>
      </c>
      <c r="H62" s="9">
        <v>359</v>
      </c>
      <c r="I62" s="9">
        <v>44558</v>
      </c>
      <c r="J62" s="9">
        <v>30854</v>
      </c>
      <c r="K62" s="9">
        <v>171</v>
      </c>
      <c r="L62" s="16" t="s">
        <v>19</v>
      </c>
      <c r="M62" s="16" t="s">
        <v>37</v>
      </c>
      <c r="N62" s="16" t="s">
        <v>49</v>
      </c>
      <c r="O62" s="1"/>
    </row>
    <row r="63" spans="1:15" ht="30">
      <c r="A63" s="1" t="s">
        <v>92</v>
      </c>
      <c r="B63" s="1" t="s">
        <v>22</v>
      </c>
      <c r="C63" s="5">
        <v>45599</v>
      </c>
      <c r="D63" s="16" t="s">
        <v>23</v>
      </c>
      <c r="E63" s="17" t="s">
        <v>360</v>
      </c>
      <c r="F63" s="9">
        <v>1959</v>
      </c>
      <c r="G63" s="9">
        <v>316</v>
      </c>
      <c r="H63" s="9">
        <v>82</v>
      </c>
      <c r="I63" s="9">
        <v>54036</v>
      </c>
      <c r="J63" s="9">
        <v>69015</v>
      </c>
      <c r="K63" s="9">
        <v>182</v>
      </c>
      <c r="L63" s="16" t="s">
        <v>364</v>
      </c>
      <c r="M63" s="16" t="s">
        <v>34</v>
      </c>
      <c r="N63" s="16" t="s">
        <v>16</v>
      </c>
      <c r="O63" s="1"/>
    </row>
    <row r="64" spans="1:15">
      <c r="A64" s="1" t="s">
        <v>93</v>
      </c>
      <c r="B64" s="1" t="s">
        <v>22</v>
      </c>
      <c r="C64" s="5">
        <v>45480</v>
      </c>
      <c r="D64" s="16" t="s">
        <v>14</v>
      </c>
      <c r="E64" s="17" t="s">
        <v>24</v>
      </c>
      <c r="F64" s="9">
        <v>1035</v>
      </c>
      <c r="G64" s="9">
        <v>137</v>
      </c>
      <c r="H64" s="9">
        <v>184</v>
      </c>
      <c r="I64" s="9">
        <v>37302</v>
      </c>
      <c r="J64" s="9">
        <v>68953</v>
      </c>
      <c r="K64" s="9">
        <v>237</v>
      </c>
      <c r="L64" s="16" t="s">
        <v>37</v>
      </c>
      <c r="M64" s="16"/>
      <c r="N64" s="16" t="s">
        <v>20</v>
      </c>
      <c r="O64" s="1"/>
    </row>
    <row r="65" spans="1:15">
      <c r="A65" s="1" t="s">
        <v>94</v>
      </c>
      <c r="B65" s="1" t="s">
        <v>22</v>
      </c>
      <c r="C65" s="5">
        <v>45679</v>
      </c>
      <c r="D65" s="16" t="s">
        <v>23</v>
      </c>
      <c r="E65" s="17" t="s">
        <v>24</v>
      </c>
      <c r="F65" s="9">
        <v>4478</v>
      </c>
      <c r="G65" s="9">
        <v>101</v>
      </c>
      <c r="H65" s="9">
        <v>121</v>
      </c>
      <c r="I65" s="9">
        <v>51035</v>
      </c>
      <c r="J65" s="9">
        <v>58207</v>
      </c>
      <c r="K65" s="9">
        <v>205</v>
      </c>
      <c r="L65" s="16" t="s">
        <v>364</v>
      </c>
      <c r="M65" s="16" t="s">
        <v>34</v>
      </c>
      <c r="N65" s="16" t="s">
        <v>16</v>
      </c>
      <c r="O65" s="1"/>
    </row>
    <row r="66" spans="1:15">
      <c r="A66" s="1" t="s">
        <v>95</v>
      </c>
      <c r="B66" s="1" t="s">
        <v>27</v>
      </c>
      <c r="C66" s="5">
        <v>45438</v>
      </c>
      <c r="D66" s="16" t="s">
        <v>14</v>
      </c>
      <c r="E66" s="17" t="s">
        <v>363</v>
      </c>
      <c r="F66" s="9">
        <v>1488</v>
      </c>
      <c r="G66" s="9">
        <v>327</v>
      </c>
      <c r="H66" s="9">
        <v>110</v>
      </c>
      <c r="I66" s="9">
        <v>53805</v>
      </c>
      <c r="J66" s="9">
        <v>30239</v>
      </c>
      <c r="K66" s="9">
        <v>109</v>
      </c>
      <c r="L66" s="16" t="s">
        <v>19</v>
      </c>
      <c r="M66" s="16" t="s">
        <v>365</v>
      </c>
      <c r="N66" s="16" t="s">
        <v>20</v>
      </c>
      <c r="O66" s="1"/>
    </row>
    <row r="67" spans="1:15" ht="30">
      <c r="A67" s="1" t="s">
        <v>96</v>
      </c>
      <c r="B67" s="1" t="s">
        <v>13</v>
      </c>
      <c r="C67" s="5">
        <v>45763</v>
      </c>
      <c r="D67" s="16" t="s">
        <v>14</v>
      </c>
      <c r="E67" s="17" t="s">
        <v>360</v>
      </c>
      <c r="F67" s="9">
        <v>4836</v>
      </c>
      <c r="G67" s="9">
        <v>331</v>
      </c>
      <c r="H67" s="9">
        <v>140</v>
      </c>
      <c r="I67" s="9">
        <v>58792</v>
      </c>
      <c r="J67" s="9">
        <v>47711</v>
      </c>
      <c r="K67" s="9">
        <v>227</v>
      </c>
      <c r="L67" s="16" t="s">
        <v>37</v>
      </c>
      <c r="M67" s="16" t="s">
        <v>34</v>
      </c>
      <c r="N67" s="16" t="s">
        <v>16</v>
      </c>
      <c r="O67" s="1"/>
    </row>
    <row r="68" spans="1:15">
      <c r="A68" s="1" t="s">
        <v>97</v>
      </c>
      <c r="B68" s="1" t="s">
        <v>27</v>
      </c>
      <c r="C68" s="5">
        <v>45384</v>
      </c>
      <c r="D68" s="16" t="s">
        <v>48</v>
      </c>
      <c r="E68" s="17" t="s">
        <v>42</v>
      </c>
      <c r="F68" s="9">
        <v>4563</v>
      </c>
      <c r="G68" s="9">
        <v>488</v>
      </c>
      <c r="H68" s="9">
        <v>356</v>
      </c>
      <c r="I68" s="9">
        <v>30619</v>
      </c>
      <c r="J68" s="9">
        <v>23328</v>
      </c>
      <c r="K68" s="9">
        <v>267</v>
      </c>
      <c r="L68" s="16" t="s">
        <v>19</v>
      </c>
      <c r="M68" s="16" t="s">
        <v>37</v>
      </c>
      <c r="N68" s="16" t="s">
        <v>49</v>
      </c>
      <c r="O68" s="1"/>
    </row>
    <row r="69" spans="1:15">
      <c r="A69" s="1" t="s">
        <v>98</v>
      </c>
      <c r="B69" s="1" t="s">
        <v>22</v>
      </c>
      <c r="C69" s="5">
        <v>45379</v>
      </c>
      <c r="D69" s="16" t="s">
        <v>14</v>
      </c>
      <c r="E69" s="17" t="s">
        <v>361</v>
      </c>
      <c r="F69" s="9">
        <v>3276</v>
      </c>
      <c r="G69" s="9">
        <v>421</v>
      </c>
      <c r="H69" s="9">
        <v>114</v>
      </c>
      <c r="I69" s="9">
        <v>20580</v>
      </c>
      <c r="J69" s="9">
        <v>30324</v>
      </c>
      <c r="K69" s="9">
        <v>221</v>
      </c>
      <c r="L69" s="16" t="s">
        <v>37</v>
      </c>
      <c r="M69" s="16"/>
      <c r="N69" s="16" t="s">
        <v>20</v>
      </c>
      <c r="O69" s="1"/>
    </row>
    <row r="70" spans="1:15">
      <c r="A70" s="1" t="s">
        <v>99</v>
      </c>
      <c r="B70" s="1" t="s">
        <v>22</v>
      </c>
      <c r="C70" s="5">
        <v>45643</v>
      </c>
      <c r="D70" s="16" t="s">
        <v>23</v>
      </c>
      <c r="E70" s="17" t="s">
        <v>361</v>
      </c>
      <c r="F70" s="9">
        <v>1316</v>
      </c>
      <c r="G70" s="9">
        <v>472</v>
      </c>
      <c r="H70" s="9">
        <v>286</v>
      </c>
      <c r="I70" s="9">
        <v>44692</v>
      </c>
      <c r="J70" s="9">
        <v>53343</v>
      </c>
      <c r="K70" s="9">
        <v>227</v>
      </c>
      <c r="L70" s="16" t="s">
        <v>19</v>
      </c>
      <c r="M70" s="16" t="s">
        <v>364</v>
      </c>
      <c r="N70" s="16" t="s">
        <v>16</v>
      </c>
      <c r="O70" s="1"/>
    </row>
    <row r="71" spans="1:15" ht="30">
      <c r="A71" s="1" t="s">
        <v>100</v>
      </c>
      <c r="B71" s="1" t="s">
        <v>22</v>
      </c>
      <c r="C71" s="5">
        <v>45662</v>
      </c>
      <c r="D71" s="16" t="s">
        <v>14</v>
      </c>
      <c r="E71" s="17" t="s">
        <v>360</v>
      </c>
      <c r="F71" s="9">
        <v>4811</v>
      </c>
      <c r="G71" s="9">
        <v>473</v>
      </c>
      <c r="H71" s="9">
        <v>254</v>
      </c>
      <c r="I71" s="9">
        <v>51964</v>
      </c>
      <c r="J71" s="9">
        <v>68795</v>
      </c>
      <c r="K71" s="9">
        <v>107</v>
      </c>
      <c r="L71" s="16" t="s">
        <v>34</v>
      </c>
      <c r="M71" s="16"/>
      <c r="N71" s="16" t="s">
        <v>16</v>
      </c>
      <c r="O71" s="1"/>
    </row>
    <row r="72" spans="1:15">
      <c r="A72" s="1" t="s">
        <v>101</v>
      </c>
      <c r="B72" s="1" t="s">
        <v>22</v>
      </c>
      <c r="C72" s="5">
        <v>45302</v>
      </c>
      <c r="D72" s="16" t="s">
        <v>14</v>
      </c>
      <c r="E72" s="17" t="s">
        <v>362</v>
      </c>
      <c r="F72" s="9">
        <v>4218</v>
      </c>
      <c r="G72" s="9">
        <v>247</v>
      </c>
      <c r="H72" s="9">
        <v>183</v>
      </c>
      <c r="I72" s="9">
        <v>28914</v>
      </c>
      <c r="J72" s="9">
        <v>18310</v>
      </c>
      <c r="K72" s="9">
        <v>135</v>
      </c>
      <c r="L72" s="16" t="s">
        <v>37</v>
      </c>
      <c r="M72" s="16"/>
      <c r="N72" s="16" t="s">
        <v>20</v>
      </c>
      <c r="O72" s="1"/>
    </row>
    <row r="73" spans="1:15">
      <c r="A73" s="1" t="s">
        <v>102</v>
      </c>
      <c r="B73" s="1" t="s">
        <v>13</v>
      </c>
      <c r="C73" s="5">
        <v>45576</v>
      </c>
      <c r="D73" s="16" t="s">
        <v>14</v>
      </c>
      <c r="E73" s="17" t="s">
        <v>363</v>
      </c>
      <c r="F73" s="9">
        <v>1360</v>
      </c>
      <c r="G73" s="9">
        <v>249</v>
      </c>
      <c r="H73" s="9">
        <v>52</v>
      </c>
      <c r="I73" s="9">
        <v>20368</v>
      </c>
      <c r="J73" s="9">
        <v>42152</v>
      </c>
      <c r="K73" s="9">
        <v>193</v>
      </c>
      <c r="L73" s="16" t="s">
        <v>19</v>
      </c>
      <c r="M73" s="16"/>
      <c r="N73" s="16" t="s">
        <v>20</v>
      </c>
      <c r="O73" s="1"/>
    </row>
    <row r="74" spans="1:15">
      <c r="A74" s="1" t="s">
        <v>103</v>
      </c>
      <c r="B74" s="1" t="s">
        <v>27</v>
      </c>
      <c r="C74" s="5">
        <v>45783</v>
      </c>
      <c r="D74" s="16" t="s">
        <v>48</v>
      </c>
      <c r="E74" s="17" t="s">
        <v>15</v>
      </c>
      <c r="F74" s="9">
        <v>1085</v>
      </c>
      <c r="G74" s="9">
        <v>496</v>
      </c>
      <c r="H74" s="9">
        <v>320</v>
      </c>
      <c r="I74" s="9">
        <v>36528</v>
      </c>
      <c r="J74" s="9">
        <v>38599</v>
      </c>
      <c r="K74" s="9">
        <v>270</v>
      </c>
      <c r="L74" s="16" t="s">
        <v>19</v>
      </c>
      <c r="M74" s="16" t="s">
        <v>37</v>
      </c>
      <c r="N74" s="16" t="s">
        <v>49</v>
      </c>
      <c r="O74" s="1"/>
    </row>
    <row r="75" spans="1:15">
      <c r="A75" s="1" t="s">
        <v>104</v>
      </c>
      <c r="B75" s="1" t="s">
        <v>22</v>
      </c>
      <c r="C75" s="5">
        <v>45431</v>
      </c>
      <c r="D75" s="16" t="s">
        <v>23</v>
      </c>
      <c r="E75" s="17" t="s">
        <v>30</v>
      </c>
      <c r="F75" s="9">
        <v>1763</v>
      </c>
      <c r="G75" s="9">
        <v>206</v>
      </c>
      <c r="H75" s="9">
        <v>187</v>
      </c>
      <c r="I75" s="9">
        <v>53342</v>
      </c>
      <c r="J75" s="9">
        <v>25095</v>
      </c>
      <c r="K75" s="9">
        <v>88</v>
      </c>
      <c r="L75" s="16" t="s">
        <v>19</v>
      </c>
      <c r="M75" s="16" t="s">
        <v>364</v>
      </c>
      <c r="N75" s="16" t="s">
        <v>16</v>
      </c>
      <c r="O75" s="1"/>
    </row>
    <row r="76" spans="1:15">
      <c r="A76" s="1" t="s">
        <v>105</v>
      </c>
      <c r="B76" s="1" t="s">
        <v>22</v>
      </c>
      <c r="C76" s="5">
        <v>45313</v>
      </c>
      <c r="D76" s="16" t="s">
        <v>23</v>
      </c>
      <c r="E76" s="17" t="s">
        <v>363</v>
      </c>
      <c r="F76" s="9">
        <v>1554</v>
      </c>
      <c r="G76" s="9">
        <v>455</v>
      </c>
      <c r="H76" s="9">
        <v>158</v>
      </c>
      <c r="I76" s="9">
        <v>41947</v>
      </c>
      <c r="J76" s="9">
        <v>48578</v>
      </c>
      <c r="K76" s="9">
        <v>101</v>
      </c>
      <c r="L76" s="16" t="s">
        <v>37</v>
      </c>
      <c r="M76" s="16" t="s">
        <v>34</v>
      </c>
      <c r="N76" s="16" t="s">
        <v>16</v>
      </c>
      <c r="O76" s="1"/>
    </row>
    <row r="77" spans="1:15" ht="30">
      <c r="A77" s="1" t="s">
        <v>106</v>
      </c>
      <c r="B77" s="1" t="s">
        <v>13</v>
      </c>
      <c r="C77" s="5">
        <v>45487</v>
      </c>
      <c r="D77" s="16" t="s">
        <v>14</v>
      </c>
      <c r="E77" s="17" t="s">
        <v>360</v>
      </c>
      <c r="F77" s="9">
        <v>2464</v>
      </c>
      <c r="G77" s="9">
        <v>401</v>
      </c>
      <c r="H77" s="9">
        <v>78</v>
      </c>
      <c r="I77" s="9">
        <v>38665</v>
      </c>
      <c r="J77" s="9">
        <v>73593</v>
      </c>
      <c r="K77" s="9">
        <v>207</v>
      </c>
      <c r="L77" s="16" t="s">
        <v>19</v>
      </c>
      <c r="M77" s="16"/>
      <c r="N77" s="16" t="s">
        <v>20</v>
      </c>
      <c r="O77" s="1"/>
    </row>
    <row r="78" spans="1:15">
      <c r="A78" s="1" t="s">
        <v>107</v>
      </c>
      <c r="B78" s="1" t="s">
        <v>22</v>
      </c>
      <c r="C78" s="5">
        <v>45805</v>
      </c>
      <c r="D78" s="16" t="s">
        <v>14</v>
      </c>
      <c r="E78" s="17" t="s">
        <v>363</v>
      </c>
      <c r="F78" s="9">
        <v>2418</v>
      </c>
      <c r="G78" s="9">
        <v>161</v>
      </c>
      <c r="H78" s="9">
        <v>360</v>
      </c>
      <c r="I78" s="9">
        <v>30589</v>
      </c>
      <c r="J78" s="9">
        <v>41383</v>
      </c>
      <c r="K78" s="9">
        <v>88</v>
      </c>
      <c r="L78" s="16" t="s">
        <v>34</v>
      </c>
      <c r="M78" s="16"/>
      <c r="N78" s="16" t="s">
        <v>16</v>
      </c>
      <c r="O78" s="1"/>
    </row>
    <row r="79" spans="1:15">
      <c r="A79" s="1" t="s">
        <v>108</v>
      </c>
      <c r="B79" s="1" t="s">
        <v>22</v>
      </c>
      <c r="C79" s="5">
        <v>45678</v>
      </c>
      <c r="D79" s="16" t="s">
        <v>23</v>
      </c>
      <c r="E79" s="17" t="s">
        <v>15</v>
      </c>
      <c r="F79" s="9">
        <v>2494</v>
      </c>
      <c r="G79" s="9">
        <v>494</v>
      </c>
      <c r="H79" s="9">
        <v>55</v>
      </c>
      <c r="I79" s="9">
        <v>22580</v>
      </c>
      <c r="J79" s="9">
        <v>22214</v>
      </c>
      <c r="K79" s="9">
        <v>109</v>
      </c>
      <c r="L79" s="16" t="s">
        <v>364</v>
      </c>
      <c r="M79" s="16" t="s">
        <v>34</v>
      </c>
      <c r="N79" s="16" t="s">
        <v>16</v>
      </c>
      <c r="O79" s="1"/>
    </row>
    <row r="80" spans="1:15">
      <c r="A80" s="1" t="s">
        <v>109</v>
      </c>
      <c r="B80" s="1" t="s">
        <v>27</v>
      </c>
      <c r="C80" s="5">
        <v>45304</v>
      </c>
      <c r="D80" s="16" t="s">
        <v>48</v>
      </c>
      <c r="E80" s="17" t="s">
        <v>24</v>
      </c>
      <c r="F80" s="9">
        <v>4781</v>
      </c>
      <c r="G80" s="9">
        <v>191</v>
      </c>
      <c r="H80" s="9">
        <v>122</v>
      </c>
      <c r="I80" s="9">
        <v>35535</v>
      </c>
      <c r="J80" s="9">
        <v>50777</v>
      </c>
      <c r="K80" s="9">
        <v>128</v>
      </c>
      <c r="L80" s="16" t="s">
        <v>19</v>
      </c>
      <c r="M80" s="16" t="s">
        <v>37</v>
      </c>
      <c r="N80" s="16" t="s">
        <v>49</v>
      </c>
      <c r="O80" s="1"/>
    </row>
    <row r="81" spans="1:15">
      <c r="A81" s="1" t="s">
        <v>110</v>
      </c>
      <c r="B81" s="1" t="s">
        <v>13</v>
      </c>
      <c r="C81" s="5">
        <v>45825</v>
      </c>
      <c r="D81" s="16" t="s">
        <v>14</v>
      </c>
      <c r="E81" s="17" t="s">
        <v>361</v>
      </c>
      <c r="F81" s="9">
        <v>2284</v>
      </c>
      <c r="G81" s="9">
        <v>187</v>
      </c>
      <c r="H81" s="9">
        <v>260</v>
      </c>
      <c r="I81" s="9">
        <v>37400</v>
      </c>
      <c r="J81" s="9">
        <v>65014</v>
      </c>
      <c r="K81" s="9">
        <v>157</v>
      </c>
      <c r="L81" s="16" t="s">
        <v>37</v>
      </c>
      <c r="M81" s="16" t="s">
        <v>34</v>
      </c>
      <c r="N81" s="16" t="s">
        <v>16</v>
      </c>
      <c r="O81" s="1"/>
    </row>
    <row r="82" spans="1:15">
      <c r="A82" s="1" t="s">
        <v>111</v>
      </c>
      <c r="B82" s="1" t="s">
        <v>22</v>
      </c>
      <c r="C82" s="5">
        <v>45723</v>
      </c>
      <c r="D82" s="16" t="s">
        <v>14</v>
      </c>
      <c r="E82" s="17" t="s">
        <v>30</v>
      </c>
      <c r="F82" s="9">
        <v>4234</v>
      </c>
      <c r="G82" s="9">
        <v>486</v>
      </c>
      <c r="H82" s="9">
        <v>276</v>
      </c>
      <c r="I82" s="9">
        <v>56623</v>
      </c>
      <c r="J82" s="9">
        <v>41343</v>
      </c>
      <c r="K82" s="9">
        <v>184</v>
      </c>
      <c r="L82" s="16" t="s">
        <v>37</v>
      </c>
      <c r="M82" s="16"/>
      <c r="N82" s="16" t="s">
        <v>20</v>
      </c>
      <c r="O82" s="1"/>
    </row>
    <row r="83" spans="1:15">
      <c r="A83" s="1" t="s">
        <v>112</v>
      </c>
      <c r="B83" s="1" t="s">
        <v>13</v>
      </c>
      <c r="C83" s="5">
        <v>45530</v>
      </c>
      <c r="D83" s="16" t="s">
        <v>14</v>
      </c>
      <c r="E83" s="17" t="s">
        <v>42</v>
      </c>
      <c r="F83" s="9">
        <v>2102</v>
      </c>
      <c r="G83" s="9">
        <v>181</v>
      </c>
      <c r="H83" s="9">
        <v>306</v>
      </c>
      <c r="I83" s="9">
        <v>43650</v>
      </c>
      <c r="J83" s="9">
        <v>50079</v>
      </c>
      <c r="K83" s="9">
        <v>182</v>
      </c>
      <c r="L83" s="16" t="s">
        <v>19</v>
      </c>
      <c r="M83" s="16"/>
      <c r="N83" s="16" t="s">
        <v>20</v>
      </c>
      <c r="O83" s="1"/>
    </row>
    <row r="84" spans="1:15">
      <c r="A84" s="1" t="s">
        <v>113</v>
      </c>
      <c r="B84" s="1" t="s">
        <v>22</v>
      </c>
      <c r="C84" s="5">
        <v>45660</v>
      </c>
      <c r="D84" s="16" t="s">
        <v>23</v>
      </c>
      <c r="E84" s="17" t="s">
        <v>30</v>
      </c>
      <c r="F84" s="9">
        <v>4845</v>
      </c>
      <c r="G84" s="9">
        <v>158</v>
      </c>
      <c r="H84" s="9">
        <v>84</v>
      </c>
      <c r="I84" s="9">
        <v>34578</v>
      </c>
      <c r="J84" s="9">
        <v>51480</v>
      </c>
      <c r="K84" s="9">
        <v>180</v>
      </c>
      <c r="L84" s="16" t="s">
        <v>37</v>
      </c>
      <c r="M84" s="16" t="s">
        <v>34</v>
      </c>
      <c r="N84" s="16" t="s">
        <v>16</v>
      </c>
      <c r="O84" s="1"/>
    </row>
    <row r="85" spans="1:15">
      <c r="A85" s="1" t="s">
        <v>114</v>
      </c>
      <c r="B85" s="1" t="s">
        <v>22</v>
      </c>
      <c r="C85" s="5">
        <v>45507</v>
      </c>
      <c r="D85" s="16" t="s">
        <v>14</v>
      </c>
      <c r="E85" s="17" t="s">
        <v>42</v>
      </c>
      <c r="F85" s="9">
        <v>4247</v>
      </c>
      <c r="G85" s="9">
        <v>390</v>
      </c>
      <c r="H85" s="9">
        <v>213</v>
      </c>
      <c r="I85" s="9">
        <v>29785</v>
      </c>
      <c r="J85" s="9">
        <v>57768</v>
      </c>
      <c r="K85" s="9">
        <v>122</v>
      </c>
      <c r="L85" s="16" t="s">
        <v>34</v>
      </c>
      <c r="M85" s="16"/>
      <c r="N85" s="16" t="s">
        <v>16</v>
      </c>
      <c r="O85" s="1"/>
    </row>
    <row r="86" spans="1:15">
      <c r="A86" s="1" t="s">
        <v>115</v>
      </c>
      <c r="B86" s="1" t="s">
        <v>13</v>
      </c>
      <c r="C86" s="5">
        <v>45522</v>
      </c>
      <c r="D86" s="16" t="s">
        <v>14</v>
      </c>
      <c r="E86" s="17" t="s">
        <v>18</v>
      </c>
      <c r="F86" s="9">
        <v>2965</v>
      </c>
      <c r="G86" s="9">
        <v>328</v>
      </c>
      <c r="H86" s="9">
        <v>171</v>
      </c>
      <c r="I86" s="9">
        <v>57685</v>
      </c>
      <c r="J86" s="9">
        <v>67536</v>
      </c>
      <c r="K86" s="9">
        <v>264</v>
      </c>
      <c r="L86" s="16" t="s">
        <v>37</v>
      </c>
      <c r="M86" s="16" t="s">
        <v>34</v>
      </c>
      <c r="N86" s="16" t="s">
        <v>16</v>
      </c>
      <c r="O86" s="1"/>
    </row>
    <row r="87" spans="1:15" ht="30">
      <c r="A87" s="1" t="s">
        <v>116</v>
      </c>
      <c r="B87" s="1" t="s">
        <v>22</v>
      </c>
      <c r="C87" s="5">
        <v>45791</v>
      </c>
      <c r="D87" s="16" t="s">
        <v>23</v>
      </c>
      <c r="E87" s="17" t="s">
        <v>360</v>
      </c>
      <c r="F87" s="9">
        <v>1371</v>
      </c>
      <c r="G87" s="9">
        <v>139</v>
      </c>
      <c r="H87" s="9">
        <v>96</v>
      </c>
      <c r="I87" s="9">
        <v>36140</v>
      </c>
      <c r="J87" s="9">
        <v>39395</v>
      </c>
      <c r="K87" s="9">
        <v>169</v>
      </c>
      <c r="L87" s="16" t="s">
        <v>37</v>
      </c>
      <c r="M87" s="16" t="s">
        <v>34</v>
      </c>
      <c r="N87" s="16" t="s">
        <v>16</v>
      </c>
      <c r="O87" s="1"/>
    </row>
    <row r="88" spans="1:15">
      <c r="A88" s="1" t="s">
        <v>117</v>
      </c>
      <c r="B88" s="1" t="s">
        <v>22</v>
      </c>
      <c r="C88" s="5">
        <v>45405</v>
      </c>
      <c r="D88" s="16" t="s">
        <v>23</v>
      </c>
      <c r="E88" s="17" t="s">
        <v>15</v>
      </c>
      <c r="F88" s="9">
        <v>2683</v>
      </c>
      <c r="G88" s="9">
        <v>496</v>
      </c>
      <c r="H88" s="9">
        <v>89</v>
      </c>
      <c r="I88" s="9">
        <v>53435</v>
      </c>
      <c r="J88" s="9">
        <v>30334</v>
      </c>
      <c r="K88" s="9">
        <v>160</v>
      </c>
      <c r="L88" s="16" t="s">
        <v>37</v>
      </c>
      <c r="M88" s="16" t="s">
        <v>34</v>
      </c>
      <c r="N88" s="16" t="s">
        <v>16</v>
      </c>
      <c r="O88" s="1"/>
    </row>
    <row r="89" spans="1:15">
      <c r="A89" s="1" t="s">
        <v>118</v>
      </c>
      <c r="B89" s="1" t="s">
        <v>22</v>
      </c>
      <c r="C89" s="5">
        <v>45705</v>
      </c>
      <c r="D89" s="16" t="s">
        <v>23</v>
      </c>
      <c r="E89" s="17" t="s">
        <v>362</v>
      </c>
      <c r="F89" s="9">
        <v>4796</v>
      </c>
      <c r="G89" s="9">
        <v>427</v>
      </c>
      <c r="H89" s="9">
        <v>339</v>
      </c>
      <c r="I89" s="9">
        <v>30752</v>
      </c>
      <c r="J89" s="9">
        <v>33870</v>
      </c>
      <c r="K89" s="9">
        <v>298</v>
      </c>
      <c r="L89" s="16" t="s">
        <v>37</v>
      </c>
      <c r="M89" s="16" t="s">
        <v>34</v>
      </c>
      <c r="N89" s="16" t="s">
        <v>16</v>
      </c>
      <c r="O89" s="1"/>
    </row>
    <row r="90" spans="1:15" ht="30">
      <c r="A90" s="1" t="s">
        <v>119</v>
      </c>
      <c r="B90" s="1" t="s">
        <v>13</v>
      </c>
      <c r="C90" s="5">
        <v>45630</v>
      </c>
      <c r="D90" s="16" t="s">
        <v>14</v>
      </c>
      <c r="E90" s="17" t="s">
        <v>360</v>
      </c>
      <c r="F90" s="9">
        <v>2601</v>
      </c>
      <c r="G90" s="9">
        <v>336</v>
      </c>
      <c r="H90" s="9">
        <v>260</v>
      </c>
      <c r="I90" s="9">
        <v>32368</v>
      </c>
      <c r="J90" s="9">
        <v>49028</v>
      </c>
      <c r="K90" s="9">
        <v>120</v>
      </c>
      <c r="L90" s="16" t="s">
        <v>37</v>
      </c>
      <c r="M90" s="16" t="s">
        <v>34</v>
      </c>
      <c r="N90" s="16" t="s">
        <v>16</v>
      </c>
      <c r="O90" s="1"/>
    </row>
    <row r="91" spans="1:15" ht="30">
      <c r="A91" s="1" t="s">
        <v>120</v>
      </c>
      <c r="B91" s="1" t="s">
        <v>22</v>
      </c>
      <c r="C91" s="5">
        <v>45495</v>
      </c>
      <c r="D91" s="16" t="s">
        <v>23</v>
      </c>
      <c r="E91" s="17" t="s">
        <v>360</v>
      </c>
      <c r="F91" s="9">
        <v>3336</v>
      </c>
      <c r="G91" s="9">
        <v>229</v>
      </c>
      <c r="H91" s="9">
        <v>337</v>
      </c>
      <c r="I91" s="9">
        <v>22117</v>
      </c>
      <c r="J91" s="9">
        <v>26205</v>
      </c>
      <c r="K91" s="9">
        <v>160</v>
      </c>
      <c r="L91" s="16" t="s">
        <v>364</v>
      </c>
      <c r="M91" s="16" t="s">
        <v>34</v>
      </c>
      <c r="N91" s="16" t="s">
        <v>16</v>
      </c>
      <c r="O91" s="1"/>
    </row>
    <row r="92" spans="1:15">
      <c r="A92" s="1" t="s">
        <v>121</v>
      </c>
      <c r="B92" s="1" t="s">
        <v>22</v>
      </c>
      <c r="C92" s="5">
        <v>45774</v>
      </c>
      <c r="D92" s="16" t="s">
        <v>14</v>
      </c>
      <c r="E92" s="17" t="s">
        <v>18</v>
      </c>
      <c r="F92" s="9">
        <v>1165</v>
      </c>
      <c r="G92" s="9">
        <v>294</v>
      </c>
      <c r="H92" s="9">
        <v>163</v>
      </c>
      <c r="I92" s="9">
        <v>20659</v>
      </c>
      <c r="J92" s="9">
        <v>45926</v>
      </c>
      <c r="K92" s="9">
        <v>111</v>
      </c>
      <c r="L92" s="16" t="s">
        <v>37</v>
      </c>
      <c r="M92" s="16"/>
      <c r="N92" s="16" t="s">
        <v>20</v>
      </c>
      <c r="O92" s="1"/>
    </row>
    <row r="93" spans="1:15">
      <c r="A93" s="1" t="s">
        <v>122</v>
      </c>
      <c r="B93" s="1" t="s">
        <v>27</v>
      </c>
      <c r="C93" s="5">
        <v>45376</v>
      </c>
      <c r="D93" s="16" t="s">
        <v>48</v>
      </c>
      <c r="E93" s="17" t="s">
        <v>18</v>
      </c>
      <c r="F93" s="9">
        <v>1948</v>
      </c>
      <c r="G93" s="9">
        <v>155</v>
      </c>
      <c r="H93" s="9">
        <v>315</v>
      </c>
      <c r="I93" s="9">
        <v>30321</v>
      </c>
      <c r="J93" s="9">
        <v>57121</v>
      </c>
      <c r="K93" s="9">
        <v>82</v>
      </c>
      <c r="L93" s="16" t="s">
        <v>19</v>
      </c>
      <c r="M93" s="16" t="s">
        <v>37</v>
      </c>
      <c r="N93" s="16" t="s">
        <v>49</v>
      </c>
      <c r="O93" s="1"/>
    </row>
    <row r="94" spans="1:15">
      <c r="A94" s="1" t="s">
        <v>123</v>
      </c>
      <c r="B94" s="1" t="s">
        <v>13</v>
      </c>
      <c r="C94" s="5">
        <v>45351</v>
      </c>
      <c r="D94" s="16" t="s">
        <v>14</v>
      </c>
      <c r="E94" s="17" t="s">
        <v>363</v>
      </c>
      <c r="F94" s="9">
        <v>1100</v>
      </c>
      <c r="G94" s="9">
        <v>229</v>
      </c>
      <c r="H94" s="9">
        <v>312</v>
      </c>
      <c r="I94" s="9">
        <v>25641</v>
      </c>
      <c r="J94" s="9">
        <v>34601</v>
      </c>
      <c r="K94" s="9">
        <v>169</v>
      </c>
      <c r="L94" s="16" t="s">
        <v>19</v>
      </c>
      <c r="M94" s="16"/>
      <c r="N94" s="16" t="s">
        <v>20</v>
      </c>
      <c r="O94" s="1"/>
    </row>
    <row r="95" spans="1:15">
      <c r="A95" s="1" t="s">
        <v>124</v>
      </c>
      <c r="B95" s="1" t="s">
        <v>22</v>
      </c>
      <c r="C95" s="5">
        <v>45609</v>
      </c>
      <c r="D95" s="16" t="s">
        <v>23</v>
      </c>
      <c r="E95" s="17" t="s">
        <v>33</v>
      </c>
      <c r="F95" s="9">
        <v>4628</v>
      </c>
      <c r="G95" s="9">
        <v>257</v>
      </c>
      <c r="H95" s="9">
        <v>397</v>
      </c>
      <c r="I95" s="9">
        <v>36686</v>
      </c>
      <c r="J95" s="9">
        <v>54683</v>
      </c>
      <c r="K95" s="9">
        <v>98</v>
      </c>
      <c r="L95" s="16" t="s">
        <v>37</v>
      </c>
      <c r="M95" s="16" t="s">
        <v>34</v>
      </c>
      <c r="N95" s="16" t="s">
        <v>16</v>
      </c>
      <c r="O95" s="1"/>
    </row>
    <row r="96" spans="1:15">
      <c r="A96" s="1" t="s">
        <v>125</v>
      </c>
      <c r="B96" s="1" t="s">
        <v>13</v>
      </c>
      <c r="C96" s="5">
        <v>45373</v>
      </c>
      <c r="D96" s="16" t="s">
        <v>23</v>
      </c>
      <c r="E96" s="17" t="s">
        <v>15</v>
      </c>
      <c r="F96" s="9">
        <v>2319</v>
      </c>
      <c r="G96" s="9">
        <v>484</v>
      </c>
      <c r="H96" s="9">
        <v>193</v>
      </c>
      <c r="I96" s="9">
        <v>21202</v>
      </c>
      <c r="J96" s="9">
        <v>18091</v>
      </c>
      <c r="K96" s="9">
        <v>241</v>
      </c>
      <c r="L96" s="16" t="s">
        <v>34</v>
      </c>
      <c r="M96" s="16"/>
      <c r="N96" s="16" t="s">
        <v>46</v>
      </c>
      <c r="O96" s="1"/>
    </row>
    <row r="97" spans="1:15" ht="30">
      <c r="A97" s="1" t="s">
        <v>126</v>
      </c>
      <c r="B97" s="1" t="s">
        <v>22</v>
      </c>
      <c r="C97" s="5">
        <v>45367</v>
      </c>
      <c r="D97" s="16" t="s">
        <v>23</v>
      </c>
      <c r="E97" s="17" t="s">
        <v>360</v>
      </c>
      <c r="F97" s="9">
        <v>2895</v>
      </c>
      <c r="G97" s="9">
        <v>292</v>
      </c>
      <c r="H97" s="9">
        <v>90</v>
      </c>
      <c r="I97" s="9">
        <v>24223</v>
      </c>
      <c r="J97" s="9">
        <v>54626</v>
      </c>
      <c r="K97" s="9">
        <v>114</v>
      </c>
      <c r="L97" s="16" t="s">
        <v>37</v>
      </c>
      <c r="M97" s="16" t="s">
        <v>34</v>
      </c>
      <c r="N97" s="16" t="s">
        <v>16</v>
      </c>
      <c r="O97" s="1"/>
    </row>
    <row r="98" spans="1:15">
      <c r="A98" s="1" t="s">
        <v>127</v>
      </c>
      <c r="B98" s="1" t="s">
        <v>13</v>
      </c>
      <c r="C98" s="5">
        <v>45317</v>
      </c>
      <c r="D98" s="16" t="s">
        <v>14</v>
      </c>
      <c r="E98" s="17" t="s">
        <v>362</v>
      </c>
      <c r="F98" s="9">
        <v>3878</v>
      </c>
      <c r="G98" s="9">
        <v>431</v>
      </c>
      <c r="H98" s="9">
        <v>97</v>
      </c>
      <c r="I98" s="9">
        <v>41763</v>
      </c>
      <c r="J98" s="9">
        <v>29729</v>
      </c>
      <c r="K98" s="9">
        <v>191</v>
      </c>
      <c r="L98" s="16" t="s">
        <v>19</v>
      </c>
      <c r="M98" s="16"/>
      <c r="N98" s="16" t="s">
        <v>20</v>
      </c>
      <c r="O98" s="1"/>
    </row>
    <row r="99" spans="1:15">
      <c r="A99" s="1" t="s">
        <v>128</v>
      </c>
      <c r="B99" s="1" t="s">
        <v>22</v>
      </c>
      <c r="C99" s="5">
        <v>45366</v>
      </c>
      <c r="D99" s="16" t="s">
        <v>23</v>
      </c>
      <c r="E99" s="17" t="s">
        <v>30</v>
      </c>
      <c r="F99" s="9">
        <v>4969</v>
      </c>
      <c r="G99" s="9">
        <v>433</v>
      </c>
      <c r="H99" s="9">
        <v>237</v>
      </c>
      <c r="I99" s="9">
        <v>59552</v>
      </c>
      <c r="J99" s="9">
        <v>23885</v>
      </c>
      <c r="K99" s="9">
        <v>157</v>
      </c>
      <c r="L99" s="16" t="s">
        <v>19</v>
      </c>
      <c r="M99" s="16" t="s">
        <v>364</v>
      </c>
      <c r="N99" s="16" t="s">
        <v>16</v>
      </c>
      <c r="O99" s="1"/>
    </row>
    <row r="100" spans="1:15" ht="30">
      <c r="A100" s="1" t="s">
        <v>129</v>
      </c>
      <c r="B100" s="1" t="s">
        <v>22</v>
      </c>
      <c r="C100" s="5">
        <v>45580</v>
      </c>
      <c r="D100" s="16" t="s">
        <v>14</v>
      </c>
      <c r="E100" s="17" t="s">
        <v>360</v>
      </c>
      <c r="F100" s="9">
        <v>1984</v>
      </c>
      <c r="G100" s="9">
        <v>481</v>
      </c>
      <c r="H100" s="9">
        <v>356</v>
      </c>
      <c r="I100" s="9">
        <v>40681</v>
      </c>
      <c r="J100" s="9">
        <v>63111</v>
      </c>
      <c r="K100" s="9">
        <v>258</v>
      </c>
      <c r="L100" s="16" t="s">
        <v>34</v>
      </c>
      <c r="M100" s="16"/>
      <c r="N100" s="16" t="s">
        <v>16</v>
      </c>
      <c r="O100" s="1"/>
    </row>
    <row r="101" spans="1:15">
      <c r="A101" s="1" t="s">
        <v>130</v>
      </c>
      <c r="B101" s="1" t="s">
        <v>13</v>
      </c>
      <c r="C101" s="5">
        <v>45494</v>
      </c>
      <c r="D101" s="16" t="s">
        <v>14</v>
      </c>
      <c r="E101" s="17" t="s">
        <v>15</v>
      </c>
      <c r="F101" s="9">
        <v>3004</v>
      </c>
      <c r="G101" s="9">
        <v>415</v>
      </c>
      <c r="H101" s="9">
        <v>218</v>
      </c>
      <c r="I101" s="9">
        <v>36090</v>
      </c>
      <c r="J101" s="9">
        <v>37073</v>
      </c>
      <c r="K101" s="9">
        <v>181</v>
      </c>
      <c r="L101" s="16" t="s">
        <v>19</v>
      </c>
      <c r="M101" s="16"/>
      <c r="N101" s="16" t="s">
        <v>20</v>
      </c>
      <c r="O101" s="1"/>
    </row>
    <row r="102" spans="1:15">
      <c r="A102" s="1" t="s">
        <v>131</v>
      </c>
      <c r="B102" s="1" t="s">
        <v>22</v>
      </c>
      <c r="C102" s="5">
        <v>45577</v>
      </c>
      <c r="D102" s="16" t="s">
        <v>14</v>
      </c>
      <c r="E102" s="17" t="s">
        <v>30</v>
      </c>
      <c r="F102" s="9">
        <v>3169</v>
      </c>
      <c r="G102" s="9">
        <v>386</v>
      </c>
      <c r="H102" s="9">
        <v>175</v>
      </c>
      <c r="I102" s="9">
        <v>45012</v>
      </c>
      <c r="J102" s="9">
        <v>38508</v>
      </c>
      <c r="K102" s="9">
        <v>218</v>
      </c>
      <c r="L102" s="16" t="s">
        <v>34</v>
      </c>
      <c r="M102" s="16"/>
      <c r="N102" s="16" t="s">
        <v>16</v>
      </c>
      <c r="O102" s="1"/>
    </row>
    <row r="103" spans="1:15">
      <c r="A103" s="1" t="s">
        <v>132</v>
      </c>
      <c r="B103" s="1" t="s">
        <v>22</v>
      </c>
      <c r="C103" s="5">
        <v>45591</v>
      </c>
      <c r="D103" s="16" t="s">
        <v>14</v>
      </c>
      <c r="E103" s="17" t="s">
        <v>15</v>
      </c>
      <c r="F103" s="9">
        <v>3036</v>
      </c>
      <c r="G103" s="9">
        <v>293</v>
      </c>
      <c r="H103" s="9">
        <v>115</v>
      </c>
      <c r="I103" s="9">
        <v>23776</v>
      </c>
      <c r="J103" s="9">
        <v>46386</v>
      </c>
      <c r="K103" s="9">
        <v>282</v>
      </c>
      <c r="L103" s="16" t="s">
        <v>34</v>
      </c>
      <c r="M103" s="16"/>
      <c r="N103" s="16" t="s">
        <v>16</v>
      </c>
      <c r="O103" s="1"/>
    </row>
    <row r="104" spans="1:15">
      <c r="A104" s="1" t="s">
        <v>133</v>
      </c>
      <c r="B104" s="1" t="s">
        <v>13</v>
      </c>
      <c r="C104" s="5">
        <v>45336</v>
      </c>
      <c r="D104" s="16" t="s">
        <v>14</v>
      </c>
      <c r="E104" s="17" t="s">
        <v>361</v>
      </c>
      <c r="F104" s="9">
        <v>1830</v>
      </c>
      <c r="G104" s="9">
        <v>112</v>
      </c>
      <c r="H104" s="9">
        <v>181</v>
      </c>
      <c r="I104" s="9">
        <v>31870</v>
      </c>
      <c r="J104" s="9">
        <v>55742</v>
      </c>
      <c r="K104" s="9">
        <v>263</v>
      </c>
      <c r="L104" s="16" t="s">
        <v>37</v>
      </c>
      <c r="M104" s="16" t="s">
        <v>34</v>
      </c>
      <c r="N104" s="16" t="s">
        <v>16</v>
      </c>
      <c r="O104" s="1"/>
    </row>
    <row r="105" spans="1:15">
      <c r="A105" s="1" t="s">
        <v>134</v>
      </c>
      <c r="B105" s="1" t="s">
        <v>22</v>
      </c>
      <c r="C105" s="5">
        <v>45413</v>
      </c>
      <c r="D105" s="16" t="s">
        <v>23</v>
      </c>
      <c r="E105" s="17" t="s">
        <v>362</v>
      </c>
      <c r="F105" s="9">
        <v>2587</v>
      </c>
      <c r="G105" s="9">
        <v>447</v>
      </c>
      <c r="H105" s="9">
        <v>183</v>
      </c>
      <c r="I105" s="9">
        <v>36266</v>
      </c>
      <c r="J105" s="9">
        <v>32877</v>
      </c>
      <c r="K105" s="9">
        <v>132</v>
      </c>
      <c r="L105" s="16" t="s">
        <v>19</v>
      </c>
      <c r="M105" s="16" t="s">
        <v>364</v>
      </c>
      <c r="N105" s="16" t="s">
        <v>16</v>
      </c>
      <c r="O105" s="1"/>
    </row>
    <row r="106" spans="1:15">
      <c r="A106" s="1" t="s">
        <v>135</v>
      </c>
      <c r="B106" s="1" t="s">
        <v>22</v>
      </c>
      <c r="C106" s="5">
        <v>45553</v>
      </c>
      <c r="D106" s="16" t="s">
        <v>14</v>
      </c>
      <c r="E106" s="17" t="s">
        <v>15</v>
      </c>
      <c r="F106" s="9">
        <v>2878</v>
      </c>
      <c r="G106" s="9">
        <v>265</v>
      </c>
      <c r="H106" s="9">
        <v>91</v>
      </c>
      <c r="I106" s="9">
        <v>52090</v>
      </c>
      <c r="J106" s="9">
        <v>28924</v>
      </c>
      <c r="K106" s="9">
        <v>133</v>
      </c>
      <c r="L106" s="16" t="s">
        <v>34</v>
      </c>
      <c r="M106" s="16"/>
      <c r="N106" s="16" t="s">
        <v>16</v>
      </c>
      <c r="O106" s="1"/>
    </row>
    <row r="107" spans="1:15">
      <c r="A107" s="1" t="s">
        <v>136</v>
      </c>
      <c r="B107" s="1" t="s">
        <v>22</v>
      </c>
      <c r="C107" s="5">
        <v>45677</v>
      </c>
      <c r="D107" s="16" t="s">
        <v>23</v>
      </c>
      <c r="E107" s="17" t="s">
        <v>24</v>
      </c>
      <c r="F107" s="9">
        <v>4619</v>
      </c>
      <c r="G107" s="9">
        <v>272</v>
      </c>
      <c r="H107" s="9">
        <v>57</v>
      </c>
      <c r="I107" s="9">
        <v>21334</v>
      </c>
      <c r="J107" s="9">
        <v>46292</v>
      </c>
      <c r="K107" s="9">
        <v>91</v>
      </c>
      <c r="L107" s="16" t="s">
        <v>37</v>
      </c>
      <c r="M107" s="16" t="s">
        <v>34</v>
      </c>
      <c r="N107" s="16" t="s">
        <v>16</v>
      </c>
      <c r="O107" s="1"/>
    </row>
    <row r="108" spans="1:15">
      <c r="A108" s="1" t="s">
        <v>137</v>
      </c>
      <c r="B108" s="1" t="s">
        <v>22</v>
      </c>
      <c r="C108" s="5">
        <v>45670</v>
      </c>
      <c r="D108" s="16" t="s">
        <v>14</v>
      </c>
      <c r="E108" s="17" t="s">
        <v>361</v>
      </c>
      <c r="F108" s="9">
        <v>4090</v>
      </c>
      <c r="G108" s="9">
        <v>209</v>
      </c>
      <c r="H108" s="9">
        <v>278</v>
      </c>
      <c r="I108" s="9">
        <v>52853</v>
      </c>
      <c r="J108" s="9">
        <v>57084</v>
      </c>
      <c r="K108" s="9">
        <v>102</v>
      </c>
      <c r="L108" s="16" t="s">
        <v>37</v>
      </c>
      <c r="M108" s="16"/>
      <c r="N108" s="16" t="s">
        <v>20</v>
      </c>
      <c r="O108" s="1"/>
    </row>
    <row r="109" spans="1:15">
      <c r="A109" s="1" t="s">
        <v>138</v>
      </c>
      <c r="B109" s="1" t="s">
        <v>27</v>
      </c>
      <c r="C109" s="5">
        <v>45542</v>
      </c>
      <c r="D109" s="16" t="s">
        <v>48</v>
      </c>
      <c r="E109" s="17" t="s">
        <v>361</v>
      </c>
      <c r="F109" s="9">
        <v>3882</v>
      </c>
      <c r="G109" s="9">
        <v>342</v>
      </c>
      <c r="H109" s="9">
        <v>374</v>
      </c>
      <c r="I109" s="9">
        <v>41991</v>
      </c>
      <c r="J109" s="9">
        <v>48554</v>
      </c>
      <c r="K109" s="9">
        <v>118</v>
      </c>
      <c r="L109" s="16" t="s">
        <v>19</v>
      </c>
      <c r="M109" s="16" t="s">
        <v>37</v>
      </c>
      <c r="N109" s="16" t="s">
        <v>49</v>
      </c>
      <c r="O109" s="1"/>
    </row>
    <row r="110" spans="1:15">
      <c r="A110" s="1" t="s">
        <v>139</v>
      </c>
      <c r="B110" s="1" t="s">
        <v>13</v>
      </c>
      <c r="C110" s="5">
        <v>45617</v>
      </c>
      <c r="D110" s="16" t="s">
        <v>14</v>
      </c>
      <c r="E110" s="17" t="s">
        <v>361</v>
      </c>
      <c r="F110" s="9">
        <v>4581</v>
      </c>
      <c r="G110" s="9">
        <v>181</v>
      </c>
      <c r="H110" s="9">
        <v>112</v>
      </c>
      <c r="I110" s="9">
        <v>35221</v>
      </c>
      <c r="J110" s="9">
        <v>28797</v>
      </c>
      <c r="K110" s="9">
        <v>164</v>
      </c>
      <c r="L110" s="16" t="s">
        <v>37</v>
      </c>
      <c r="M110" s="16" t="s">
        <v>34</v>
      </c>
      <c r="N110" s="16" t="s">
        <v>16</v>
      </c>
      <c r="O110" s="1"/>
    </row>
    <row r="111" spans="1:15">
      <c r="A111" s="1" t="s">
        <v>140</v>
      </c>
      <c r="B111" s="1" t="s">
        <v>13</v>
      </c>
      <c r="C111" s="5">
        <v>45469</v>
      </c>
      <c r="D111" s="16" t="s">
        <v>14</v>
      </c>
      <c r="E111" s="17" t="s">
        <v>24</v>
      </c>
      <c r="F111" s="9">
        <v>3253</v>
      </c>
      <c r="G111" s="9">
        <v>483</v>
      </c>
      <c r="H111" s="9">
        <v>336</v>
      </c>
      <c r="I111" s="9">
        <v>25397</v>
      </c>
      <c r="J111" s="9">
        <v>51485</v>
      </c>
      <c r="K111" s="9">
        <v>131</v>
      </c>
      <c r="L111" s="16" t="s">
        <v>19</v>
      </c>
      <c r="M111" s="16"/>
      <c r="N111" s="16" t="s">
        <v>20</v>
      </c>
      <c r="O111" s="1"/>
    </row>
    <row r="112" spans="1:15">
      <c r="A112" s="1" t="s">
        <v>141</v>
      </c>
      <c r="B112" s="1" t="s">
        <v>27</v>
      </c>
      <c r="C112" s="5">
        <v>45493</v>
      </c>
      <c r="D112" s="16" t="s">
        <v>48</v>
      </c>
      <c r="E112" s="17" t="s">
        <v>361</v>
      </c>
      <c r="F112" s="9">
        <v>4955</v>
      </c>
      <c r="G112" s="9">
        <v>299</v>
      </c>
      <c r="H112" s="9">
        <v>345</v>
      </c>
      <c r="I112" s="9">
        <v>33644</v>
      </c>
      <c r="J112" s="9">
        <v>43547</v>
      </c>
      <c r="K112" s="9">
        <v>194</v>
      </c>
      <c r="L112" s="16" t="s">
        <v>19</v>
      </c>
      <c r="M112" s="16" t="s">
        <v>37</v>
      </c>
      <c r="N112" s="16" t="s">
        <v>49</v>
      </c>
      <c r="O112" s="1"/>
    </row>
    <row r="113" spans="1:15">
      <c r="A113" s="1" t="s">
        <v>142</v>
      </c>
      <c r="B113" s="1" t="s">
        <v>13</v>
      </c>
      <c r="C113" s="5">
        <v>45704</v>
      </c>
      <c r="D113" s="16" t="s">
        <v>14</v>
      </c>
      <c r="E113" s="17" t="s">
        <v>42</v>
      </c>
      <c r="F113" s="9">
        <v>1333</v>
      </c>
      <c r="G113" s="9">
        <v>286</v>
      </c>
      <c r="H113" s="9">
        <v>298</v>
      </c>
      <c r="I113" s="9">
        <v>36174</v>
      </c>
      <c r="J113" s="9">
        <v>34517</v>
      </c>
      <c r="K113" s="9">
        <v>170</v>
      </c>
      <c r="L113" s="16" t="s">
        <v>37</v>
      </c>
      <c r="M113" s="16" t="s">
        <v>34</v>
      </c>
      <c r="N113" s="16" t="s">
        <v>16</v>
      </c>
      <c r="O113" s="1"/>
    </row>
    <row r="114" spans="1:15">
      <c r="A114" s="1" t="s">
        <v>143</v>
      </c>
      <c r="B114" s="1" t="s">
        <v>13</v>
      </c>
      <c r="C114" s="5">
        <v>45544</v>
      </c>
      <c r="D114" s="16" t="s">
        <v>14</v>
      </c>
      <c r="E114" s="17" t="s">
        <v>24</v>
      </c>
      <c r="F114" s="9">
        <v>1616</v>
      </c>
      <c r="G114" s="9">
        <v>360</v>
      </c>
      <c r="H114" s="9">
        <v>180</v>
      </c>
      <c r="I114" s="9">
        <v>54342</v>
      </c>
      <c r="J114" s="9">
        <v>18796</v>
      </c>
      <c r="K114" s="9">
        <v>282</v>
      </c>
      <c r="L114" s="16" t="s">
        <v>37</v>
      </c>
      <c r="M114" s="16" t="s">
        <v>34</v>
      </c>
      <c r="N114" s="16" t="s">
        <v>16</v>
      </c>
      <c r="O114" s="1"/>
    </row>
    <row r="115" spans="1:15">
      <c r="A115" s="1" t="s">
        <v>144</v>
      </c>
      <c r="B115" s="1" t="s">
        <v>22</v>
      </c>
      <c r="C115" s="5">
        <v>45489</v>
      </c>
      <c r="D115" s="16" t="s">
        <v>14</v>
      </c>
      <c r="E115" s="17" t="s">
        <v>33</v>
      </c>
      <c r="F115" s="9">
        <v>1803</v>
      </c>
      <c r="G115" s="9">
        <v>273</v>
      </c>
      <c r="H115" s="9">
        <v>287</v>
      </c>
      <c r="I115" s="9">
        <v>46176</v>
      </c>
      <c r="J115" s="9">
        <v>25488</v>
      </c>
      <c r="K115" s="9">
        <v>141</v>
      </c>
      <c r="L115" s="16" t="s">
        <v>34</v>
      </c>
      <c r="M115" s="16"/>
      <c r="N115" s="16" t="s">
        <v>16</v>
      </c>
      <c r="O115" s="1"/>
    </row>
    <row r="116" spans="1:15">
      <c r="A116" s="1" t="s">
        <v>145</v>
      </c>
      <c r="B116" s="1" t="s">
        <v>13</v>
      </c>
      <c r="C116" s="5">
        <v>45762</v>
      </c>
      <c r="D116" s="16" t="s">
        <v>14</v>
      </c>
      <c r="E116" s="17" t="s">
        <v>18</v>
      </c>
      <c r="F116" s="9">
        <v>4177</v>
      </c>
      <c r="G116" s="9">
        <v>489</v>
      </c>
      <c r="H116" s="9">
        <v>331</v>
      </c>
      <c r="I116" s="9">
        <v>57451</v>
      </c>
      <c r="J116" s="9">
        <v>73793</v>
      </c>
      <c r="K116" s="9">
        <v>251</v>
      </c>
      <c r="L116" s="16" t="s">
        <v>19</v>
      </c>
      <c r="M116" s="16"/>
      <c r="N116" s="16" t="s">
        <v>20</v>
      </c>
      <c r="O116" s="1"/>
    </row>
    <row r="117" spans="1:15">
      <c r="A117" s="1" t="s">
        <v>146</v>
      </c>
      <c r="B117" s="1" t="s">
        <v>13</v>
      </c>
      <c r="C117" s="5">
        <v>45781</v>
      </c>
      <c r="D117" s="16" t="s">
        <v>23</v>
      </c>
      <c r="E117" s="17" t="s">
        <v>24</v>
      </c>
      <c r="F117" s="9">
        <v>1311</v>
      </c>
      <c r="G117" s="9">
        <v>181</v>
      </c>
      <c r="H117" s="9">
        <v>361</v>
      </c>
      <c r="I117" s="9">
        <v>37148</v>
      </c>
      <c r="J117" s="9">
        <v>44875</v>
      </c>
      <c r="K117" s="9">
        <v>245</v>
      </c>
      <c r="L117" s="16" t="s">
        <v>34</v>
      </c>
      <c r="M117" s="16"/>
      <c r="N117" s="16" t="s">
        <v>46</v>
      </c>
      <c r="O117" s="1"/>
    </row>
    <row r="118" spans="1:15">
      <c r="A118" s="1" t="s">
        <v>147</v>
      </c>
      <c r="B118" s="1" t="s">
        <v>13</v>
      </c>
      <c r="C118" s="5">
        <v>45340</v>
      </c>
      <c r="D118" s="16" t="s">
        <v>23</v>
      </c>
      <c r="E118" s="17" t="s">
        <v>363</v>
      </c>
      <c r="F118" s="9">
        <v>1516</v>
      </c>
      <c r="G118" s="9">
        <v>215</v>
      </c>
      <c r="H118" s="9">
        <v>332</v>
      </c>
      <c r="I118" s="9">
        <v>58981</v>
      </c>
      <c r="J118" s="9">
        <v>36118</v>
      </c>
      <c r="K118" s="9">
        <v>211</v>
      </c>
      <c r="L118" s="16" t="s">
        <v>34</v>
      </c>
      <c r="M118" s="16"/>
      <c r="N118" s="16" t="s">
        <v>46</v>
      </c>
      <c r="O118" s="1"/>
    </row>
    <row r="119" spans="1:15">
      <c r="A119" s="1" t="s">
        <v>148</v>
      </c>
      <c r="B119" s="1" t="s">
        <v>22</v>
      </c>
      <c r="C119" s="5">
        <v>45428</v>
      </c>
      <c r="D119" s="16" t="s">
        <v>23</v>
      </c>
      <c r="E119" s="17" t="s">
        <v>361</v>
      </c>
      <c r="F119" s="9">
        <v>2023</v>
      </c>
      <c r="G119" s="9">
        <v>124</v>
      </c>
      <c r="H119" s="9">
        <v>99</v>
      </c>
      <c r="I119" s="9">
        <v>54524</v>
      </c>
      <c r="J119" s="9">
        <v>34790</v>
      </c>
      <c r="K119" s="9">
        <v>195</v>
      </c>
      <c r="L119" s="16" t="s">
        <v>19</v>
      </c>
      <c r="M119" s="16" t="s">
        <v>364</v>
      </c>
      <c r="N119" s="16" t="s">
        <v>16</v>
      </c>
      <c r="O119" s="1"/>
    </row>
    <row r="120" spans="1:15">
      <c r="A120" s="1" t="s">
        <v>149</v>
      </c>
      <c r="B120" s="1" t="s">
        <v>22</v>
      </c>
      <c r="C120" s="5">
        <v>45806</v>
      </c>
      <c r="D120" s="16" t="s">
        <v>23</v>
      </c>
      <c r="E120" s="17" t="s">
        <v>361</v>
      </c>
      <c r="F120" s="9">
        <v>2134</v>
      </c>
      <c r="G120" s="9">
        <v>322</v>
      </c>
      <c r="H120" s="9">
        <v>114</v>
      </c>
      <c r="I120" s="9">
        <v>44338</v>
      </c>
      <c r="J120" s="9">
        <v>52165</v>
      </c>
      <c r="K120" s="9">
        <v>176</v>
      </c>
      <c r="L120" s="16" t="s">
        <v>364</v>
      </c>
      <c r="M120" s="16" t="s">
        <v>34</v>
      </c>
      <c r="N120" s="16" t="s">
        <v>16</v>
      </c>
      <c r="O120" s="1"/>
    </row>
    <row r="121" spans="1:15">
      <c r="A121" s="1" t="s">
        <v>150</v>
      </c>
      <c r="B121" s="1" t="s">
        <v>13</v>
      </c>
      <c r="C121" s="5">
        <v>45674</v>
      </c>
      <c r="D121" s="16" t="s">
        <v>14</v>
      </c>
      <c r="E121" s="17" t="s">
        <v>33</v>
      </c>
      <c r="F121" s="9">
        <v>2266</v>
      </c>
      <c r="G121" s="9">
        <v>126</v>
      </c>
      <c r="H121" s="9">
        <v>140</v>
      </c>
      <c r="I121" s="9">
        <v>53759</v>
      </c>
      <c r="J121" s="9">
        <v>46834</v>
      </c>
      <c r="K121" s="9">
        <v>277</v>
      </c>
      <c r="L121" s="16" t="s">
        <v>19</v>
      </c>
      <c r="M121" s="16"/>
      <c r="N121" s="16" t="s">
        <v>20</v>
      </c>
      <c r="O121" s="1"/>
    </row>
    <row r="122" spans="1:15">
      <c r="A122" s="1" t="s">
        <v>151</v>
      </c>
      <c r="B122" s="1" t="s">
        <v>13</v>
      </c>
      <c r="C122" s="5">
        <v>45777</v>
      </c>
      <c r="D122" s="16" t="s">
        <v>23</v>
      </c>
      <c r="E122" s="17" t="s">
        <v>24</v>
      </c>
      <c r="F122" s="9">
        <v>3916</v>
      </c>
      <c r="G122" s="9">
        <v>459</v>
      </c>
      <c r="H122" s="9">
        <v>229</v>
      </c>
      <c r="I122" s="9">
        <v>48989</v>
      </c>
      <c r="J122" s="9">
        <v>39768</v>
      </c>
      <c r="K122" s="9">
        <v>200</v>
      </c>
      <c r="L122" s="16" t="s">
        <v>34</v>
      </c>
      <c r="M122" s="16"/>
      <c r="N122" s="16" t="s">
        <v>46</v>
      </c>
      <c r="O122" s="1"/>
    </row>
    <row r="123" spans="1:15">
      <c r="A123" s="1" t="s">
        <v>152</v>
      </c>
      <c r="B123" s="1" t="s">
        <v>22</v>
      </c>
      <c r="C123" s="5">
        <v>45346</v>
      </c>
      <c r="D123" s="16" t="s">
        <v>23</v>
      </c>
      <c r="E123" s="17" t="s">
        <v>361</v>
      </c>
      <c r="F123" s="9">
        <v>1022</v>
      </c>
      <c r="G123" s="9">
        <v>463</v>
      </c>
      <c r="H123" s="9">
        <v>360</v>
      </c>
      <c r="I123" s="9">
        <v>51468</v>
      </c>
      <c r="J123" s="9">
        <v>24279</v>
      </c>
      <c r="K123" s="9">
        <v>230</v>
      </c>
      <c r="L123" s="16" t="s">
        <v>19</v>
      </c>
      <c r="M123" s="16" t="s">
        <v>364</v>
      </c>
      <c r="N123" s="16" t="s">
        <v>16</v>
      </c>
      <c r="O123" s="1"/>
    </row>
    <row r="124" spans="1:15">
      <c r="A124" s="1" t="s">
        <v>153</v>
      </c>
      <c r="B124" s="1" t="s">
        <v>27</v>
      </c>
      <c r="C124" s="5">
        <v>45424</v>
      </c>
      <c r="D124" s="16" t="s">
        <v>14</v>
      </c>
      <c r="E124" s="17" t="s">
        <v>363</v>
      </c>
      <c r="F124" s="9">
        <v>2911</v>
      </c>
      <c r="G124" s="9">
        <v>467</v>
      </c>
      <c r="H124" s="9">
        <v>94</v>
      </c>
      <c r="I124" s="9">
        <v>59083</v>
      </c>
      <c r="J124" s="9">
        <v>49762</v>
      </c>
      <c r="K124" s="9">
        <v>236</v>
      </c>
      <c r="L124" s="16" t="s">
        <v>19</v>
      </c>
      <c r="M124" s="16" t="s">
        <v>365</v>
      </c>
      <c r="N124" s="16" t="s">
        <v>20</v>
      </c>
      <c r="O124" s="1"/>
    </row>
    <row r="125" spans="1:15">
      <c r="A125" s="1" t="s">
        <v>154</v>
      </c>
      <c r="B125" s="1" t="s">
        <v>22</v>
      </c>
      <c r="C125" s="5">
        <v>45421</v>
      </c>
      <c r="D125" s="16" t="s">
        <v>23</v>
      </c>
      <c r="E125" s="17" t="s">
        <v>24</v>
      </c>
      <c r="F125" s="9">
        <v>3277</v>
      </c>
      <c r="G125" s="9">
        <v>423</v>
      </c>
      <c r="H125" s="9">
        <v>259</v>
      </c>
      <c r="I125" s="9">
        <v>46328</v>
      </c>
      <c r="J125" s="9">
        <v>44293</v>
      </c>
      <c r="K125" s="9">
        <v>299</v>
      </c>
      <c r="L125" s="16" t="s">
        <v>37</v>
      </c>
      <c r="M125" s="16" t="s">
        <v>34</v>
      </c>
      <c r="N125" s="16" t="s">
        <v>16</v>
      </c>
      <c r="O125" s="1"/>
    </row>
    <row r="126" spans="1:15">
      <c r="A126" s="1" t="s">
        <v>155</v>
      </c>
      <c r="B126" s="1" t="s">
        <v>22</v>
      </c>
      <c r="C126" s="5">
        <v>45602</v>
      </c>
      <c r="D126" s="16" t="s">
        <v>14</v>
      </c>
      <c r="E126" s="17" t="s">
        <v>363</v>
      </c>
      <c r="F126" s="9">
        <v>2956</v>
      </c>
      <c r="G126" s="9">
        <v>381</v>
      </c>
      <c r="H126" s="9">
        <v>345</v>
      </c>
      <c r="I126" s="9">
        <v>33347</v>
      </c>
      <c r="J126" s="9">
        <v>22558</v>
      </c>
      <c r="K126" s="9">
        <v>173</v>
      </c>
      <c r="L126" s="16" t="s">
        <v>34</v>
      </c>
      <c r="M126" s="16"/>
      <c r="N126" s="16" t="s">
        <v>16</v>
      </c>
      <c r="O126" s="1"/>
    </row>
    <row r="127" spans="1:15">
      <c r="A127" s="1" t="s">
        <v>156</v>
      </c>
      <c r="B127" s="1" t="s">
        <v>22</v>
      </c>
      <c r="C127" s="5">
        <v>45295</v>
      </c>
      <c r="D127" s="16" t="s">
        <v>23</v>
      </c>
      <c r="E127" s="17" t="s">
        <v>362</v>
      </c>
      <c r="F127" s="9">
        <v>3208</v>
      </c>
      <c r="G127" s="9">
        <v>476</v>
      </c>
      <c r="H127" s="9">
        <v>277</v>
      </c>
      <c r="I127" s="9">
        <v>56072</v>
      </c>
      <c r="J127" s="9">
        <v>21061</v>
      </c>
      <c r="K127" s="9">
        <v>113</v>
      </c>
      <c r="L127" s="16" t="s">
        <v>364</v>
      </c>
      <c r="M127" s="16" t="s">
        <v>34</v>
      </c>
      <c r="N127" s="16" t="s">
        <v>16</v>
      </c>
      <c r="O127" s="1"/>
    </row>
    <row r="128" spans="1:15">
      <c r="A128" s="1" t="s">
        <v>157</v>
      </c>
      <c r="B128" s="1" t="s">
        <v>22</v>
      </c>
      <c r="C128" s="5">
        <v>45319</v>
      </c>
      <c r="D128" s="16" t="s">
        <v>14</v>
      </c>
      <c r="E128" s="17" t="s">
        <v>361</v>
      </c>
      <c r="F128" s="9">
        <v>1456</v>
      </c>
      <c r="G128" s="9">
        <v>265</v>
      </c>
      <c r="H128" s="9">
        <v>137</v>
      </c>
      <c r="I128" s="9">
        <v>53485</v>
      </c>
      <c r="J128" s="9">
        <v>59729</v>
      </c>
      <c r="K128" s="9">
        <v>145</v>
      </c>
      <c r="L128" s="16" t="s">
        <v>37</v>
      </c>
      <c r="M128" s="16"/>
      <c r="N128" s="16" t="s">
        <v>20</v>
      </c>
      <c r="O128" s="1"/>
    </row>
    <row r="129" spans="1:15">
      <c r="A129" s="1" t="s">
        <v>158</v>
      </c>
      <c r="B129" s="1" t="s">
        <v>13</v>
      </c>
      <c r="C129" s="5">
        <v>45344</v>
      </c>
      <c r="D129" s="16" t="s">
        <v>14</v>
      </c>
      <c r="E129" s="17" t="s">
        <v>24</v>
      </c>
      <c r="F129" s="9">
        <v>1902</v>
      </c>
      <c r="G129" s="9">
        <v>394</v>
      </c>
      <c r="H129" s="9">
        <v>279</v>
      </c>
      <c r="I129" s="9">
        <v>24615</v>
      </c>
      <c r="J129" s="9">
        <v>51330</v>
      </c>
      <c r="K129" s="9">
        <v>176</v>
      </c>
      <c r="L129" s="16" t="s">
        <v>37</v>
      </c>
      <c r="M129" s="16" t="s">
        <v>34</v>
      </c>
      <c r="N129" s="16" t="s">
        <v>16</v>
      </c>
      <c r="O129" s="1"/>
    </row>
    <row r="130" spans="1:15">
      <c r="A130" s="1" t="s">
        <v>159</v>
      </c>
      <c r="B130" s="1" t="s">
        <v>22</v>
      </c>
      <c r="C130" s="5">
        <v>45839</v>
      </c>
      <c r="D130" s="16" t="s">
        <v>23</v>
      </c>
      <c r="E130" s="17" t="s">
        <v>18</v>
      </c>
      <c r="F130" s="9">
        <v>3219</v>
      </c>
      <c r="G130" s="9">
        <v>424</v>
      </c>
      <c r="H130" s="9">
        <v>267</v>
      </c>
      <c r="I130" s="9">
        <v>48879</v>
      </c>
      <c r="J130" s="9">
        <v>37691</v>
      </c>
      <c r="K130" s="9">
        <v>224</v>
      </c>
      <c r="L130" s="16" t="s">
        <v>19</v>
      </c>
      <c r="M130" s="16" t="s">
        <v>364</v>
      </c>
      <c r="N130" s="16" t="s">
        <v>16</v>
      </c>
      <c r="O130" s="1"/>
    </row>
    <row r="131" spans="1:15">
      <c r="A131" s="1" t="s">
        <v>160</v>
      </c>
      <c r="B131" s="1" t="s">
        <v>27</v>
      </c>
      <c r="C131" s="5">
        <v>45301</v>
      </c>
      <c r="D131" s="16" t="s">
        <v>14</v>
      </c>
      <c r="E131" s="17" t="s">
        <v>18</v>
      </c>
      <c r="F131" s="9">
        <v>1261</v>
      </c>
      <c r="G131" s="9">
        <v>190</v>
      </c>
      <c r="H131" s="9">
        <v>233</v>
      </c>
      <c r="I131" s="9">
        <v>59888</v>
      </c>
      <c r="J131" s="9">
        <v>51449</v>
      </c>
      <c r="K131" s="9">
        <v>205</v>
      </c>
      <c r="L131" s="16" t="s">
        <v>19</v>
      </c>
      <c r="M131" s="16" t="s">
        <v>365</v>
      </c>
      <c r="N131" s="16" t="s">
        <v>20</v>
      </c>
      <c r="O131" s="1"/>
    </row>
    <row r="132" spans="1:15">
      <c r="A132" s="1" t="s">
        <v>161</v>
      </c>
      <c r="B132" s="1" t="s">
        <v>22</v>
      </c>
      <c r="C132" s="5">
        <v>45736</v>
      </c>
      <c r="D132" s="16" t="s">
        <v>14</v>
      </c>
      <c r="E132" s="17" t="s">
        <v>42</v>
      </c>
      <c r="F132" s="9">
        <v>1564</v>
      </c>
      <c r="G132" s="9">
        <v>362</v>
      </c>
      <c r="H132" s="9">
        <v>371</v>
      </c>
      <c r="I132" s="9">
        <v>42075</v>
      </c>
      <c r="J132" s="9">
        <v>66659</v>
      </c>
      <c r="K132" s="9">
        <v>205</v>
      </c>
      <c r="L132" s="16" t="s">
        <v>37</v>
      </c>
      <c r="M132" s="16"/>
      <c r="N132" s="16" t="s">
        <v>20</v>
      </c>
      <c r="O132" s="1"/>
    </row>
    <row r="133" spans="1:15">
      <c r="A133" s="1" t="s">
        <v>162</v>
      </c>
      <c r="B133" s="1" t="s">
        <v>22</v>
      </c>
      <c r="C133" s="5">
        <v>45563</v>
      </c>
      <c r="D133" s="16" t="s">
        <v>14</v>
      </c>
      <c r="E133" s="17" t="s">
        <v>362</v>
      </c>
      <c r="F133" s="9">
        <v>4006</v>
      </c>
      <c r="G133" s="9">
        <v>420</v>
      </c>
      <c r="H133" s="9">
        <v>194</v>
      </c>
      <c r="I133" s="9">
        <v>49964</v>
      </c>
      <c r="J133" s="9">
        <v>20685</v>
      </c>
      <c r="K133" s="9">
        <v>148</v>
      </c>
      <c r="L133" s="16" t="s">
        <v>34</v>
      </c>
      <c r="M133" s="16"/>
      <c r="N133" s="16" t="s">
        <v>16</v>
      </c>
      <c r="O133" s="1"/>
    </row>
    <row r="134" spans="1:15">
      <c r="A134" s="1" t="s">
        <v>163</v>
      </c>
      <c r="B134" s="1" t="s">
        <v>27</v>
      </c>
      <c r="C134" s="5">
        <v>45318</v>
      </c>
      <c r="D134" s="16" t="s">
        <v>14</v>
      </c>
      <c r="E134" s="17" t="s">
        <v>42</v>
      </c>
      <c r="F134" s="9">
        <v>1976</v>
      </c>
      <c r="G134" s="9">
        <v>262</v>
      </c>
      <c r="H134" s="9">
        <v>218</v>
      </c>
      <c r="I134" s="9">
        <v>51696</v>
      </c>
      <c r="J134" s="9">
        <v>44846</v>
      </c>
      <c r="K134" s="9">
        <v>139</v>
      </c>
      <c r="L134" s="16" t="s">
        <v>19</v>
      </c>
      <c r="M134" s="16" t="s">
        <v>365</v>
      </c>
      <c r="N134" s="16" t="s">
        <v>20</v>
      </c>
      <c r="O134" s="1"/>
    </row>
    <row r="135" spans="1:15">
      <c r="A135" s="1" t="s">
        <v>164</v>
      </c>
      <c r="B135" s="1" t="s">
        <v>22</v>
      </c>
      <c r="C135" s="5">
        <v>45792</v>
      </c>
      <c r="D135" s="16" t="s">
        <v>14</v>
      </c>
      <c r="E135" s="17" t="s">
        <v>24</v>
      </c>
      <c r="F135" s="9">
        <v>1583</v>
      </c>
      <c r="G135" s="9">
        <v>433</v>
      </c>
      <c r="H135" s="9">
        <v>249</v>
      </c>
      <c r="I135" s="9">
        <v>30256</v>
      </c>
      <c r="J135" s="9">
        <v>47066</v>
      </c>
      <c r="K135" s="9">
        <v>196</v>
      </c>
      <c r="L135" s="16" t="s">
        <v>34</v>
      </c>
      <c r="M135" s="16"/>
      <c r="N135" s="16" t="s">
        <v>16</v>
      </c>
      <c r="O135" s="1"/>
    </row>
    <row r="136" spans="1:15">
      <c r="A136" s="1" t="s">
        <v>165</v>
      </c>
      <c r="B136" s="1" t="s">
        <v>22</v>
      </c>
      <c r="C136" s="5">
        <v>45569</v>
      </c>
      <c r="D136" s="16" t="s">
        <v>23</v>
      </c>
      <c r="E136" s="17" t="s">
        <v>18</v>
      </c>
      <c r="F136" s="9">
        <v>2870</v>
      </c>
      <c r="G136" s="9">
        <v>380</v>
      </c>
      <c r="H136" s="9">
        <v>393</v>
      </c>
      <c r="I136" s="9">
        <v>37621</v>
      </c>
      <c r="J136" s="9">
        <v>71794</v>
      </c>
      <c r="K136" s="9">
        <v>127</v>
      </c>
      <c r="L136" s="16" t="s">
        <v>364</v>
      </c>
      <c r="M136" s="16" t="s">
        <v>34</v>
      </c>
      <c r="N136" s="16" t="s">
        <v>16</v>
      </c>
      <c r="O136" s="1"/>
    </row>
    <row r="137" spans="1:15">
      <c r="A137" s="1" t="s">
        <v>166</v>
      </c>
      <c r="B137" s="1" t="s">
        <v>22</v>
      </c>
      <c r="C137" s="5">
        <v>45615</v>
      </c>
      <c r="D137" s="16" t="s">
        <v>14</v>
      </c>
      <c r="E137" s="17" t="s">
        <v>33</v>
      </c>
      <c r="F137" s="9">
        <v>3728</v>
      </c>
      <c r="G137" s="9">
        <v>271</v>
      </c>
      <c r="H137" s="9">
        <v>275</v>
      </c>
      <c r="I137" s="9">
        <v>22827</v>
      </c>
      <c r="J137" s="9">
        <v>37034</v>
      </c>
      <c r="K137" s="9">
        <v>199</v>
      </c>
      <c r="L137" s="16" t="s">
        <v>34</v>
      </c>
      <c r="M137" s="16"/>
      <c r="N137" s="16" t="s">
        <v>16</v>
      </c>
      <c r="O137" s="1"/>
    </row>
    <row r="138" spans="1:15">
      <c r="A138" s="1" t="s">
        <v>167</v>
      </c>
      <c r="B138" s="1" t="s">
        <v>22</v>
      </c>
      <c r="C138" s="5">
        <v>45387</v>
      </c>
      <c r="D138" s="16" t="s">
        <v>23</v>
      </c>
      <c r="E138" s="17" t="s">
        <v>24</v>
      </c>
      <c r="F138" s="9">
        <v>4965</v>
      </c>
      <c r="G138" s="9">
        <v>175</v>
      </c>
      <c r="H138" s="9">
        <v>307</v>
      </c>
      <c r="I138" s="9">
        <v>32793</v>
      </c>
      <c r="J138" s="9">
        <v>43412</v>
      </c>
      <c r="K138" s="9">
        <v>296</v>
      </c>
      <c r="L138" s="16" t="s">
        <v>37</v>
      </c>
      <c r="M138" s="16" t="s">
        <v>34</v>
      </c>
      <c r="N138" s="16" t="s">
        <v>16</v>
      </c>
      <c r="O138" s="1"/>
    </row>
    <row r="139" spans="1:15">
      <c r="A139" s="1" t="s">
        <v>168</v>
      </c>
      <c r="B139" s="1" t="s">
        <v>22</v>
      </c>
      <c r="C139" s="5">
        <v>45624</v>
      </c>
      <c r="D139" s="16" t="s">
        <v>23</v>
      </c>
      <c r="E139" s="17" t="s">
        <v>24</v>
      </c>
      <c r="F139" s="9">
        <v>1131</v>
      </c>
      <c r="G139" s="9">
        <v>100</v>
      </c>
      <c r="H139" s="9">
        <v>116</v>
      </c>
      <c r="I139" s="9">
        <v>48437</v>
      </c>
      <c r="J139" s="9">
        <v>72704</v>
      </c>
      <c r="K139" s="9">
        <v>236</v>
      </c>
      <c r="L139" s="16" t="s">
        <v>19</v>
      </c>
      <c r="M139" s="16" t="s">
        <v>364</v>
      </c>
      <c r="N139" s="16" t="s">
        <v>16</v>
      </c>
      <c r="O139" s="1"/>
    </row>
    <row r="140" spans="1:15">
      <c r="A140" s="1" t="s">
        <v>169</v>
      </c>
      <c r="B140" s="1" t="s">
        <v>22</v>
      </c>
      <c r="C140" s="5">
        <v>45725</v>
      </c>
      <c r="D140" s="16" t="s">
        <v>14</v>
      </c>
      <c r="E140" s="17" t="s">
        <v>42</v>
      </c>
      <c r="F140" s="9">
        <v>2754</v>
      </c>
      <c r="G140" s="9">
        <v>215</v>
      </c>
      <c r="H140" s="9">
        <v>264</v>
      </c>
      <c r="I140" s="9">
        <v>27762</v>
      </c>
      <c r="J140" s="9">
        <v>70203</v>
      </c>
      <c r="K140" s="9">
        <v>289</v>
      </c>
      <c r="L140" s="16" t="s">
        <v>34</v>
      </c>
      <c r="M140" s="16"/>
      <c r="N140" s="16" t="s">
        <v>16</v>
      </c>
      <c r="O140" s="1"/>
    </row>
    <row r="141" spans="1:15">
      <c r="A141" s="1" t="s">
        <v>170</v>
      </c>
      <c r="B141" s="1" t="s">
        <v>22</v>
      </c>
      <c r="C141" s="5">
        <v>45531</v>
      </c>
      <c r="D141" s="16" t="s">
        <v>23</v>
      </c>
      <c r="E141" s="17" t="s">
        <v>24</v>
      </c>
      <c r="F141" s="9">
        <v>1856</v>
      </c>
      <c r="G141" s="9">
        <v>357</v>
      </c>
      <c r="H141" s="9">
        <v>348</v>
      </c>
      <c r="I141" s="9">
        <v>29428</v>
      </c>
      <c r="J141" s="9">
        <v>70206</v>
      </c>
      <c r="K141" s="9">
        <v>236</v>
      </c>
      <c r="L141" s="16" t="s">
        <v>364</v>
      </c>
      <c r="M141" s="16" t="s">
        <v>34</v>
      </c>
      <c r="N141" s="16" t="s">
        <v>16</v>
      </c>
      <c r="O141" s="1"/>
    </row>
    <row r="142" spans="1:15">
      <c r="A142" s="1" t="s">
        <v>171</v>
      </c>
      <c r="B142" s="1" t="s">
        <v>27</v>
      </c>
      <c r="C142" s="5">
        <v>45566</v>
      </c>
      <c r="D142" s="16" t="s">
        <v>48</v>
      </c>
      <c r="E142" s="17" t="s">
        <v>18</v>
      </c>
      <c r="F142" s="9">
        <v>3543</v>
      </c>
      <c r="G142" s="9">
        <v>334</v>
      </c>
      <c r="H142" s="9">
        <v>218</v>
      </c>
      <c r="I142" s="9">
        <v>58007</v>
      </c>
      <c r="J142" s="9">
        <v>24792</v>
      </c>
      <c r="K142" s="9">
        <v>273</v>
      </c>
      <c r="L142" s="16" t="s">
        <v>19</v>
      </c>
      <c r="M142" s="16" t="s">
        <v>37</v>
      </c>
      <c r="N142" s="16" t="s">
        <v>49</v>
      </c>
      <c r="O142" s="1"/>
    </row>
    <row r="143" spans="1:15">
      <c r="A143" s="1" t="s">
        <v>172</v>
      </c>
      <c r="B143" s="1" t="s">
        <v>13</v>
      </c>
      <c r="C143" s="5">
        <v>45647</v>
      </c>
      <c r="D143" s="16" t="s">
        <v>23</v>
      </c>
      <c r="E143" s="17" t="s">
        <v>24</v>
      </c>
      <c r="F143" s="9">
        <v>4563</v>
      </c>
      <c r="G143" s="9">
        <v>398</v>
      </c>
      <c r="H143" s="9">
        <v>163</v>
      </c>
      <c r="I143" s="9">
        <v>43679</v>
      </c>
      <c r="J143" s="9">
        <v>48760</v>
      </c>
      <c r="K143" s="9">
        <v>92</v>
      </c>
      <c r="L143" s="16" t="s">
        <v>34</v>
      </c>
      <c r="M143" s="16"/>
      <c r="N143" s="16" t="s">
        <v>46</v>
      </c>
      <c r="O143" s="1"/>
    </row>
    <row r="144" spans="1:15">
      <c r="A144" s="1" t="s">
        <v>173</v>
      </c>
      <c r="B144" s="1" t="s">
        <v>13</v>
      </c>
      <c r="C144" s="5">
        <v>45460</v>
      </c>
      <c r="D144" s="16" t="s">
        <v>14</v>
      </c>
      <c r="E144" s="17" t="s">
        <v>15</v>
      </c>
      <c r="F144" s="9">
        <v>4283</v>
      </c>
      <c r="G144" s="9">
        <v>471</v>
      </c>
      <c r="H144" s="9">
        <v>156</v>
      </c>
      <c r="I144" s="9">
        <v>53004</v>
      </c>
      <c r="J144" s="9">
        <v>25678</v>
      </c>
      <c r="K144" s="9">
        <v>105</v>
      </c>
      <c r="L144" s="16" t="s">
        <v>19</v>
      </c>
      <c r="M144" s="16"/>
      <c r="N144" s="16" t="s">
        <v>20</v>
      </c>
      <c r="O144" s="1"/>
    </row>
    <row r="145" spans="1:15">
      <c r="A145" s="1" t="s">
        <v>174</v>
      </c>
      <c r="B145" s="1" t="s">
        <v>13</v>
      </c>
      <c r="C145" s="5">
        <v>45702</v>
      </c>
      <c r="D145" s="16" t="s">
        <v>14</v>
      </c>
      <c r="E145" s="17" t="s">
        <v>15</v>
      </c>
      <c r="F145" s="9">
        <v>2329</v>
      </c>
      <c r="G145" s="9">
        <v>373</v>
      </c>
      <c r="H145" s="9">
        <v>291</v>
      </c>
      <c r="I145" s="9">
        <v>49577</v>
      </c>
      <c r="J145" s="9">
        <v>28002</v>
      </c>
      <c r="K145" s="9">
        <v>82</v>
      </c>
      <c r="L145" s="16" t="s">
        <v>37</v>
      </c>
      <c r="M145" s="16" t="s">
        <v>34</v>
      </c>
      <c r="N145" s="16" t="s">
        <v>16</v>
      </c>
      <c r="O145" s="1"/>
    </row>
    <row r="146" spans="1:15">
      <c r="A146" s="1" t="s">
        <v>175</v>
      </c>
      <c r="B146" s="1" t="s">
        <v>22</v>
      </c>
      <c r="C146" s="5">
        <v>45805</v>
      </c>
      <c r="D146" s="16" t="s">
        <v>23</v>
      </c>
      <c r="E146" s="17" t="s">
        <v>33</v>
      </c>
      <c r="F146" s="9">
        <v>4287</v>
      </c>
      <c r="G146" s="9">
        <v>273</v>
      </c>
      <c r="H146" s="9">
        <v>122</v>
      </c>
      <c r="I146" s="9">
        <v>40792</v>
      </c>
      <c r="J146" s="9">
        <v>23878</v>
      </c>
      <c r="K146" s="9">
        <v>277</v>
      </c>
      <c r="L146" s="16" t="s">
        <v>364</v>
      </c>
      <c r="M146" s="16" t="s">
        <v>34</v>
      </c>
      <c r="N146" s="16" t="s">
        <v>16</v>
      </c>
      <c r="O146" s="1"/>
    </row>
    <row r="147" spans="1:15">
      <c r="A147" s="1" t="s">
        <v>176</v>
      </c>
      <c r="B147" s="1" t="s">
        <v>13</v>
      </c>
      <c r="C147" s="5">
        <v>45799</v>
      </c>
      <c r="D147" s="16" t="s">
        <v>14</v>
      </c>
      <c r="E147" s="17" t="s">
        <v>15</v>
      </c>
      <c r="F147" s="9">
        <v>2633</v>
      </c>
      <c r="G147" s="9">
        <v>318</v>
      </c>
      <c r="H147" s="9">
        <v>380</v>
      </c>
      <c r="I147" s="9">
        <v>40869</v>
      </c>
      <c r="J147" s="9">
        <v>64474</v>
      </c>
      <c r="K147" s="9">
        <v>245</v>
      </c>
      <c r="L147" s="16" t="s">
        <v>19</v>
      </c>
      <c r="M147" s="16"/>
      <c r="N147" s="16" t="s">
        <v>20</v>
      </c>
      <c r="O147" s="1"/>
    </row>
    <row r="148" spans="1:15">
      <c r="A148" s="1" t="s">
        <v>177</v>
      </c>
      <c r="B148" s="1" t="s">
        <v>22</v>
      </c>
      <c r="C148" s="5">
        <v>45312</v>
      </c>
      <c r="D148" s="16" t="s">
        <v>23</v>
      </c>
      <c r="E148" s="17" t="s">
        <v>15</v>
      </c>
      <c r="F148" s="9">
        <v>2383</v>
      </c>
      <c r="G148" s="9">
        <v>136</v>
      </c>
      <c r="H148" s="9">
        <v>302</v>
      </c>
      <c r="I148" s="9">
        <v>39187</v>
      </c>
      <c r="J148" s="9">
        <v>22133</v>
      </c>
      <c r="K148" s="9">
        <v>208</v>
      </c>
      <c r="L148" s="16" t="s">
        <v>364</v>
      </c>
      <c r="M148" s="16" t="s">
        <v>34</v>
      </c>
      <c r="N148" s="16" t="s">
        <v>16</v>
      </c>
      <c r="O148" s="1"/>
    </row>
    <row r="149" spans="1:15">
      <c r="A149" s="1" t="s">
        <v>178</v>
      </c>
      <c r="B149" s="1" t="s">
        <v>22</v>
      </c>
      <c r="C149" s="5">
        <v>45696</v>
      </c>
      <c r="D149" s="16" t="s">
        <v>23</v>
      </c>
      <c r="E149" s="17" t="s">
        <v>42</v>
      </c>
      <c r="F149" s="9">
        <v>4752</v>
      </c>
      <c r="G149" s="9">
        <v>334</v>
      </c>
      <c r="H149" s="9">
        <v>56</v>
      </c>
      <c r="I149" s="9">
        <v>48017</v>
      </c>
      <c r="J149" s="9">
        <v>55534</v>
      </c>
      <c r="K149" s="9">
        <v>270</v>
      </c>
      <c r="L149" s="16" t="s">
        <v>19</v>
      </c>
      <c r="M149" s="16" t="s">
        <v>364</v>
      </c>
      <c r="N149" s="16" t="s">
        <v>16</v>
      </c>
      <c r="O149" s="1"/>
    </row>
    <row r="150" spans="1:15">
      <c r="A150" s="1" t="s">
        <v>179</v>
      </c>
      <c r="B150" s="1" t="s">
        <v>22</v>
      </c>
      <c r="C150" s="5">
        <v>45760</v>
      </c>
      <c r="D150" s="16" t="s">
        <v>14</v>
      </c>
      <c r="E150" s="17" t="s">
        <v>363</v>
      </c>
      <c r="F150" s="9">
        <v>3890</v>
      </c>
      <c r="G150" s="9">
        <v>408</v>
      </c>
      <c r="H150" s="9">
        <v>338</v>
      </c>
      <c r="I150" s="9">
        <v>56994</v>
      </c>
      <c r="J150" s="9">
        <v>32621</v>
      </c>
      <c r="K150" s="9">
        <v>286</v>
      </c>
      <c r="L150" s="16" t="s">
        <v>37</v>
      </c>
      <c r="M150" s="16"/>
      <c r="N150" s="16" t="s">
        <v>20</v>
      </c>
      <c r="O150" s="1"/>
    </row>
    <row r="151" spans="1:15">
      <c r="A151" s="1" t="s">
        <v>180</v>
      </c>
      <c r="B151" s="1" t="s">
        <v>22</v>
      </c>
      <c r="C151" s="5">
        <v>45442</v>
      </c>
      <c r="D151" s="16" t="s">
        <v>23</v>
      </c>
      <c r="E151" s="17" t="s">
        <v>42</v>
      </c>
      <c r="F151" s="9">
        <v>2311</v>
      </c>
      <c r="G151" s="9">
        <v>207</v>
      </c>
      <c r="H151" s="9">
        <v>363</v>
      </c>
      <c r="I151" s="9">
        <v>30349</v>
      </c>
      <c r="J151" s="9">
        <v>32925</v>
      </c>
      <c r="K151" s="9">
        <v>88</v>
      </c>
      <c r="L151" s="16" t="s">
        <v>364</v>
      </c>
      <c r="M151" s="16" t="s">
        <v>34</v>
      </c>
      <c r="N151" s="16" t="s">
        <v>16</v>
      </c>
      <c r="O151" s="1"/>
    </row>
    <row r="152" spans="1:15">
      <c r="A152" s="1" t="s">
        <v>181</v>
      </c>
      <c r="B152" s="1" t="s">
        <v>13</v>
      </c>
      <c r="C152" s="5">
        <v>45516</v>
      </c>
      <c r="D152" s="16" t="s">
        <v>23</v>
      </c>
      <c r="E152" s="17" t="s">
        <v>15</v>
      </c>
      <c r="F152" s="9">
        <v>2962</v>
      </c>
      <c r="G152" s="9">
        <v>400</v>
      </c>
      <c r="H152" s="9">
        <v>280</v>
      </c>
      <c r="I152" s="9">
        <v>52508</v>
      </c>
      <c r="J152" s="9">
        <v>58329</v>
      </c>
      <c r="K152" s="9">
        <v>219</v>
      </c>
      <c r="L152" s="16" t="s">
        <v>34</v>
      </c>
      <c r="M152" s="16"/>
      <c r="N152" s="16" t="s">
        <v>46</v>
      </c>
      <c r="O152" s="1"/>
    </row>
    <row r="153" spans="1:15">
      <c r="A153" s="1" t="s">
        <v>182</v>
      </c>
      <c r="B153" s="1" t="s">
        <v>13</v>
      </c>
      <c r="C153" s="5">
        <v>45562</v>
      </c>
      <c r="D153" s="16" t="s">
        <v>14</v>
      </c>
      <c r="E153" s="17" t="s">
        <v>15</v>
      </c>
      <c r="F153" s="9">
        <v>3118</v>
      </c>
      <c r="G153" s="9">
        <v>116</v>
      </c>
      <c r="H153" s="9">
        <v>195</v>
      </c>
      <c r="I153" s="9">
        <v>37100</v>
      </c>
      <c r="J153" s="9">
        <v>62629</v>
      </c>
      <c r="K153" s="9">
        <v>272</v>
      </c>
      <c r="L153" s="16" t="s">
        <v>19</v>
      </c>
      <c r="M153" s="16"/>
      <c r="N153" s="16" t="s">
        <v>20</v>
      </c>
      <c r="O153" s="1"/>
    </row>
    <row r="154" spans="1:15">
      <c r="A154" s="1" t="s">
        <v>183</v>
      </c>
      <c r="B154" s="1" t="s">
        <v>22</v>
      </c>
      <c r="C154" s="5">
        <v>45819</v>
      </c>
      <c r="D154" s="16" t="s">
        <v>23</v>
      </c>
      <c r="E154" s="17" t="s">
        <v>18</v>
      </c>
      <c r="F154" s="9">
        <v>3805</v>
      </c>
      <c r="G154" s="9">
        <v>453</v>
      </c>
      <c r="H154" s="9">
        <v>63</v>
      </c>
      <c r="I154" s="9">
        <v>52395</v>
      </c>
      <c r="J154" s="9">
        <v>72934</v>
      </c>
      <c r="K154" s="9">
        <v>87</v>
      </c>
      <c r="L154" s="16" t="s">
        <v>19</v>
      </c>
      <c r="M154" s="16" t="s">
        <v>364</v>
      </c>
      <c r="N154" s="16" t="s">
        <v>16</v>
      </c>
      <c r="O154" s="1"/>
    </row>
    <row r="155" spans="1:15">
      <c r="A155" s="1" t="s">
        <v>184</v>
      </c>
      <c r="B155" s="1" t="s">
        <v>13</v>
      </c>
      <c r="C155" s="5">
        <v>45615</v>
      </c>
      <c r="D155" s="16" t="s">
        <v>14</v>
      </c>
      <c r="E155" s="17" t="s">
        <v>362</v>
      </c>
      <c r="F155" s="9">
        <v>2525</v>
      </c>
      <c r="G155" s="9">
        <v>272</v>
      </c>
      <c r="H155" s="9">
        <v>294</v>
      </c>
      <c r="I155" s="9">
        <v>51875</v>
      </c>
      <c r="J155" s="9">
        <v>24732</v>
      </c>
      <c r="K155" s="9">
        <v>92</v>
      </c>
      <c r="L155" s="16" t="s">
        <v>19</v>
      </c>
      <c r="M155" s="16"/>
      <c r="N155" s="16" t="s">
        <v>20</v>
      </c>
      <c r="O155" s="1"/>
    </row>
    <row r="156" spans="1:15">
      <c r="A156" s="1" t="s">
        <v>185</v>
      </c>
      <c r="B156" s="1" t="s">
        <v>13</v>
      </c>
      <c r="C156" s="5">
        <v>45407</v>
      </c>
      <c r="D156" s="16" t="s">
        <v>14</v>
      </c>
      <c r="E156" s="17" t="s">
        <v>361</v>
      </c>
      <c r="F156" s="9">
        <v>3563</v>
      </c>
      <c r="G156" s="9">
        <v>483</v>
      </c>
      <c r="H156" s="9">
        <v>227</v>
      </c>
      <c r="I156" s="9">
        <v>41085</v>
      </c>
      <c r="J156" s="9">
        <v>26393</v>
      </c>
      <c r="K156" s="9">
        <v>236</v>
      </c>
      <c r="L156" s="16" t="s">
        <v>37</v>
      </c>
      <c r="M156" s="16" t="s">
        <v>34</v>
      </c>
      <c r="N156" s="16" t="s">
        <v>16</v>
      </c>
      <c r="O156" s="1"/>
    </row>
    <row r="157" spans="1:15">
      <c r="A157" s="1" t="s">
        <v>186</v>
      </c>
      <c r="B157" s="1" t="s">
        <v>27</v>
      </c>
      <c r="C157" s="5">
        <v>45538</v>
      </c>
      <c r="D157" s="16" t="s">
        <v>48</v>
      </c>
      <c r="E157" s="17" t="s">
        <v>362</v>
      </c>
      <c r="F157" s="9">
        <v>1437</v>
      </c>
      <c r="G157" s="9">
        <v>494</v>
      </c>
      <c r="H157" s="9">
        <v>129</v>
      </c>
      <c r="I157" s="9">
        <v>53048</v>
      </c>
      <c r="J157" s="9">
        <v>44090</v>
      </c>
      <c r="K157" s="9">
        <v>230</v>
      </c>
      <c r="L157" s="16" t="s">
        <v>19</v>
      </c>
      <c r="M157" s="16" t="s">
        <v>37</v>
      </c>
      <c r="N157" s="16" t="s">
        <v>49</v>
      </c>
      <c r="O157" s="1"/>
    </row>
    <row r="158" spans="1:15">
      <c r="A158" s="1" t="s">
        <v>187</v>
      </c>
      <c r="B158" s="1" t="s">
        <v>27</v>
      </c>
      <c r="C158" s="5">
        <v>45718</v>
      </c>
      <c r="D158" s="16" t="s">
        <v>14</v>
      </c>
      <c r="E158" s="17" t="s">
        <v>363</v>
      </c>
      <c r="F158" s="9">
        <v>4425</v>
      </c>
      <c r="G158" s="9">
        <v>185</v>
      </c>
      <c r="H158" s="9">
        <v>162</v>
      </c>
      <c r="I158" s="9">
        <v>24610</v>
      </c>
      <c r="J158" s="9">
        <v>21342</v>
      </c>
      <c r="K158" s="9">
        <v>158</v>
      </c>
      <c r="L158" s="16" t="s">
        <v>19</v>
      </c>
      <c r="M158" s="16" t="s">
        <v>365</v>
      </c>
      <c r="N158" s="16" t="s">
        <v>20</v>
      </c>
      <c r="O158" s="1"/>
    </row>
    <row r="159" spans="1:15">
      <c r="A159" s="1" t="s">
        <v>188</v>
      </c>
      <c r="B159" s="1" t="s">
        <v>22</v>
      </c>
      <c r="C159" s="5">
        <v>45737</v>
      </c>
      <c r="D159" s="16" t="s">
        <v>23</v>
      </c>
      <c r="E159" s="17" t="s">
        <v>24</v>
      </c>
      <c r="F159" s="9">
        <v>4609</v>
      </c>
      <c r="G159" s="9">
        <v>427</v>
      </c>
      <c r="H159" s="9">
        <v>395</v>
      </c>
      <c r="I159" s="9">
        <v>33698</v>
      </c>
      <c r="J159" s="9">
        <v>29259</v>
      </c>
      <c r="K159" s="9">
        <v>216</v>
      </c>
      <c r="L159" s="16" t="s">
        <v>19</v>
      </c>
      <c r="M159" s="16" t="s">
        <v>364</v>
      </c>
      <c r="N159" s="16" t="s">
        <v>16</v>
      </c>
      <c r="O159" s="1"/>
    </row>
    <row r="160" spans="1:15">
      <c r="A160" s="1" t="s">
        <v>189</v>
      </c>
      <c r="B160" s="1" t="s">
        <v>13</v>
      </c>
      <c r="C160" s="5">
        <v>45394</v>
      </c>
      <c r="D160" s="16" t="s">
        <v>23</v>
      </c>
      <c r="E160" s="17" t="s">
        <v>30</v>
      </c>
      <c r="F160" s="9">
        <v>1558</v>
      </c>
      <c r="G160" s="9">
        <v>352</v>
      </c>
      <c r="H160" s="9">
        <v>202</v>
      </c>
      <c r="I160" s="9">
        <v>25405</v>
      </c>
      <c r="J160" s="9">
        <v>69941</v>
      </c>
      <c r="K160" s="9">
        <v>219</v>
      </c>
      <c r="L160" s="16" t="s">
        <v>34</v>
      </c>
      <c r="M160" s="16"/>
      <c r="N160" s="16" t="s">
        <v>46</v>
      </c>
      <c r="O160" s="1"/>
    </row>
    <row r="161" spans="1:15">
      <c r="A161" s="1" t="s">
        <v>190</v>
      </c>
      <c r="B161" s="1" t="s">
        <v>27</v>
      </c>
      <c r="C161" s="5">
        <v>45330</v>
      </c>
      <c r="D161" s="16" t="s">
        <v>48</v>
      </c>
      <c r="E161" s="17" t="s">
        <v>33</v>
      </c>
      <c r="F161" s="9">
        <v>1889</v>
      </c>
      <c r="G161" s="9">
        <v>298</v>
      </c>
      <c r="H161" s="9">
        <v>122</v>
      </c>
      <c r="I161" s="9">
        <v>46225</v>
      </c>
      <c r="J161" s="9">
        <v>74305</v>
      </c>
      <c r="K161" s="9">
        <v>293</v>
      </c>
      <c r="L161" s="16" t="s">
        <v>19</v>
      </c>
      <c r="M161" s="16" t="s">
        <v>37</v>
      </c>
      <c r="N161" s="16" t="s">
        <v>49</v>
      </c>
      <c r="O161" s="1"/>
    </row>
    <row r="162" spans="1:15">
      <c r="A162" s="1" t="s">
        <v>191</v>
      </c>
      <c r="B162" s="1" t="s">
        <v>13</v>
      </c>
      <c r="C162" s="5">
        <v>45803</v>
      </c>
      <c r="D162" s="16" t="s">
        <v>14</v>
      </c>
      <c r="E162" s="17" t="s">
        <v>15</v>
      </c>
      <c r="F162" s="9">
        <v>3086</v>
      </c>
      <c r="G162" s="9">
        <v>148</v>
      </c>
      <c r="H162" s="9">
        <v>310</v>
      </c>
      <c r="I162" s="9">
        <v>22824</v>
      </c>
      <c r="J162" s="9">
        <v>58103</v>
      </c>
      <c r="K162" s="9">
        <v>275</v>
      </c>
      <c r="L162" s="16" t="s">
        <v>19</v>
      </c>
      <c r="M162" s="16"/>
      <c r="N162" s="16" t="s">
        <v>20</v>
      </c>
      <c r="O162" s="1"/>
    </row>
    <row r="163" spans="1:15">
      <c r="A163" s="1" t="s">
        <v>192</v>
      </c>
      <c r="B163" s="1" t="s">
        <v>13</v>
      </c>
      <c r="C163" s="5">
        <v>45610</v>
      </c>
      <c r="D163" s="16" t="s">
        <v>14</v>
      </c>
      <c r="E163" s="17" t="s">
        <v>361</v>
      </c>
      <c r="F163" s="9">
        <v>2422</v>
      </c>
      <c r="G163" s="9">
        <v>318</v>
      </c>
      <c r="H163" s="9">
        <v>118</v>
      </c>
      <c r="I163" s="9">
        <v>25386</v>
      </c>
      <c r="J163" s="9">
        <v>20873</v>
      </c>
      <c r="K163" s="9">
        <v>100</v>
      </c>
      <c r="L163" s="16" t="s">
        <v>37</v>
      </c>
      <c r="M163" s="16" t="s">
        <v>34</v>
      </c>
      <c r="N163" s="16" t="s">
        <v>16</v>
      </c>
      <c r="O163" s="1"/>
    </row>
    <row r="164" spans="1:15">
      <c r="A164" s="1" t="s">
        <v>193</v>
      </c>
      <c r="B164" s="1" t="s">
        <v>27</v>
      </c>
      <c r="C164" s="5">
        <v>45513</v>
      </c>
      <c r="D164" s="16" t="s">
        <v>48</v>
      </c>
      <c r="E164" s="17" t="s">
        <v>363</v>
      </c>
      <c r="F164" s="9">
        <v>3414</v>
      </c>
      <c r="G164" s="9">
        <v>154</v>
      </c>
      <c r="H164" s="9">
        <v>204</v>
      </c>
      <c r="I164" s="9">
        <v>34146</v>
      </c>
      <c r="J164" s="9">
        <v>44633</v>
      </c>
      <c r="K164" s="9">
        <v>256</v>
      </c>
      <c r="L164" s="16" t="s">
        <v>19</v>
      </c>
      <c r="M164" s="16" t="s">
        <v>37</v>
      </c>
      <c r="N164" s="16" t="s">
        <v>49</v>
      </c>
      <c r="O164" s="1"/>
    </row>
    <row r="165" spans="1:15">
      <c r="A165" s="1" t="s">
        <v>194</v>
      </c>
      <c r="B165" s="1" t="s">
        <v>13</v>
      </c>
      <c r="C165" s="5">
        <v>45835</v>
      </c>
      <c r="D165" s="16" t="s">
        <v>23</v>
      </c>
      <c r="E165" s="17" t="s">
        <v>362</v>
      </c>
      <c r="F165" s="9">
        <v>1342</v>
      </c>
      <c r="G165" s="9">
        <v>332</v>
      </c>
      <c r="H165" s="9">
        <v>163</v>
      </c>
      <c r="I165" s="9">
        <v>51712</v>
      </c>
      <c r="J165" s="9">
        <v>57922</v>
      </c>
      <c r="K165" s="9">
        <v>168</v>
      </c>
      <c r="L165" s="16" t="s">
        <v>34</v>
      </c>
      <c r="M165" s="16"/>
      <c r="N165" s="16" t="s">
        <v>46</v>
      </c>
      <c r="O165" s="1"/>
    </row>
    <row r="166" spans="1:15">
      <c r="A166" s="1" t="s">
        <v>195</v>
      </c>
      <c r="B166" s="1" t="s">
        <v>13</v>
      </c>
      <c r="C166" s="5">
        <v>45420</v>
      </c>
      <c r="D166" s="16" t="s">
        <v>23</v>
      </c>
      <c r="E166" s="17" t="s">
        <v>361</v>
      </c>
      <c r="F166" s="9">
        <v>2414</v>
      </c>
      <c r="G166" s="9">
        <v>220</v>
      </c>
      <c r="H166" s="9">
        <v>280</v>
      </c>
      <c r="I166" s="9">
        <v>27355</v>
      </c>
      <c r="J166" s="9">
        <v>50562</v>
      </c>
      <c r="K166" s="9">
        <v>258</v>
      </c>
      <c r="L166" s="16" t="s">
        <v>34</v>
      </c>
      <c r="M166" s="16"/>
      <c r="N166" s="16" t="s">
        <v>46</v>
      </c>
      <c r="O166" s="1"/>
    </row>
    <row r="167" spans="1:15">
      <c r="A167" s="1" t="s">
        <v>196</v>
      </c>
      <c r="B167" s="1" t="s">
        <v>13</v>
      </c>
      <c r="C167" s="5">
        <v>45387</v>
      </c>
      <c r="D167" s="16" t="s">
        <v>14</v>
      </c>
      <c r="E167" s="17" t="s">
        <v>24</v>
      </c>
      <c r="F167" s="9">
        <v>4383</v>
      </c>
      <c r="G167" s="9">
        <v>352</v>
      </c>
      <c r="H167" s="9">
        <v>176</v>
      </c>
      <c r="I167" s="9">
        <v>53239</v>
      </c>
      <c r="J167" s="9">
        <v>34168</v>
      </c>
      <c r="K167" s="9">
        <v>288</v>
      </c>
      <c r="L167" s="16" t="s">
        <v>19</v>
      </c>
      <c r="M167" s="16"/>
      <c r="N167" s="16" t="s">
        <v>20</v>
      </c>
      <c r="O167" s="1"/>
    </row>
    <row r="168" spans="1:15" ht="30">
      <c r="A168" s="1" t="s">
        <v>197</v>
      </c>
      <c r="B168" s="1" t="s">
        <v>27</v>
      </c>
      <c r="C168" s="5">
        <v>45684</v>
      </c>
      <c r="D168" s="16" t="s">
        <v>14</v>
      </c>
      <c r="E168" s="17" t="s">
        <v>360</v>
      </c>
      <c r="F168" s="9">
        <v>4294</v>
      </c>
      <c r="G168" s="9">
        <v>423</v>
      </c>
      <c r="H168" s="9">
        <v>93</v>
      </c>
      <c r="I168" s="9">
        <v>29828</v>
      </c>
      <c r="J168" s="9">
        <v>73144</v>
      </c>
      <c r="K168" s="9">
        <v>298</v>
      </c>
      <c r="L168" s="16" t="s">
        <v>19</v>
      </c>
      <c r="M168" s="16" t="s">
        <v>365</v>
      </c>
      <c r="N168" s="16" t="s">
        <v>20</v>
      </c>
      <c r="O168" s="1"/>
    </row>
    <row r="169" spans="1:15">
      <c r="A169" s="1" t="s">
        <v>198</v>
      </c>
      <c r="B169" s="1" t="s">
        <v>13</v>
      </c>
      <c r="C169" s="5">
        <v>45385</v>
      </c>
      <c r="D169" s="16" t="s">
        <v>14</v>
      </c>
      <c r="E169" s="17" t="s">
        <v>33</v>
      </c>
      <c r="F169" s="9">
        <v>2762</v>
      </c>
      <c r="G169" s="9">
        <v>339</v>
      </c>
      <c r="H169" s="9">
        <v>323</v>
      </c>
      <c r="I169" s="9">
        <v>33757</v>
      </c>
      <c r="J169" s="9">
        <v>68511</v>
      </c>
      <c r="K169" s="9">
        <v>121</v>
      </c>
      <c r="L169" s="16" t="s">
        <v>37</v>
      </c>
      <c r="M169" s="16" t="s">
        <v>34</v>
      </c>
      <c r="N169" s="16" t="s">
        <v>16</v>
      </c>
      <c r="O169" s="1"/>
    </row>
    <row r="170" spans="1:15">
      <c r="A170" s="1" t="s">
        <v>199</v>
      </c>
      <c r="B170" s="1" t="s">
        <v>27</v>
      </c>
      <c r="C170" s="5">
        <v>45660</v>
      </c>
      <c r="D170" s="16" t="s">
        <v>14</v>
      </c>
      <c r="E170" s="17" t="s">
        <v>24</v>
      </c>
      <c r="F170" s="9">
        <v>3782</v>
      </c>
      <c r="G170" s="9">
        <v>484</v>
      </c>
      <c r="H170" s="9">
        <v>144</v>
      </c>
      <c r="I170" s="9">
        <v>52172</v>
      </c>
      <c r="J170" s="9">
        <v>59386</v>
      </c>
      <c r="K170" s="9">
        <v>175</v>
      </c>
      <c r="L170" s="16" t="s">
        <v>19</v>
      </c>
      <c r="M170" s="16" t="s">
        <v>365</v>
      </c>
      <c r="N170" s="16" t="s">
        <v>20</v>
      </c>
      <c r="O170" s="1"/>
    </row>
    <row r="171" spans="1:15">
      <c r="A171" s="1" t="s">
        <v>200</v>
      </c>
      <c r="B171" s="1" t="s">
        <v>22</v>
      </c>
      <c r="C171" s="5">
        <v>45619</v>
      </c>
      <c r="D171" s="16" t="s">
        <v>14</v>
      </c>
      <c r="E171" s="17" t="s">
        <v>24</v>
      </c>
      <c r="F171" s="9">
        <v>4318</v>
      </c>
      <c r="G171" s="9">
        <v>371</v>
      </c>
      <c r="H171" s="9">
        <v>329</v>
      </c>
      <c r="I171" s="9">
        <v>32347</v>
      </c>
      <c r="J171" s="9">
        <v>68956</v>
      </c>
      <c r="K171" s="9">
        <v>259</v>
      </c>
      <c r="L171" s="16" t="s">
        <v>37</v>
      </c>
      <c r="M171" s="16"/>
      <c r="N171" s="16" t="s">
        <v>20</v>
      </c>
      <c r="O171" s="1"/>
    </row>
    <row r="172" spans="1:15" ht="30">
      <c r="A172" s="1" t="s">
        <v>201</v>
      </c>
      <c r="B172" s="1" t="s">
        <v>13</v>
      </c>
      <c r="C172" s="5">
        <v>45536</v>
      </c>
      <c r="D172" s="16" t="s">
        <v>23</v>
      </c>
      <c r="E172" s="17" t="s">
        <v>360</v>
      </c>
      <c r="F172" s="9">
        <v>2335</v>
      </c>
      <c r="G172" s="9">
        <v>150</v>
      </c>
      <c r="H172" s="9">
        <v>75</v>
      </c>
      <c r="I172" s="9">
        <v>26114</v>
      </c>
      <c r="J172" s="9">
        <v>57549</v>
      </c>
      <c r="K172" s="9">
        <v>135</v>
      </c>
      <c r="L172" s="16" t="s">
        <v>34</v>
      </c>
      <c r="M172" s="16"/>
      <c r="N172" s="16" t="s">
        <v>46</v>
      </c>
      <c r="O172" s="1"/>
    </row>
    <row r="173" spans="1:15">
      <c r="A173" s="1" t="s">
        <v>202</v>
      </c>
      <c r="B173" s="1" t="s">
        <v>27</v>
      </c>
      <c r="C173" s="5">
        <v>45400</v>
      </c>
      <c r="D173" s="16" t="s">
        <v>14</v>
      </c>
      <c r="E173" s="17" t="s">
        <v>18</v>
      </c>
      <c r="F173" s="9">
        <v>4023</v>
      </c>
      <c r="G173" s="9">
        <v>293</v>
      </c>
      <c r="H173" s="9">
        <v>91</v>
      </c>
      <c r="I173" s="9">
        <v>26795</v>
      </c>
      <c r="J173" s="9">
        <v>28924</v>
      </c>
      <c r="K173" s="9">
        <v>278</v>
      </c>
      <c r="L173" s="16" t="s">
        <v>19</v>
      </c>
      <c r="M173" s="16" t="s">
        <v>365</v>
      </c>
      <c r="N173" s="16" t="s">
        <v>20</v>
      </c>
      <c r="O173" s="1"/>
    </row>
    <row r="174" spans="1:15">
      <c r="A174" s="1" t="s">
        <v>203</v>
      </c>
      <c r="B174" s="1" t="s">
        <v>13</v>
      </c>
      <c r="C174" s="5">
        <v>45447</v>
      </c>
      <c r="D174" s="16" t="s">
        <v>14</v>
      </c>
      <c r="E174" s="17" t="s">
        <v>30</v>
      </c>
      <c r="F174" s="9">
        <v>3948</v>
      </c>
      <c r="G174" s="9">
        <v>151</v>
      </c>
      <c r="H174" s="9">
        <v>249</v>
      </c>
      <c r="I174" s="9">
        <v>43147</v>
      </c>
      <c r="J174" s="9">
        <v>63136</v>
      </c>
      <c r="K174" s="9">
        <v>230</v>
      </c>
      <c r="L174" s="16" t="s">
        <v>19</v>
      </c>
      <c r="M174" s="16"/>
      <c r="N174" s="16" t="s">
        <v>20</v>
      </c>
      <c r="O174" s="1"/>
    </row>
    <row r="175" spans="1:15" ht="30">
      <c r="A175" s="1" t="s">
        <v>204</v>
      </c>
      <c r="B175" s="1" t="s">
        <v>27</v>
      </c>
      <c r="C175" s="5">
        <v>45749</v>
      </c>
      <c r="D175" s="16" t="s">
        <v>14</v>
      </c>
      <c r="E175" s="17" t="s">
        <v>360</v>
      </c>
      <c r="F175" s="9">
        <v>4598</v>
      </c>
      <c r="G175" s="9">
        <v>455</v>
      </c>
      <c r="H175" s="9">
        <v>378</v>
      </c>
      <c r="I175" s="9">
        <v>52952</v>
      </c>
      <c r="J175" s="9">
        <v>58504</v>
      </c>
      <c r="K175" s="9">
        <v>269</v>
      </c>
      <c r="L175" s="16" t="s">
        <v>19</v>
      </c>
      <c r="M175" s="16" t="s">
        <v>365</v>
      </c>
      <c r="N175" s="16" t="s">
        <v>20</v>
      </c>
      <c r="O175" s="1"/>
    </row>
    <row r="176" spans="1:15">
      <c r="A176" s="1" t="s">
        <v>205</v>
      </c>
      <c r="B176" s="1" t="s">
        <v>22</v>
      </c>
      <c r="C176" s="5">
        <v>45748</v>
      </c>
      <c r="D176" s="16" t="s">
        <v>23</v>
      </c>
      <c r="E176" s="17" t="s">
        <v>361</v>
      </c>
      <c r="F176" s="9">
        <v>2665</v>
      </c>
      <c r="G176" s="9">
        <v>143</v>
      </c>
      <c r="H176" s="9">
        <v>315</v>
      </c>
      <c r="I176" s="9">
        <v>54808</v>
      </c>
      <c r="J176" s="9">
        <v>29818</v>
      </c>
      <c r="K176" s="9">
        <v>98</v>
      </c>
      <c r="L176" s="16" t="s">
        <v>19</v>
      </c>
      <c r="M176" s="16" t="s">
        <v>364</v>
      </c>
      <c r="N176" s="16" t="s">
        <v>16</v>
      </c>
      <c r="O176" s="1"/>
    </row>
    <row r="177" spans="1:15">
      <c r="A177" s="1" t="s">
        <v>206</v>
      </c>
      <c r="B177" s="1" t="s">
        <v>13</v>
      </c>
      <c r="C177" s="5">
        <v>45475</v>
      </c>
      <c r="D177" s="16" t="s">
        <v>14</v>
      </c>
      <c r="E177" s="17" t="s">
        <v>33</v>
      </c>
      <c r="F177" s="9">
        <v>3469</v>
      </c>
      <c r="G177" s="9">
        <v>371</v>
      </c>
      <c r="H177" s="9">
        <v>76</v>
      </c>
      <c r="I177" s="9">
        <v>46493</v>
      </c>
      <c r="J177" s="9">
        <v>26906</v>
      </c>
      <c r="K177" s="9">
        <v>150</v>
      </c>
      <c r="L177" s="16" t="s">
        <v>37</v>
      </c>
      <c r="M177" s="16" t="s">
        <v>34</v>
      </c>
      <c r="N177" s="16" t="s">
        <v>16</v>
      </c>
      <c r="O177" s="1"/>
    </row>
    <row r="178" spans="1:15">
      <c r="A178" s="1" t="s">
        <v>207</v>
      </c>
      <c r="B178" s="1" t="s">
        <v>22</v>
      </c>
      <c r="C178" s="5">
        <v>45606</v>
      </c>
      <c r="D178" s="16" t="s">
        <v>14</v>
      </c>
      <c r="E178" s="17" t="s">
        <v>18</v>
      </c>
      <c r="F178" s="9">
        <v>4823</v>
      </c>
      <c r="G178" s="9">
        <v>489</v>
      </c>
      <c r="H178" s="9">
        <v>302</v>
      </c>
      <c r="I178" s="9">
        <v>32470</v>
      </c>
      <c r="J178" s="9">
        <v>31861</v>
      </c>
      <c r="K178" s="9">
        <v>178</v>
      </c>
      <c r="L178" s="16" t="s">
        <v>37</v>
      </c>
      <c r="M178" s="16"/>
      <c r="N178" s="16" t="s">
        <v>20</v>
      </c>
      <c r="O178" s="1"/>
    </row>
    <row r="179" spans="1:15">
      <c r="A179" s="1" t="s">
        <v>208</v>
      </c>
      <c r="B179" s="1" t="s">
        <v>13</v>
      </c>
      <c r="C179" s="5">
        <v>45640</v>
      </c>
      <c r="D179" s="16" t="s">
        <v>23</v>
      </c>
      <c r="E179" s="17" t="s">
        <v>363</v>
      </c>
      <c r="F179" s="9">
        <v>3812</v>
      </c>
      <c r="G179" s="9">
        <v>321</v>
      </c>
      <c r="H179" s="9">
        <v>289</v>
      </c>
      <c r="I179" s="9">
        <v>59838</v>
      </c>
      <c r="J179" s="9">
        <v>36337</v>
      </c>
      <c r="K179" s="9">
        <v>161</v>
      </c>
      <c r="L179" s="16" t="s">
        <v>34</v>
      </c>
      <c r="M179" s="16"/>
      <c r="N179" s="16" t="s">
        <v>46</v>
      </c>
      <c r="O179" s="1"/>
    </row>
    <row r="180" spans="1:15">
      <c r="A180" s="1" t="s">
        <v>209</v>
      </c>
      <c r="B180" s="1" t="s">
        <v>22</v>
      </c>
      <c r="C180" s="5">
        <v>45615</v>
      </c>
      <c r="D180" s="16" t="s">
        <v>14</v>
      </c>
      <c r="E180" s="17" t="s">
        <v>18</v>
      </c>
      <c r="F180" s="9">
        <v>2387</v>
      </c>
      <c r="G180" s="9">
        <v>353</v>
      </c>
      <c r="H180" s="9">
        <v>78</v>
      </c>
      <c r="I180" s="9">
        <v>39745</v>
      </c>
      <c r="J180" s="9">
        <v>69226</v>
      </c>
      <c r="K180" s="9">
        <v>208</v>
      </c>
      <c r="L180" s="16" t="s">
        <v>37</v>
      </c>
      <c r="M180" s="16"/>
      <c r="N180" s="16" t="s">
        <v>20</v>
      </c>
      <c r="O180" s="1"/>
    </row>
    <row r="181" spans="1:15" ht="30">
      <c r="A181" s="1" t="s">
        <v>210</v>
      </c>
      <c r="B181" s="1" t="s">
        <v>22</v>
      </c>
      <c r="C181" s="5">
        <v>45777</v>
      </c>
      <c r="D181" s="16" t="s">
        <v>23</v>
      </c>
      <c r="E181" s="17" t="s">
        <v>360</v>
      </c>
      <c r="F181" s="9">
        <v>3929</v>
      </c>
      <c r="G181" s="9">
        <v>275</v>
      </c>
      <c r="H181" s="9">
        <v>330</v>
      </c>
      <c r="I181" s="9">
        <v>58329</v>
      </c>
      <c r="J181" s="9">
        <v>33196</v>
      </c>
      <c r="K181" s="9">
        <v>85</v>
      </c>
      <c r="L181" s="16" t="s">
        <v>364</v>
      </c>
      <c r="M181" s="16" t="s">
        <v>34</v>
      </c>
      <c r="N181" s="16" t="s">
        <v>16</v>
      </c>
      <c r="O181" s="1"/>
    </row>
    <row r="182" spans="1:15">
      <c r="A182" s="1" t="s">
        <v>211</v>
      </c>
      <c r="B182" s="1" t="s">
        <v>22</v>
      </c>
      <c r="C182" s="5">
        <v>45370</v>
      </c>
      <c r="D182" s="16" t="s">
        <v>14</v>
      </c>
      <c r="E182" s="17" t="s">
        <v>363</v>
      </c>
      <c r="F182" s="9">
        <v>2191</v>
      </c>
      <c r="G182" s="9">
        <v>288</v>
      </c>
      <c r="H182" s="9">
        <v>83</v>
      </c>
      <c r="I182" s="9">
        <v>59606</v>
      </c>
      <c r="J182" s="9">
        <v>24765</v>
      </c>
      <c r="K182" s="9">
        <v>281</v>
      </c>
      <c r="L182" s="16" t="s">
        <v>37</v>
      </c>
      <c r="M182" s="16"/>
      <c r="N182" s="16" t="s">
        <v>20</v>
      </c>
      <c r="O182" s="1"/>
    </row>
    <row r="183" spans="1:15">
      <c r="A183" s="1" t="s">
        <v>212</v>
      </c>
      <c r="B183" s="1" t="s">
        <v>13</v>
      </c>
      <c r="C183" s="5">
        <v>45370</v>
      </c>
      <c r="D183" s="16" t="s">
        <v>14</v>
      </c>
      <c r="E183" s="17" t="s">
        <v>363</v>
      </c>
      <c r="F183" s="9">
        <v>2878</v>
      </c>
      <c r="G183" s="9">
        <v>278</v>
      </c>
      <c r="H183" s="9">
        <v>255</v>
      </c>
      <c r="I183" s="9">
        <v>47235</v>
      </c>
      <c r="J183" s="9">
        <v>57922</v>
      </c>
      <c r="K183" s="9">
        <v>112</v>
      </c>
      <c r="L183" s="16" t="s">
        <v>37</v>
      </c>
      <c r="M183" s="16" t="s">
        <v>34</v>
      </c>
      <c r="N183" s="16" t="s">
        <v>16</v>
      </c>
      <c r="O183" s="1"/>
    </row>
    <row r="184" spans="1:15">
      <c r="A184" s="1" t="s">
        <v>213</v>
      </c>
      <c r="B184" s="1" t="s">
        <v>22</v>
      </c>
      <c r="C184" s="5">
        <v>45496</v>
      </c>
      <c r="D184" s="16" t="s">
        <v>14</v>
      </c>
      <c r="E184" s="17" t="s">
        <v>33</v>
      </c>
      <c r="F184" s="9">
        <v>3204</v>
      </c>
      <c r="G184" s="9">
        <v>398</v>
      </c>
      <c r="H184" s="9">
        <v>85</v>
      </c>
      <c r="I184" s="9">
        <v>22020</v>
      </c>
      <c r="J184" s="9">
        <v>58353</v>
      </c>
      <c r="K184" s="9">
        <v>286</v>
      </c>
      <c r="L184" s="16" t="s">
        <v>37</v>
      </c>
      <c r="M184" s="16"/>
      <c r="N184" s="16" t="s">
        <v>20</v>
      </c>
      <c r="O184" s="1"/>
    </row>
    <row r="185" spans="1:15">
      <c r="A185" s="1" t="s">
        <v>214</v>
      </c>
      <c r="B185" s="1" t="s">
        <v>22</v>
      </c>
      <c r="C185" s="5">
        <v>45486</v>
      </c>
      <c r="D185" s="16" t="s">
        <v>23</v>
      </c>
      <c r="E185" s="17" t="s">
        <v>30</v>
      </c>
      <c r="F185" s="9">
        <v>2408</v>
      </c>
      <c r="G185" s="9">
        <v>323</v>
      </c>
      <c r="H185" s="9">
        <v>251</v>
      </c>
      <c r="I185" s="9">
        <v>47599</v>
      </c>
      <c r="J185" s="9">
        <v>35543</v>
      </c>
      <c r="K185" s="9">
        <v>287</v>
      </c>
      <c r="L185" s="16" t="s">
        <v>364</v>
      </c>
      <c r="M185" s="16" t="s">
        <v>34</v>
      </c>
      <c r="N185" s="16" t="s">
        <v>16</v>
      </c>
      <c r="O185" s="1"/>
    </row>
    <row r="186" spans="1:15">
      <c r="A186" s="1" t="s">
        <v>215</v>
      </c>
      <c r="B186" s="1" t="s">
        <v>27</v>
      </c>
      <c r="C186" s="5">
        <v>45769</v>
      </c>
      <c r="D186" s="16" t="s">
        <v>48</v>
      </c>
      <c r="E186" s="17" t="s">
        <v>24</v>
      </c>
      <c r="F186" s="9">
        <v>2733</v>
      </c>
      <c r="G186" s="9">
        <v>297</v>
      </c>
      <c r="H186" s="9">
        <v>235</v>
      </c>
      <c r="I186" s="9">
        <v>37980</v>
      </c>
      <c r="J186" s="9">
        <v>33058</v>
      </c>
      <c r="K186" s="9">
        <v>219</v>
      </c>
      <c r="L186" s="16" t="s">
        <v>19</v>
      </c>
      <c r="M186" s="16" t="s">
        <v>37</v>
      </c>
      <c r="N186" s="16" t="s">
        <v>49</v>
      </c>
      <c r="O186" s="1"/>
    </row>
    <row r="187" spans="1:15">
      <c r="A187" s="1" t="s">
        <v>216</v>
      </c>
      <c r="B187" s="1" t="s">
        <v>22</v>
      </c>
      <c r="C187" s="5">
        <v>45459</v>
      </c>
      <c r="D187" s="16" t="s">
        <v>23</v>
      </c>
      <c r="E187" s="17" t="s">
        <v>18</v>
      </c>
      <c r="F187" s="9">
        <v>4618</v>
      </c>
      <c r="G187" s="9">
        <v>312</v>
      </c>
      <c r="H187" s="9">
        <v>254</v>
      </c>
      <c r="I187" s="9">
        <v>22571</v>
      </c>
      <c r="J187" s="9">
        <v>29453</v>
      </c>
      <c r="K187" s="9">
        <v>197</v>
      </c>
      <c r="L187" s="16" t="s">
        <v>364</v>
      </c>
      <c r="M187" s="16" t="s">
        <v>34</v>
      </c>
      <c r="N187" s="16" t="s">
        <v>16</v>
      </c>
      <c r="O187" s="1"/>
    </row>
    <row r="188" spans="1:15" ht="30">
      <c r="A188" s="1" t="s">
        <v>217</v>
      </c>
      <c r="B188" s="1" t="s">
        <v>27</v>
      </c>
      <c r="C188" s="5">
        <v>45795</v>
      </c>
      <c r="D188" s="16" t="s">
        <v>48</v>
      </c>
      <c r="E188" s="17" t="s">
        <v>360</v>
      </c>
      <c r="F188" s="9">
        <v>4210</v>
      </c>
      <c r="G188" s="9">
        <v>319</v>
      </c>
      <c r="H188" s="9">
        <v>350</v>
      </c>
      <c r="I188" s="9">
        <v>37762</v>
      </c>
      <c r="J188" s="9">
        <v>55162</v>
      </c>
      <c r="K188" s="9">
        <v>204</v>
      </c>
      <c r="L188" s="16" t="s">
        <v>19</v>
      </c>
      <c r="M188" s="16" t="s">
        <v>37</v>
      </c>
      <c r="N188" s="16" t="s">
        <v>49</v>
      </c>
      <c r="O188" s="1"/>
    </row>
    <row r="189" spans="1:15" ht="30">
      <c r="A189" s="1" t="s">
        <v>218</v>
      </c>
      <c r="B189" s="1" t="s">
        <v>13</v>
      </c>
      <c r="C189" s="5">
        <v>45814</v>
      </c>
      <c r="D189" s="16" t="s">
        <v>14</v>
      </c>
      <c r="E189" s="17" t="s">
        <v>360</v>
      </c>
      <c r="F189" s="9">
        <v>3987</v>
      </c>
      <c r="G189" s="9">
        <v>171</v>
      </c>
      <c r="H189" s="9">
        <v>274</v>
      </c>
      <c r="I189" s="9">
        <v>45122</v>
      </c>
      <c r="J189" s="9">
        <v>65431</v>
      </c>
      <c r="K189" s="9">
        <v>168</v>
      </c>
      <c r="L189" s="16" t="s">
        <v>19</v>
      </c>
      <c r="M189" s="16"/>
      <c r="N189" s="16" t="s">
        <v>20</v>
      </c>
      <c r="O189" s="1"/>
    </row>
    <row r="190" spans="1:15">
      <c r="A190" s="1" t="s">
        <v>219</v>
      </c>
      <c r="B190" s="1" t="s">
        <v>27</v>
      </c>
      <c r="C190" s="5">
        <v>45708</v>
      </c>
      <c r="D190" s="16" t="s">
        <v>48</v>
      </c>
      <c r="E190" s="17" t="s">
        <v>30</v>
      </c>
      <c r="F190" s="9">
        <v>4957</v>
      </c>
      <c r="G190" s="9">
        <v>262</v>
      </c>
      <c r="H190" s="9">
        <v>365</v>
      </c>
      <c r="I190" s="9">
        <v>49199</v>
      </c>
      <c r="J190" s="9">
        <v>40314</v>
      </c>
      <c r="K190" s="9">
        <v>216</v>
      </c>
      <c r="L190" s="16" t="s">
        <v>19</v>
      </c>
      <c r="M190" s="16" t="s">
        <v>37</v>
      </c>
      <c r="N190" s="16" t="s">
        <v>49</v>
      </c>
      <c r="O190" s="1"/>
    </row>
    <row r="191" spans="1:15">
      <c r="A191" s="1" t="s">
        <v>220</v>
      </c>
      <c r="B191" s="1" t="s">
        <v>13</v>
      </c>
      <c r="C191" s="5">
        <v>45673</v>
      </c>
      <c r="D191" s="16" t="s">
        <v>14</v>
      </c>
      <c r="E191" s="17" t="s">
        <v>361</v>
      </c>
      <c r="F191" s="9">
        <v>2605</v>
      </c>
      <c r="G191" s="9">
        <v>282</v>
      </c>
      <c r="H191" s="9">
        <v>148</v>
      </c>
      <c r="I191" s="9">
        <v>32201</v>
      </c>
      <c r="J191" s="9">
        <v>49583</v>
      </c>
      <c r="K191" s="9">
        <v>241</v>
      </c>
      <c r="L191" s="16" t="s">
        <v>37</v>
      </c>
      <c r="M191" s="16" t="s">
        <v>34</v>
      </c>
      <c r="N191" s="16" t="s">
        <v>16</v>
      </c>
      <c r="O191" s="1"/>
    </row>
    <row r="192" spans="1:15">
      <c r="A192" s="1" t="s">
        <v>221</v>
      </c>
      <c r="B192" s="1" t="s">
        <v>27</v>
      </c>
      <c r="C192" s="5">
        <v>45346</v>
      </c>
      <c r="D192" s="16" t="s">
        <v>48</v>
      </c>
      <c r="E192" s="17" t="s">
        <v>15</v>
      </c>
      <c r="F192" s="9">
        <v>4221</v>
      </c>
      <c r="G192" s="9">
        <v>307</v>
      </c>
      <c r="H192" s="9">
        <v>58</v>
      </c>
      <c r="I192" s="9">
        <v>45080</v>
      </c>
      <c r="J192" s="9">
        <v>37214</v>
      </c>
      <c r="K192" s="9">
        <v>240</v>
      </c>
      <c r="L192" s="16" t="s">
        <v>19</v>
      </c>
      <c r="M192" s="16" t="s">
        <v>37</v>
      </c>
      <c r="N192" s="16" t="s">
        <v>49</v>
      </c>
      <c r="O192" s="1"/>
    </row>
    <row r="193" spans="1:15">
      <c r="A193" s="1" t="s">
        <v>222</v>
      </c>
      <c r="B193" s="1" t="s">
        <v>22</v>
      </c>
      <c r="C193" s="5">
        <v>45551</v>
      </c>
      <c r="D193" s="16" t="s">
        <v>23</v>
      </c>
      <c r="E193" s="17" t="s">
        <v>362</v>
      </c>
      <c r="F193" s="9">
        <v>4422</v>
      </c>
      <c r="G193" s="9">
        <v>434</v>
      </c>
      <c r="H193" s="9">
        <v>156</v>
      </c>
      <c r="I193" s="9">
        <v>56165</v>
      </c>
      <c r="J193" s="9">
        <v>52431</v>
      </c>
      <c r="K193" s="9">
        <v>173</v>
      </c>
      <c r="L193" s="16" t="s">
        <v>19</v>
      </c>
      <c r="M193" s="16" t="s">
        <v>364</v>
      </c>
      <c r="N193" s="16" t="s">
        <v>16</v>
      </c>
      <c r="O193" s="1"/>
    </row>
    <row r="194" spans="1:15" ht="30">
      <c r="A194" s="1" t="s">
        <v>223</v>
      </c>
      <c r="B194" s="1" t="s">
        <v>27</v>
      </c>
      <c r="C194" s="5">
        <v>45447</v>
      </c>
      <c r="D194" s="16" t="s">
        <v>48</v>
      </c>
      <c r="E194" s="17" t="s">
        <v>360</v>
      </c>
      <c r="F194" s="9">
        <v>1211</v>
      </c>
      <c r="G194" s="9">
        <v>431</v>
      </c>
      <c r="H194" s="9">
        <v>83</v>
      </c>
      <c r="I194" s="9">
        <v>26532</v>
      </c>
      <c r="J194" s="9">
        <v>47305</v>
      </c>
      <c r="K194" s="9">
        <v>232</v>
      </c>
      <c r="L194" s="16" t="s">
        <v>19</v>
      </c>
      <c r="M194" s="16" t="s">
        <v>37</v>
      </c>
      <c r="N194" s="16" t="s">
        <v>49</v>
      </c>
      <c r="O194" s="1"/>
    </row>
    <row r="195" spans="1:15">
      <c r="A195" s="1" t="s">
        <v>224</v>
      </c>
      <c r="B195" s="1" t="s">
        <v>22</v>
      </c>
      <c r="C195" s="5">
        <v>45422</v>
      </c>
      <c r="D195" s="16" t="s">
        <v>23</v>
      </c>
      <c r="E195" s="17" t="s">
        <v>18</v>
      </c>
      <c r="F195" s="9">
        <v>2784</v>
      </c>
      <c r="G195" s="9">
        <v>111</v>
      </c>
      <c r="H195" s="9">
        <v>399</v>
      </c>
      <c r="I195" s="9">
        <v>58366</v>
      </c>
      <c r="J195" s="9">
        <v>69512</v>
      </c>
      <c r="K195" s="9">
        <v>269</v>
      </c>
      <c r="L195" s="16" t="s">
        <v>364</v>
      </c>
      <c r="M195" s="16" t="s">
        <v>34</v>
      </c>
      <c r="N195" s="16" t="s">
        <v>16</v>
      </c>
      <c r="O195" s="1"/>
    </row>
    <row r="196" spans="1:15">
      <c r="A196" s="1" t="s">
        <v>225</v>
      </c>
      <c r="B196" s="1" t="s">
        <v>27</v>
      </c>
      <c r="C196" s="5">
        <v>45305</v>
      </c>
      <c r="D196" s="16" t="s">
        <v>14</v>
      </c>
      <c r="E196" s="17" t="s">
        <v>24</v>
      </c>
      <c r="F196" s="9">
        <v>3634</v>
      </c>
      <c r="G196" s="9">
        <v>280</v>
      </c>
      <c r="H196" s="9">
        <v>399</v>
      </c>
      <c r="I196" s="9">
        <v>40256</v>
      </c>
      <c r="J196" s="9">
        <v>52605</v>
      </c>
      <c r="K196" s="9">
        <v>213</v>
      </c>
      <c r="L196" s="16" t="s">
        <v>19</v>
      </c>
      <c r="M196" s="16" t="s">
        <v>365</v>
      </c>
      <c r="N196" s="16" t="s">
        <v>20</v>
      </c>
      <c r="O196" s="1"/>
    </row>
    <row r="197" spans="1:15">
      <c r="A197" s="1" t="s">
        <v>226</v>
      </c>
      <c r="B197" s="1" t="s">
        <v>13</v>
      </c>
      <c r="C197" s="5">
        <v>45669</v>
      </c>
      <c r="D197" s="16" t="s">
        <v>14</v>
      </c>
      <c r="E197" s="17" t="s">
        <v>363</v>
      </c>
      <c r="F197" s="9">
        <v>1771</v>
      </c>
      <c r="G197" s="9">
        <v>487</v>
      </c>
      <c r="H197" s="9">
        <v>272</v>
      </c>
      <c r="I197" s="9">
        <v>48810</v>
      </c>
      <c r="J197" s="9">
        <v>48084</v>
      </c>
      <c r="K197" s="9">
        <v>272</v>
      </c>
      <c r="L197" s="16" t="s">
        <v>37</v>
      </c>
      <c r="M197" s="16" t="s">
        <v>34</v>
      </c>
      <c r="N197" s="16" t="s">
        <v>16</v>
      </c>
      <c r="O197" s="1"/>
    </row>
    <row r="198" spans="1:15">
      <c r="A198" s="1" t="s">
        <v>227</v>
      </c>
      <c r="B198" s="1" t="s">
        <v>27</v>
      </c>
      <c r="C198" s="5">
        <v>45634</v>
      </c>
      <c r="D198" s="16" t="s">
        <v>14</v>
      </c>
      <c r="E198" s="17" t="s">
        <v>33</v>
      </c>
      <c r="F198" s="9">
        <v>1424</v>
      </c>
      <c r="G198" s="9">
        <v>396</v>
      </c>
      <c r="H198" s="9">
        <v>312</v>
      </c>
      <c r="I198" s="9">
        <v>59517</v>
      </c>
      <c r="J198" s="9">
        <v>46102</v>
      </c>
      <c r="K198" s="9">
        <v>239</v>
      </c>
      <c r="L198" s="16" t="s">
        <v>19</v>
      </c>
      <c r="M198" s="16" t="s">
        <v>365</v>
      </c>
      <c r="N198" s="16" t="s">
        <v>20</v>
      </c>
      <c r="O198" s="1"/>
    </row>
    <row r="199" spans="1:15">
      <c r="A199" s="1" t="s">
        <v>228</v>
      </c>
      <c r="B199" s="1" t="s">
        <v>22</v>
      </c>
      <c r="C199" s="5">
        <v>45689</v>
      </c>
      <c r="D199" s="16" t="s">
        <v>23</v>
      </c>
      <c r="E199" s="17" t="s">
        <v>33</v>
      </c>
      <c r="F199" s="9">
        <v>1079</v>
      </c>
      <c r="G199" s="9">
        <v>265</v>
      </c>
      <c r="H199" s="9">
        <v>190</v>
      </c>
      <c r="I199" s="9">
        <v>43786</v>
      </c>
      <c r="J199" s="9">
        <v>72428</v>
      </c>
      <c r="K199" s="9">
        <v>222</v>
      </c>
      <c r="L199" s="16" t="s">
        <v>37</v>
      </c>
      <c r="M199" s="16" t="s">
        <v>34</v>
      </c>
      <c r="N199" s="16" t="s">
        <v>16</v>
      </c>
      <c r="O199" s="1"/>
    </row>
    <row r="200" spans="1:15">
      <c r="A200" s="1" t="s">
        <v>229</v>
      </c>
      <c r="B200" s="1" t="s">
        <v>22</v>
      </c>
      <c r="C200" s="5">
        <v>45484</v>
      </c>
      <c r="D200" s="16" t="s">
        <v>23</v>
      </c>
      <c r="E200" s="17" t="s">
        <v>30</v>
      </c>
      <c r="F200" s="9">
        <v>4247</v>
      </c>
      <c r="G200" s="9">
        <v>179</v>
      </c>
      <c r="H200" s="9">
        <v>175</v>
      </c>
      <c r="I200" s="9">
        <v>32991</v>
      </c>
      <c r="J200" s="9">
        <v>70120</v>
      </c>
      <c r="K200" s="9">
        <v>276</v>
      </c>
      <c r="L200" s="16" t="s">
        <v>37</v>
      </c>
      <c r="M200" s="16" t="s">
        <v>34</v>
      </c>
      <c r="N200" s="16" t="s">
        <v>16</v>
      </c>
      <c r="O200" s="1"/>
    </row>
    <row r="201" spans="1:15">
      <c r="A201" s="1" t="s">
        <v>230</v>
      </c>
      <c r="B201" s="1" t="s">
        <v>22</v>
      </c>
      <c r="C201" s="5">
        <v>45369</v>
      </c>
      <c r="D201" s="16" t="s">
        <v>14</v>
      </c>
      <c r="E201" s="17" t="s">
        <v>24</v>
      </c>
      <c r="F201" s="9">
        <v>2033</v>
      </c>
      <c r="G201" s="9">
        <v>420</v>
      </c>
      <c r="H201" s="9">
        <v>94</v>
      </c>
      <c r="I201" s="9">
        <v>56290</v>
      </c>
      <c r="J201" s="9">
        <v>57391</v>
      </c>
      <c r="K201" s="9">
        <v>196</v>
      </c>
      <c r="L201" s="16" t="s">
        <v>34</v>
      </c>
      <c r="M201" s="16"/>
      <c r="N201" s="16" t="s">
        <v>16</v>
      </c>
      <c r="O201" s="1"/>
    </row>
    <row r="202" spans="1:15" ht="30">
      <c r="A202" s="1" t="s">
        <v>231</v>
      </c>
      <c r="B202" s="1" t="s">
        <v>22</v>
      </c>
      <c r="C202" s="5">
        <v>45547</v>
      </c>
      <c r="D202" s="16" t="s">
        <v>23</v>
      </c>
      <c r="E202" s="17" t="s">
        <v>360</v>
      </c>
      <c r="F202" s="9">
        <v>1839</v>
      </c>
      <c r="G202" s="9">
        <v>223</v>
      </c>
      <c r="H202" s="9">
        <v>171</v>
      </c>
      <c r="I202" s="9">
        <v>35459</v>
      </c>
      <c r="J202" s="9">
        <v>69988</v>
      </c>
      <c r="K202" s="9">
        <v>114</v>
      </c>
      <c r="L202" s="16" t="s">
        <v>364</v>
      </c>
      <c r="M202" s="16" t="s">
        <v>34</v>
      </c>
      <c r="N202" s="16" t="s">
        <v>16</v>
      </c>
      <c r="O202" s="1"/>
    </row>
    <row r="203" spans="1:15" ht="30">
      <c r="A203" s="1" t="s">
        <v>232</v>
      </c>
      <c r="B203" s="1" t="s">
        <v>22</v>
      </c>
      <c r="C203" s="5">
        <v>45302</v>
      </c>
      <c r="D203" s="16" t="s">
        <v>23</v>
      </c>
      <c r="E203" s="17" t="s">
        <v>360</v>
      </c>
      <c r="F203" s="9">
        <v>2340</v>
      </c>
      <c r="G203" s="9">
        <v>141</v>
      </c>
      <c r="H203" s="9">
        <v>206</v>
      </c>
      <c r="I203" s="9">
        <v>24916</v>
      </c>
      <c r="J203" s="9">
        <v>30582</v>
      </c>
      <c r="K203" s="9">
        <v>157</v>
      </c>
      <c r="L203" s="16" t="s">
        <v>37</v>
      </c>
      <c r="M203" s="16" t="s">
        <v>34</v>
      </c>
      <c r="N203" s="16" t="s">
        <v>16</v>
      </c>
      <c r="O203" s="1"/>
    </row>
    <row r="204" spans="1:15">
      <c r="A204" s="1" t="s">
        <v>233</v>
      </c>
      <c r="B204" s="1" t="s">
        <v>13</v>
      </c>
      <c r="C204" s="5">
        <v>45571</v>
      </c>
      <c r="D204" s="16" t="s">
        <v>14</v>
      </c>
      <c r="E204" s="17" t="s">
        <v>33</v>
      </c>
      <c r="F204" s="9">
        <v>2080</v>
      </c>
      <c r="G204" s="9">
        <v>389</v>
      </c>
      <c r="H204" s="9">
        <v>92</v>
      </c>
      <c r="I204" s="9">
        <v>30971</v>
      </c>
      <c r="J204" s="9">
        <v>25347</v>
      </c>
      <c r="K204" s="9">
        <v>111</v>
      </c>
      <c r="L204" s="16" t="s">
        <v>19</v>
      </c>
      <c r="M204" s="16"/>
      <c r="N204" s="16" t="s">
        <v>20</v>
      </c>
      <c r="O204" s="1"/>
    </row>
    <row r="205" spans="1:15">
      <c r="A205" s="1" t="s">
        <v>234</v>
      </c>
      <c r="B205" s="1" t="s">
        <v>22</v>
      </c>
      <c r="C205" s="5">
        <v>45656</v>
      </c>
      <c r="D205" s="16" t="s">
        <v>14</v>
      </c>
      <c r="E205" s="17" t="s">
        <v>30</v>
      </c>
      <c r="F205" s="9">
        <v>4214</v>
      </c>
      <c r="G205" s="9">
        <v>286</v>
      </c>
      <c r="H205" s="9">
        <v>127</v>
      </c>
      <c r="I205" s="9">
        <v>47293</v>
      </c>
      <c r="J205" s="9">
        <v>27184</v>
      </c>
      <c r="K205" s="9">
        <v>232</v>
      </c>
      <c r="L205" s="16" t="s">
        <v>34</v>
      </c>
      <c r="M205" s="16"/>
      <c r="N205" s="16" t="s">
        <v>16</v>
      </c>
      <c r="O205" s="1"/>
    </row>
    <row r="206" spans="1:15" ht="30">
      <c r="A206" s="1" t="s">
        <v>235</v>
      </c>
      <c r="B206" s="1" t="s">
        <v>22</v>
      </c>
      <c r="C206" s="5">
        <v>45763</v>
      </c>
      <c r="D206" s="16" t="s">
        <v>14</v>
      </c>
      <c r="E206" s="17" t="s">
        <v>360</v>
      </c>
      <c r="F206" s="9">
        <v>3792</v>
      </c>
      <c r="G206" s="9">
        <v>315</v>
      </c>
      <c r="H206" s="9">
        <v>120</v>
      </c>
      <c r="I206" s="9">
        <v>54592</v>
      </c>
      <c r="J206" s="9">
        <v>67886</v>
      </c>
      <c r="K206" s="9">
        <v>117</v>
      </c>
      <c r="L206" s="16" t="s">
        <v>37</v>
      </c>
      <c r="M206" s="16"/>
      <c r="N206" s="16" t="s">
        <v>20</v>
      </c>
      <c r="O206" s="1"/>
    </row>
    <row r="207" spans="1:15">
      <c r="A207" s="1" t="s">
        <v>236</v>
      </c>
      <c r="B207" s="1" t="s">
        <v>22</v>
      </c>
      <c r="C207" s="5">
        <v>45525</v>
      </c>
      <c r="D207" s="16" t="s">
        <v>23</v>
      </c>
      <c r="E207" s="17" t="s">
        <v>18</v>
      </c>
      <c r="F207" s="9">
        <v>3989</v>
      </c>
      <c r="G207" s="9">
        <v>476</v>
      </c>
      <c r="H207" s="9">
        <v>128</v>
      </c>
      <c r="I207" s="9">
        <v>57569</v>
      </c>
      <c r="J207" s="9">
        <v>40193</v>
      </c>
      <c r="K207" s="9">
        <v>222</v>
      </c>
      <c r="L207" s="16" t="s">
        <v>19</v>
      </c>
      <c r="M207" s="16" t="s">
        <v>364</v>
      </c>
      <c r="N207" s="16" t="s">
        <v>16</v>
      </c>
      <c r="O207" s="1"/>
    </row>
    <row r="208" spans="1:15" ht="30">
      <c r="A208" s="1" t="s">
        <v>237</v>
      </c>
      <c r="B208" s="1" t="s">
        <v>22</v>
      </c>
      <c r="C208" s="5">
        <v>45387</v>
      </c>
      <c r="D208" s="16" t="s">
        <v>23</v>
      </c>
      <c r="E208" s="17" t="s">
        <v>360</v>
      </c>
      <c r="F208" s="9">
        <v>2857</v>
      </c>
      <c r="G208" s="9">
        <v>443</v>
      </c>
      <c r="H208" s="9">
        <v>359</v>
      </c>
      <c r="I208" s="9">
        <v>51519</v>
      </c>
      <c r="J208" s="9">
        <v>28256</v>
      </c>
      <c r="K208" s="9">
        <v>155</v>
      </c>
      <c r="L208" s="16" t="s">
        <v>37</v>
      </c>
      <c r="M208" s="16" t="s">
        <v>34</v>
      </c>
      <c r="N208" s="16" t="s">
        <v>16</v>
      </c>
      <c r="O208" s="1"/>
    </row>
    <row r="209" spans="1:15">
      <c r="A209" s="1" t="s">
        <v>238</v>
      </c>
      <c r="B209" s="1" t="s">
        <v>22</v>
      </c>
      <c r="C209" s="5">
        <v>45754</v>
      </c>
      <c r="D209" s="16" t="s">
        <v>14</v>
      </c>
      <c r="E209" s="17" t="s">
        <v>363</v>
      </c>
      <c r="F209" s="9">
        <v>1403</v>
      </c>
      <c r="G209" s="9">
        <v>385</v>
      </c>
      <c r="H209" s="9">
        <v>344</v>
      </c>
      <c r="I209" s="9">
        <v>54223</v>
      </c>
      <c r="J209" s="9">
        <v>72595</v>
      </c>
      <c r="K209" s="9">
        <v>239</v>
      </c>
      <c r="L209" s="16" t="s">
        <v>37</v>
      </c>
      <c r="M209" s="16"/>
      <c r="N209" s="16" t="s">
        <v>20</v>
      </c>
      <c r="O209" s="1"/>
    </row>
    <row r="210" spans="1:15">
      <c r="A210" s="1" t="s">
        <v>239</v>
      </c>
      <c r="B210" s="1" t="s">
        <v>22</v>
      </c>
      <c r="C210" s="5">
        <v>45492</v>
      </c>
      <c r="D210" s="16" t="s">
        <v>23</v>
      </c>
      <c r="E210" s="17" t="s">
        <v>362</v>
      </c>
      <c r="F210" s="9">
        <v>3071</v>
      </c>
      <c r="G210" s="9">
        <v>126</v>
      </c>
      <c r="H210" s="9">
        <v>200</v>
      </c>
      <c r="I210" s="9">
        <v>44013</v>
      </c>
      <c r="J210" s="9">
        <v>44679</v>
      </c>
      <c r="K210" s="9">
        <v>118</v>
      </c>
      <c r="L210" s="16" t="s">
        <v>19</v>
      </c>
      <c r="M210" s="16" t="s">
        <v>364</v>
      </c>
      <c r="N210" s="16" t="s">
        <v>16</v>
      </c>
      <c r="O210" s="1"/>
    </row>
    <row r="211" spans="1:15">
      <c r="A211" s="1" t="s">
        <v>240</v>
      </c>
      <c r="B211" s="1" t="s">
        <v>22</v>
      </c>
      <c r="C211" s="5">
        <v>45780</v>
      </c>
      <c r="D211" s="16" t="s">
        <v>23</v>
      </c>
      <c r="E211" s="17" t="s">
        <v>33</v>
      </c>
      <c r="F211" s="9">
        <v>1010</v>
      </c>
      <c r="G211" s="9">
        <v>361</v>
      </c>
      <c r="H211" s="9">
        <v>240</v>
      </c>
      <c r="I211" s="9">
        <v>47229</v>
      </c>
      <c r="J211" s="9">
        <v>72573</v>
      </c>
      <c r="K211" s="9">
        <v>275</v>
      </c>
      <c r="L211" s="16" t="s">
        <v>37</v>
      </c>
      <c r="M211" s="16" t="s">
        <v>34</v>
      </c>
      <c r="N211" s="16" t="s">
        <v>16</v>
      </c>
      <c r="O211" s="1"/>
    </row>
    <row r="212" spans="1:15">
      <c r="A212" s="1" t="s">
        <v>241</v>
      </c>
      <c r="B212" s="1" t="s">
        <v>22</v>
      </c>
      <c r="C212" s="5">
        <v>45396</v>
      </c>
      <c r="D212" s="16" t="s">
        <v>23</v>
      </c>
      <c r="E212" s="17" t="s">
        <v>15</v>
      </c>
      <c r="F212" s="9">
        <v>1295</v>
      </c>
      <c r="G212" s="9">
        <v>153</v>
      </c>
      <c r="H212" s="9">
        <v>81</v>
      </c>
      <c r="I212" s="9">
        <v>48350</v>
      </c>
      <c r="J212" s="9">
        <v>61033</v>
      </c>
      <c r="K212" s="9">
        <v>232</v>
      </c>
      <c r="L212" s="16" t="s">
        <v>19</v>
      </c>
      <c r="M212" s="16" t="s">
        <v>364</v>
      </c>
      <c r="N212" s="16" t="s">
        <v>16</v>
      </c>
      <c r="O212" s="1"/>
    </row>
    <row r="213" spans="1:15">
      <c r="A213" s="1" t="s">
        <v>242</v>
      </c>
      <c r="B213" s="1" t="s">
        <v>22</v>
      </c>
      <c r="C213" s="5">
        <v>45827</v>
      </c>
      <c r="D213" s="16" t="s">
        <v>23</v>
      </c>
      <c r="E213" s="17" t="s">
        <v>362</v>
      </c>
      <c r="F213" s="9">
        <v>1433</v>
      </c>
      <c r="G213" s="9">
        <v>452</v>
      </c>
      <c r="H213" s="9">
        <v>305</v>
      </c>
      <c r="I213" s="9">
        <v>54541</v>
      </c>
      <c r="J213" s="9">
        <v>63700</v>
      </c>
      <c r="K213" s="9">
        <v>296</v>
      </c>
      <c r="L213" s="16" t="s">
        <v>19</v>
      </c>
      <c r="M213" s="16" t="s">
        <v>364</v>
      </c>
      <c r="N213" s="16" t="s">
        <v>16</v>
      </c>
      <c r="O213" s="1"/>
    </row>
    <row r="214" spans="1:15">
      <c r="A214" s="1" t="s">
        <v>243</v>
      </c>
      <c r="B214" s="1" t="s">
        <v>13</v>
      </c>
      <c r="C214" s="5">
        <v>45832</v>
      </c>
      <c r="D214" s="16" t="s">
        <v>23</v>
      </c>
      <c r="E214" s="17" t="s">
        <v>30</v>
      </c>
      <c r="F214" s="9">
        <v>4902</v>
      </c>
      <c r="G214" s="9">
        <v>422</v>
      </c>
      <c r="H214" s="9">
        <v>376</v>
      </c>
      <c r="I214" s="9">
        <v>31674</v>
      </c>
      <c r="J214" s="9">
        <v>53225</v>
      </c>
      <c r="K214" s="9">
        <v>147</v>
      </c>
      <c r="L214" s="16" t="s">
        <v>34</v>
      </c>
      <c r="M214" s="16"/>
      <c r="N214" s="16" t="s">
        <v>46</v>
      </c>
      <c r="O214" s="1"/>
    </row>
    <row r="215" spans="1:15" ht="30">
      <c r="A215" s="1" t="s">
        <v>244</v>
      </c>
      <c r="B215" s="1" t="s">
        <v>22</v>
      </c>
      <c r="C215" s="5">
        <v>45574</v>
      </c>
      <c r="D215" s="16" t="s">
        <v>14</v>
      </c>
      <c r="E215" s="17" t="s">
        <v>360</v>
      </c>
      <c r="F215" s="9">
        <v>2659</v>
      </c>
      <c r="G215" s="9">
        <v>167</v>
      </c>
      <c r="H215" s="9">
        <v>73</v>
      </c>
      <c r="I215" s="9">
        <v>23090</v>
      </c>
      <c r="J215" s="9">
        <v>25872</v>
      </c>
      <c r="K215" s="9">
        <v>293</v>
      </c>
      <c r="L215" s="16" t="s">
        <v>37</v>
      </c>
      <c r="M215" s="16"/>
      <c r="N215" s="16" t="s">
        <v>20</v>
      </c>
      <c r="O215" s="1"/>
    </row>
    <row r="216" spans="1:15">
      <c r="A216" s="1" t="s">
        <v>245</v>
      </c>
      <c r="B216" s="1" t="s">
        <v>27</v>
      </c>
      <c r="C216" s="5">
        <v>45672</v>
      </c>
      <c r="D216" s="16" t="s">
        <v>14</v>
      </c>
      <c r="E216" s="17" t="s">
        <v>42</v>
      </c>
      <c r="F216" s="9">
        <v>2599</v>
      </c>
      <c r="G216" s="9">
        <v>324</v>
      </c>
      <c r="H216" s="9">
        <v>182</v>
      </c>
      <c r="I216" s="9">
        <v>37525</v>
      </c>
      <c r="J216" s="9">
        <v>37216</v>
      </c>
      <c r="K216" s="9">
        <v>186</v>
      </c>
      <c r="L216" s="16" t="s">
        <v>19</v>
      </c>
      <c r="M216" s="16" t="s">
        <v>365</v>
      </c>
      <c r="N216" s="16" t="s">
        <v>20</v>
      </c>
      <c r="O216" s="1"/>
    </row>
    <row r="217" spans="1:15">
      <c r="A217" s="1" t="s">
        <v>246</v>
      </c>
      <c r="B217" s="1" t="s">
        <v>22</v>
      </c>
      <c r="C217" s="5">
        <v>45669</v>
      </c>
      <c r="D217" s="16" t="s">
        <v>14</v>
      </c>
      <c r="E217" s="17" t="s">
        <v>361</v>
      </c>
      <c r="F217" s="9">
        <v>1765</v>
      </c>
      <c r="G217" s="9">
        <v>285</v>
      </c>
      <c r="H217" s="9">
        <v>100</v>
      </c>
      <c r="I217" s="9">
        <v>41313</v>
      </c>
      <c r="J217" s="9">
        <v>56575</v>
      </c>
      <c r="K217" s="9">
        <v>174</v>
      </c>
      <c r="L217" s="16" t="s">
        <v>37</v>
      </c>
      <c r="M217" s="16"/>
      <c r="N217" s="16" t="s">
        <v>20</v>
      </c>
      <c r="O217" s="1"/>
    </row>
    <row r="218" spans="1:15">
      <c r="A218" s="1" t="s">
        <v>247</v>
      </c>
      <c r="B218" s="1" t="s">
        <v>13</v>
      </c>
      <c r="C218" s="5">
        <v>45808</v>
      </c>
      <c r="D218" s="16" t="s">
        <v>14</v>
      </c>
      <c r="E218" s="17" t="s">
        <v>362</v>
      </c>
      <c r="F218" s="9">
        <v>2169</v>
      </c>
      <c r="G218" s="9">
        <v>240</v>
      </c>
      <c r="H218" s="9">
        <v>57</v>
      </c>
      <c r="I218" s="9">
        <v>26109</v>
      </c>
      <c r="J218" s="9">
        <v>46667</v>
      </c>
      <c r="K218" s="9">
        <v>133</v>
      </c>
      <c r="L218" s="16" t="s">
        <v>37</v>
      </c>
      <c r="M218" s="16" t="s">
        <v>34</v>
      </c>
      <c r="N218" s="16" t="s">
        <v>16</v>
      </c>
      <c r="O218" s="1"/>
    </row>
    <row r="219" spans="1:15">
      <c r="A219" s="1" t="s">
        <v>248</v>
      </c>
      <c r="B219" s="1" t="s">
        <v>22</v>
      </c>
      <c r="C219" s="5">
        <v>45579</v>
      </c>
      <c r="D219" s="16" t="s">
        <v>23</v>
      </c>
      <c r="E219" s="17" t="s">
        <v>18</v>
      </c>
      <c r="F219" s="9">
        <v>4303</v>
      </c>
      <c r="G219" s="9">
        <v>306</v>
      </c>
      <c r="H219" s="9">
        <v>302</v>
      </c>
      <c r="I219" s="9">
        <v>39575</v>
      </c>
      <c r="J219" s="9">
        <v>33762</v>
      </c>
      <c r="K219" s="9">
        <v>265</v>
      </c>
      <c r="L219" s="16" t="s">
        <v>19</v>
      </c>
      <c r="M219" s="16" t="s">
        <v>364</v>
      </c>
      <c r="N219" s="16" t="s">
        <v>16</v>
      </c>
      <c r="O219" s="1"/>
    </row>
    <row r="220" spans="1:15">
      <c r="A220" s="1" t="s">
        <v>249</v>
      </c>
      <c r="B220" s="1" t="s">
        <v>22</v>
      </c>
      <c r="C220" s="5">
        <v>45332</v>
      </c>
      <c r="D220" s="16" t="s">
        <v>14</v>
      </c>
      <c r="E220" s="17" t="s">
        <v>363</v>
      </c>
      <c r="F220" s="9">
        <v>1519</v>
      </c>
      <c r="G220" s="9">
        <v>456</v>
      </c>
      <c r="H220" s="9">
        <v>379</v>
      </c>
      <c r="I220" s="9">
        <v>51611</v>
      </c>
      <c r="J220" s="9">
        <v>45880</v>
      </c>
      <c r="K220" s="9">
        <v>176</v>
      </c>
      <c r="L220" s="16" t="s">
        <v>37</v>
      </c>
      <c r="M220" s="16"/>
      <c r="N220" s="16" t="s">
        <v>20</v>
      </c>
      <c r="O220" s="1"/>
    </row>
    <row r="221" spans="1:15">
      <c r="A221" s="1" t="s">
        <v>250</v>
      </c>
      <c r="B221" s="1" t="s">
        <v>27</v>
      </c>
      <c r="C221" s="5">
        <v>45636</v>
      </c>
      <c r="D221" s="16" t="s">
        <v>14</v>
      </c>
      <c r="E221" s="17" t="s">
        <v>362</v>
      </c>
      <c r="F221" s="9">
        <v>2569</v>
      </c>
      <c r="G221" s="9">
        <v>140</v>
      </c>
      <c r="H221" s="9">
        <v>375</v>
      </c>
      <c r="I221" s="9">
        <v>38372</v>
      </c>
      <c r="J221" s="9">
        <v>22102</v>
      </c>
      <c r="K221" s="9">
        <v>255</v>
      </c>
      <c r="L221" s="16" t="s">
        <v>19</v>
      </c>
      <c r="M221" s="16" t="s">
        <v>365</v>
      </c>
      <c r="N221" s="16" t="s">
        <v>20</v>
      </c>
      <c r="O221" s="1"/>
    </row>
    <row r="222" spans="1:15">
      <c r="A222" s="1" t="s">
        <v>251</v>
      </c>
      <c r="B222" s="1" t="s">
        <v>22</v>
      </c>
      <c r="C222" s="5">
        <v>45786</v>
      </c>
      <c r="D222" s="16" t="s">
        <v>23</v>
      </c>
      <c r="E222" s="17" t="s">
        <v>361</v>
      </c>
      <c r="F222" s="9">
        <v>2778</v>
      </c>
      <c r="G222" s="9">
        <v>241</v>
      </c>
      <c r="H222" s="9">
        <v>317</v>
      </c>
      <c r="I222" s="9">
        <v>26247</v>
      </c>
      <c r="J222" s="9">
        <v>20677</v>
      </c>
      <c r="K222" s="9">
        <v>282</v>
      </c>
      <c r="L222" s="16" t="s">
        <v>364</v>
      </c>
      <c r="M222" s="16" t="s">
        <v>34</v>
      </c>
      <c r="N222" s="16" t="s">
        <v>16</v>
      </c>
      <c r="O222" s="1"/>
    </row>
    <row r="223" spans="1:15">
      <c r="A223" s="1" t="s">
        <v>252</v>
      </c>
      <c r="B223" s="1" t="s">
        <v>22</v>
      </c>
      <c r="C223" s="5">
        <v>45829</v>
      </c>
      <c r="D223" s="16" t="s">
        <v>14</v>
      </c>
      <c r="E223" s="17" t="s">
        <v>18</v>
      </c>
      <c r="F223" s="9">
        <v>3611</v>
      </c>
      <c r="G223" s="9">
        <v>127</v>
      </c>
      <c r="H223" s="9">
        <v>139</v>
      </c>
      <c r="I223" s="9">
        <v>44768</v>
      </c>
      <c r="J223" s="9">
        <v>29435</v>
      </c>
      <c r="K223" s="9">
        <v>178</v>
      </c>
      <c r="L223" s="16" t="s">
        <v>34</v>
      </c>
      <c r="M223" s="16"/>
      <c r="N223" s="16" t="s">
        <v>16</v>
      </c>
      <c r="O223" s="1"/>
    </row>
    <row r="224" spans="1:15">
      <c r="A224" s="1" t="s">
        <v>253</v>
      </c>
      <c r="B224" s="1" t="s">
        <v>22</v>
      </c>
      <c r="C224" s="5">
        <v>45462</v>
      </c>
      <c r="D224" s="16" t="s">
        <v>14</v>
      </c>
      <c r="E224" s="17" t="s">
        <v>362</v>
      </c>
      <c r="F224" s="9">
        <v>1224</v>
      </c>
      <c r="G224" s="9">
        <v>168</v>
      </c>
      <c r="H224" s="9">
        <v>199</v>
      </c>
      <c r="I224" s="9">
        <v>54232</v>
      </c>
      <c r="J224" s="9">
        <v>52844</v>
      </c>
      <c r="K224" s="9">
        <v>271</v>
      </c>
      <c r="L224" s="16" t="s">
        <v>37</v>
      </c>
      <c r="M224" s="16"/>
      <c r="N224" s="16" t="s">
        <v>20</v>
      </c>
      <c r="O224" s="1"/>
    </row>
    <row r="225" spans="1:15">
      <c r="A225" s="1" t="s">
        <v>254</v>
      </c>
      <c r="B225" s="1" t="s">
        <v>22</v>
      </c>
      <c r="C225" s="5">
        <v>45636</v>
      </c>
      <c r="D225" s="16" t="s">
        <v>14</v>
      </c>
      <c r="E225" s="17" t="s">
        <v>363</v>
      </c>
      <c r="F225" s="9">
        <v>4673</v>
      </c>
      <c r="G225" s="9">
        <v>270</v>
      </c>
      <c r="H225" s="9">
        <v>93</v>
      </c>
      <c r="I225" s="9">
        <v>45260</v>
      </c>
      <c r="J225" s="9">
        <v>57513</v>
      </c>
      <c r="K225" s="9">
        <v>103</v>
      </c>
      <c r="L225" s="16" t="s">
        <v>34</v>
      </c>
      <c r="M225" s="16"/>
      <c r="N225" s="16" t="s">
        <v>16</v>
      </c>
      <c r="O225" s="1"/>
    </row>
    <row r="226" spans="1:15" ht="30">
      <c r="A226" s="1" t="s">
        <v>255</v>
      </c>
      <c r="B226" s="1" t="s">
        <v>27</v>
      </c>
      <c r="C226" s="5">
        <v>45323</v>
      </c>
      <c r="D226" s="16" t="s">
        <v>14</v>
      </c>
      <c r="E226" s="17" t="s">
        <v>360</v>
      </c>
      <c r="F226" s="9">
        <v>1432</v>
      </c>
      <c r="G226" s="9">
        <v>437</v>
      </c>
      <c r="H226" s="9">
        <v>267</v>
      </c>
      <c r="I226" s="9">
        <v>40634</v>
      </c>
      <c r="J226" s="9">
        <v>54511</v>
      </c>
      <c r="K226" s="9">
        <v>197</v>
      </c>
      <c r="L226" s="16" t="s">
        <v>19</v>
      </c>
      <c r="M226" s="16" t="s">
        <v>365</v>
      </c>
      <c r="N226" s="16" t="s">
        <v>20</v>
      </c>
      <c r="O226" s="1"/>
    </row>
    <row r="227" spans="1:15">
      <c r="A227" s="1" t="s">
        <v>256</v>
      </c>
      <c r="B227" s="1" t="s">
        <v>22</v>
      </c>
      <c r="C227" s="5">
        <v>45308</v>
      </c>
      <c r="D227" s="16" t="s">
        <v>23</v>
      </c>
      <c r="E227" s="17" t="s">
        <v>24</v>
      </c>
      <c r="F227" s="9">
        <v>2174</v>
      </c>
      <c r="G227" s="9">
        <v>499</v>
      </c>
      <c r="H227" s="9">
        <v>212</v>
      </c>
      <c r="I227" s="9">
        <v>54938</v>
      </c>
      <c r="J227" s="9">
        <v>27190</v>
      </c>
      <c r="K227" s="9">
        <v>265</v>
      </c>
      <c r="L227" s="16" t="s">
        <v>364</v>
      </c>
      <c r="M227" s="16" t="s">
        <v>34</v>
      </c>
      <c r="N227" s="16" t="s">
        <v>16</v>
      </c>
      <c r="O227" s="1"/>
    </row>
    <row r="228" spans="1:15">
      <c r="A228" s="1" t="s">
        <v>257</v>
      </c>
      <c r="B228" s="1" t="s">
        <v>27</v>
      </c>
      <c r="C228" s="5">
        <v>45738</v>
      </c>
      <c r="D228" s="16" t="s">
        <v>14</v>
      </c>
      <c r="E228" s="17" t="s">
        <v>361</v>
      </c>
      <c r="F228" s="9">
        <v>4308</v>
      </c>
      <c r="G228" s="9">
        <v>171</v>
      </c>
      <c r="H228" s="9">
        <v>106</v>
      </c>
      <c r="I228" s="9">
        <v>36955</v>
      </c>
      <c r="J228" s="9">
        <v>23949</v>
      </c>
      <c r="K228" s="9">
        <v>294</v>
      </c>
      <c r="L228" s="16" t="s">
        <v>19</v>
      </c>
      <c r="M228" s="16" t="s">
        <v>365</v>
      </c>
      <c r="N228" s="16" t="s">
        <v>20</v>
      </c>
      <c r="O228" s="1"/>
    </row>
    <row r="229" spans="1:15">
      <c r="A229" s="1" t="s">
        <v>258</v>
      </c>
      <c r="B229" s="1" t="s">
        <v>27</v>
      </c>
      <c r="C229" s="5">
        <v>45442</v>
      </c>
      <c r="D229" s="16" t="s">
        <v>48</v>
      </c>
      <c r="E229" s="17" t="s">
        <v>362</v>
      </c>
      <c r="F229" s="9">
        <v>1060</v>
      </c>
      <c r="G229" s="9">
        <v>442</v>
      </c>
      <c r="H229" s="9">
        <v>319</v>
      </c>
      <c r="I229" s="9">
        <v>57194</v>
      </c>
      <c r="J229" s="9">
        <v>24258</v>
      </c>
      <c r="K229" s="9">
        <v>101</v>
      </c>
      <c r="L229" s="16" t="s">
        <v>19</v>
      </c>
      <c r="M229" s="16" t="s">
        <v>37</v>
      </c>
      <c r="N229" s="16" t="s">
        <v>49</v>
      </c>
      <c r="O229" s="1"/>
    </row>
    <row r="230" spans="1:15">
      <c r="A230" s="1" t="s">
        <v>259</v>
      </c>
      <c r="B230" s="1" t="s">
        <v>27</v>
      </c>
      <c r="C230" s="5">
        <v>45346</v>
      </c>
      <c r="D230" s="16" t="s">
        <v>14</v>
      </c>
      <c r="E230" s="17" t="s">
        <v>361</v>
      </c>
      <c r="F230" s="9">
        <v>4653</v>
      </c>
      <c r="G230" s="9">
        <v>226</v>
      </c>
      <c r="H230" s="9">
        <v>349</v>
      </c>
      <c r="I230" s="9">
        <v>56876</v>
      </c>
      <c r="J230" s="9">
        <v>28452</v>
      </c>
      <c r="K230" s="9">
        <v>257</v>
      </c>
      <c r="L230" s="16" t="s">
        <v>19</v>
      </c>
      <c r="M230" s="16" t="s">
        <v>365</v>
      </c>
      <c r="N230" s="16" t="s">
        <v>20</v>
      </c>
      <c r="O230" s="1"/>
    </row>
    <row r="231" spans="1:15">
      <c r="A231" s="1" t="s">
        <v>260</v>
      </c>
      <c r="B231" s="1" t="s">
        <v>27</v>
      </c>
      <c r="C231" s="5">
        <v>45791</v>
      </c>
      <c r="D231" s="16" t="s">
        <v>14</v>
      </c>
      <c r="E231" s="17" t="s">
        <v>15</v>
      </c>
      <c r="F231" s="9">
        <v>1701</v>
      </c>
      <c r="G231" s="9">
        <v>272</v>
      </c>
      <c r="H231" s="9">
        <v>385</v>
      </c>
      <c r="I231" s="9">
        <v>47496</v>
      </c>
      <c r="J231" s="9">
        <v>40832</v>
      </c>
      <c r="K231" s="9">
        <v>246</v>
      </c>
      <c r="L231" s="16" t="s">
        <v>19</v>
      </c>
      <c r="M231" s="16" t="s">
        <v>365</v>
      </c>
      <c r="N231" s="16" t="s">
        <v>20</v>
      </c>
      <c r="O231" s="1"/>
    </row>
    <row r="232" spans="1:15">
      <c r="A232" s="1" t="s">
        <v>261</v>
      </c>
      <c r="B232" s="1" t="s">
        <v>13</v>
      </c>
      <c r="C232" s="5">
        <v>45379</v>
      </c>
      <c r="D232" s="16" t="s">
        <v>14</v>
      </c>
      <c r="E232" s="17" t="s">
        <v>362</v>
      </c>
      <c r="F232" s="9">
        <v>1673</v>
      </c>
      <c r="G232" s="9">
        <v>280</v>
      </c>
      <c r="H232" s="9">
        <v>67</v>
      </c>
      <c r="I232" s="9">
        <v>29847</v>
      </c>
      <c r="J232" s="9">
        <v>48016</v>
      </c>
      <c r="K232" s="9">
        <v>213</v>
      </c>
      <c r="L232" s="16" t="s">
        <v>37</v>
      </c>
      <c r="M232" s="16" t="s">
        <v>34</v>
      </c>
      <c r="N232" s="16" t="s">
        <v>16</v>
      </c>
      <c r="O232" s="1"/>
    </row>
    <row r="233" spans="1:15">
      <c r="A233" s="1" t="s">
        <v>262</v>
      </c>
      <c r="B233" s="1" t="s">
        <v>27</v>
      </c>
      <c r="C233" s="5">
        <v>45723</v>
      </c>
      <c r="D233" s="16" t="s">
        <v>14</v>
      </c>
      <c r="E233" s="17" t="s">
        <v>33</v>
      </c>
      <c r="F233" s="9">
        <v>4310</v>
      </c>
      <c r="G233" s="9">
        <v>284</v>
      </c>
      <c r="H233" s="9">
        <v>306</v>
      </c>
      <c r="I233" s="9">
        <v>44606</v>
      </c>
      <c r="J233" s="9">
        <v>42604</v>
      </c>
      <c r="K233" s="9">
        <v>290</v>
      </c>
      <c r="L233" s="16" t="s">
        <v>19</v>
      </c>
      <c r="M233" s="16" t="s">
        <v>365</v>
      </c>
      <c r="N233" s="16" t="s">
        <v>20</v>
      </c>
      <c r="O233" s="1"/>
    </row>
    <row r="234" spans="1:15">
      <c r="A234" s="1" t="s">
        <v>263</v>
      </c>
      <c r="B234" s="1" t="s">
        <v>22</v>
      </c>
      <c r="C234" s="5">
        <v>45585</v>
      </c>
      <c r="D234" s="16" t="s">
        <v>14</v>
      </c>
      <c r="E234" s="17" t="s">
        <v>363</v>
      </c>
      <c r="F234" s="9">
        <v>2752</v>
      </c>
      <c r="G234" s="9">
        <v>309</v>
      </c>
      <c r="H234" s="9">
        <v>91</v>
      </c>
      <c r="I234" s="9">
        <v>39038</v>
      </c>
      <c r="J234" s="9">
        <v>28095</v>
      </c>
      <c r="K234" s="9">
        <v>277</v>
      </c>
      <c r="L234" s="16" t="s">
        <v>34</v>
      </c>
      <c r="M234" s="16"/>
      <c r="N234" s="16" t="s">
        <v>16</v>
      </c>
      <c r="O234" s="1"/>
    </row>
    <row r="235" spans="1:15">
      <c r="A235" s="1" t="s">
        <v>264</v>
      </c>
      <c r="B235" s="1" t="s">
        <v>22</v>
      </c>
      <c r="C235" s="5">
        <v>45324</v>
      </c>
      <c r="D235" s="16" t="s">
        <v>14</v>
      </c>
      <c r="E235" s="17" t="s">
        <v>363</v>
      </c>
      <c r="F235" s="9">
        <v>3818</v>
      </c>
      <c r="G235" s="9">
        <v>115</v>
      </c>
      <c r="H235" s="9">
        <v>286</v>
      </c>
      <c r="I235" s="9">
        <v>25127</v>
      </c>
      <c r="J235" s="9">
        <v>22277</v>
      </c>
      <c r="K235" s="9">
        <v>263</v>
      </c>
      <c r="L235" s="16" t="s">
        <v>34</v>
      </c>
      <c r="M235" s="16"/>
      <c r="N235" s="16" t="s">
        <v>16</v>
      </c>
      <c r="O235" s="1"/>
    </row>
    <row r="236" spans="1:15">
      <c r="A236" s="1" t="s">
        <v>265</v>
      </c>
      <c r="B236" s="1" t="s">
        <v>27</v>
      </c>
      <c r="C236" s="5">
        <v>45542</v>
      </c>
      <c r="D236" s="16" t="s">
        <v>14</v>
      </c>
      <c r="E236" s="17" t="s">
        <v>42</v>
      </c>
      <c r="F236" s="9">
        <v>2101</v>
      </c>
      <c r="G236" s="9">
        <v>411</v>
      </c>
      <c r="H236" s="9">
        <v>190</v>
      </c>
      <c r="I236" s="9">
        <v>41791</v>
      </c>
      <c r="J236" s="9">
        <v>57090</v>
      </c>
      <c r="K236" s="9">
        <v>172</v>
      </c>
      <c r="L236" s="16" t="s">
        <v>19</v>
      </c>
      <c r="M236" s="16" t="s">
        <v>365</v>
      </c>
      <c r="N236" s="16" t="s">
        <v>20</v>
      </c>
      <c r="O236" s="1"/>
    </row>
    <row r="237" spans="1:15">
      <c r="A237" s="1" t="s">
        <v>266</v>
      </c>
      <c r="B237" s="1" t="s">
        <v>13</v>
      </c>
      <c r="C237" s="5">
        <v>45646</v>
      </c>
      <c r="D237" s="16" t="s">
        <v>14</v>
      </c>
      <c r="E237" s="17" t="s">
        <v>15</v>
      </c>
      <c r="F237" s="9">
        <v>2519</v>
      </c>
      <c r="G237" s="9">
        <v>202</v>
      </c>
      <c r="H237" s="9">
        <v>239</v>
      </c>
      <c r="I237" s="9">
        <v>36245</v>
      </c>
      <c r="J237" s="9">
        <v>48606</v>
      </c>
      <c r="K237" s="9">
        <v>145</v>
      </c>
      <c r="L237" s="16" t="s">
        <v>19</v>
      </c>
      <c r="M237" s="16"/>
      <c r="N237" s="16" t="s">
        <v>20</v>
      </c>
      <c r="O237" s="1"/>
    </row>
    <row r="238" spans="1:15">
      <c r="A238" s="1" t="s">
        <v>267</v>
      </c>
      <c r="B238" s="1" t="s">
        <v>27</v>
      </c>
      <c r="C238" s="5">
        <v>45305</v>
      </c>
      <c r="D238" s="16" t="s">
        <v>14</v>
      </c>
      <c r="E238" s="17" t="s">
        <v>362</v>
      </c>
      <c r="F238" s="9">
        <v>4502</v>
      </c>
      <c r="G238" s="9">
        <v>238</v>
      </c>
      <c r="H238" s="9">
        <v>386</v>
      </c>
      <c r="I238" s="9">
        <v>39198</v>
      </c>
      <c r="J238" s="9">
        <v>25050</v>
      </c>
      <c r="K238" s="9">
        <v>297</v>
      </c>
      <c r="L238" s="16" t="s">
        <v>19</v>
      </c>
      <c r="M238" s="16" t="s">
        <v>365</v>
      </c>
      <c r="N238" s="16" t="s">
        <v>20</v>
      </c>
      <c r="O238" s="1"/>
    </row>
    <row r="239" spans="1:15">
      <c r="A239" s="1" t="s">
        <v>268</v>
      </c>
      <c r="B239" s="1" t="s">
        <v>13</v>
      </c>
      <c r="C239" s="5">
        <v>45823</v>
      </c>
      <c r="D239" s="16" t="s">
        <v>14</v>
      </c>
      <c r="E239" s="17" t="s">
        <v>18</v>
      </c>
      <c r="F239" s="9">
        <v>2478</v>
      </c>
      <c r="G239" s="9">
        <v>427</v>
      </c>
      <c r="H239" s="9">
        <v>242</v>
      </c>
      <c r="I239" s="9">
        <v>59272</v>
      </c>
      <c r="J239" s="9">
        <v>37833</v>
      </c>
      <c r="K239" s="9">
        <v>214</v>
      </c>
      <c r="L239" s="16" t="s">
        <v>37</v>
      </c>
      <c r="M239" s="16" t="s">
        <v>34</v>
      </c>
      <c r="N239" s="16" t="s">
        <v>16</v>
      </c>
      <c r="O239" s="1"/>
    </row>
    <row r="240" spans="1:15">
      <c r="A240" s="1" t="s">
        <v>269</v>
      </c>
      <c r="B240" s="1" t="s">
        <v>22</v>
      </c>
      <c r="C240" s="5">
        <v>45639</v>
      </c>
      <c r="D240" s="16" t="s">
        <v>23</v>
      </c>
      <c r="E240" s="17" t="s">
        <v>24</v>
      </c>
      <c r="F240" s="9">
        <v>4984</v>
      </c>
      <c r="G240" s="9">
        <v>300</v>
      </c>
      <c r="H240" s="9">
        <v>338</v>
      </c>
      <c r="I240" s="9">
        <v>32900</v>
      </c>
      <c r="J240" s="9">
        <v>31691</v>
      </c>
      <c r="K240" s="9">
        <v>160</v>
      </c>
      <c r="L240" s="16" t="s">
        <v>364</v>
      </c>
      <c r="M240" s="16" t="s">
        <v>34</v>
      </c>
      <c r="N240" s="16" t="s">
        <v>16</v>
      </c>
      <c r="O240" s="1"/>
    </row>
    <row r="241" spans="1:15" ht="30">
      <c r="A241" s="1" t="s">
        <v>270</v>
      </c>
      <c r="B241" s="1" t="s">
        <v>27</v>
      </c>
      <c r="C241" s="5">
        <v>45533</v>
      </c>
      <c r="D241" s="16" t="s">
        <v>14</v>
      </c>
      <c r="E241" s="17" t="s">
        <v>360</v>
      </c>
      <c r="F241" s="9">
        <v>4774</v>
      </c>
      <c r="G241" s="9">
        <v>389</v>
      </c>
      <c r="H241" s="9">
        <v>358</v>
      </c>
      <c r="I241" s="9">
        <v>52346</v>
      </c>
      <c r="J241" s="9">
        <v>30518</v>
      </c>
      <c r="K241" s="9">
        <v>277</v>
      </c>
      <c r="L241" s="16" t="s">
        <v>19</v>
      </c>
      <c r="M241" s="16" t="s">
        <v>365</v>
      </c>
      <c r="N241" s="16" t="s">
        <v>20</v>
      </c>
      <c r="O241" s="1"/>
    </row>
    <row r="242" spans="1:15">
      <c r="A242" s="1" t="s">
        <v>271</v>
      </c>
      <c r="B242" s="1" t="s">
        <v>22</v>
      </c>
      <c r="C242" s="5">
        <v>45550</v>
      </c>
      <c r="D242" s="16" t="s">
        <v>14</v>
      </c>
      <c r="E242" s="17" t="s">
        <v>30</v>
      </c>
      <c r="F242" s="9">
        <v>2145</v>
      </c>
      <c r="G242" s="9">
        <v>340</v>
      </c>
      <c r="H242" s="9">
        <v>85</v>
      </c>
      <c r="I242" s="9">
        <v>53323</v>
      </c>
      <c r="J242" s="9">
        <v>49938</v>
      </c>
      <c r="K242" s="9">
        <v>104</v>
      </c>
      <c r="L242" s="16" t="s">
        <v>34</v>
      </c>
      <c r="M242" s="16"/>
      <c r="N242" s="16" t="s">
        <v>16</v>
      </c>
      <c r="O242" s="1"/>
    </row>
    <row r="243" spans="1:15">
      <c r="A243" s="1" t="s">
        <v>272</v>
      </c>
      <c r="B243" s="1" t="s">
        <v>22</v>
      </c>
      <c r="C243" s="5">
        <v>45759</v>
      </c>
      <c r="D243" s="16" t="s">
        <v>23</v>
      </c>
      <c r="E243" s="17" t="s">
        <v>363</v>
      </c>
      <c r="F243" s="9">
        <v>4315</v>
      </c>
      <c r="G243" s="9">
        <v>208</v>
      </c>
      <c r="H243" s="9">
        <v>273</v>
      </c>
      <c r="I243" s="9">
        <v>35780</v>
      </c>
      <c r="J243" s="9">
        <v>44349</v>
      </c>
      <c r="K243" s="9">
        <v>133</v>
      </c>
      <c r="L243" s="16" t="s">
        <v>19</v>
      </c>
      <c r="M243" s="16" t="s">
        <v>364</v>
      </c>
      <c r="N243" s="16" t="s">
        <v>16</v>
      </c>
      <c r="O243" s="1"/>
    </row>
    <row r="244" spans="1:15" ht="30">
      <c r="A244" s="1" t="s">
        <v>273</v>
      </c>
      <c r="B244" s="1" t="s">
        <v>22</v>
      </c>
      <c r="C244" s="5">
        <v>45636</v>
      </c>
      <c r="D244" s="16" t="s">
        <v>23</v>
      </c>
      <c r="E244" s="17" t="s">
        <v>360</v>
      </c>
      <c r="F244" s="9">
        <v>2267</v>
      </c>
      <c r="G244" s="9">
        <v>230</v>
      </c>
      <c r="H244" s="9">
        <v>243</v>
      </c>
      <c r="I244" s="9">
        <v>27904</v>
      </c>
      <c r="J244" s="9">
        <v>69771</v>
      </c>
      <c r="K244" s="9">
        <v>255</v>
      </c>
      <c r="L244" s="16" t="s">
        <v>19</v>
      </c>
      <c r="M244" s="16" t="s">
        <v>364</v>
      </c>
      <c r="N244" s="16" t="s">
        <v>16</v>
      </c>
      <c r="O244" s="1"/>
    </row>
    <row r="245" spans="1:15">
      <c r="A245" s="1" t="s">
        <v>274</v>
      </c>
      <c r="B245" s="1" t="s">
        <v>27</v>
      </c>
      <c r="C245" s="5">
        <v>45816</v>
      </c>
      <c r="D245" s="16" t="s">
        <v>14</v>
      </c>
      <c r="E245" s="17" t="s">
        <v>361</v>
      </c>
      <c r="F245" s="9">
        <v>4375</v>
      </c>
      <c r="G245" s="9">
        <v>303</v>
      </c>
      <c r="H245" s="9">
        <v>294</v>
      </c>
      <c r="I245" s="9">
        <v>57468</v>
      </c>
      <c r="J245" s="9">
        <v>53397</v>
      </c>
      <c r="K245" s="9">
        <v>159</v>
      </c>
      <c r="L245" s="16" t="s">
        <v>19</v>
      </c>
      <c r="M245" s="16" t="s">
        <v>365</v>
      </c>
      <c r="N245" s="16" t="s">
        <v>20</v>
      </c>
      <c r="O245" s="1"/>
    </row>
    <row r="246" spans="1:15">
      <c r="A246" s="1" t="s">
        <v>275</v>
      </c>
      <c r="B246" s="1" t="s">
        <v>22</v>
      </c>
      <c r="C246" s="5">
        <v>45666</v>
      </c>
      <c r="D246" s="16" t="s">
        <v>23</v>
      </c>
      <c r="E246" s="17" t="s">
        <v>42</v>
      </c>
      <c r="F246" s="9">
        <v>3817</v>
      </c>
      <c r="G246" s="9">
        <v>284</v>
      </c>
      <c r="H246" s="9">
        <v>204</v>
      </c>
      <c r="I246" s="9">
        <v>46434</v>
      </c>
      <c r="J246" s="9">
        <v>53396</v>
      </c>
      <c r="K246" s="9">
        <v>104</v>
      </c>
      <c r="L246" s="16" t="s">
        <v>364</v>
      </c>
      <c r="M246" s="16" t="s">
        <v>34</v>
      </c>
      <c r="N246" s="16" t="s">
        <v>16</v>
      </c>
      <c r="O246" s="1"/>
    </row>
    <row r="247" spans="1:15">
      <c r="A247" s="1" t="s">
        <v>276</v>
      </c>
      <c r="B247" s="1" t="s">
        <v>22</v>
      </c>
      <c r="C247" s="5">
        <v>45481</v>
      </c>
      <c r="D247" s="16" t="s">
        <v>23</v>
      </c>
      <c r="E247" s="17" t="s">
        <v>33</v>
      </c>
      <c r="F247" s="9">
        <v>2981</v>
      </c>
      <c r="G247" s="9">
        <v>258</v>
      </c>
      <c r="H247" s="9">
        <v>168</v>
      </c>
      <c r="I247" s="9">
        <v>20677</v>
      </c>
      <c r="J247" s="9">
        <v>68290</v>
      </c>
      <c r="K247" s="9">
        <v>130</v>
      </c>
      <c r="L247" s="16" t="s">
        <v>37</v>
      </c>
      <c r="M247" s="16" t="s">
        <v>34</v>
      </c>
      <c r="N247" s="16" t="s">
        <v>16</v>
      </c>
      <c r="O247" s="1"/>
    </row>
    <row r="248" spans="1:15">
      <c r="A248" s="1" t="s">
        <v>277</v>
      </c>
      <c r="B248" s="1" t="s">
        <v>22</v>
      </c>
      <c r="C248" s="5">
        <v>45551</v>
      </c>
      <c r="D248" s="16" t="s">
        <v>23</v>
      </c>
      <c r="E248" s="17" t="s">
        <v>42</v>
      </c>
      <c r="F248" s="9">
        <v>3300</v>
      </c>
      <c r="G248" s="9">
        <v>354</v>
      </c>
      <c r="H248" s="9">
        <v>397</v>
      </c>
      <c r="I248" s="9">
        <v>56773</v>
      </c>
      <c r="J248" s="9">
        <v>72110</v>
      </c>
      <c r="K248" s="9">
        <v>163</v>
      </c>
      <c r="L248" s="16" t="s">
        <v>19</v>
      </c>
      <c r="M248" s="16" t="s">
        <v>364</v>
      </c>
      <c r="N248" s="16" t="s">
        <v>16</v>
      </c>
      <c r="O248" s="1"/>
    </row>
    <row r="249" spans="1:15" ht="30">
      <c r="A249" s="1" t="s">
        <v>278</v>
      </c>
      <c r="B249" s="1" t="s">
        <v>27</v>
      </c>
      <c r="C249" s="5">
        <v>45457</v>
      </c>
      <c r="D249" s="16" t="s">
        <v>48</v>
      </c>
      <c r="E249" s="17" t="s">
        <v>360</v>
      </c>
      <c r="F249" s="9">
        <v>4722</v>
      </c>
      <c r="G249" s="9">
        <v>310</v>
      </c>
      <c r="H249" s="9">
        <v>344</v>
      </c>
      <c r="I249" s="9">
        <v>27911</v>
      </c>
      <c r="J249" s="9">
        <v>19000</v>
      </c>
      <c r="K249" s="9">
        <v>225</v>
      </c>
      <c r="L249" s="16" t="s">
        <v>19</v>
      </c>
      <c r="M249" s="16" t="s">
        <v>37</v>
      </c>
      <c r="N249" s="16" t="s">
        <v>49</v>
      </c>
      <c r="O249" s="1"/>
    </row>
    <row r="250" spans="1:15">
      <c r="A250" s="1" t="s">
        <v>279</v>
      </c>
      <c r="B250" s="1" t="s">
        <v>13</v>
      </c>
      <c r="C250" s="5">
        <v>45357</v>
      </c>
      <c r="D250" s="16" t="s">
        <v>14</v>
      </c>
      <c r="E250" s="17" t="s">
        <v>362</v>
      </c>
      <c r="F250" s="9">
        <v>3529</v>
      </c>
      <c r="G250" s="9">
        <v>263</v>
      </c>
      <c r="H250" s="9">
        <v>107</v>
      </c>
      <c r="I250" s="9">
        <v>26570</v>
      </c>
      <c r="J250" s="9">
        <v>19367</v>
      </c>
      <c r="K250" s="9">
        <v>96</v>
      </c>
      <c r="L250" s="16" t="s">
        <v>19</v>
      </c>
      <c r="M250" s="16"/>
      <c r="N250" s="16" t="s">
        <v>20</v>
      </c>
      <c r="O250" s="1"/>
    </row>
    <row r="251" spans="1:15">
      <c r="A251" s="1" t="s">
        <v>280</v>
      </c>
      <c r="B251" s="1" t="s">
        <v>22</v>
      </c>
      <c r="C251" s="5">
        <v>45792</v>
      </c>
      <c r="D251" s="16" t="s">
        <v>14</v>
      </c>
      <c r="E251" s="17" t="s">
        <v>42</v>
      </c>
      <c r="F251" s="9">
        <v>4782</v>
      </c>
      <c r="G251" s="9">
        <v>210</v>
      </c>
      <c r="H251" s="9">
        <v>311</v>
      </c>
      <c r="I251" s="9">
        <v>29793</v>
      </c>
      <c r="J251" s="9">
        <v>37543</v>
      </c>
      <c r="K251" s="9">
        <v>145</v>
      </c>
      <c r="L251" s="16" t="s">
        <v>34</v>
      </c>
      <c r="M251" s="16"/>
      <c r="N251" s="16" t="s">
        <v>16</v>
      </c>
      <c r="O251" s="1"/>
    </row>
    <row r="252" spans="1:15">
      <c r="A252" s="1" t="s">
        <v>281</v>
      </c>
      <c r="B252" s="1" t="s">
        <v>22</v>
      </c>
      <c r="C252" s="5">
        <v>45480</v>
      </c>
      <c r="D252" s="16" t="s">
        <v>14</v>
      </c>
      <c r="E252" s="17" t="s">
        <v>362</v>
      </c>
      <c r="F252" s="9">
        <v>1848</v>
      </c>
      <c r="G252" s="9">
        <v>417</v>
      </c>
      <c r="H252" s="9">
        <v>294</v>
      </c>
      <c r="I252" s="9">
        <v>57819</v>
      </c>
      <c r="J252" s="9">
        <v>19798</v>
      </c>
      <c r="K252" s="9">
        <v>262</v>
      </c>
      <c r="L252" s="16" t="s">
        <v>37</v>
      </c>
      <c r="M252" s="16"/>
      <c r="N252" s="16" t="s">
        <v>20</v>
      </c>
      <c r="O252" s="1"/>
    </row>
    <row r="253" spans="1:15">
      <c r="A253" s="1" t="s">
        <v>282</v>
      </c>
      <c r="B253" s="1" t="s">
        <v>27</v>
      </c>
      <c r="C253" s="5">
        <v>45591</v>
      </c>
      <c r="D253" s="16" t="s">
        <v>14</v>
      </c>
      <c r="E253" s="17" t="s">
        <v>24</v>
      </c>
      <c r="F253" s="9">
        <v>4676</v>
      </c>
      <c r="G253" s="9">
        <v>211</v>
      </c>
      <c r="H253" s="9">
        <v>55</v>
      </c>
      <c r="I253" s="9">
        <v>45917</v>
      </c>
      <c r="J253" s="9">
        <v>73503</v>
      </c>
      <c r="K253" s="9">
        <v>248</v>
      </c>
      <c r="L253" s="16" t="s">
        <v>19</v>
      </c>
      <c r="M253" s="16" t="s">
        <v>365</v>
      </c>
      <c r="N253" s="16" t="s">
        <v>20</v>
      </c>
      <c r="O253" s="1"/>
    </row>
    <row r="254" spans="1:15">
      <c r="A254" s="1" t="s">
        <v>283</v>
      </c>
      <c r="B254" s="1" t="s">
        <v>27</v>
      </c>
      <c r="C254" s="5">
        <v>45512</v>
      </c>
      <c r="D254" s="16" t="s">
        <v>14</v>
      </c>
      <c r="E254" s="17" t="s">
        <v>363</v>
      </c>
      <c r="F254" s="9">
        <v>1994</v>
      </c>
      <c r="G254" s="9">
        <v>197</v>
      </c>
      <c r="H254" s="9">
        <v>290</v>
      </c>
      <c r="I254" s="9">
        <v>49500</v>
      </c>
      <c r="J254" s="9">
        <v>23343</v>
      </c>
      <c r="K254" s="9">
        <v>160</v>
      </c>
      <c r="L254" s="16" t="s">
        <v>19</v>
      </c>
      <c r="M254" s="16" t="s">
        <v>365</v>
      </c>
      <c r="N254" s="16" t="s">
        <v>20</v>
      </c>
      <c r="O254" s="1"/>
    </row>
    <row r="255" spans="1:15">
      <c r="A255" s="1" t="s">
        <v>284</v>
      </c>
      <c r="B255" s="1" t="s">
        <v>22</v>
      </c>
      <c r="C255" s="5">
        <v>45691</v>
      </c>
      <c r="D255" s="16" t="s">
        <v>14</v>
      </c>
      <c r="E255" s="17" t="s">
        <v>362</v>
      </c>
      <c r="F255" s="9">
        <v>4995</v>
      </c>
      <c r="G255" s="9">
        <v>231</v>
      </c>
      <c r="H255" s="9">
        <v>94</v>
      </c>
      <c r="I255" s="9">
        <v>34431</v>
      </c>
      <c r="J255" s="9">
        <v>32560</v>
      </c>
      <c r="K255" s="9">
        <v>262</v>
      </c>
      <c r="L255" s="16" t="s">
        <v>34</v>
      </c>
      <c r="M255" s="16"/>
      <c r="N255" s="16" t="s">
        <v>16</v>
      </c>
      <c r="O255" s="1"/>
    </row>
    <row r="256" spans="1:15">
      <c r="A256" s="1" t="s">
        <v>285</v>
      </c>
      <c r="B256" s="1" t="s">
        <v>22</v>
      </c>
      <c r="C256" s="5">
        <v>45385</v>
      </c>
      <c r="D256" s="16" t="s">
        <v>23</v>
      </c>
      <c r="E256" s="17" t="s">
        <v>33</v>
      </c>
      <c r="F256" s="9">
        <v>2291</v>
      </c>
      <c r="G256" s="9">
        <v>146</v>
      </c>
      <c r="H256" s="9">
        <v>399</v>
      </c>
      <c r="I256" s="9">
        <v>49319</v>
      </c>
      <c r="J256" s="9">
        <v>28056</v>
      </c>
      <c r="K256" s="9">
        <v>90</v>
      </c>
      <c r="L256" s="16" t="s">
        <v>19</v>
      </c>
      <c r="M256" s="16" t="s">
        <v>364</v>
      </c>
      <c r="N256" s="16" t="s">
        <v>16</v>
      </c>
      <c r="O256" s="1"/>
    </row>
    <row r="257" spans="1:15" ht="30">
      <c r="A257" s="1" t="s">
        <v>286</v>
      </c>
      <c r="B257" s="1" t="s">
        <v>22</v>
      </c>
      <c r="C257" s="5">
        <v>45481</v>
      </c>
      <c r="D257" s="16" t="s">
        <v>23</v>
      </c>
      <c r="E257" s="17" t="s">
        <v>360</v>
      </c>
      <c r="F257" s="9">
        <v>2304</v>
      </c>
      <c r="G257" s="9">
        <v>289</v>
      </c>
      <c r="H257" s="9">
        <v>161</v>
      </c>
      <c r="I257" s="9">
        <v>52645</v>
      </c>
      <c r="J257" s="9">
        <v>66262</v>
      </c>
      <c r="K257" s="9">
        <v>146</v>
      </c>
      <c r="L257" s="16" t="s">
        <v>364</v>
      </c>
      <c r="M257" s="16" t="s">
        <v>34</v>
      </c>
      <c r="N257" s="16" t="s">
        <v>16</v>
      </c>
      <c r="O257" s="1"/>
    </row>
    <row r="258" spans="1:15">
      <c r="A258" s="1" t="s">
        <v>287</v>
      </c>
      <c r="B258" s="1" t="s">
        <v>22</v>
      </c>
      <c r="C258" s="5">
        <v>45451</v>
      </c>
      <c r="D258" s="16" t="s">
        <v>23</v>
      </c>
      <c r="E258" s="17" t="s">
        <v>33</v>
      </c>
      <c r="F258" s="9">
        <v>3413</v>
      </c>
      <c r="G258" s="9">
        <v>326</v>
      </c>
      <c r="H258" s="9">
        <v>86</v>
      </c>
      <c r="I258" s="9">
        <v>44680</v>
      </c>
      <c r="J258" s="9">
        <v>52719</v>
      </c>
      <c r="K258" s="9">
        <v>272</v>
      </c>
      <c r="L258" s="16" t="s">
        <v>19</v>
      </c>
      <c r="M258" s="16" t="s">
        <v>364</v>
      </c>
      <c r="N258" s="16" t="s">
        <v>16</v>
      </c>
      <c r="O258" s="1"/>
    </row>
    <row r="259" spans="1:15">
      <c r="A259" s="1" t="s">
        <v>288</v>
      </c>
      <c r="B259" s="1" t="s">
        <v>27</v>
      </c>
      <c r="C259" s="5">
        <v>45736</v>
      </c>
      <c r="D259" s="16" t="s">
        <v>48</v>
      </c>
      <c r="E259" s="17" t="s">
        <v>363</v>
      </c>
      <c r="F259" s="9">
        <v>1453</v>
      </c>
      <c r="G259" s="9">
        <v>156</v>
      </c>
      <c r="H259" s="9">
        <v>178</v>
      </c>
      <c r="I259" s="9">
        <v>52980</v>
      </c>
      <c r="J259" s="9">
        <v>57180</v>
      </c>
      <c r="K259" s="9">
        <v>286</v>
      </c>
      <c r="L259" s="16" t="s">
        <v>19</v>
      </c>
      <c r="M259" s="16" t="s">
        <v>37</v>
      </c>
      <c r="N259" s="16" t="s">
        <v>49</v>
      </c>
      <c r="O259" s="1"/>
    </row>
    <row r="260" spans="1:15">
      <c r="A260" s="1" t="s">
        <v>289</v>
      </c>
      <c r="B260" s="1" t="s">
        <v>22</v>
      </c>
      <c r="C260" s="5">
        <v>45676</v>
      </c>
      <c r="D260" s="16" t="s">
        <v>23</v>
      </c>
      <c r="E260" s="17" t="s">
        <v>361</v>
      </c>
      <c r="F260" s="9">
        <v>1651</v>
      </c>
      <c r="G260" s="9">
        <v>480</v>
      </c>
      <c r="H260" s="9">
        <v>282</v>
      </c>
      <c r="I260" s="9">
        <v>32140</v>
      </c>
      <c r="J260" s="9">
        <v>70560</v>
      </c>
      <c r="K260" s="9">
        <v>138</v>
      </c>
      <c r="L260" s="16" t="s">
        <v>37</v>
      </c>
      <c r="M260" s="16" t="s">
        <v>34</v>
      </c>
      <c r="N260" s="16" t="s">
        <v>16</v>
      </c>
      <c r="O260" s="1"/>
    </row>
    <row r="261" spans="1:15">
      <c r="A261" s="1" t="s">
        <v>290</v>
      </c>
      <c r="B261" s="1" t="s">
        <v>22</v>
      </c>
      <c r="C261" s="5">
        <v>45662</v>
      </c>
      <c r="D261" s="16" t="s">
        <v>23</v>
      </c>
      <c r="E261" s="17" t="s">
        <v>18</v>
      </c>
      <c r="F261" s="9">
        <v>3341</v>
      </c>
      <c r="G261" s="9">
        <v>154</v>
      </c>
      <c r="H261" s="9">
        <v>123</v>
      </c>
      <c r="I261" s="9">
        <v>43369</v>
      </c>
      <c r="J261" s="9">
        <v>49035</v>
      </c>
      <c r="K261" s="9">
        <v>128</v>
      </c>
      <c r="L261" s="16" t="s">
        <v>364</v>
      </c>
      <c r="M261" s="16" t="s">
        <v>34</v>
      </c>
      <c r="N261" s="16" t="s">
        <v>16</v>
      </c>
      <c r="O261" s="1"/>
    </row>
    <row r="262" spans="1:15">
      <c r="A262" s="1" t="s">
        <v>291</v>
      </c>
      <c r="B262" s="1" t="s">
        <v>22</v>
      </c>
      <c r="C262" s="5">
        <v>45612</v>
      </c>
      <c r="D262" s="16" t="s">
        <v>14</v>
      </c>
      <c r="E262" s="17" t="s">
        <v>363</v>
      </c>
      <c r="F262" s="9">
        <v>2972</v>
      </c>
      <c r="G262" s="9">
        <v>263</v>
      </c>
      <c r="H262" s="9">
        <v>308</v>
      </c>
      <c r="I262" s="9">
        <v>51740</v>
      </c>
      <c r="J262" s="9">
        <v>28214</v>
      </c>
      <c r="K262" s="9">
        <v>190</v>
      </c>
      <c r="L262" s="16" t="s">
        <v>37</v>
      </c>
      <c r="M262" s="16"/>
      <c r="N262" s="16" t="s">
        <v>20</v>
      </c>
      <c r="O262" s="1"/>
    </row>
    <row r="263" spans="1:15">
      <c r="A263" s="1" t="s">
        <v>292</v>
      </c>
      <c r="B263" s="1" t="s">
        <v>22</v>
      </c>
      <c r="C263" s="5">
        <v>45626</v>
      </c>
      <c r="D263" s="16" t="s">
        <v>23</v>
      </c>
      <c r="E263" s="17" t="s">
        <v>18</v>
      </c>
      <c r="F263" s="9">
        <v>4963</v>
      </c>
      <c r="G263" s="9">
        <v>255</v>
      </c>
      <c r="H263" s="9">
        <v>193</v>
      </c>
      <c r="I263" s="9">
        <v>44386</v>
      </c>
      <c r="J263" s="9">
        <v>28415</v>
      </c>
      <c r="K263" s="9">
        <v>174</v>
      </c>
      <c r="L263" s="16" t="s">
        <v>364</v>
      </c>
      <c r="M263" s="16" t="s">
        <v>34</v>
      </c>
      <c r="N263" s="16" t="s">
        <v>16</v>
      </c>
      <c r="O263" s="1"/>
    </row>
    <row r="264" spans="1:15">
      <c r="A264" s="1" t="s">
        <v>293</v>
      </c>
      <c r="B264" s="1" t="s">
        <v>27</v>
      </c>
      <c r="C264" s="5">
        <v>45378</v>
      </c>
      <c r="D264" s="16" t="s">
        <v>14</v>
      </c>
      <c r="E264" s="17" t="s">
        <v>361</v>
      </c>
      <c r="F264" s="9">
        <v>2399</v>
      </c>
      <c r="G264" s="9">
        <v>191</v>
      </c>
      <c r="H264" s="9">
        <v>221</v>
      </c>
      <c r="I264" s="9">
        <v>51603</v>
      </c>
      <c r="J264" s="9">
        <v>40033</v>
      </c>
      <c r="K264" s="9">
        <v>173</v>
      </c>
      <c r="L264" s="16" t="s">
        <v>19</v>
      </c>
      <c r="M264" s="16" t="s">
        <v>365</v>
      </c>
      <c r="N264" s="16" t="s">
        <v>20</v>
      </c>
      <c r="O264" s="1"/>
    </row>
    <row r="265" spans="1:15">
      <c r="A265" s="1" t="s">
        <v>294</v>
      </c>
      <c r="B265" s="1" t="s">
        <v>27</v>
      </c>
      <c r="C265" s="5">
        <v>45808</v>
      </c>
      <c r="D265" s="16" t="s">
        <v>48</v>
      </c>
      <c r="E265" s="17" t="s">
        <v>30</v>
      </c>
      <c r="F265" s="9">
        <v>2162</v>
      </c>
      <c r="G265" s="9">
        <v>318</v>
      </c>
      <c r="H265" s="9">
        <v>83</v>
      </c>
      <c r="I265" s="9">
        <v>46719</v>
      </c>
      <c r="J265" s="9">
        <v>20482</v>
      </c>
      <c r="K265" s="9">
        <v>185</v>
      </c>
      <c r="L265" s="16" t="s">
        <v>19</v>
      </c>
      <c r="M265" s="16" t="s">
        <v>37</v>
      </c>
      <c r="N265" s="16" t="s">
        <v>49</v>
      </c>
      <c r="O265" s="1"/>
    </row>
    <row r="266" spans="1:15">
      <c r="A266" s="1" t="s">
        <v>295</v>
      </c>
      <c r="B266" s="1" t="s">
        <v>22</v>
      </c>
      <c r="C266" s="5">
        <v>45825</v>
      </c>
      <c r="D266" s="16" t="s">
        <v>23</v>
      </c>
      <c r="E266" s="17" t="s">
        <v>18</v>
      </c>
      <c r="F266" s="9">
        <v>4341</v>
      </c>
      <c r="G266" s="9">
        <v>141</v>
      </c>
      <c r="H266" s="9">
        <v>63</v>
      </c>
      <c r="I266" s="9">
        <v>50081</v>
      </c>
      <c r="J266" s="9">
        <v>27507</v>
      </c>
      <c r="K266" s="9">
        <v>221</v>
      </c>
      <c r="L266" s="16" t="s">
        <v>19</v>
      </c>
      <c r="M266" s="16" t="s">
        <v>364</v>
      </c>
      <c r="N266" s="16" t="s">
        <v>16</v>
      </c>
      <c r="O266" s="1"/>
    </row>
    <row r="267" spans="1:15">
      <c r="A267" s="1" t="s">
        <v>296</v>
      </c>
      <c r="B267" s="1" t="s">
        <v>13</v>
      </c>
      <c r="C267" s="5">
        <v>45442</v>
      </c>
      <c r="D267" s="16" t="s">
        <v>23</v>
      </c>
      <c r="E267" s="17" t="s">
        <v>30</v>
      </c>
      <c r="F267" s="9">
        <v>2448</v>
      </c>
      <c r="G267" s="9">
        <v>464</v>
      </c>
      <c r="H267" s="9">
        <v>98</v>
      </c>
      <c r="I267" s="9">
        <v>25737</v>
      </c>
      <c r="J267" s="9">
        <v>48545</v>
      </c>
      <c r="K267" s="9">
        <v>246</v>
      </c>
      <c r="L267" s="16" t="s">
        <v>34</v>
      </c>
      <c r="M267" s="16"/>
      <c r="N267" s="16" t="s">
        <v>46</v>
      </c>
      <c r="O267" s="1"/>
    </row>
    <row r="268" spans="1:15">
      <c r="A268" s="1" t="s">
        <v>297</v>
      </c>
      <c r="B268" s="1" t="s">
        <v>27</v>
      </c>
      <c r="C268" s="5">
        <v>45604</v>
      </c>
      <c r="D268" s="16" t="s">
        <v>14</v>
      </c>
      <c r="E268" s="17" t="s">
        <v>33</v>
      </c>
      <c r="F268" s="9">
        <v>2471</v>
      </c>
      <c r="G268" s="9">
        <v>166</v>
      </c>
      <c r="H268" s="9">
        <v>320</v>
      </c>
      <c r="I268" s="9">
        <v>48254</v>
      </c>
      <c r="J268" s="9">
        <v>46900</v>
      </c>
      <c r="K268" s="9">
        <v>111</v>
      </c>
      <c r="L268" s="16" t="s">
        <v>19</v>
      </c>
      <c r="M268" s="16" t="s">
        <v>365</v>
      </c>
      <c r="N268" s="16" t="s">
        <v>20</v>
      </c>
      <c r="O268" s="1"/>
    </row>
    <row r="269" spans="1:15">
      <c r="A269" s="1" t="s">
        <v>298</v>
      </c>
      <c r="B269" s="1" t="s">
        <v>27</v>
      </c>
      <c r="C269" s="5">
        <v>45368</v>
      </c>
      <c r="D269" s="16" t="s">
        <v>48</v>
      </c>
      <c r="E269" s="17" t="s">
        <v>18</v>
      </c>
      <c r="F269" s="9">
        <v>2692</v>
      </c>
      <c r="G269" s="9">
        <v>446</v>
      </c>
      <c r="H269" s="9">
        <v>216</v>
      </c>
      <c r="I269" s="9">
        <v>45818</v>
      </c>
      <c r="J269" s="9">
        <v>62723</v>
      </c>
      <c r="K269" s="9">
        <v>85</v>
      </c>
      <c r="L269" s="16" t="s">
        <v>19</v>
      </c>
      <c r="M269" s="16" t="s">
        <v>37</v>
      </c>
      <c r="N269" s="16" t="s">
        <v>49</v>
      </c>
      <c r="O269" s="1"/>
    </row>
    <row r="270" spans="1:15">
      <c r="A270" s="1" t="s">
        <v>299</v>
      </c>
      <c r="B270" s="1" t="s">
        <v>27</v>
      </c>
      <c r="C270" s="5">
        <v>45464</v>
      </c>
      <c r="D270" s="16" t="s">
        <v>48</v>
      </c>
      <c r="E270" s="17" t="s">
        <v>361</v>
      </c>
      <c r="F270" s="9">
        <v>4621</v>
      </c>
      <c r="G270" s="9">
        <v>374</v>
      </c>
      <c r="H270" s="9">
        <v>298</v>
      </c>
      <c r="I270" s="9">
        <v>56979</v>
      </c>
      <c r="J270" s="9">
        <v>24098</v>
      </c>
      <c r="K270" s="9">
        <v>205</v>
      </c>
      <c r="L270" s="16" t="s">
        <v>19</v>
      </c>
      <c r="M270" s="16" t="s">
        <v>37</v>
      </c>
      <c r="N270" s="16" t="s">
        <v>49</v>
      </c>
      <c r="O270" s="1"/>
    </row>
    <row r="271" spans="1:15">
      <c r="A271" s="1" t="s">
        <v>300</v>
      </c>
      <c r="B271" s="1" t="s">
        <v>22</v>
      </c>
      <c r="C271" s="5">
        <v>45609</v>
      </c>
      <c r="D271" s="16" t="s">
        <v>23</v>
      </c>
      <c r="E271" s="17" t="s">
        <v>24</v>
      </c>
      <c r="F271" s="9">
        <v>1409</v>
      </c>
      <c r="G271" s="9">
        <v>466</v>
      </c>
      <c r="H271" s="9">
        <v>105</v>
      </c>
      <c r="I271" s="9">
        <v>58923</v>
      </c>
      <c r="J271" s="9">
        <v>38753</v>
      </c>
      <c r="K271" s="9">
        <v>265</v>
      </c>
      <c r="L271" s="16" t="s">
        <v>19</v>
      </c>
      <c r="M271" s="16" t="s">
        <v>364</v>
      </c>
      <c r="N271" s="16" t="s">
        <v>16</v>
      </c>
      <c r="O271" s="1"/>
    </row>
    <row r="272" spans="1:15">
      <c r="A272" s="1" t="s">
        <v>301</v>
      </c>
      <c r="B272" s="1" t="s">
        <v>22</v>
      </c>
      <c r="C272" s="5">
        <v>45693</v>
      </c>
      <c r="D272" s="16" t="s">
        <v>23</v>
      </c>
      <c r="E272" s="17" t="s">
        <v>15</v>
      </c>
      <c r="F272" s="9">
        <v>3029</v>
      </c>
      <c r="G272" s="9">
        <v>440</v>
      </c>
      <c r="H272" s="9">
        <v>66</v>
      </c>
      <c r="I272" s="9">
        <v>23815</v>
      </c>
      <c r="J272" s="9">
        <v>47895</v>
      </c>
      <c r="K272" s="9">
        <v>210</v>
      </c>
      <c r="L272" s="16" t="s">
        <v>19</v>
      </c>
      <c r="M272" s="16" t="s">
        <v>364</v>
      </c>
      <c r="N272" s="16" t="s">
        <v>16</v>
      </c>
      <c r="O272" s="1"/>
    </row>
    <row r="273" spans="1:15">
      <c r="A273" s="1" t="s">
        <v>302</v>
      </c>
      <c r="B273" s="1" t="s">
        <v>22</v>
      </c>
      <c r="C273" s="5">
        <v>45603</v>
      </c>
      <c r="D273" s="16" t="s">
        <v>14</v>
      </c>
      <c r="E273" s="17" t="s">
        <v>18</v>
      </c>
      <c r="F273" s="9">
        <v>2229</v>
      </c>
      <c r="G273" s="9">
        <v>395</v>
      </c>
      <c r="H273" s="9">
        <v>328</v>
      </c>
      <c r="I273" s="9">
        <v>56921</v>
      </c>
      <c r="J273" s="9">
        <v>37176</v>
      </c>
      <c r="K273" s="9">
        <v>126</v>
      </c>
      <c r="L273" s="16" t="s">
        <v>37</v>
      </c>
      <c r="M273" s="16"/>
      <c r="N273" s="16" t="s">
        <v>20</v>
      </c>
      <c r="O273" s="1"/>
    </row>
    <row r="274" spans="1:15">
      <c r="A274" s="1" t="s">
        <v>303</v>
      </c>
      <c r="B274" s="1" t="s">
        <v>22</v>
      </c>
      <c r="C274" s="5">
        <v>45334</v>
      </c>
      <c r="D274" s="16" t="s">
        <v>14</v>
      </c>
      <c r="E274" s="17" t="s">
        <v>18</v>
      </c>
      <c r="F274" s="9">
        <v>2691</v>
      </c>
      <c r="G274" s="9">
        <v>486</v>
      </c>
      <c r="H274" s="9">
        <v>206</v>
      </c>
      <c r="I274" s="9">
        <v>51133</v>
      </c>
      <c r="J274" s="9">
        <v>44583</v>
      </c>
      <c r="K274" s="9">
        <v>276</v>
      </c>
      <c r="L274" s="16" t="s">
        <v>34</v>
      </c>
      <c r="M274" s="16"/>
      <c r="N274" s="16" t="s">
        <v>16</v>
      </c>
      <c r="O274" s="1"/>
    </row>
    <row r="275" spans="1:15">
      <c r="A275" s="1" t="s">
        <v>304</v>
      </c>
      <c r="B275" s="1" t="s">
        <v>13</v>
      </c>
      <c r="C275" s="5">
        <v>45573</v>
      </c>
      <c r="D275" s="16" t="s">
        <v>14</v>
      </c>
      <c r="E275" s="17" t="s">
        <v>18</v>
      </c>
      <c r="F275" s="9">
        <v>2110</v>
      </c>
      <c r="G275" s="9">
        <v>384</v>
      </c>
      <c r="H275" s="9">
        <v>236</v>
      </c>
      <c r="I275" s="9">
        <v>49965</v>
      </c>
      <c r="J275" s="9">
        <v>61555</v>
      </c>
      <c r="K275" s="9">
        <v>195</v>
      </c>
      <c r="L275" s="16" t="s">
        <v>19</v>
      </c>
      <c r="M275" s="16"/>
      <c r="N275" s="16" t="s">
        <v>20</v>
      </c>
      <c r="O275" s="1"/>
    </row>
    <row r="276" spans="1:15" ht="30">
      <c r="A276" s="1" t="s">
        <v>305</v>
      </c>
      <c r="B276" s="1" t="s">
        <v>13</v>
      </c>
      <c r="C276" s="5">
        <v>45341</v>
      </c>
      <c r="D276" s="16" t="s">
        <v>14</v>
      </c>
      <c r="E276" s="17" t="s">
        <v>360</v>
      </c>
      <c r="F276" s="9">
        <v>4752</v>
      </c>
      <c r="G276" s="9">
        <v>449</v>
      </c>
      <c r="H276" s="9">
        <v>309</v>
      </c>
      <c r="I276" s="9">
        <v>58530</v>
      </c>
      <c r="J276" s="9">
        <v>26630</v>
      </c>
      <c r="K276" s="9">
        <v>234</v>
      </c>
      <c r="L276" s="16" t="s">
        <v>19</v>
      </c>
      <c r="M276" s="16"/>
      <c r="N276" s="16" t="s">
        <v>20</v>
      </c>
      <c r="O276" s="1"/>
    </row>
    <row r="277" spans="1:15">
      <c r="A277" s="1" t="s">
        <v>306</v>
      </c>
      <c r="B277" s="1" t="s">
        <v>22</v>
      </c>
      <c r="C277" s="5">
        <v>45720</v>
      </c>
      <c r="D277" s="16" t="s">
        <v>14</v>
      </c>
      <c r="E277" s="17" t="s">
        <v>15</v>
      </c>
      <c r="F277" s="9">
        <v>2177</v>
      </c>
      <c r="G277" s="9">
        <v>258</v>
      </c>
      <c r="H277" s="9">
        <v>292</v>
      </c>
      <c r="I277" s="9">
        <v>47276</v>
      </c>
      <c r="J277" s="9">
        <v>51324</v>
      </c>
      <c r="K277" s="9">
        <v>143</v>
      </c>
      <c r="L277" s="16" t="s">
        <v>34</v>
      </c>
      <c r="M277" s="16"/>
      <c r="N277" s="16" t="s">
        <v>16</v>
      </c>
      <c r="O277" s="1"/>
    </row>
    <row r="278" spans="1:15">
      <c r="A278" s="1" t="s">
        <v>307</v>
      </c>
      <c r="B278" s="1" t="s">
        <v>13</v>
      </c>
      <c r="C278" s="5">
        <v>45691</v>
      </c>
      <c r="D278" s="16" t="s">
        <v>23</v>
      </c>
      <c r="E278" s="17" t="s">
        <v>24</v>
      </c>
      <c r="F278" s="9">
        <v>1205</v>
      </c>
      <c r="G278" s="9">
        <v>486</v>
      </c>
      <c r="H278" s="9">
        <v>269</v>
      </c>
      <c r="I278" s="9">
        <v>23341</v>
      </c>
      <c r="J278" s="9">
        <v>42411</v>
      </c>
      <c r="K278" s="9">
        <v>184</v>
      </c>
      <c r="L278" s="16" t="s">
        <v>34</v>
      </c>
      <c r="M278" s="16"/>
      <c r="N278" s="16" t="s">
        <v>46</v>
      </c>
      <c r="O278" s="1"/>
    </row>
    <row r="279" spans="1:15">
      <c r="A279" s="1" t="s">
        <v>308</v>
      </c>
      <c r="B279" s="1" t="s">
        <v>13</v>
      </c>
      <c r="C279" s="5">
        <v>45628</v>
      </c>
      <c r="D279" s="16" t="s">
        <v>14</v>
      </c>
      <c r="E279" s="17" t="s">
        <v>33</v>
      </c>
      <c r="F279" s="9">
        <v>3194</v>
      </c>
      <c r="G279" s="9">
        <v>292</v>
      </c>
      <c r="H279" s="9">
        <v>245</v>
      </c>
      <c r="I279" s="9">
        <v>56371</v>
      </c>
      <c r="J279" s="9">
        <v>65597</v>
      </c>
      <c r="K279" s="9">
        <v>163</v>
      </c>
      <c r="L279" s="16" t="s">
        <v>37</v>
      </c>
      <c r="M279" s="16" t="s">
        <v>34</v>
      </c>
      <c r="N279" s="16" t="s">
        <v>16</v>
      </c>
      <c r="O279" s="1"/>
    </row>
    <row r="280" spans="1:15">
      <c r="A280" s="1" t="s">
        <v>309</v>
      </c>
      <c r="B280" s="1" t="s">
        <v>22</v>
      </c>
      <c r="C280" s="5">
        <v>45676</v>
      </c>
      <c r="D280" s="16" t="s">
        <v>23</v>
      </c>
      <c r="E280" s="17" t="s">
        <v>24</v>
      </c>
      <c r="F280" s="9">
        <v>3507</v>
      </c>
      <c r="G280" s="9">
        <v>295</v>
      </c>
      <c r="H280" s="9">
        <v>371</v>
      </c>
      <c r="I280" s="9">
        <v>20410</v>
      </c>
      <c r="J280" s="9">
        <v>53965</v>
      </c>
      <c r="K280" s="9">
        <v>212</v>
      </c>
      <c r="L280" s="16" t="s">
        <v>37</v>
      </c>
      <c r="M280" s="16" t="s">
        <v>34</v>
      </c>
      <c r="N280" s="16" t="s">
        <v>16</v>
      </c>
      <c r="O280" s="1"/>
    </row>
    <row r="281" spans="1:15" ht="30">
      <c r="A281" s="1" t="s">
        <v>310</v>
      </c>
      <c r="B281" s="1" t="s">
        <v>22</v>
      </c>
      <c r="C281" s="5">
        <v>45563</v>
      </c>
      <c r="D281" s="16" t="s">
        <v>23</v>
      </c>
      <c r="E281" s="17" t="s">
        <v>360</v>
      </c>
      <c r="F281" s="9">
        <v>4471</v>
      </c>
      <c r="G281" s="9">
        <v>317</v>
      </c>
      <c r="H281" s="9">
        <v>249</v>
      </c>
      <c r="I281" s="9">
        <v>44862</v>
      </c>
      <c r="J281" s="9">
        <v>33365</v>
      </c>
      <c r="K281" s="9">
        <v>184</v>
      </c>
      <c r="L281" s="16" t="s">
        <v>19</v>
      </c>
      <c r="M281" s="16" t="s">
        <v>364</v>
      </c>
      <c r="N281" s="16" t="s">
        <v>16</v>
      </c>
      <c r="O281" s="1"/>
    </row>
    <row r="282" spans="1:15">
      <c r="A282" s="1" t="s">
        <v>311</v>
      </c>
      <c r="B282" s="1" t="s">
        <v>13</v>
      </c>
      <c r="C282" s="5">
        <v>45298</v>
      </c>
      <c r="D282" s="16" t="s">
        <v>14</v>
      </c>
      <c r="E282" s="17" t="s">
        <v>33</v>
      </c>
      <c r="F282" s="9">
        <v>4931</v>
      </c>
      <c r="G282" s="9">
        <v>469</v>
      </c>
      <c r="H282" s="9">
        <v>193</v>
      </c>
      <c r="I282" s="9">
        <v>56701</v>
      </c>
      <c r="J282" s="9">
        <v>69437</v>
      </c>
      <c r="K282" s="9">
        <v>291</v>
      </c>
      <c r="L282" s="16" t="s">
        <v>37</v>
      </c>
      <c r="M282" s="16" t="s">
        <v>34</v>
      </c>
      <c r="N282" s="16" t="s">
        <v>16</v>
      </c>
      <c r="O282" s="1"/>
    </row>
    <row r="283" spans="1:15">
      <c r="A283" s="1" t="s">
        <v>312</v>
      </c>
      <c r="B283" s="1" t="s">
        <v>22</v>
      </c>
      <c r="C283" s="5">
        <v>45343</v>
      </c>
      <c r="D283" s="16" t="s">
        <v>23</v>
      </c>
      <c r="E283" s="17" t="s">
        <v>30</v>
      </c>
      <c r="F283" s="9">
        <v>2604</v>
      </c>
      <c r="G283" s="9">
        <v>439</v>
      </c>
      <c r="H283" s="9">
        <v>148</v>
      </c>
      <c r="I283" s="9">
        <v>58468</v>
      </c>
      <c r="J283" s="9">
        <v>39629</v>
      </c>
      <c r="K283" s="9">
        <v>163</v>
      </c>
      <c r="L283" s="16" t="s">
        <v>364</v>
      </c>
      <c r="M283" s="16" t="s">
        <v>34</v>
      </c>
      <c r="N283" s="16" t="s">
        <v>16</v>
      </c>
      <c r="O283" s="1"/>
    </row>
    <row r="284" spans="1:15">
      <c r="A284" s="1" t="s">
        <v>313</v>
      </c>
      <c r="B284" s="1" t="s">
        <v>13</v>
      </c>
      <c r="C284" s="5">
        <v>45531</v>
      </c>
      <c r="D284" s="16" t="s">
        <v>14</v>
      </c>
      <c r="E284" s="17" t="s">
        <v>361</v>
      </c>
      <c r="F284" s="9">
        <v>4197</v>
      </c>
      <c r="G284" s="9">
        <v>359</v>
      </c>
      <c r="H284" s="9">
        <v>280</v>
      </c>
      <c r="I284" s="9">
        <v>56048</v>
      </c>
      <c r="J284" s="9">
        <v>70930</v>
      </c>
      <c r="K284" s="9">
        <v>295</v>
      </c>
      <c r="L284" s="16" t="s">
        <v>19</v>
      </c>
      <c r="M284" s="16"/>
      <c r="N284" s="16" t="s">
        <v>20</v>
      </c>
      <c r="O284" s="1"/>
    </row>
    <row r="285" spans="1:15">
      <c r="A285" s="1" t="s">
        <v>314</v>
      </c>
      <c r="B285" s="1" t="s">
        <v>13</v>
      </c>
      <c r="C285" s="5">
        <v>45589</v>
      </c>
      <c r="D285" s="16" t="s">
        <v>23</v>
      </c>
      <c r="E285" s="17" t="s">
        <v>33</v>
      </c>
      <c r="F285" s="9">
        <v>1914</v>
      </c>
      <c r="G285" s="9">
        <v>255</v>
      </c>
      <c r="H285" s="9">
        <v>156</v>
      </c>
      <c r="I285" s="9">
        <v>27660</v>
      </c>
      <c r="J285" s="9">
        <v>47776</v>
      </c>
      <c r="K285" s="9">
        <v>111</v>
      </c>
      <c r="L285" s="16" t="s">
        <v>34</v>
      </c>
      <c r="M285" s="16"/>
      <c r="N285" s="16" t="s">
        <v>46</v>
      </c>
      <c r="O285" s="1"/>
    </row>
    <row r="286" spans="1:15">
      <c r="A286" s="1" t="s">
        <v>315</v>
      </c>
      <c r="B286" s="1" t="s">
        <v>27</v>
      </c>
      <c r="C286" s="5">
        <v>45686</v>
      </c>
      <c r="D286" s="16" t="s">
        <v>14</v>
      </c>
      <c r="E286" s="17" t="s">
        <v>24</v>
      </c>
      <c r="F286" s="9">
        <v>1334</v>
      </c>
      <c r="G286" s="9">
        <v>357</v>
      </c>
      <c r="H286" s="9">
        <v>257</v>
      </c>
      <c r="I286" s="9">
        <v>56910</v>
      </c>
      <c r="J286" s="9">
        <v>70606</v>
      </c>
      <c r="K286" s="9">
        <v>228</v>
      </c>
      <c r="L286" s="16" t="s">
        <v>19</v>
      </c>
      <c r="M286" s="16" t="s">
        <v>365</v>
      </c>
      <c r="N286" s="16" t="s">
        <v>20</v>
      </c>
      <c r="O286" s="1"/>
    </row>
    <row r="287" spans="1:15">
      <c r="A287" s="1" t="s">
        <v>316</v>
      </c>
      <c r="B287" s="1" t="s">
        <v>13</v>
      </c>
      <c r="C287" s="5">
        <v>45413</v>
      </c>
      <c r="D287" s="16" t="s">
        <v>14</v>
      </c>
      <c r="E287" s="17" t="s">
        <v>30</v>
      </c>
      <c r="F287" s="9">
        <v>3359</v>
      </c>
      <c r="G287" s="9">
        <v>137</v>
      </c>
      <c r="H287" s="9">
        <v>387</v>
      </c>
      <c r="I287" s="9">
        <v>33861</v>
      </c>
      <c r="J287" s="9">
        <v>47257</v>
      </c>
      <c r="K287" s="9">
        <v>198</v>
      </c>
      <c r="L287" s="16" t="s">
        <v>19</v>
      </c>
      <c r="M287" s="16"/>
      <c r="N287" s="16" t="s">
        <v>20</v>
      </c>
      <c r="O287" s="1"/>
    </row>
    <row r="288" spans="1:15">
      <c r="A288" s="1" t="s">
        <v>317</v>
      </c>
      <c r="B288" s="1" t="s">
        <v>27</v>
      </c>
      <c r="C288" s="5">
        <v>45468</v>
      </c>
      <c r="D288" s="16" t="s">
        <v>14</v>
      </c>
      <c r="E288" s="17" t="s">
        <v>42</v>
      </c>
      <c r="F288" s="9">
        <v>2172</v>
      </c>
      <c r="G288" s="9">
        <v>338</v>
      </c>
      <c r="H288" s="9">
        <v>70</v>
      </c>
      <c r="I288" s="9">
        <v>30515</v>
      </c>
      <c r="J288" s="9">
        <v>57853</v>
      </c>
      <c r="K288" s="9">
        <v>156</v>
      </c>
      <c r="L288" s="16" t="s">
        <v>19</v>
      </c>
      <c r="M288" s="16" t="s">
        <v>365</v>
      </c>
      <c r="N288" s="16" t="s">
        <v>20</v>
      </c>
      <c r="O288" s="1"/>
    </row>
    <row r="289" spans="1:15">
      <c r="A289" s="1" t="s">
        <v>318</v>
      </c>
      <c r="B289" s="1" t="s">
        <v>22</v>
      </c>
      <c r="C289" s="5">
        <v>45513</v>
      </c>
      <c r="D289" s="16" t="s">
        <v>23</v>
      </c>
      <c r="E289" s="17" t="s">
        <v>363</v>
      </c>
      <c r="F289" s="9">
        <v>4877</v>
      </c>
      <c r="G289" s="9">
        <v>442</v>
      </c>
      <c r="H289" s="9">
        <v>236</v>
      </c>
      <c r="I289" s="9">
        <v>52673</v>
      </c>
      <c r="J289" s="9">
        <v>48241</v>
      </c>
      <c r="K289" s="9">
        <v>114</v>
      </c>
      <c r="L289" s="16" t="s">
        <v>19</v>
      </c>
      <c r="M289" s="16" t="s">
        <v>364</v>
      </c>
      <c r="N289" s="16" t="s">
        <v>16</v>
      </c>
      <c r="O289" s="1"/>
    </row>
    <row r="290" spans="1:15">
      <c r="A290" s="1" t="s">
        <v>319</v>
      </c>
      <c r="B290" s="1" t="s">
        <v>13</v>
      </c>
      <c r="C290" s="5">
        <v>45678</v>
      </c>
      <c r="D290" s="16" t="s">
        <v>23</v>
      </c>
      <c r="E290" s="17" t="s">
        <v>24</v>
      </c>
      <c r="F290" s="9">
        <v>4918</v>
      </c>
      <c r="G290" s="9">
        <v>440</v>
      </c>
      <c r="H290" s="9">
        <v>149</v>
      </c>
      <c r="I290" s="9">
        <v>53269</v>
      </c>
      <c r="J290" s="9">
        <v>64370</v>
      </c>
      <c r="K290" s="9">
        <v>269</v>
      </c>
      <c r="L290" s="16" t="s">
        <v>34</v>
      </c>
      <c r="M290" s="16"/>
      <c r="N290" s="16" t="s">
        <v>46</v>
      </c>
      <c r="O290" s="1"/>
    </row>
    <row r="291" spans="1:15">
      <c r="A291" s="1" t="s">
        <v>320</v>
      </c>
      <c r="B291" s="1" t="s">
        <v>22</v>
      </c>
      <c r="C291" s="5">
        <v>45517</v>
      </c>
      <c r="D291" s="16" t="s">
        <v>14</v>
      </c>
      <c r="E291" s="17" t="s">
        <v>18</v>
      </c>
      <c r="F291" s="9">
        <v>3418</v>
      </c>
      <c r="G291" s="9">
        <v>107</v>
      </c>
      <c r="H291" s="9">
        <v>221</v>
      </c>
      <c r="I291" s="9">
        <v>23927</v>
      </c>
      <c r="J291" s="9">
        <v>26182</v>
      </c>
      <c r="K291" s="9">
        <v>155</v>
      </c>
      <c r="L291" s="16" t="s">
        <v>37</v>
      </c>
      <c r="M291" s="16"/>
      <c r="N291" s="16" t="s">
        <v>20</v>
      </c>
      <c r="O291" s="1"/>
    </row>
    <row r="292" spans="1:15">
      <c r="A292" s="1" t="s">
        <v>321</v>
      </c>
      <c r="B292" s="1" t="s">
        <v>13</v>
      </c>
      <c r="C292" s="5">
        <v>45472</v>
      </c>
      <c r="D292" s="16" t="s">
        <v>14</v>
      </c>
      <c r="E292" s="17" t="s">
        <v>42</v>
      </c>
      <c r="F292" s="9">
        <v>2088</v>
      </c>
      <c r="G292" s="9">
        <v>490</v>
      </c>
      <c r="H292" s="9">
        <v>124</v>
      </c>
      <c r="I292" s="9">
        <v>46544</v>
      </c>
      <c r="J292" s="9">
        <v>69346</v>
      </c>
      <c r="K292" s="9">
        <v>178</v>
      </c>
      <c r="L292" s="16" t="s">
        <v>37</v>
      </c>
      <c r="M292" s="16" t="s">
        <v>34</v>
      </c>
      <c r="N292" s="16" t="s">
        <v>16</v>
      </c>
      <c r="O292" s="1"/>
    </row>
    <row r="293" spans="1:15">
      <c r="A293" s="1" t="s">
        <v>322</v>
      </c>
      <c r="B293" s="1" t="s">
        <v>22</v>
      </c>
      <c r="C293" s="5">
        <v>45599</v>
      </c>
      <c r="D293" s="16" t="s">
        <v>23</v>
      </c>
      <c r="E293" s="17" t="s">
        <v>18</v>
      </c>
      <c r="F293" s="9">
        <v>3061</v>
      </c>
      <c r="G293" s="9">
        <v>320</v>
      </c>
      <c r="H293" s="9">
        <v>76</v>
      </c>
      <c r="I293" s="9">
        <v>26640</v>
      </c>
      <c r="J293" s="9">
        <v>24306</v>
      </c>
      <c r="K293" s="9">
        <v>112</v>
      </c>
      <c r="L293" s="16" t="s">
        <v>364</v>
      </c>
      <c r="M293" s="16" t="s">
        <v>34</v>
      </c>
      <c r="N293" s="16" t="s">
        <v>16</v>
      </c>
      <c r="O293" s="1"/>
    </row>
    <row r="294" spans="1:15">
      <c r="A294" s="1" t="s">
        <v>323</v>
      </c>
      <c r="B294" s="1" t="s">
        <v>27</v>
      </c>
      <c r="C294" s="5">
        <v>45765</v>
      </c>
      <c r="D294" s="16" t="s">
        <v>48</v>
      </c>
      <c r="E294" s="17" t="s">
        <v>42</v>
      </c>
      <c r="F294" s="9">
        <v>1265</v>
      </c>
      <c r="G294" s="9">
        <v>230</v>
      </c>
      <c r="H294" s="9">
        <v>364</v>
      </c>
      <c r="I294" s="9">
        <v>41312</v>
      </c>
      <c r="J294" s="9">
        <v>50382</v>
      </c>
      <c r="K294" s="9">
        <v>106</v>
      </c>
      <c r="L294" s="16" t="s">
        <v>19</v>
      </c>
      <c r="M294" s="16" t="s">
        <v>37</v>
      </c>
      <c r="N294" s="16" t="s">
        <v>49</v>
      </c>
      <c r="O294" s="1"/>
    </row>
    <row r="295" spans="1:15">
      <c r="A295" s="1" t="s">
        <v>324</v>
      </c>
      <c r="B295" s="1" t="s">
        <v>13</v>
      </c>
      <c r="C295" s="5">
        <v>45653</v>
      </c>
      <c r="D295" s="16" t="s">
        <v>14</v>
      </c>
      <c r="E295" s="17" t="s">
        <v>363</v>
      </c>
      <c r="F295" s="9">
        <v>1436</v>
      </c>
      <c r="G295" s="9">
        <v>219</v>
      </c>
      <c r="H295" s="9">
        <v>229</v>
      </c>
      <c r="I295" s="9">
        <v>58488</v>
      </c>
      <c r="J295" s="9">
        <v>24314</v>
      </c>
      <c r="K295" s="9">
        <v>147</v>
      </c>
      <c r="L295" s="16" t="s">
        <v>19</v>
      </c>
      <c r="M295" s="16"/>
      <c r="N295" s="16" t="s">
        <v>20</v>
      </c>
      <c r="O295" s="1"/>
    </row>
    <row r="296" spans="1:15">
      <c r="A296" s="1" t="s">
        <v>325</v>
      </c>
      <c r="B296" s="1" t="s">
        <v>13</v>
      </c>
      <c r="C296" s="5">
        <v>45724</v>
      </c>
      <c r="D296" s="16" t="s">
        <v>23</v>
      </c>
      <c r="E296" s="17" t="s">
        <v>33</v>
      </c>
      <c r="F296" s="9">
        <v>2244</v>
      </c>
      <c r="G296" s="9">
        <v>392</v>
      </c>
      <c r="H296" s="9">
        <v>231</v>
      </c>
      <c r="I296" s="9">
        <v>25834</v>
      </c>
      <c r="J296" s="9">
        <v>50906</v>
      </c>
      <c r="K296" s="9">
        <v>165</v>
      </c>
      <c r="L296" s="16" t="s">
        <v>34</v>
      </c>
      <c r="M296" s="16"/>
      <c r="N296" s="16" t="s">
        <v>46</v>
      </c>
      <c r="O296" s="1"/>
    </row>
    <row r="297" spans="1:15">
      <c r="A297" s="1" t="s">
        <v>326</v>
      </c>
      <c r="B297" s="1" t="s">
        <v>22</v>
      </c>
      <c r="C297" s="5">
        <v>45736</v>
      </c>
      <c r="D297" s="16" t="s">
        <v>23</v>
      </c>
      <c r="E297" s="17" t="s">
        <v>42</v>
      </c>
      <c r="F297" s="9">
        <v>3393</v>
      </c>
      <c r="G297" s="9">
        <v>104</v>
      </c>
      <c r="H297" s="9">
        <v>79</v>
      </c>
      <c r="I297" s="9">
        <v>30025</v>
      </c>
      <c r="J297" s="9">
        <v>21593</v>
      </c>
      <c r="K297" s="9">
        <v>165</v>
      </c>
      <c r="L297" s="16" t="s">
        <v>364</v>
      </c>
      <c r="M297" s="16" t="s">
        <v>34</v>
      </c>
      <c r="N297" s="16" t="s">
        <v>16</v>
      </c>
      <c r="O297" s="1"/>
    </row>
    <row r="298" spans="1:15">
      <c r="A298" s="1" t="s">
        <v>327</v>
      </c>
      <c r="B298" s="1" t="s">
        <v>22</v>
      </c>
      <c r="C298" s="5">
        <v>45612</v>
      </c>
      <c r="D298" s="16" t="s">
        <v>14</v>
      </c>
      <c r="E298" s="17" t="s">
        <v>18</v>
      </c>
      <c r="F298" s="9">
        <v>2901</v>
      </c>
      <c r="G298" s="9">
        <v>108</v>
      </c>
      <c r="H298" s="9">
        <v>86</v>
      </c>
      <c r="I298" s="9">
        <v>51777</v>
      </c>
      <c r="J298" s="9">
        <v>23773</v>
      </c>
      <c r="K298" s="9">
        <v>160</v>
      </c>
      <c r="L298" s="16" t="s">
        <v>37</v>
      </c>
      <c r="M298" s="16"/>
      <c r="N298" s="16" t="s">
        <v>20</v>
      </c>
      <c r="O298" s="1"/>
    </row>
    <row r="299" spans="1:15">
      <c r="A299" s="1" t="s">
        <v>328</v>
      </c>
      <c r="B299" s="1" t="s">
        <v>22</v>
      </c>
      <c r="C299" s="5">
        <v>45838</v>
      </c>
      <c r="D299" s="16" t="s">
        <v>14</v>
      </c>
      <c r="E299" s="17" t="s">
        <v>362</v>
      </c>
      <c r="F299" s="9">
        <v>2275</v>
      </c>
      <c r="G299" s="9">
        <v>285</v>
      </c>
      <c r="H299" s="9">
        <v>125</v>
      </c>
      <c r="I299" s="9">
        <v>43970</v>
      </c>
      <c r="J299" s="9">
        <v>74761</v>
      </c>
      <c r="K299" s="9">
        <v>83</v>
      </c>
      <c r="L299" s="16" t="s">
        <v>34</v>
      </c>
      <c r="M299" s="16"/>
      <c r="N299" s="16" t="s">
        <v>16</v>
      </c>
      <c r="O299" s="1"/>
    </row>
    <row r="300" spans="1:15" ht="30">
      <c r="A300" s="1" t="s">
        <v>329</v>
      </c>
      <c r="B300" s="1" t="s">
        <v>22</v>
      </c>
      <c r="C300" s="5">
        <v>45303</v>
      </c>
      <c r="D300" s="16" t="s">
        <v>23</v>
      </c>
      <c r="E300" s="17" t="s">
        <v>360</v>
      </c>
      <c r="F300" s="9">
        <v>2227</v>
      </c>
      <c r="G300" s="9">
        <v>494</v>
      </c>
      <c r="H300" s="9">
        <v>161</v>
      </c>
      <c r="I300" s="9">
        <v>51651</v>
      </c>
      <c r="J300" s="9">
        <v>68074</v>
      </c>
      <c r="K300" s="9">
        <v>240</v>
      </c>
      <c r="L300" s="16" t="s">
        <v>19</v>
      </c>
      <c r="M300" s="16" t="s">
        <v>364</v>
      </c>
      <c r="N300" s="16" t="s">
        <v>16</v>
      </c>
      <c r="O300" s="1"/>
    </row>
    <row r="301" spans="1:15">
      <c r="A301" s="1" t="s">
        <v>330</v>
      </c>
      <c r="B301" s="1" t="s">
        <v>13</v>
      </c>
      <c r="C301" s="5">
        <v>45329</v>
      </c>
      <c r="D301" s="16" t="s">
        <v>14</v>
      </c>
      <c r="E301" s="17" t="s">
        <v>361</v>
      </c>
      <c r="F301" s="9">
        <v>1883</v>
      </c>
      <c r="G301" s="9">
        <v>432</v>
      </c>
      <c r="H301" s="9">
        <v>397</v>
      </c>
      <c r="I301" s="9">
        <v>28759</v>
      </c>
      <c r="J301" s="9">
        <v>18691</v>
      </c>
      <c r="K301" s="9">
        <v>270</v>
      </c>
      <c r="L301" s="16" t="s">
        <v>37</v>
      </c>
      <c r="M301" s="16" t="s">
        <v>34</v>
      </c>
      <c r="N301" s="16" t="s">
        <v>16</v>
      </c>
      <c r="O301" s="1"/>
    </row>
    <row r="302" spans="1:15">
      <c r="A302" s="1"/>
      <c r="B302" s="1"/>
      <c r="C302" s="5"/>
      <c r="D302" s="16"/>
      <c r="E302" s="17"/>
      <c r="F302" s="9" t="e">
        <f xml:space="preserve"> AVERAGEIFS(Table18[Likes],Table18[Platform],#REF!, Table18[Content Type],#REF!)</f>
        <v>#DIV/0!</v>
      </c>
      <c r="G302" s="9"/>
      <c r="H302" s="9"/>
      <c r="I302" s="9"/>
      <c r="J302" s="9"/>
      <c r="K302" s="9"/>
      <c r="L302" s="16"/>
      <c r="M302" s="16"/>
      <c r="N302" s="16"/>
    </row>
  </sheetData>
  <mergeCells count="1">
    <mergeCell ref="Z23:AE23"/>
  </mergeCells>
  <pageMargins left="0.7" right="0.7" top="0.75" bottom="0.75" header="0" footer="0"/>
  <pageSetup orientation="landscape"/>
  <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3EBEA-9E18-43F0-B416-FAD47EDF12B7}">
  <dimension ref="A1:W302"/>
  <sheetViews>
    <sheetView topLeftCell="B1" zoomScale="70" zoomScaleNormal="70" workbookViewId="0">
      <pane ySplit="1" topLeftCell="A2" activePane="bottomLeft" state="frozen"/>
      <selection activeCell="F1" sqref="F1"/>
      <selection pane="bottomLeft" activeCell="Z27" sqref="Z27"/>
    </sheetView>
  </sheetViews>
  <sheetFormatPr defaultColWidth="14.42578125" defaultRowHeight="15.75"/>
  <cols>
    <col min="1" max="1" width="10.42578125" style="2" hidden="1" customWidth="1"/>
    <col min="2" max="2" width="11.5703125" style="2" customWidth="1"/>
    <col min="3" max="3" width="13.5703125" style="6" hidden="1" customWidth="1"/>
    <col min="4" max="4" width="16.85546875" style="18" customWidth="1"/>
    <col min="5" max="5" width="41.28515625" style="18" hidden="1" customWidth="1"/>
    <col min="6" max="6" width="8.5703125" style="10" customWidth="1"/>
    <col min="7" max="7" width="10.28515625" style="10" customWidth="1"/>
    <col min="8" max="8" width="13.85546875" style="10" customWidth="1"/>
    <col min="9" max="9" width="15.42578125" style="10" customWidth="1"/>
    <col min="10" max="10" width="9.5703125" style="10" customWidth="1"/>
    <col min="11" max="11" width="9.28515625" style="10" customWidth="1"/>
    <col min="12" max="13" width="19.7109375" style="18" hidden="1" customWidth="1"/>
    <col min="14" max="14" width="20" style="18" hidden="1" customWidth="1"/>
    <col min="15" max="15" width="17.5703125" style="2" customWidth="1"/>
    <col min="16" max="16" width="13.42578125" style="15" bestFit="1" customWidth="1"/>
    <col min="17" max="17" width="15.5703125" style="15" bestFit="1" customWidth="1"/>
    <col min="18" max="18" width="22.140625" style="15" bestFit="1" customWidth="1"/>
    <col min="19" max="19" width="20.85546875" style="13" bestFit="1" customWidth="1"/>
    <col min="20" max="20" width="16.42578125" style="2" bestFit="1" customWidth="1"/>
    <col min="21" max="21" width="17" style="2" bestFit="1" customWidth="1"/>
    <col min="22" max="22" width="17.140625" style="2" bestFit="1" customWidth="1"/>
    <col min="23" max="23" width="12.85546875" style="2" bestFit="1" customWidth="1"/>
    <col min="24" max="24" width="10.28515625" style="2" bestFit="1" customWidth="1"/>
    <col min="25" max="25" width="15" style="2" bestFit="1" customWidth="1"/>
    <col min="26" max="26" width="15.28515625" style="2" bestFit="1" customWidth="1"/>
    <col min="27" max="27" width="10.5703125" style="2" bestFit="1" customWidth="1"/>
    <col min="28" max="28" width="9.5703125" style="2" bestFit="1" customWidth="1"/>
    <col min="29" max="16384" width="14.42578125" style="2"/>
  </cols>
  <sheetData>
    <row r="1" spans="1:23" s="14" customFormat="1">
      <c r="A1" s="19" t="s">
        <v>0</v>
      </c>
      <c r="B1" s="19" t="s">
        <v>1</v>
      </c>
      <c r="C1" s="20" t="s">
        <v>2</v>
      </c>
      <c r="D1" s="19" t="s">
        <v>3</v>
      </c>
      <c r="E1" s="19" t="s">
        <v>4</v>
      </c>
      <c r="F1" s="21" t="s">
        <v>5</v>
      </c>
      <c r="G1" s="21" t="s">
        <v>6</v>
      </c>
      <c r="H1" s="21" t="s">
        <v>7</v>
      </c>
      <c r="I1" s="21" t="s">
        <v>8</v>
      </c>
      <c r="J1" s="21" t="s">
        <v>9</v>
      </c>
      <c r="K1" s="21" t="s">
        <v>10</v>
      </c>
      <c r="L1" s="19" t="s">
        <v>358</v>
      </c>
      <c r="M1" s="19" t="s">
        <v>359</v>
      </c>
      <c r="N1" s="19" t="s">
        <v>11</v>
      </c>
      <c r="O1" s="19"/>
      <c r="P1" s="24"/>
      <c r="Q1" s="24"/>
      <c r="R1" s="24"/>
      <c r="S1" s="22"/>
      <c r="T1" s="2"/>
    </row>
    <row r="2" spans="1:23">
      <c r="A2" s="1" t="s">
        <v>12</v>
      </c>
      <c r="B2" s="1" t="s">
        <v>13</v>
      </c>
      <c r="C2" s="5">
        <v>45781</v>
      </c>
      <c r="D2" s="16" t="s">
        <v>14</v>
      </c>
      <c r="E2" s="17" t="s">
        <v>15</v>
      </c>
      <c r="F2" s="9">
        <v>2414</v>
      </c>
      <c r="G2" s="9">
        <v>245</v>
      </c>
      <c r="H2" s="9">
        <v>137</v>
      </c>
      <c r="I2" s="9">
        <v>21181</v>
      </c>
      <c r="J2" s="9">
        <v>45292</v>
      </c>
      <c r="K2" s="9">
        <v>133</v>
      </c>
      <c r="L2" s="16" t="s">
        <v>37</v>
      </c>
      <c r="M2" s="16" t="s">
        <v>34</v>
      </c>
      <c r="N2" s="16" t="s">
        <v>16</v>
      </c>
      <c r="O2" s="1"/>
      <c r="P2"/>
      <c r="Q2"/>
      <c r="W2" s="31"/>
    </row>
    <row r="3" spans="1:23">
      <c r="A3" s="1" t="s">
        <v>17</v>
      </c>
      <c r="B3" s="1" t="s">
        <v>13</v>
      </c>
      <c r="C3" s="5">
        <v>45689</v>
      </c>
      <c r="D3" s="16" t="s">
        <v>14</v>
      </c>
      <c r="E3" s="17" t="s">
        <v>18</v>
      </c>
      <c r="F3" s="9">
        <v>1934</v>
      </c>
      <c r="G3" s="9">
        <v>210</v>
      </c>
      <c r="H3" s="9">
        <v>393</v>
      </c>
      <c r="I3" s="9">
        <v>29129</v>
      </c>
      <c r="J3" s="9">
        <v>73287</v>
      </c>
      <c r="K3" s="9">
        <v>273</v>
      </c>
      <c r="L3" s="16" t="s">
        <v>19</v>
      </c>
      <c r="M3" s="16"/>
      <c r="N3" s="16" t="s">
        <v>20</v>
      </c>
      <c r="O3" s="1"/>
    </row>
    <row r="4" spans="1:23" ht="15">
      <c r="A4" s="1" t="s">
        <v>21</v>
      </c>
      <c r="B4" s="1" t="s">
        <v>22</v>
      </c>
      <c r="C4" s="5">
        <v>45629</v>
      </c>
      <c r="D4" s="16" t="s">
        <v>23</v>
      </c>
      <c r="E4" s="17" t="s">
        <v>24</v>
      </c>
      <c r="F4" s="9">
        <v>3092</v>
      </c>
      <c r="G4" s="9">
        <v>177</v>
      </c>
      <c r="H4" s="9">
        <v>81</v>
      </c>
      <c r="I4" s="9">
        <v>47533</v>
      </c>
      <c r="J4" s="9">
        <v>29220</v>
      </c>
      <c r="K4" s="9">
        <v>121</v>
      </c>
      <c r="L4" s="16" t="s">
        <v>364</v>
      </c>
      <c r="M4" s="16" t="s">
        <v>34</v>
      </c>
      <c r="N4" s="16" t="s">
        <v>16</v>
      </c>
      <c r="O4" s="1"/>
      <c r="P4" s="26" t="s">
        <v>376</v>
      </c>
      <c r="Q4" t="s">
        <v>385</v>
      </c>
      <c r="R4" t="s">
        <v>386</v>
      </c>
      <c r="S4" t="s">
        <v>387</v>
      </c>
      <c r="T4" t="s">
        <v>388</v>
      </c>
      <c r="U4" t="s">
        <v>381</v>
      </c>
      <c r="V4" t="s">
        <v>384</v>
      </c>
    </row>
    <row r="5" spans="1:23" ht="30">
      <c r="A5" s="1" t="s">
        <v>25</v>
      </c>
      <c r="B5" s="1" t="s">
        <v>13</v>
      </c>
      <c r="C5" s="5">
        <v>45629</v>
      </c>
      <c r="D5" s="16" t="s">
        <v>14</v>
      </c>
      <c r="E5" s="17" t="s">
        <v>360</v>
      </c>
      <c r="F5" s="9">
        <v>3173</v>
      </c>
      <c r="G5" s="9">
        <v>229</v>
      </c>
      <c r="H5" s="9">
        <v>197</v>
      </c>
      <c r="I5" s="9">
        <v>29604</v>
      </c>
      <c r="J5" s="9">
        <v>21809</v>
      </c>
      <c r="K5" s="9">
        <v>272</v>
      </c>
      <c r="L5" s="16" t="s">
        <v>37</v>
      </c>
      <c r="M5" s="16" t="s">
        <v>34</v>
      </c>
      <c r="N5" s="16" t="s">
        <v>16</v>
      </c>
      <c r="O5" s="1"/>
      <c r="P5" s="27" t="s">
        <v>48</v>
      </c>
      <c r="Q5" s="29">
        <v>3099</v>
      </c>
      <c r="R5" s="29">
        <v>42546.65517241379</v>
      </c>
      <c r="S5" s="29">
        <v>235.37931034482759</v>
      </c>
      <c r="T5" s="29">
        <v>42312.448275862072</v>
      </c>
      <c r="U5" s="29">
        <v>313.31034482758622</v>
      </c>
      <c r="V5" s="29">
        <v>5557</v>
      </c>
    </row>
    <row r="6" spans="1:23" ht="15">
      <c r="A6" s="1" t="s">
        <v>26</v>
      </c>
      <c r="B6" s="1" t="s">
        <v>27</v>
      </c>
      <c r="C6" s="5">
        <v>45388</v>
      </c>
      <c r="D6" s="16" t="s">
        <v>14</v>
      </c>
      <c r="E6" s="17" t="s">
        <v>361</v>
      </c>
      <c r="F6" s="9">
        <v>2748</v>
      </c>
      <c r="G6" s="9">
        <v>145</v>
      </c>
      <c r="H6" s="9">
        <v>315</v>
      </c>
      <c r="I6" s="9">
        <v>24401</v>
      </c>
      <c r="J6" s="9">
        <v>61182</v>
      </c>
      <c r="K6" s="9">
        <v>200</v>
      </c>
      <c r="L6" s="16" t="s">
        <v>19</v>
      </c>
      <c r="M6" s="16" t="s">
        <v>365</v>
      </c>
      <c r="N6" s="16" t="s">
        <v>20</v>
      </c>
      <c r="O6" s="1"/>
      <c r="P6" s="28" t="s">
        <v>27</v>
      </c>
      <c r="Q6" s="29">
        <v>3099</v>
      </c>
      <c r="R6" s="29">
        <v>42546.65517241379</v>
      </c>
      <c r="S6" s="29">
        <v>235.37931034482759</v>
      </c>
      <c r="T6" s="29">
        <v>42312.448275862072</v>
      </c>
      <c r="U6" s="29">
        <v>313.31034482758622</v>
      </c>
      <c r="V6" s="29">
        <v>5557</v>
      </c>
      <c r="W6" s="10"/>
    </row>
    <row r="7" spans="1:23" ht="15">
      <c r="A7" s="1" t="s">
        <v>28</v>
      </c>
      <c r="B7" s="1" t="s">
        <v>27</v>
      </c>
      <c r="C7" s="5">
        <v>45456</v>
      </c>
      <c r="D7" s="16" t="s">
        <v>14</v>
      </c>
      <c r="E7" s="17" t="s">
        <v>362</v>
      </c>
      <c r="F7" s="9">
        <v>3882</v>
      </c>
      <c r="G7" s="9">
        <v>239</v>
      </c>
      <c r="H7" s="9">
        <v>275</v>
      </c>
      <c r="I7" s="9">
        <v>58748</v>
      </c>
      <c r="J7" s="9">
        <v>44646</v>
      </c>
      <c r="K7" s="9">
        <v>149</v>
      </c>
      <c r="L7" s="16" t="s">
        <v>19</v>
      </c>
      <c r="M7" s="16" t="s">
        <v>365</v>
      </c>
      <c r="N7" s="16" t="s">
        <v>20</v>
      </c>
      <c r="O7" s="1"/>
      <c r="P7" s="27" t="s">
        <v>23</v>
      </c>
      <c r="Q7" s="29">
        <v>3035.6181818181817</v>
      </c>
      <c r="R7" s="29">
        <v>41256.145454545454</v>
      </c>
      <c r="S7" s="29">
        <v>219.07272727272726</v>
      </c>
      <c r="T7" s="29">
        <v>45385.445454545457</v>
      </c>
      <c r="U7" s="29">
        <v>313.5181818181818</v>
      </c>
      <c r="V7" s="29">
        <v>20628</v>
      </c>
    </row>
    <row r="8" spans="1:23" ht="15">
      <c r="A8" s="1" t="s">
        <v>29</v>
      </c>
      <c r="B8" s="1" t="s">
        <v>22</v>
      </c>
      <c r="C8" s="5">
        <v>45645</v>
      </c>
      <c r="D8" s="16" t="s">
        <v>23</v>
      </c>
      <c r="E8" s="17" t="s">
        <v>30</v>
      </c>
      <c r="F8" s="9">
        <v>4674</v>
      </c>
      <c r="G8" s="9">
        <v>409</v>
      </c>
      <c r="H8" s="9">
        <v>327</v>
      </c>
      <c r="I8" s="9">
        <v>20756</v>
      </c>
      <c r="J8" s="9">
        <v>63599</v>
      </c>
      <c r="K8" s="9">
        <v>212</v>
      </c>
      <c r="L8" s="16" t="s">
        <v>37</v>
      </c>
      <c r="M8" s="16" t="s">
        <v>34</v>
      </c>
      <c r="N8" s="16" t="s">
        <v>16</v>
      </c>
      <c r="O8" s="1"/>
      <c r="P8" s="28" t="s">
        <v>13</v>
      </c>
      <c r="Q8" s="29">
        <v>2687.608695652174</v>
      </c>
      <c r="R8" s="29">
        <v>37626.34782608696</v>
      </c>
      <c r="S8" s="29">
        <v>245.91304347826087</v>
      </c>
      <c r="T8" s="29">
        <v>49179.17391304348</v>
      </c>
      <c r="U8" s="29">
        <v>347.52173913043481</v>
      </c>
      <c r="V8" s="29">
        <v>4614</v>
      </c>
    </row>
    <row r="9" spans="1:23" ht="30">
      <c r="A9" s="1" t="s">
        <v>31</v>
      </c>
      <c r="B9" s="1" t="s">
        <v>22</v>
      </c>
      <c r="C9" s="5">
        <v>45421</v>
      </c>
      <c r="D9" s="16" t="s">
        <v>23</v>
      </c>
      <c r="E9" s="17" t="s">
        <v>360</v>
      </c>
      <c r="F9" s="9">
        <v>1428</v>
      </c>
      <c r="G9" s="9">
        <v>347</v>
      </c>
      <c r="H9" s="9">
        <v>67</v>
      </c>
      <c r="I9" s="9">
        <v>21148</v>
      </c>
      <c r="J9" s="9">
        <v>19712</v>
      </c>
      <c r="K9" s="9">
        <v>120</v>
      </c>
      <c r="L9" s="16" t="s">
        <v>19</v>
      </c>
      <c r="M9" s="16" t="s">
        <v>364</v>
      </c>
      <c r="N9" s="16" t="s">
        <v>16</v>
      </c>
      <c r="O9" s="1"/>
      <c r="P9" s="28" t="s">
        <v>22</v>
      </c>
      <c r="Q9" s="29">
        <v>3127.6206896551726</v>
      </c>
      <c r="R9" s="29">
        <v>42215.747126436785</v>
      </c>
      <c r="S9" s="29">
        <v>211.97701149425288</v>
      </c>
      <c r="T9" s="29">
        <v>44382.505747126437</v>
      </c>
      <c r="U9" s="29">
        <v>304.5287356321839</v>
      </c>
      <c r="V9" s="29">
        <v>16014</v>
      </c>
    </row>
    <row r="10" spans="1:23" ht="15">
      <c r="A10" s="1" t="s">
        <v>32</v>
      </c>
      <c r="B10" s="1" t="s">
        <v>22</v>
      </c>
      <c r="C10" s="5">
        <v>45823</v>
      </c>
      <c r="D10" s="16" t="s">
        <v>14</v>
      </c>
      <c r="E10" s="17" t="s">
        <v>33</v>
      </c>
      <c r="F10" s="9">
        <v>4432</v>
      </c>
      <c r="G10" s="9">
        <v>223</v>
      </c>
      <c r="H10" s="9">
        <v>299</v>
      </c>
      <c r="I10" s="9">
        <v>59016</v>
      </c>
      <c r="J10" s="9">
        <v>21742</v>
      </c>
      <c r="K10" s="9">
        <v>171</v>
      </c>
      <c r="L10" s="16" t="s">
        <v>34</v>
      </c>
      <c r="M10" s="16"/>
      <c r="N10" s="16" t="s">
        <v>16</v>
      </c>
      <c r="O10" s="1"/>
      <c r="P10" s="27" t="s">
        <v>14</v>
      </c>
      <c r="Q10" s="29">
        <v>2940.2857142857142</v>
      </c>
      <c r="R10" s="29">
        <v>41604.987577639753</v>
      </c>
      <c r="S10" s="29">
        <v>224.48447204968943</v>
      </c>
      <c r="T10" s="29">
        <v>45327.65217391304</v>
      </c>
      <c r="U10" s="29">
        <v>309.49068322981367</v>
      </c>
      <c r="V10" s="29">
        <v>31411</v>
      </c>
    </row>
    <row r="11" spans="1:23" ht="30">
      <c r="A11" s="1" t="s">
        <v>35</v>
      </c>
      <c r="B11" s="1" t="s">
        <v>22</v>
      </c>
      <c r="C11" s="5">
        <v>45630</v>
      </c>
      <c r="D11" s="16" t="s">
        <v>14</v>
      </c>
      <c r="E11" s="17" t="s">
        <v>360</v>
      </c>
      <c r="F11" s="9">
        <v>2357</v>
      </c>
      <c r="G11" s="9">
        <v>274</v>
      </c>
      <c r="H11" s="9">
        <v>172</v>
      </c>
      <c r="I11" s="9">
        <v>21566</v>
      </c>
      <c r="J11" s="9">
        <v>66829</v>
      </c>
      <c r="K11" s="9">
        <v>284</v>
      </c>
      <c r="L11" s="16" t="s">
        <v>34</v>
      </c>
      <c r="M11" s="16"/>
      <c r="N11" s="16" t="s">
        <v>16</v>
      </c>
      <c r="O11" s="1"/>
      <c r="P11" s="28" t="s">
        <v>13</v>
      </c>
      <c r="Q11" s="29">
        <v>2873.6060606060605</v>
      </c>
      <c r="R11" s="29">
        <v>40728.530303030304</v>
      </c>
      <c r="S11" s="29">
        <v>229.72727272727272</v>
      </c>
      <c r="T11" s="29">
        <v>46817.848484848488</v>
      </c>
      <c r="U11" s="29">
        <v>322.60606060606062</v>
      </c>
      <c r="V11" s="29">
        <v>12803</v>
      </c>
    </row>
    <row r="12" spans="1:23" ht="15">
      <c r="A12" s="1" t="s">
        <v>36</v>
      </c>
      <c r="B12" s="1" t="s">
        <v>22</v>
      </c>
      <c r="C12" s="5">
        <v>45357</v>
      </c>
      <c r="D12" s="16" t="s">
        <v>14</v>
      </c>
      <c r="E12" s="17" t="s">
        <v>15</v>
      </c>
      <c r="F12" s="9">
        <v>1971</v>
      </c>
      <c r="G12" s="9">
        <v>370</v>
      </c>
      <c r="H12" s="9">
        <v>306</v>
      </c>
      <c r="I12" s="9">
        <v>31316</v>
      </c>
      <c r="J12" s="9">
        <v>27897</v>
      </c>
      <c r="K12" s="9">
        <v>88</v>
      </c>
      <c r="L12" s="16" t="s">
        <v>37</v>
      </c>
      <c r="M12" s="16"/>
      <c r="N12" s="16" t="s">
        <v>20</v>
      </c>
      <c r="O12" s="1"/>
      <c r="P12" s="28" t="s">
        <v>22</v>
      </c>
      <c r="Q12" s="29">
        <v>2921.1803278688526</v>
      </c>
      <c r="R12" s="29">
        <v>40429.163934426229</v>
      </c>
      <c r="S12" s="29">
        <v>215.32786885245901</v>
      </c>
      <c r="T12" s="29">
        <v>44063.426229508194</v>
      </c>
      <c r="U12" s="29">
        <v>311.5409836065574</v>
      </c>
      <c r="V12" s="29">
        <v>11520</v>
      </c>
    </row>
    <row r="13" spans="1:23" ht="15">
      <c r="A13" s="1" t="s">
        <v>38</v>
      </c>
      <c r="B13" s="1" t="s">
        <v>13</v>
      </c>
      <c r="C13" s="5">
        <v>45426</v>
      </c>
      <c r="D13" s="16" t="s">
        <v>14</v>
      </c>
      <c r="E13" s="17" t="s">
        <v>15</v>
      </c>
      <c r="F13" s="9">
        <v>1485</v>
      </c>
      <c r="G13" s="9">
        <v>353</v>
      </c>
      <c r="H13" s="9">
        <v>244</v>
      </c>
      <c r="I13" s="9">
        <v>38419</v>
      </c>
      <c r="J13" s="9">
        <v>38556</v>
      </c>
      <c r="K13" s="9">
        <v>86</v>
      </c>
      <c r="L13" s="16" t="s">
        <v>37</v>
      </c>
      <c r="M13" s="16" t="s">
        <v>34</v>
      </c>
      <c r="N13" s="16" t="s">
        <v>16</v>
      </c>
      <c r="O13" s="1"/>
      <c r="P13" s="28" t="s">
        <v>27</v>
      </c>
      <c r="Q13" s="29">
        <v>3104</v>
      </c>
      <c r="R13" s="29">
        <v>45415.911764705881</v>
      </c>
      <c r="S13" s="29">
        <v>230.73529411764707</v>
      </c>
      <c r="T13" s="29">
        <v>44703.088235294119</v>
      </c>
      <c r="U13" s="29">
        <v>280.35294117647061</v>
      </c>
      <c r="V13" s="29">
        <v>7088</v>
      </c>
    </row>
    <row r="14" spans="1:23" ht="15">
      <c r="A14" s="1" t="s">
        <v>39</v>
      </c>
      <c r="B14" s="1" t="s">
        <v>22</v>
      </c>
      <c r="C14" s="5">
        <v>45826</v>
      </c>
      <c r="D14" s="16" t="s">
        <v>23</v>
      </c>
      <c r="E14" s="17" t="s">
        <v>15</v>
      </c>
      <c r="F14" s="9">
        <v>3956</v>
      </c>
      <c r="G14" s="9">
        <v>319</v>
      </c>
      <c r="H14" s="9">
        <v>61</v>
      </c>
      <c r="I14" s="9">
        <v>58162</v>
      </c>
      <c r="J14" s="9">
        <v>28720</v>
      </c>
      <c r="K14" s="9">
        <v>213</v>
      </c>
      <c r="L14" s="16" t="s">
        <v>364</v>
      </c>
      <c r="M14" s="16" t="s">
        <v>34</v>
      </c>
      <c r="N14" s="16" t="s">
        <v>16</v>
      </c>
      <c r="O14" s="1"/>
      <c r="P14" s="27" t="s">
        <v>377</v>
      </c>
      <c r="Q14" s="29">
        <v>2990.5833333333335</v>
      </c>
      <c r="R14" s="29">
        <v>41568.106666666667</v>
      </c>
      <c r="S14" s="29">
        <v>223.55333333333334</v>
      </c>
      <c r="T14" s="29">
        <v>45057.373333333337</v>
      </c>
      <c r="U14" s="29">
        <v>311.33666666666664</v>
      </c>
      <c r="V14" s="29">
        <v>57596</v>
      </c>
    </row>
    <row r="15" spans="1:23" ht="15">
      <c r="A15" s="1" t="s">
        <v>40</v>
      </c>
      <c r="B15" s="1" t="s">
        <v>22</v>
      </c>
      <c r="C15" s="5">
        <v>45573</v>
      </c>
      <c r="D15" s="16" t="s">
        <v>14</v>
      </c>
      <c r="E15" s="17" t="s">
        <v>363</v>
      </c>
      <c r="F15" s="9">
        <v>2460</v>
      </c>
      <c r="G15" s="9">
        <v>409</v>
      </c>
      <c r="H15" s="9">
        <v>253</v>
      </c>
      <c r="I15" s="9">
        <v>36702</v>
      </c>
      <c r="J15" s="9">
        <v>46122</v>
      </c>
      <c r="K15" s="9">
        <v>264</v>
      </c>
      <c r="L15" s="16" t="s">
        <v>34</v>
      </c>
      <c r="M15" s="16"/>
      <c r="N15" s="16" t="s">
        <v>16</v>
      </c>
      <c r="O15" s="1"/>
      <c r="P15"/>
      <c r="Q15"/>
      <c r="R15"/>
      <c r="S15"/>
      <c r="T15"/>
      <c r="U15"/>
      <c r="V15"/>
    </row>
    <row r="16" spans="1:23" ht="15">
      <c r="A16" s="1" t="s">
        <v>41</v>
      </c>
      <c r="B16" s="1" t="s">
        <v>22</v>
      </c>
      <c r="C16" s="5">
        <v>45418</v>
      </c>
      <c r="D16" s="16" t="s">
        <v>14</v>
      </c>
      <c r="E16" s="17" t="s">
        <v>42</v>
      </c>
      <c r="F16" s="9">
        <v>3476</v>
      </c>
      <c r="G16" s="9">
        <v>355</v>
      </c>
      <c r="H16" s="9">
        <v>396</v>
      </c>
      <c r="I16" s="9">
        <v>37492</v>
      </c>
      <c r="J16" s="9">
        <v>27285</v>
      </c>
      <c r="K16" s="9">
        <v>179</v>
      </c>
      <c r="L16" s="16" t="s">
        <v>34</v>
      </c>
      <c r="M16" s="16"/>
      <c r="N16" s="16" t="s">
        <v>16</v>
      </c>
      <c r="O16" s="1"/>
      <c r="P16"/>
      <c r="Q16"/>
      <c r="R16"/>
      <c r="S16"/>
      <c r="T16"/>
      <c r="U16"/>
      <c r="V16"/>
    </row>
    <row r="17" spans="1:18" ht="15">
      <c r="A17" s="1" t="s">
        <v>43</v>
      </c>
      <c r="B17" s="1" t="s">
        <v>22</v>
      </c>
      <c r="C17" s="5">
        <v>45655</v>
      </c>
      <c r="D17" s="16" t="s">
        <v>23</v>
      </c>
      <c r="E17" s="17" t="s">
        <v>24</v>
      </c>
      <c r="F17" s="9">
        <v>4049</v>
      </c>
      <c r="G17" s="9">
        <v>377</v>
      </c>
      <c r="H17" s="9">
        <v>94</v>
      </c>
      <c r="I17" s="9">
        <v>48182</v>
      </c>
      <c r="J17" s="9">
        <v>42875</v>
      </c>
      <c r="K17" s="9">
        <v>172</v>
      </c>
      <c r="L17" s="16" t="s">
        <v>364</v>
      </c>
      <c r="M17" s="16" t="s">
        <v>34</v>
      </c>
      <c r="N17" s="16" t="s">
        <v>16</v>
      </c>
      <c r="O17" s="1"/>
      <c r="P17"/>
      <c r="Q17"/>
      <c r="R17"/>
    </row>
    <row r="18" spans="1:18" ht="15">
      <c r="A18" s="1" t="s">
        <v>44</v>
      </c>
      <c r="B18" s="1" t="s">
        <v>22</v>
      </c>
      <c r="C18" s="5">
        <v>45453</v>
      </c>
      <c r="D18" s="16" t="s">
        <v>14</v>
      </c>
      <c r="E18" s="17" t="s">
        <v>362</v>
      </c>
      <c r="F18" s="9">
        <v>1514</v>
      </c>
      <c r="G18" s="9">
        <v>164</v>
      </c>
      <c r="H18" s="9">
        <v>275</v>
      </c>
      <c r="I18" s="9">
        <v>41364</v>
      </c>
      <c r="J18" s="9">
        <v>44389</v>
      </c>
      <c r="K18" s="9">
        <v>83</v>
      </c>
      <c r="L18" s="16" t="s">
        <v>34</v>
      </c>
      <c r="M18" s="16"/>
      <c r="N18" s="16" t="s">
        <v>16</v>
      </c>
      <c r="O18" s="1"/>
      <c r="P18"/>
      <c r="Q18"/>
      <c r="R18"/>
    </row>
    <row r="19" spans="1:18" ht="15">
      <c r="A19" s="1" t="s">
        <v>45</v>
      </c>
      <c r="B19" s="1" t="s">
        <v>13</v>
      </c>
      <c r="C19" s="5">
        <v>45325</v>
      </c>
      <c r="D19" s="16" t="s">
        <v>23</v>
      </c>
      <c r="E19" s="17" t="s">
        <v>361</v>
      </c>
      <c r="F19" s="9">
        <v>4281</v>
      </c>
      <c r="G19" s="9">
        <v>101</v>
      </c>
      <c r="H19" s="9">
        <v>163</v>
      </c>
      <c r="I19" s="9">
        <v>32278</v>
      </c>
      <c r="J19" s="9">
        <v>53382</v>
      </c>
      <c r="K19" s="9">
        <v>235</v>
      </c>
      <c r="L19" s="16" t="s">
        <v>34</v>
      </c>
      <c r="M19" s="16"/>
      <c r="N19" s="16" t="s">
        <v>46</v>
      </c>
      <c r="O19" s="1"/>
      <c r="P19"/>
      <c r="Q19"/>
      <c r="R19"/>
    </row>
    <row r="20" spans="1:18" ht="15">
      <c r="A20" s="1" t="s">
        <v>47</v>
      </c>
      <c r="B20" s="1" t="s">
        <v>27</v>
      </c>
      <c r="C20" s="5">
        <v>45458</v>
      </c>
      <c r="D20" s="16" t="s">
        <v>48</v>
      </c>
      <c r="E20" s="17" t="s">
        <v>30</v>
      </c>
      <c r="F20" s="9">
        <v>1751</v>
      </c>
      <c r="G20" s="9">
        <v>143</v>
      </c>
      <c r="H20" s="9">
        <v>151</v>
      </c>
      <c r="I20" s="9">
        <v>31826</v>
      </c>
      <c r="J20" s="9">
        <v>47729</v>
      </c>
      <c r="K20" s="9">
        <v>95</v>
      </c>
      <c r="L20" s="16" t="s">
        <v>19</v>
      </c>
      <c r="M20" s="16" t="s">
        <v>37</v>
      </c>
      <c r="N20" s="16" t="s">
        <v>49</v>
      </c>
      <c r="O20" s="1"/>
      <c r="P20"/>
      <c r="Q20"/>
      <c r="R20"/>
    </row>
    <row r="21" spans="1:18" ht="15">
      <c r="A21" s="1" t="s">
        <v>50</v>
      </c>
      <c r="B21" s="1" t="s">
        <v>13</v>
      </c>
      <c r="C21" s="5">
        <v>45478</v>
      </c>
      <c r="D21" s="16" t="s">
        <v>14</v>
      </c>
      <c r="E21" s="17" t="s">
        <v>42</v>
      </c>
      <c r="F21" s="9">
        <v>3753</v>
      </c>
      <c r="G21" s="9">
        <v>411</v>
      </c>
      <c r="H21" s="9">
        <v>308</v>
      </c>
      <c r="I21" s="9">
        <v>29138</v>
      </c>
      <c r="J21" s="9">
        <v>27678</v>
      </c>
      <c r="K21" s="9">
        <v>90</v>
      </c>
      <c r="L21" s="16" t="s">
        <v>19</v>
      </c>
      <c r="M21" s="16"/>
      <c r="N21" s="16" t="s">
        <v>20</v>
      </c>
      <c r="O21" s="1"/>
      <c r="P21"/>
      <c r="Q21"/>
      <c r="R21"/>
    </row>
    <row r="22" spans="1:18" ht="30">
      <c r="A22" s="1" t="s">
        <v>51</v>
      </c>
      <c r="B22" s="1" t="s">
        <v>13</v>
      </c>
      <c r="C22" s="5">
        <v>45603</v>
      </c>
      <c r="D22" s="16" t="s">
        <v>23</v>
      </c>
      <c r="E22" s="17" t="s">
        <v>360</v>
      </c>
      <c r="F22" s="9">
        <v>1678</v>
      </c>
      <c r="G22" s="9">
        <v>423</v>
      </c>
      <c r="H22" s="9">
        <v>323</v>
      </c>
      <c r="I22" s="9">
        <v>55668</v>
      </c>
      <c r="J22" s="9">
        <v>37945</v>
      </c>
      <c r="K22" s="9">
        <v>230</v>
      </c>
      <c r="L22" s="16" t="s">
        <v>34</v>
      </c>
      <c r="M22" s="16"/>
      <c r="N22" s="16" t="s">
        <v>46</v>
      </c>
      <c r="O22" s="1"/>
      <c r="P22"/>
      <c r="Q22"/>
      <c r="R22"/>
    </row>
    <row r="23" spans="1:18">
      <c r="A23" s="1" t="s">
        <v>52</v>
      </c>
      <c r="B23" s="1" t="s">
        <v>13</v>
      </c>
      <c r="C23" s="5">
        <v>45823</v>
      </c>
      <c r="D23" s="16" t="s">
        <v>14</v>
      </c>
      <c r="E23" s="17" t="s">
        <v>362</v>
      </c>
      <c r="F23" s="9">
        <v>4896</v>
      </c>
      <c r="G23" s="9">
        <v>466</v>
      </c>
      <c r="H23" s="9">
        <v>233</v>
      </c>
      <c r="I23" s="9">
        <v>28621</v>
      </c>
      <c r="J23" s="9">
        <v>34270</v>
      </c>
      <c r="K23" s="9">
        <v>84</v>
      </c>
      <c r="L23" s="16" t="s">
        <v>37</v>
      </c>
      <c r="M23" s="16" t="s">
        <v>34</v>
      </c>
      <c r="N23" s="16" t="s">
        <v>16</v>
      </c>
      <c r="O23" s="1"/>
    </row>
    <row r="24" spans="1:18">
      <c r="A24" s="1" t="s">
        <v>53</v>
      </c>
      <c r="B24" s="1" t="s">
        <v>27</v>
      </c>
      <c r="C24" s="5">
        <v>45452</v>
      </c>
      <c r="D24" s="16" t="s">
        <v>48</v>
      </c>
      <c r="E24" s="17" t="s">
        <v>363</v>
      </c>
      <c r="F24" s="9">
        <v>2786</v>
      </c>
      <c r="G24" s="9">
        <v>368</v>
      </c>
      <c r="H24" s="9">
        <v>208</v>
      </c>
      <c r="I24" s="9">
        <v>42000</v>
      </c>
      <c r="J24" s="9">
        <v>39967</v>
      </c>
      <c r="K24" s="9">
        <v>103</v>
      </c>
      <c r="L24" s="16" t="s">
        <v>19</v>
      </c>
      <c r="M24" s="16" t="s">
        <v>37</v>
      </c>
      <c r="N24" s="16" t="s">
        <v>49</v>
      </c>
      <c r="O24" s="1"/>
    </row>
    <row r="25" spans="1:18">
      <c r="A25" s="1" t="s">
        <v>54</v>
      </c>
      <c r="B25" s="1" t="s">
        <v>22</v>
      </c>
      <c r="C25" s="5">
        <v>45583</v>
      </c>
      <c r="D25" s="16" t="s">
        <v>14</v>
      </c>
      <c r="E25" s="17" t="s">
        <v>24</v>
      </c>
      <c r="F25" s="9">
        <v>2607</v>
      </c>
      <c r="G25" s="9">
        <v>379</v>
      </c>
      <c r="H25" s="9">
        <v>180</v>
      </c>
      <c r="I25" s="9">
        <v>28712</v>
      </c>
      <c r="J25" s="9">
        <v>61620</v>
      </c>
      <c r="K25" s="9">
        <v>174</v>
      </c>
      <c r="L25" s="16" t="s">
        <v>37</v>
      </c>
      <c r="M25" s="16"/>
      <c r="N25" s="16" t="s">
        <v>20</v>
      </c>
      <c r="O25" s="1"/>
    </row>
    <row r="26" spans="1:18">
      <c r="A26" s="1" t="s">
        <v>55</v>
      </c>
      <c r="B26" s="1" t="s">
        <v>27</v>
      </c>
      <c r="C26" s="5">
        <v>45575</v>
      </c>
      <c r="D26" s="16" t="s">
        <v>48</v>
      </c>
      <c r="E26" s="17" t="s">
        <v>363</v>
      </c>
      <c r="F26" s="9">
        <v>4013</v>
      </c>
      <c r="G26" s="9">
        <v>320</v>
      </c>
      <c r="H26" s="9">
        <v>92</v>
      </c>
      <c r="I26" s="9">
        <v>54605</v>
      </c>
      <c r="J26" s="9">
        <v>60169</v>
      </c>
      <c r="K26" s="9">
        <v>232</v>
      </c>
      <c r="L26" s="16" t="s">
        <v>19</v>
      </c>
      <c r="M26" s="16" t="s">
        <v>37</v>
      </c>
      <c r="N26" s="16" t="s">
        <v>49</v>
      </c>
      <c r="O26" s="1"/>
    </row>
    <row r="27" spans="1:18">
      <c r="A27" s="1" t="s">
        <v>56</v>
      </c>
      <c r="B27" s="1" t="s">
        <v>22</v>
      </c>
      <c r="C27" s="5">
        <v>45791</v>
      </c>
      <c r="D27" s="16" t="s">
        <v>23</v>
      </c>
      <c r="E27" s="17" t="s">
        <v>363</v>
      </c>
      <c r="F27" s="9">
        <v>2707</v>
      </c>
      <c r="G27" s="9">
        <v>103</v>
      </c>
      <c r="H27" s="9">
        <v>51</v>
      </c>
      <c r="I27" s="9">
        <v>55302</v>
      </c>
      <c r="J27" s="9">
        <v>18801</v>
      </c>
      <c r="K27" s="9">
        <v>147</v>
      </c>
      <c r="L27" s="16" t="s">
        <v>19</v>
      </c>
      <c r="M27" s="16" t="s">
        <v>364</v>
      </c>
      <c r="N27" s="16" t="s">
        <v>16</v>
      </c>
      <c r="O27" s="1"/>
    </row>
    <row r="28" spans="1:18">
      <c r="A28" s="1" t="s">
        <v>57</v>
      </c>
      <c r="B28" s="1" t="s">
        <v>13</v>
      </c>
      <c r="C28" s="5">
        <v>45625</v>
      </c>
      <c r="D28" s="16" t="s">
        <v>14</v>
      </c>
      <c r="E28" s="17" t="s">
        <v>362</v>
      </c>
      <c r="F28" s="9">
        <v>2824</v>
      </c>
      <c r="G28" s="9">
        <v>425</v>
      </c>
      <c r="H28" s="9">
        <v>274</v>
      </c>
      <c r="I28" s="9">
        <v>31004</v>
      </c>
      <c r="J28" s="9">
        <v>53488</v>
      </c>
      <c r="K28" s="9">
        <v>268</v>
      </c>
      <c r="L28" s="16" t="s">
        <v>37</v>
      </c>
      <c r="M28" s="16" t="s">
        <v>34</v>
      </c>
      <c r="N28" s="16" t="s">
        <v>16</v>
      </c>
      <c r="O28" s="1"/>
    </row>
    <row r="29" spans="1:18">
      <c r="A29" s="1" t="s">
        <v>58</v>
      </c>
      <c r="B29" s="1" t="s">
        <v>27</v>
      </c>
      <c r="C29" s="5">
        <v>45356</v>
      </c>
      <c r="D29" s="16" t="s">
        <v>48</v>
      </c>
      <c r="E29" s="17" t="s">
        <v>18</v>
      </c>
      <c r="F29" s="9">
        <v>3558</v>
      </c>
      <c r="G29" s="9">
        <v>314</v>
      </c>
      <c r="H29" s="9">
        <v>199</v>
      </c>
      <c r="I29" s="9">
        <v>49612</v>
      </c>
      <c r="J29" s="9">
        <v>53929</v>
      </c>
      <c r="K29" s="9">
        <v>206</v>
      </c>
      <c r="L29" s="16" t="s">
        <v>19</v>
      </c>
      <c r="M29" s="16" t="s">
        <v>37</v>
      </c>
      <c r="N29" s="16" t="s">
        <v>49</v>
      </c>
      <c r="O29" s="1"/>
    </row>
    <row r="30" spans="1:18">
      <c r="A30" s="1" t="s">
        <v>59</v>
      </c>
      <c r="B30" s="1" t="s">
        <v>22</v>
      </c>
      <c r="C30" s="5">
        <v>45734</v>
      </c>
      <c r="D30" s="16" t="s">
        <v>23</v>
      </c>
      <c r="E30" s="17" t="s">
        <v>18</v>
      </c>
      <c r="F30" s="9">
        <v>3418</v>
      </c>
      <c r="G30" s="9">
        <v>188</v>
      </c>
      <c r="H30" s="9">
        <v>387</v>
      </c>
      <c r="I30" s="9">
        <v>57431</v>
      </c>
      <c r="J30" s="9">
        <v>36933</v>
      </c>
      <c r="K30" s="9">
        <v>202</v>
      </c>
      <c r="L30" s="16" t="s">
        <v>364</v>
      </c>
      <c r="M30" s="16" t="s">
        <v>34</v>
      </c>
      <c r="N30" s="16" t="s">
        <v>16</v>
      </c>
      <c r="O30" s="1"/>
    </row>
    <row r="31" spans="1:18">
      <c r="A31" s="1" t="s">
        <v>60</v>
      </c>
      <c r="B31" s="1" t="s">
        <v>22</v>
      </c>
      <c r="C31" s="5">
        <v>45773</v>
      </c>
      <c r="D31" s="16" t="s">
        <v>14</v>
      </c>
      <c r="E31" s="17" t="s">
        <v>15</v>
      </c>
      <c r="F31" s="9">
        <v>2411</v>
      </c>
      <c r="G31" s="9">
        <v>194</v>
      </c>
      <c r="H31" s="9">
        <v>168</v>
      </c>
      <c r="I31" s="9">
        <v>26665</v>
      </c>
      <c r="J31" s="9">
        <v>71699</v>
      </c>
      <c r="K31" s="9">
        <v>197</v>
      </c>
      <c r="L31" s="16" t="s">
        <v>34</v>
      </c>
      <c r="M31" s="16"/>
      <c r="N31" s="16" t="s">
        <v>16</v>
      </c>
      <c r="O31" s="1"/>
    </row>
    <row r="32" spans="1:18">
      <c r="A32" s="1" t="s">
        <v>61</v>
      </c>
      <c r="B32" s="1" t="s">
        <v>13</v>
      </c>
      <c r="C32" s="5">
        <v>45658</v>
      </c>
      <c r="D32" s="16" t="s">
        <v>14</v>
      </c>
      <c r="E32" s="17" t="s">
        <v>24</v>
      </c>
      <c r="F32" s="9">
        <v>4036</v>
      </c>
      <c r="G32" s="9">
        <v>112</v>
      </c>
      <c r="H32" s="9">
        <v>382</v>
      </c>
      <c r="I32" s="9">
        <v>56284</v>
      </c>
      <c r="J32" s="9">
        <v>29440</v>
      </c>
      <c r="K32" s="9">
        <v>279</v>
      </c>
      <c r="L32" s="16" t="s">
        <v>37</v>
      </c>
      <c r="M32" s="16" t="s">
        <v>34</v>
      </c>
      <c r="N32" s="16" t="s">
        <v>16</v>
      </c>
      <c r="O32" s="1"/>
    </row>
    <row r="33" spans="1:15">
      <c r="A33" s="1" t="s">
        <v>62</v>
      </c>
      <c r="B33" s="1" t="s">
        <v>22</v>
      </c>
      <c r="C33" s="5">
        <v>45419</v>
      </c>
      <c r="D33" s="16" t="s">
        <v>23</v>
      </c>
      <c r="E33" s="17" t="s">
        <v>18</v>
      </c>
      <c r="F33" s="9">
        <v>2776</v>
      </c>
      <c r="G33" s="9">
        <v>307</v>
      </c>
      <c r="H33" s="9">
        <v>178</v>
      </c>
      <c r="I33" s="9">
        <v>43365</v>
      </c>
      <c r="J33" s="9">
        <v>48408</v>
      </c>
      <c r="K33" s="9">
        <v>138</v>
      </c>
      <c r="L33" s="16" t="s">
        <v>37</v>
      </c>
      <c r="M33" s="16" t="s">
        <v>34</v>
      </c>
      <c r="N33" s="16" t="s">
        <v>16</v>
      </c>
      <c r="O33" s="1"/>
    </row>
    <row r="34" spans="1:15">
      <c r="A34" s="1" t="s">
        <v>63</v>
      </c>
      <c r="B34" s="1" t="s">
        <v>22</v>
      </c>
      <c r="C34" s="5">
        <v>45574</v>
      </c>
      <c r="D34" s="16" t="s">
        <v>23</v>
      </c>
      <c r="E34" s="17" t="s">
        <v>15</v>
      </c>
      <c r="F34" s="9">
        <v>4929</v>
      </c>
      <c r="G34" s="9">
        <v>182</v>
      </c>
      <c r="H34" s="9">
        <v>95</v>
      </c>
      <c r="I34" s="9">
        <v>32181</v>
      </c>
      <c r="J34" s="9">
        <v>31084</v>
      </c>
      <c r="K34" s="9">
        <v>289</v>
      </c>
      <c r="L34" s="16" t="s">
        <v>19</v>
      </c>
      <c r="M34" s="16" t="s">
        <v>364</v>
      </c>
      <c r="N34" s="16" t="s">
        <v>16</v>
      </c>
      <c r="O34" s="1"/>
    </row>
    <row r="35" spans="1:15">
      <c r="A35" s="1" t="s">
        <v>64</v>
      </c>
      <c r="B35" s="1" t="s">
        <v>13</v>
      </c>
      <c r="C35" s="5">
        <v>45666</v>
      </c>
      <c r="D35" s="16" t="s">
        <v>14</v>
      </c>
      <c r="E35" s="17" t="s">
        <v>24</v>
      </c>
      <c r="F35" s="9">
        <v>1015</v>
      </c>
      <c r="G35" s="9">
        <v>366</v>
      </c>
      <c r="H35" s="9">
        <v>308</v>
      </c>
      <c r="I35" s="9">
        <v>38127</v>
      </c>
      <c r="J35" s="9">
        <v>63790</v>
      </c>
      <c r="K35" s="9">
        <v>287</v>
      </c>
      <c r="L35" s="16" t="s">
        <v>37</v>
      </c>
      <c r="M35" s="16" t="s">
        <v>34</v>
      </c>
      <c r="N35" s="16" t="s">
        <v>16</v>
      </c>
      <c r="O35" s="1"/>
    </row>
    <row r="36" spans="1:15">
      <c r="A36" s="1" t="s">
        <v>65</v>
      </c>
      <c r="B36" s="1" t="s">
        <v>22</v>
      </c>
      <c r="C36" s="5">
        <v>45785</v>
      </c>
      <c r="D36" s="16" t="s">
        <v>23</v>
      </c>
      <c r="E36" s="17" t="s">
        <v>42</v>
      </c>
      <c r="F36" s="9">
        <v>3316</v>
      </c>
      <c r="G36" s="9">
        <v>332</v>
      </c>
      <c r="H36" s="9">
        <v>268</v>
      </c>
      <c r="I36" s="9">
        <v>40095</v>
      </c>
      <c r="J36" s="9">
        <v>36913</v>
      </c>
      <c r="K36" s="9">
        <v>265</v>
      </c>
      <c r="L36" s="16" t="s">
        <v>364</v>
      </c>
      <c r="M36" s="16" t="s">
        <v>34</v>
      </c>
      <c r="N36" s="16" t="s">
        <v>16</v>
      </c>
      <c r="O36" s="1"/>
    </row>
    <row r="37" spans="1:15" ht="30">
      <c r="A37" s="1" t="s">
        <v>66</v>
      </c>
      <c r="B37" s="1" t="s">
        <v>13</v>
      </c>
      <c r="C37" s="5">
        <v>45416</v>
      </c>
      <c r="D37" s="16" t="s">
        <v>14</v>
      </c>
      <c r="E37" s="17" t="s">
        <v>360</v>
      </c>
      <c r="F37" s="9">
        <v>2274</v>
      </c>
      <c r="G37" s="9">
        <v>243</v>
      </c>
      <c r="H37" s="9">
        <v>222</v>
      </c>
      <c r="I37" s="9">
        <v>43066</v>
      </c>
      <c r="J37" s="9">
        <v>59174</v>
      </c>
      <c r="K37" s="9">
        <v>80</v>
      </c>
      <c r="L37" s="16" t="s">
        <v>19</v>
      </c>
      <c r="M37" s="16"/>
      <c r="N37" s="16" t="s">
        <v>20</v>
      </c>
      <c r="O37" s="1"/>
    </row>
    <row r="38" spans="1:15">
      <c r="A38" s="1" t="s">
        <v>67</v>
      </c>
      <c r="B38" s="1" t="s">
        <v>22</v>
      </c>
      <c r="C38" s="5">
        <v>45804</v>
      </c>
      <c r="D38" s="16" t="s">
        <v>23</v>
      </c>
      <c r="E38" s="17" t="s">
        <v>18</v>
      </c>
      <c r="F38" s="9">
        <v>4095</v>
      </c>
      <c r="G38" s="9">
        <v>385</v>
      </c>
      <c r="H38" s="9">
        <v>400</v>
      </c>
      <c r="I38" s="9">
        <v>45300</v>
      </c>
      <c r="J38" s="9">
        <v>31795</v>
      </c>
      <c r="K38" s="9">
        <v>80</v>
      </c>
      <c r="L38" s="16" t="s">
        <v>364</v>
      </c>
      <c r="M38" s="16" t="s">
        <v>34</v>
      </c>
      <c r="N38" s="16" t="s">
        <v>16</v>
      </c>
      <c r="O38" s="1"/>
    </row>
    <row r="39" spans="1:15">
      <c r="A39" s="1" t="s">
        <v>68</v>
      </c>
      <c r="B39" s="1" t="s">
        <v>13</v>
      </c>
      <c r="C39" s="5">
        <v>45545</v>
      </c>
      <c r="D39" s="16" t="s">
        <v>23</v>
      </c>
      <c r="E39" s="17" t="s">
        <v>24</v>
      </c>
      <c r="F39" s="9">
        <v>1230</v>
      </c>
      <c r="G39" s="9">
        <v>309</v>
      </c>
      <c r="H39" s="9">
        <v>207</v>
      </c>
      <c r="I39" s="9">
        <v>44629</v>
      </c>
      <c r="J39" s="9">
        <v>40699</v>
      </c>
      <c r="K39" s="9">
        <v>195</v>
      </c>
      <c r="L39" s="16" t="s">
        <v>34</v>
      </c>
      <c r="M39" s="16"/>
      <c r="N39" s="16" t="s">
        <v>46</v>
      </c>
      <c r="O39" s="1"/>
    </row>
    <row r="40" spans="1:15">
      <c r="A40" s="1" t="s">
        <v>69</v>
      </c>
      <c r="B40" s="1" t="s">
        <v>13</v>
      </c>
      <c r="C40" s="5">
        <v>45621</v>
      </c>
      <c r="D40" s="16" t="s">
        <v>14</v>
      </c>
      <c r="E40" s="17" t="s">
        <v>363</v>
      </c>
      <c r="F40" s="9">
        <v>1341</v>
      </c>
      <c r="G40" s="9">
        <v>472</v>
      </c>
      <c r="H40" s="9">
        <v>238</v>
      </c>
      <c r="I40" s="9">
        <v>51386</v>
      </c>
      <c r="J40" s="9">
        <v>51706</v>
      </c>
      <c r="K40" s="9">
        <v>133</v>
      </c>
      <c r="L40" s="16" t="s">
        <v>19</v>
      </c>
      <c r="M40" s="16"/>
      <c r="N40" s="16" t="s">
        <v>20</v>
      </c>
      <c r="O40" s="1"/>
    </row>
    <row r="41" spans="1:15">
      <c r="A41" s="1" t="s">
        <v>70</v>
      </c>
      <c r="B41" s="1" t="s">
        <v>22</v>
      </c>
      <c r="C41" s="5">
        <v>45818</v>
      </c>
      <c r="D41" s="16" t="s">
        <v>14</v>
      </c>
      <c r="E41" s="17" t="s">
        <v>18</v>
      </c>
      <c r="F41" s="9">
        <v>3615</v>
      </c>
      <c r="G41" s="9">
        <v>192</v>
      </c>
      <c r="H41" s="9">
        <v>162</v>
      </c>
      <c r="I41" s="9">
        <v>27492</v>
      </c>
      <c r="J41" s="9">
        <v>35341</v>
      </c>
      <c r="K41" s="9">
        <v>125</v>
      </c>
      <c r="L41" s="16" t="s">
        <v>34</v>
      </c>
      <c r="M41" s="16"/>
      <c r="N41" s="16" t="s">
        <v>16</v>
      </c>
      <c r="O41" s="1"/>
    </row>
    <row r="42" spans="1:15">
      <c r="A42" s="1" t="s">
        <v>71</v>
      </c>
      <c r="B42" s="1" t="s">
        <v>13</v>
      </c>
      <c r="C42" s="5">
        <v>45401</v>
      </c>
      <c r="D42" s="16" t="s">
        <v>14</v>
      </c>
      <c r="E42" s="17" t="s">
        <v>24</v>
      </c>
      <c r="F42" s="9">
        <v>4001</v>
      </c>
      <c r="G42" s="9">
        <v>353</v>
      </c>
      <c r="H42" s="9">
        <v>129</v>
      </c>
      <c r="I42" s="9">
        <v>41265</v>
      </c>
      <c r="J42" s="9">
        <v>37279</v>
      </c>
      <c r="K42" s="9">
        <v>275</v>
      </c>
      <c r="L42" s="16" t="s">
        <v>37</v>
      </c>
      <c r="M42" s="16" t="s">
        <v>34</v>
      </c>
      <c r="N42" s="16" t="s">
        <v>16</v>
      </c>
      <c r="O42" s="1"/>
    </row>
    <row r="43" spans="1:15">
      <c r="A43" s="1" t="s">
        <v>72</v>
      </c>
      <c r="B43" s="1" t="s">
        <v>13</v>
      </c>
      <c r="C43" s="5">
        <v>45683</v>
      </c>
      <c r="D43" s="16" t="s">
        <v>23</v>
      </c>
      <c r="E43" s="17" t="s">
        <v>362</v>
      </c>
      <c r="F43" s="9">
        <v>3451</v>
      </c>
      <c r="G43" s="9">
        <v>363</v>
      </c>
      <c r="H43" s="9">
        <v>393</v>
      </c>
      <c r="I43" s="9">
        <v>44853</v>
      </c>
      <c r="J43" s="9">
        <v>69032</v>
      </c>
      <c r="K43" s="9">
        <v>211</v>
      </c>
      <c r="L43" s="16" t="s">
        <v>34</v>
      </c>
      <c r="M43" s="16"/>
      <c r="N43" s="16" t="s">
        <v>46</v>
      </c>
      <c r="O43" s="1"/>
    </row>
    <row r="44" spans="1:15">
      <c r="A44" s="1" t="s">
        <v>73</v>
      </c>
      <c r="B44" s="1" t="s">
        <v>13</v>
      </c>
      <c r="C44" s="5">
        <v>45702</v>
      </c>
      <c r="D44" s="16" t="s">
        <v>14</v>
      </c>
      <c r="E44" s="17" t="s">
        <v>33</v>
      </c>
      <c r="F44" s="9">
        <v>4891</v>
      </c>
      <c r="G44" s="9">
        <v>450</v>
      </c>
      <c r="H44" s="9">
        <v>387</v>
      </c>
      <c r="I44" s="9">
        <v>48746</v>
      </c>
      <c r="J44" s="9">
        <v>37312</v>
      </c>
      <c r="K44" s="9">
        <v>154</v>
      </c>
      <c r="L44" s="16" t="s">
        <v>37</v>
      </c>
      <c r="M44" s="16" t="s">
        <v>34</v>
      </c>
      <c r="N44" s="16" t="s">
        <v>16</v>
      </c>
      <c r="O44" s="1"/>
    </row>
    <row r="45" spans="1:15">
      <c r="A45" s="1" t="s">
        <v>74</v>
      </c>
      <c r="B45" s="1" t="s">
        <v>13</v>
      </c>
      <c r="C45" s="5">
        <v>45541</v>
      </c>
      <c r="D45" s="16" t="s">
        <v>14</v>
      </c>
      <c r="E45" s="17" t="s">
        <v>24</v>
      </c>
      <c r="F45" s="9">
        <v>1452</v>
      </c>
      <c r="G45" s="9">
        <v>281</v>
      </c>
      <c r="H45" s="9">
        <v>326</v>
      </c>
      <c r="I45" s="9">
        <v>51556</v>
      </c>
      <c r="J45" s="9">
        <v>62599</v>
      </c>
      <c r="K45" s="9">
        <v>290</v>
      </c>
      <c r="L45" s="16" t="s">
        <v>19</v>
      </c>
      <c r="M45" s="16"/>
      <c r="N45" s="16" t="s">
        <v>20</v>
      </c>
      <c r="O45" s="1"/>
    </row>
    <row r="46" spans="1:15">
      <c r="A46" s="1" t="s">
        <v>75</v>
      </c>
      <c r="B46" s="1" t="s">
        <v>27</v>
      </c>
      <c r="C46" s="5">
        <v>45487</v>
      </c>
      <c r="D46" s="16" t="s">
        <v>14</v>
      </c>
      <c r="E46" s="17" t="s">
        <v>42</v>
      </c>
      <c r="F46" s="9">
        <v>3806</v>
      </c>
      <c r="G46" s="9">
        <v>114</v>
      </c>
      <c r="H46" s="9">
        <v>278</v>
      </c>
      <c r="I46" s="9">
        <v>36148</v>
      </c>
      <c r="J46" s="9">
        <v>24209</v>
      </c>
      <c r="K46" s="9">
        <v>201</v>
      </c>
      <c r="L46" s="16" t="s">
        <v>19</v>
      </c>
      <c r="M46" s="16" t="s">
        <v>365</v>
      </c>
      <c r="N46" s="16" t="s">
        <v>20</v>
      </c>
      <c r="O46" s="1"/>
    </row>
    <row r="47" spans="1:15">
      <c r="A47" s="1" t="s">
        <v>76</v>
      </c>
      <c r="B47" s="1" t="s">
        <v>13</v>
      </c>
      <c r="C47" s="5">
        <v>45334</v>
      </c>
      <c r="D47" s="16" t="s">
        <v>14</v>
      </c>
      <c r="E47" s="17" t="s">
        <v>18</v>
      </c>
      <c r="F47" s="9">
        <v>2923</v>
      </c>
      <c r="G47" s="9">
        <v>330</v>
      </c>
      <c r="H47" s="9">
        <v>250</v>
      </c>
      <c r="I47" s="9">
        <v>23993</v>
      </c>
      <c r="J47" s="9">
        <v>74590</v>
      </c>
      <c r="K47" s="9">
        <v>92</v>
      </c>
      <c r="L47" s="16" t="s">
        <v>19</v>
      </c>
      <c r="M47" s="16"/>
      <c r="N47" s="16" t="s">
        <v>20</v>
      </c>
      <c r="O47" s="1"/>
    </row>
    <row r="48" spans="1:15">
      <c r="A48" s="1" t="s">
        <v>77</v>
      </c>
      <c r="B48" s="1" t="s">
        <v>27</v>
      </c>
      <c r="C48" s="5">
        <v>45365</v>
      </c>
      <c r="D48" s="16" t="s">
        <v>48</v>
      </c>
      <c r="E48" s="17" t="s">
        <v>363</v>
      </c>
      <c r="F48" s="9">
        <v>3361</v>
      </c>
      <c r="G48" s="9">
        <v>188</v>
      </c>
      <c r="H48" s="9">
        <v>358</v>
      </c>
      <c r="I48" s="9">
        <v>39838</v>
      </c>
      <c r="J48" s="9">
        <v>24536</v>
      </c>
      <c r="K48" s="9">
        <v>120</v>
      </c>
      <c r="L48" s="16" t="s">
        <v>19</v>
      </c>
      <c r="M48" s="16" t="s">
        <v>37</v>
      </c>
      <c r="N48" s="16" t="s">
        <v>49</v>
      </c>
      <c r="O48" s="1"/>
    </row>
    <row r="49" spans="1:15">
      <c r="A49" s="1" t="s">
        <v>78</v>
      </c>
      <c r="B49" s="1" t="s">
        <v>13</v>
      </c>
      <c r="C49" s="5">
        <v>45693</v>
      </c>
      <c r="D49" s="16" t="s">
        <v>23</v>
      </c>
      <c r="E49" s="17" t="s">
        <v>361</v>
      </c>
      <c r="F49" s="9">
        <v>3074</v>
      </c>
      <c r="G49" s="9">
        <v>371</v>
      </c>
      <c r="H49" s="9">
        <v>348</v>
      </c>
      <c r="I49" s="9">
        <v>24104</v>
      </c>
      <c r="J49" s="9">
        <v>57803</v>
      </c>
      <c r="K49" s="9">
        <v>213</v>
      </c>
      <c r="L49" s="16" t="s">
        <v>34</v>
      </c>
      <c r="M49" s="16"/>
      <c r="N49" s="16" t="s">
        <v>46</v>
      </c>
      <c r="O49" s="1"/>
    </row>
    <row r="50" spans="1:15">
      <c r="A50" s="1" t="s">
        <v>79</v>
      </c>
      <c r="B50" s="1" t="s">
        <v>22</v>
      </c>
      <c r="C50" s="5">
        <v>45533</v>
      </c>
      <c r="D50" s="16" t="s">
        <v>23</v>
      </c>
      <c r="E50" s="17" t="s">
        <v>30</v>
      </c>
      <c r="F50" s="9">
        <v>4276</v>
      </c>
      <c r="G50" s="9">
        <v>227</v>
      </c>
      <c r="H50" s="9">
        <v>223</v>
      </c>
      <c r="I50" s="9">
        <v>43443</v>
      </c>
      <c r="J50" s="9">
        <v>41005</v>
      </c>
      <c r="K50" s="9">
        <v>191</v>
      </c>
      <c r="L50" s="16" t="s">
        <v>19</v>
      </c>
      <c r="M50" s="16" t="s">
        <v>364</v>
      </c>
      <c r="N50" s="16" t="s">
        <v>16</v>
      </c>
      <c r="O50" s="1"/>
    </row>
    <row r="51" spans="1:15">
      <c r="A51" s="1" t="s">
        <v>80</v>
      </c>
      <c r="B51" s="1" t="s">
        <v>22</v>
      </c>
      <c r="C51" s="5">
        <v>45769</v>
      </c>
      <c r="D51" s="16" t="s">
        <v>14</v>
      </c>
      <c r="E51" s="17" t="s">
        <v>15</v>
      </c>
      <c r="F51" s="9">
        <v>4401</v>
      </c>
      <c r="G51" s="9">
        <v>421</v>
      </c>
      <c r="H51" s="9">
        <v>216</v>
      </c>
      <c r="I51" s="9">
        <v>24890</v>
      </c>
      <c r="J51" s="9">
        <v>54361</v>
      </c>
      <c r="K51" s="9">
        <v>148</v>
      </c>
      <c r="L51" s="16" t="s">
        <v>34</v>
      </c>
      <c r="M51" s="16"/>
      <c r="N51" s="16" t="s">
        <v>16</v>
      </c>
      <c r="O51" s="1"/>
    </row>
    <row r="52" spans="1:15">
      <c r="A52" s="1" t="s">
        <v>81</v>
      </c>
      <c r="B52" s="1" t="s">
        <v>27</v>
      </c>
      <c r="C52" s="5">
        <v>45425</v>
      </c>
      <c r="D52" s="16" t="s">
        <v>48</v>
      </c>
      <c r="E52" s="17" t="s">
        <v>18</v>
      </c>
      <c r="F52" s="9">
        <v>4161</v>
      </c>
      <c r="G52" s="9">
        <v>481</v>
      </c>
      <c r="H52" s="9">
        <v>61</v>
      </c>
      <c r="I52" s="9">
        <v>45884</v>
      </c>
      <c r="J52" s="9">
        <v>48955</v>
      </c>
      <c r="K52" s="9">
        <v>215</v>
      </c>
      <c r="L52" s="16" t="s">
        <v>19</v>
      </c>
      <c r="M52" s="16" t="s">
        <v>37</v>
      </c>
      <c r="N52" s="16" t="s">
        <v>49</v>
      </c>
      <c r="O52" s="1"/>
    </row>
    <row r="53" spans="1:15">
      <c r="A53" s="1" t="s">
        <v>82</v>
      </c>
      <c r="B53" s="1" t="s">
        <v>22</v>
      </c>
      <c r="C53" s="5">
        <v>45539</v>
      </c>
      <c r="D53" s="16" t="s">
        <v>23</v>
      </c>
      <c r="E53" s="17" t="s">
        <v>24</v>
      </c>
      <c r="F53" s="9">
        <v>2613</v>
      </c>
      <c r="G53" s="9">
        <v>455</v>
      </c>
      <c r="H53" s="9">
        <v>228</v>
      </c>
      <c r="I53" s="9">
        <v>21645</v>
      </c>
      <c r="J53" s="9">
        <v>61334</v>
      </c>
      <c r="K53" s="9">
        <v>261</v>
      </c>
      <c r="L53" s="16" t="s">
        <v>19</v>
      </c>
      <c r="M53" s="16" t="s">
        <v>364</v>
      </c>
      <c r="N53" s="16" t="s">
        <v>16</v>
      </c>
      <c r="O53" s="1"/>
    </row>
    <row r="54" spans="1:15">
      <c r="A54" s="1" t="s">
        <v>83</v>
      </c>
      <c r="B54" s="1" t="s">
        <v>22</v>
      </c>
      <c r="C54" s="5">
        <v>45516</v>
      </c>
      <c r="D54" s="16" t="s">
        <v>23</v>
      </c>
      <c r="E54" s="17" t="s">
        <v>362</v>
      </c>
      <c r="F54" s="9">
        <v>2842</v>
      </c>
      <c r="G54" s="9">
        <v>213</v>
      </c>
      <c r="H54" s="9">
        <v>331</v>
      </c>
      <c r="I54" s="9">
        <v>57660</v>
      </c>
      <c r="J54" s="9">
        <v>68606</v>
      </c>
      <c r="K54" s="9">
        <v>87</v>
      </c>
      <c r="L54" s="16" t="s">
        <v>364</v>
      </c>
      <c r="M54" s="16" t="s">
        <v>34</v>
      </c>
      <c r="N54" s="16" t="s">
        <v>16</v>
      </c>
      <c r="O54" s="1"/>
    </row>
    <row r="55" spans="1:15">
      <c r="A55" s="1" t="s">
        <v>84</v>
      </c>
      <c r="B55" s="1" t="s">
        <v>13</v>
      </c>
      <c r="C55" s="5">
        <v>45722</v>
      </c>
      <c r="D55" s="16" t="s">
        <v>14</v>
      </c>
      <c r="E55" s="17" t="s">
        <v>30</v>
      </c>
      <c r="F55" s="9">
        <v>4851</v>
      </c>
      <c r="G55" s="9">
        <v>460</v>
      </c>
      <c r="H55" s="9">
        <v>212</v>
      </c>
      <c r="I55" s="9">
        <v>58075</v>
      </c>
      <c r="J55" s="9">
        <v>59574</v>
      </c>
      <c r="K55" s="9">
        <v>239</v>
      </c>
      <c r="L55" s="16" t="s">
        <v>19</v>
      </c>
      <c r="M55" s="16"/>
      <c r="N55" s="16" t="s">
        <v>20</v>
      </c>
      <c r="O55" s="1"/>
    </row>
    <row r="56" spans="1:15">
      <c r="A56" s="1" t="s">
        <v>85</v>
      </c>
      <c r="B56" s="1" t="s">
        <v>22</v>
      </c>
      <c r="C56" s="5">
        <v>45420</v>
      </c>
      <c r="D56" s="16" t="s">
        <v>14</v>
      </c>
      <c r="E56" s="17" t="s">
        <v>18</v>
      </c>
      <c r="F56" s="9">
        <v>1828</v>
      </c>
      <c r="G56" s="9">
        <v>450</v>
      </c>
      <c r="H56" s="9">
        <v>214</v>
      </c>
      <c r="I56" s="9">
        <v>52115</v>
      </c>
      <c r="J56" s="9">
        <v>19166</v>
      </c>
      <c r="K56" s="9">
        <v>190</v>
      </c>
      <c r="L56" s="16" t="s">
        <v>34</v>
      </c>
      <c r="M56" s="16"/>
      <c r="N56" s="16" t="s">
        <v>16</v>
      </c>
      <c r="O56" s="1"/>
    </row>
    <row r="57" spans="1:15">
      <c r="A57" s="1" t="s">
        <v>86</v>
      </c>
      <c r="B57" s="1" t="s">
        <v>13</v>
      </c>
      <c r="C57" s="5">
        <v>45707</v>
      </c>
      <c r="D57" s="16" t="s">
        <v>23</v>
      </c>
      <c r="E57" s="17" t="s">
        <v>363</v>
      </c>
      <c r="F57" s="9">
        <v>2422</v>
      </c>
      <c r="G57" s="9">
        <v>455</v>
      </c>
      <c r="H57" s="9">
        <v>376</v>
      </c>
      <c r="I57" s="9">
        <v>23428</v>
      </c>
      <c r="J57" s="9">
        <v>46775</v>
      </c>
      <c r="K57" s="9">
        <v>259</v>
      </c>
      <c r="L57" s="16" t="s">
        <v>34</v>
      </c>
      <c r="M57" s="16"/>
      <c r="N57" s="16" t="s">
        <v>46</v>
      </c>
      <c r="O57" s="1"/>
    </row>
    <row r="58" spans="1:15">
      <c r="A58" s="1" t="s">
        <v>87</v>
      </c>
      <c r="B58" s="1" t="s">
        <v>13</v>
      </c>
      <c r="C58" s="5">
        <v>45299</v>
      </c>
      <c r="D58" s="16" t="s">
        <v>14</v>
      </c>
      <c r="E58" s="17" t="s">
        <v>33</v>
      </c>
      <c r="F58" s="9">
        <v>2683</v>
      </c>
      <c r="G58" s="9">
        <v>405</v>
      </c>
      <c r="H58" s="9">
        <v>223</v>
      </c>
      <c r="I58" s="9">
        <v>31233</v>
      </c>
      <c r="J58" s="9">
        <v>58106</v>
      </c>
      <c r="K58" s="9">
        <v>291</v>
      </c>
      <c r="L58" s="16" t="s">
        <v>19</v>
      </c>
      <c r="M58" s="16"/>
      <c r="N58" s="16" t="s">
        <v>20</v>
      </c>
      <c r="O58" s="1"/>
    </row>
    <row r="59" spans="1:15">
      <c r="A59" s="1" t="s">
        <v>88</v>
      </c>
      <c r="B59" s="1" t="s">
        <v>27</v>
      </c>
      <c r="C59" s="5">
        <v>45490</v>
      </c>
      <c r="D59" s="16" t="s">
        <v>14</v>
      </c>
      <c r="E59" s="17" t="s">
        <v>33</v>
      </c>
      <c r="F59" s="9">
        <v>3135</v>
      </c>
      <c r="G59" s="9">
        <v>110</v>
      </c>
      <c r="H59" s="9">
        <v>215</v>
      </c>
      <c r="I59" s="9">
        <v>39192</v>
      </c>
      <c r="J59" s="9">
        <v>24744</v>
      </c>
      <c r="K59" s="9">
        <v>177</v>
      </c>
      <c r="L59" s="16" t="s">
        <v>19</v>
      </c>
      <c r="M59" s="16" t="s">
        <v>365</v>
      </c>
      <c r="N59" s="16" t="s">
        <v>20</v>
      </c>
      <c r="O59" s="1"/>
    </row>
    <row r="60" spans="1:15">
      <c r="A60" s="1" t="s">
        <v>89</v>
      </c>
      <c r="B60" s="1" t="s">
        <v>27</v>
      </c>
      <c r="C60" s="5">
        <v>45514</v>
      </c>
      <c r="D60" s="16" t="s">
        <v>14</v>
      </c>
      <c r="E60" s="17" t="s">
        <v>363</v>
      </c>
      <c r="F60" s="9">
        <v>1105</v>
      </c>
      <c r="G60" s="9">
        <v>181</v>
      </c>
      <c r="H60" s="9">
        <v>55</v>
      </c>
      <c r="I60" s="9">
        <v>53581</v>
      </c>
      <c r="J60" s="9">
        <v>74048</v>
      </c>
      <c r="K60" s="9">
        <v>220</v>
      </c>
      <c r="L60" s="16" t="s">
        <v>19</v>
      </c>
      <c r="M60" s="16" t="s">
        <v>365</v>
      </c>
      <c r="N60" s="16" t="s">
        <v>20</v>
      </c>
      <c r="O60" s="1"/>
    </row>
    <row r="61" spans="1:15">
      <c r="A61" s="1" t="s">
        <v>90</v>
      </c>
      <c r="B61" s="1" t="s">
        <v>27</v>
      </c>
      <c r="C61" s="5">
        <v>45398</v>
      </c>
      <c r="D61" s="16" t="s">
        <v>14</v>
      </c>
      <c r="E61" s="17" t="s">
        <v>15</v>
      </c>
      <c r="F61" s="9">
        <v>4674</v>
      </c>
      <c r="G61" s="9">
        <v>326</v>
      </c>
      <c r="H61" s="9">
        <v>62</v>
      </c>
      <c r="I61" s="9">
        <v>45503</v>
      </c>
      <c r="J61" s="9">
        <v>46814</v>
      </c>
      <c r="K61" s="9">
        <v>116</v>
      </c>
      <c r="L61" s="16" t="s">
        <v>19</v>
      </c>
      <c r="M61" s="16" t="s">
        <v>365</v>
      </c>
      <c r="N61" s="16" t="s">
        <v>20</v>
      </c>
      <c r="O61" s="1"/>
    </row>
    <row r="62" spans="1:15">
      <c r="A62" s="1" t="s">
        <v>91</v>
      </c>
      <c r="B62" s="1" t="s">
        <v>27</v>
      </c>
      <c r="C62" s="5">
        <v>45292</v>
      </c>
      <c r="D62" s="16" t="s">
        <v>48</v>
      </c>
      <c r="E62" s="17" t="s">
        <v>18</v>
      </c>
      <c r="F62" s="9">
        <v>3437</v>
      </c>
      <c r="G62" s="9">
        <v>129</v>
      </c>
      <c r="H62" s="9">
        <v>359</v>
      </c>
      <c r="I62" s="9">
        <v>44558</v>
      </c>
      <c r="J62" s="9">
        <v>30854</v>
      </c>
      <c r="K62" s="9">
        <v>171</v>
      </c>
      <c r="L62" s="16" t="s">
        <v>19</v>
      </c>
      <c r="M62" s="16" t="s">
        <v>37</v>
      </c>
      <c r="N62" s="16" t="s">
        <v>49</v>
      </c>
      <c r="O62" s="1"/>
    </row>
    <row r="63" spans="1:15" ht="30">
      <c r="A63" s="1" t="s">
        <v>92</v>
      </c>
      <c r="B63" s="1" t="s">
        <v>22</v>
      </c>
      <c r="C63" s="5">
        <v>45599</v>
      </c>
      <c r="D63" s="16" t="s">
        <v>23</v>
      </c>
      <c r="E63" s="17" t="s">
        <v>360</v>
      </c>
      <c r="F63" s="9">
        <v>1959</v>
      </c>
      <c r="G63" s="9">
        <v>316</v>
      </c>
      <c r="H63" s="9">
        <v>82</v>
      </c>
      <c r="I63" s="9">
        <v>54036</v>
      </c>
      <c r="J63" s="9">
        <v>69015</v>
      </c>
      <c r="K63" s="9">
        <v>182</v>
      </c>
      <c r="L63" s="16" t="s">
        <v>364</v>
      </c>
      <c r="M63" s="16" t="s">
        <v>34</v>
      </c>
      <c r="N63" s="16" t="s">
        <v>16</v>
      </c>
      <c r="O63" s="1"/>
    </row>
    <row r="64" spans="1:15">
      <c r="A64" s="1" t="s">
        <v>93</v>
      </c>
      <c r="B64" s="1" t="s">
        <v>22</v>
      </c>
      <c r="C64" s="5">
        <v>45480</v>
      </c>
      <c r="D64" s="16" t="s">
        <v>14</v>
      </c>
      <c r="E64" s="17" t="s">
        <v>24</v>
      </c>
      <c r="F64" s="9">
        <v>1035</v>
      </c>
      <c r="G64" s="9">
        <v>137</v>
      </c>
      <c r="H64" s="9">
        <v>184</v>
      </c>
      <c r="I64" s="9">
        <v>37302</v>
      </c>
      <c r="J64" s="9">
        <v>68953</v>
      </c>
      <c r="K64" s="9">
        <v>237</v>
      </c>
      <c r="L64" s="16" t="s">
        <v>37</v>
      </c>
      <c r="M64" s="16"/>
      <c r="N64" s="16" t="s">
        <v>20</v>
      </c>
      <c r="O64" s="1"/>
    </row>
    <row r="65" spans="1:15">
      <c r="A65" s="1" t="s">
        <v>94</v>
      </c>
      <c r="B65" s="1" t="s">
        <v>22</v>
      </c>
      <c r="C65" s="5">
        <v>45679</v>
      </c>
      <c r="D65" s="16" t="s">
        <v>23</v>
      </c>
      <c r="E65" s="17" t="s">
        <v>24</v>
      </c>
      <c r="F65" s="9">
        <v>4478</v>
      </c>
      <c r="G65" s="9">
        <v>101</v>
      </c>
      <c r="H65" s="9">
        <v>121</v>
      </c>
      <c r="I65" s="9">
        <v>51035</v>
      </c>
      <c r="J65" s="9">
        <v>58207</v>
      </c>
      <c r="K65" s="9">
        <v>205</v>
      </c>
      <c r="L65" s="16" t="s">
        <v>364</v>
      </c>
      <c r="M65" s="16" t="s">
        <v>34</v>
      </c>
      <c r="N65" s="16" t="s">
        <v>16</v>
      </c>
      <c r="O65" s="1"/>
    </row>
    <row r="66" spans="1:15">
      <c r="A66" s="1" t="s">
        <v>95</v>
      </c>
      <c r="B66" s="1" t="s">
        <v>27</v>
      </c>
      <c r="C66" s="5">
        <v>45438</v>
      </c>
      <c r="D66" s="16" t="s">
        <v>14</v>
      </c>
      <c r="E66" s="17" t="s">
        <v>363</v>
      </c>
      <c r="F66" s="9">
        <v>1488</v>
      </c>
      <c r="G66" s="9">
        <v>327</v>
      </c>
      <c r="H66" s="9">
        <v>110</v>
      </c>
      <c r="I66" s="9">
        <v>53805</v>
      </c>
      <c r="J66" s="9">
        <v>30239</v>
      </c>
      <c r="K66" s="9">
        <v>109</v>
      </c>
      <c r="L66" s="16" t="s">
        <v>19</v>
      </c>
      <c r="M66" s="16" t="s">
        <v>365</v>
      </c>
      <c r="N66" s="16" t="s">
        <v>20</v>
      </c>
      <c r="O66" s="1"/>
    </row>
    <row r="67" spans="1:15" ht="30">
      <c r="A67" s="1" t="s">
        <v>96</v>
      </c>
      <c r="B67" s="1" t="s">
        <v>13</v>
      </c>
      <c r="C67" s="5">
        <v>45763</v>
      </c>
      <c r="D67" s="16" t="s">
        <v>14</v>
      </c>
      <c r="E67" s="17" t="s">
        <v>360</v>
      </c>
      <c r="F67" s="9">
        <v>4836</v>
      </c>
      <c r="G67" s="9">
        <v>331</v>
      </c>
      <c r="H67" s="9">
        <v>140</v>
      </c>
      <c r="I67" s="9">
        <v>58792</v>
      </c>
      <c r="J67" s="9">
        <v>47711</v>
      </c>
      <c r="K67" s="9">
        <v>227</v>
      </c>
      <c r="L67" s="16" t="s">
        <v>37</v>
      </c>
      <c r="M67" s="16" t="s">
        <v>34</v>
      </c>
      <c r="N67" s="16" t="s">
        <v>16</v>
      </c>
      <c r="O67" s="1"/>
    </row>
    <row r="68" spans="1:15">
      <c r="A68" s="1" t="s">
        <v>97</v>
      </c>
      <c r="B68" s="1" t="s">
        <v>27</v>
      </c>
      <c r="C68" s="5">
        <v>45384</v>
      </c>
      <c r="D68" s="16" t="s">
        <v>48</v>
      </c>
      <c r="E68" s="17" t="s">
        <v>42</v>
      </c>
      <c r="F68" s="9">
        <v>4563</v>
      </c>
      <c r="G68" s="9">
        <v>488</v>
      </c>
      <c r="H68" s="9">
        <v>356</v>
      </c>
      <c r="I68" s="9">
        <v>30619</v>
      </c>
      <c r="J68" s="9">
        <v>23328</v>
      </c>
      <c r="K68" s="9">
        <v>267</v>
      </c>
      <c r="L68" s="16" t="s">
        <v>19</v>
      </c>
      <c r="M68" s="16" t="s">
        <v>37</v>
      </c>
      <c r="N68" s="16" t="s">
        <v>49</v>
      </c>
      <c r="O68" s="1"/>
    </row>
    <row r="69" spans="1:15">
      <c r="A69" s="1" t="s">
        <v>98</v>
      </c>
      <c r="B69" s="1" t="s">
        <v>22</v>
      </c>
      <c r="C69" s="5">
        <v>45379</v>
      </c>
      <c r="D69" s="16" t="s">
        <v>14</v>
      </c>
      <c r="E69" s="17" t="s">
        <v>361</v>
      </c>
      <c r="F69" s="9">
        <v>3276</v>
      </c>
      <c r="G69" s="9">
        <v>421</v>
      </c>
      <c r="H69" s="9">
        <v>114</v>
      </c>
      <c r="I69" s="9">
        <v>20580</v>
      </c>
      <c r="J69" s="9">
        <v>30324</v>
      </c>
      <c r="K69" s="9">
        <v>221</v>
      </c>
      <c r="L69" s="16" t="s">
        <v>37</v>
      </c>
      <c r="M69" s="16"/>
      <c r="N69" s="16" t="s">
        <v>20</v>
      </c>
      <c r="O69" s="1"/>
    </row>
    <row r="70" spans="1:15">
      <c r="A70" s="1" t="s">
        <v>99</v>
      </c>
      <c r="B70" s="1" t="s">
        <v>22</v>
      </c>
      <c r="C70" s="5">
        <v>45643</v>
      </c>
      <c r="D70" s="16" t="s">
        <v>23</v>
      </c>
      <c r="E70" s="17" t="s">
        <v>361</v>
      </c>
      <c r="F70" s="9">
        <v>1316</v>
      </c>
      <c r="G70" s="9">
        <v>472</v>
      </c>
      <c r="H70" s="9">
        <v>286</v>
      </c>
      <c r="I70" s="9">
        <v>44692</v>
      </c>
      <c r="J70" s="9">
        <v>53343</v>
      </c>
      <c r="K70" s="9">
        <v>227</v>
      </c>
      <c r="L70" s="16" t="s">
        <v>19</v>
      </c>
      <c r="M70" s="16" t="s">
        <v>364</v>
      </c>
      <c r="N70" s="16" t="s">
        <v>16</v>
      </c>
      <c r="O70" s="1"/>
    </row>
    <row r="71" spans="1:15" ht="30">
      <c r="A71" s="1" t="s">
        <v>100</v>
      </c>
      <c r="B71" s="1" t="s">
        <v>22</v>
      </c>
      <c r="C71" s="5">
        <v>45662</v>
      </c>
      <c r="D71" s="16" t="s">
        <v>14</v>
      </c>
      <c r="E71" s="17" t="s">
        <v>360</v>
      </c>
      <c r="F71" s="9">
        <v>4811</v>
      </c>
      <c r="G71" s="9">
        <v>473</v>
      </c>
      <c r="H71" s="9">
        <v>254</v>
      </c>
      <c r="I71" s="9">
        <v>51964</v>
      </c>
      <c r="J71" s="9">
        <v>68795</v>
      </c>
      <c r="K71" s="9">
        <v>107</v>
      </c>
      <c r="L71" s="16" t="s">
        <v>34</v>
      </c>
      <c r="M71" s="16"/>
      <c r="N71" s="16" t="s">
        <v>16</v>
      </c>
      <c r="O71" s="1"/>
    </row>
    <row r="72" spans="1:15">
      <c r="A72" s="1" t="s">
        <v>101</v>
      </c>
      <c r="B72" s="1" t="s">
        <v>22</v>
      </c>
      <c r="C72" s="5">
        <v>45302</v>
      </c>
      <c r="D72" s="16" t="s">
        <v>14</v>
      </c>
      <c r="E72" s="17" t="s">
        <v>362</v>
      </c>
      <c r="F72" s="9">
        <v>4218</v>
      </c>
      <c r="G72" s="9">
        <v>247</v>
      </c>
      <c r="H72" s="9">
        <v>183</v>
      </c>
      <c r="I72" s="9">
        <v>28914</v>
      </c>
      <c r="J72" s="9">
        <v>18310</v>
      </c>
      <c r="K72" s="9">
        <v>135</v>
      </c>
      <c r="L72" s="16" t="s">
        <v>37</v>
      </c>
      <c r="M72" s="16"/>
      <c r="N72" s="16" t="s">
        <v>20</v>
      </c>
      <c r="O72" s="1"/>
    </row>
    <row r="73" spans="1:15">
      <c r="A73" s="1" t="s">
        <v>102</v>
      </c>
      <c r="B73" s="1" t="s">
        <v>13</v>
      </c>
      <c r="C73" s="5">
        <v>45576</v>
      </c>
      <c r="D73" s="16" t="s">
        <v>14</v>
      </c>
      <c r="E73" s="17" t="s">
        <v>363</v>
      </c>
      <c r="F73" s="9">
        <v>1360</v>
      </c>
      <c r="G73" s="9">
        <v>249</v>
      </c>
      <c r="H73" s="9">
        <v>52</v>
      </c>
      <c r="I73" s="9">
        <v>20368</v>
      </c>
      <c r="J73" s="9">
        <v>42152</v>
      </c>
      <c r="K73" s="9">
        <v>193</v>
      </c>
      <c r="L73" s="16" t="s">
        <v>19</v>
      </c>
      <c r="M73" s="16"/>
      <c r="N73" s="16" t="s">
        <v>20</v>
      </c>
      <c r="O73" s="1"/>
    </row>
    <row r="74" spans="1:15">
      <c r="A74" s="1" t="s">
        <v>103</v>
      </c>
      <c r="B74" s="1" t="s">
        <v>27</v>
      </c>
      <c r="C74" s="5">
        <v>45783</v>
      </c>
      <c r="D74" s="16" t="s">
        <v>48</v>
      </c>
      <c r="E74" s="17" t="s">
        <v>15</v>
      </c>
      <c r="F74" s="9">
        <v>1085</v>
      </c>
      <c r="G74" s="9">
        <v>496</v>
      </c>
      <c r="H74" s="9">
        <v>320</v>
      </c>
      <c r="I74" s="9">
        <v>36528</v>
      </c>
      <c r="J74" s="9">
        <v>38599</v>
      </c>
      <c r="K74" s="9">
        <v>270</v>
      </c>
      <c r="L74" s="16" t="s">
        <v>19</v>
      </c>
      <c r="M74" s="16" t="s">
        <v>37</v>
      </c>
      <c r="N74" s="16" t="s">
        <v>49</v>
      </c>
      <c r="O74" s="1"/>
    </row>
    <row r="75" spans="1:15">
      <c r="A75" s="1" t="s">
        <v>104</v>
      </c>
      <c r="B75" s="1" t="s">
        <v>22</v>
      </c>
      <c r="C75" s="5">
        <v>45431</v>
      </c>
      <c r="D75" s="16" t="s">
        <v>23</v>
      </c>
      <c r="E75" s="17" t="s">
        <v>30</v>
      </c>
      <c r="F75" s="9">
        <v>1763</v>
      </c>
      <c r="G75" s="9">
        <v>206</v>
      </c>
      <c r="H75" s="9">
        <v>187</v>
      </c>
      <c r="I75" s="9">
        <v>53342</v>
      </c>
      <c r="J75" s="9">
        <v>25095</v>
      </c>
      <c r="K75" s="9">
        <v>88</v>
      </c>
      <c r="L75" s="16" t="s">
        <v>19</v>
      </c>
      <c r="M75" s="16" t="s">
        <v>364</v>
      </c>
      <c r="N75" s="16" t="s">
        <v>16</v>
      </c>
      <c r="O75" s="1"/>
    </row>
    <row r="76" spans="1:15">
      <c r="A76" s="1" t="s">
        <v>105</v>
      </c>
      <c r="B76" s="1" t="s">
        <v>22</v>
      </c>
      <c r="C76" s="5">
        <v>45313</v>
      </c>
      <c r="D76" s="16" t="s">
        <v>23</v>
      </c>
      <c r="E76" s="17" t="s">
        <v>363</v>
      </c>
      <c r="F76" s="9">
        <v>1554</v>
      </c>
      <c r="G76" s="9">
        <v>455</v>
      </c>
      <c r="H76" s="9">
        <v>158</v>
      </c>
      <c r="I76" s="9">
        <v>41947</v>
      </c>
      <c r="J76" s="9">
        <v>48578</v>
      </c>
      <c r="K76" s="9">
        <v>101</v>
      </c>
      <c r="L76" s="16" t="s">
        <v>37</v>
      </c>
      <c r="M76" s="16" t="s">
        <v>34</v>
      </c>
      <c r="N76" s="16" t="s">
        <v>16</v>
      </c>
      <c r="O76" s="1"/>
    </row>
    <row r="77" spans="1:15" ht="30">
      <c r="A77" s="1" t="s">
        <v>106</v>
      </c>
      <c r="B77" s="1" t="s">
        <v>13</v>
      </c>
      <c r="C77" s="5">
        <v>45487</v>
      </c>
      <c r="D77" s="16" t="s">
        <v>14</v>
      </c>
      <c r="E77" s="17" t="s">
        <v>360</v>
      </c>
      <c r="F77" s="9">
        <v>2464</v>
      </c>
      <c r="G77" s="9">
        <v>401</v>
      </c>
      <c r="H77" s="9">
        <v>78</v>
      </c>
      <c r="I77" s="9">
        <v>38665</v>
      </c>
      <c r="J77" s="9">
        <v>73593</v>
      </c>
      <c r="K77" s="9">
        <v>207</v>
      </c>
      <c r="L77" s="16" t="s">
        <v>19</v>
      </c>
      <c r="M77" s="16"/>
      <c r="N77" s="16" t="s">
        <v>20</v>
      </c>
      <c r="O77" s="1"/>
    </row>
    <row r="78" spans="1:15">
      <c r="A78" s="1" t="s">
        <v>107</v>
      </c>
      <c r="B78" s="1" t="s">
        <v>22</v>
      </c>
      <c r="C78" s="5">
        <v>45805</v>
      </c>
      <c r="D78" s="16" t="s">
        <v>14</v>
      </c>
      <c r="E78" s="17" t="s">
        <v>363</v>
      </c>
      <c r="F78" s="9">
        <v>2418</v>
      </c>
      <c r="G78" s="9">
        <v>161</v>
      </c>
      <c r="H78" s="9">
        <v>360</v>
      </c>
      <c r="I78" s="9">
        <v>30589</v>
      </c>
      <c r="J78" s="9">
        <v>41383</v>
      </c>
      <c r="K78" s="9">
        <v>88</v>
      </c>
      <c r="L78" s="16" t="s">
        <v>34</v>
      </c>
      <c r="M78" s="16"/>
      <c r="N78" s="16" t="s">
        <v>16</v>
      </c>
      <c r="O78" s="1"/>
    </row>
    <row r="79" spans="1:15">
      <c r="A79" s="1" t="s">
        <v>108</v>
      </c>
      <c r="B79" s="1" t="s">
        <v>22</v>
      </c>
      <c r="C79" s="5">
        <v>45678</v>
      </c>
      <c r="D79" s="16" t="s">
        <v>23</v>
      </c>
      <c r="E79" s="17" t="s">
        <v>15</v>
      </c>
      <c r="F79" s="9">
        <v>2494</v>
      </c>
      <c r="G79" s="9">
        <v>494</v>
      </c>
      <c r="H79" s="9">
        <v>55</v>
      </c>
      <c r="I79" s="9">
        <v>22580</v>
      </c>
      <c r="J79" s="9">
        <v>22214</v>
      </c>
      <c r="K79" s="9">
        <v>109</v>
      </c>
      <c r="L79" s="16" t="s">
        <v>364</v>
      </c>
      <c r="M79" s="16" t="s">
        <v>34</v>
      </c>
      <c r="N79" s="16" t="s">
        <v>16</v>
      </c>
      <c r="O79" s="1"/>
    </row>
    <row r="80" spans="1:15">
      <c r="A80" s="1" t="s">
        <v>109</v>
      </c>
      <c r="B80" s="1" t="s">
        <v>27</v>
      </c>
      <c r="C80" s="5">
        <v>45304</v>
      </c>
      <c r="D80" s="16" t="s">
        <v>48</v>
      </c>
      <c r="E80" s="17" t="s">
        <v>24</v>
      </c>
      <c r="F80" s="9">
        <v>4781</v>
      </c>
      <c r="G80" s="9">
        <v>191</v>
      </c>
      <c r="H80" s="9">
        <v>122</v>
      </c>
      <c r="I80" s="9">
        <v>35535</v>
      </c>
      <c r="J80" s="9">
        <v>50777</v>
      </c>
      <c r="K80" s="9">
        <v>128</v>
      </c>
      <c r="L80" s="16" t="s">
        <v>19</v>
      </c>
      <c r="M80" s="16" t="s">
        <v>37</v>
      </c>
      <c r="N80" s="16" t="s">
        <v>49</v>
      </c>
      <c r="O80" s="1"/>
    </row>
    <row r="81" spans="1:15">
      <c r="A81" s="1" t="s">
        <v>110</v>
      </c>
      <c r="B81" s="1" t="s">
        <v>13</v>
      </c>
      <c r="C81" s="5">
        <v>45825</v>
      </c>
      <c r="D81" s="16" t="s">
        <v>14</v>
      </c>
      <c r="E81" s="17" t="s">
        <v>361</v>
      </c>
      <c r="F81" s="9">
        <v>2284</v>
      </c>
      <c r="G81" s="9">
        <v>187</v>
      </c>
      <c r="H81" s="9">
        <v>260</v>
      </c>
      <c r="I81" s="9">
        <v>37400</v>
      </c>
      <c r="J81" s="9">
        <v>65014</v>
      </c>
      <c r="K81" s="9">
        <v>157</v>
      </c>
      <c r="L81" s="16" t="s">
        <v>37</v>
      </c>
      <c r="M81" s="16" t="s">
        <v>34</v>
      </c>
      <c r="N81" s="16" t="s">
        <v>16</v>
      </c>
      <c r="O81" s="1"/>
    </row>
    <row r="82" spans="1:15">
      <c r="A82" s="1" t="s">
        <v>111</v>
      </c>
      <c r="B82" s="1" t="s">
        <v>22</v>
      </c>
      <c r="C82" s="5">
        <v>45723</v>
      </c>
      <c r="D82" s="16" t="s">
        <v>14</v>
      </c>
      <c r="E82" s="17" t="s">
        <v>30</v>
      </c>
      <c r="F82" s="9">
        <v>4234</v>
      </c>
      <c r="G82" s="9">
        <v>486</v>
      </c>
      <c r="H82" s="9">
        <v>276</v>
      </c>
      <c r="I82" s="9">
        <v>56623</v>
      </c>
      <c r="J82" s="9">
        <v>41343</v>
      </c>
      <c r="K82" s="9">
        <v>184</v>
      </c>
      <c r="L82" s="16" t="s">
        <v>37</v>
      </c>
      <c r="M82" s="16"/>
      <c r="N82" s="16" t="s">
        <v>20</v>
      </c>
      <c r="O82" s="1"/>
    </row>
    <row r="83" spans="1:15">
      <c r="A83" s="1" t="s">
        <v>112</v>
      </c>
      <c r="B83" s="1" t="s">
        <v>13</v>
      </c>
      <c r="C83" s="5">
        <v>45530</v>
      </c>
      <c r="D83" s="16" t="s">
        <v>14</v>
      </c>
      <c r="E83" s="17" t="s">
        <v>42</v>
      </c>
      <c r="F83" s="9">
        <v>2102</v>
      </c>
      <c r="G83" s="9">
        <v>181</v>
      </c>
      <c r="H83" s="9">
        <v>306</v>
      </c>
      <c r="I83" s="9">
        <v>43650</v>
      </c>
      <c r="J83" s="9">
        <v>50079</v>
      </c>
      <c r="K83" s="9">
        <v>182</v>
      </c>
      <c r="L83" s="16" t="s">
        <v>19</v>
      </c>
      <c r="M83" s="16"/>
      <c r="N83" s="16" t="s">
        <v>20</v>
      </c>
      <c r="O83" s="1"/>
    </row>
    <row r="84" spans="1:15">
      <c r="A84" s="1" t="s">
        <v>113</v>
      </c>
      <c r="B84" s="1" t="s">
        <v>22</v>
      </c>
      <c r="C84" s="5">
        <v>45660</v>
      </c>
      <c r="D84" s="16" t="s">
        <v>23</v>
      </c>
      <c r="E84" s="17" t="s">
        <v>30</v>
      </c>
      <c r="F84" s="9">
        <v>4845</v>
      </c>
      <c r="G84" s="9">
        <v>158</v>
      </c>
      <c r="H84" s="9">
        <v>84</v>
      </c>
      <c r="I84" s="9">
        <v>34578</v>
      </c>
      <c r="J84" s="9">
        <v>51480</v>
      </c>
      <c r="K84" s="9">
        <v>180</v>
      </c>
      <c r="L84" s="16" t="s">
        <v>37</v>
      </c>
      <c r="M84" s="16" t="s">
        <v>34</v>
      </c>
      <c r="N84" s="16" t="s">
        <v>16</v>
      </c>
      <c r="O84" s="1"/>
    </row>
    <row r="85" spans="1:15">
      <c r="A85" s="1" t="s">
        <v>114</v>
      </c>
      <c r="B85" s="1" t="s">
        <v>22</v>
      </c>
      <c r="C85" s="5">
        <v>45507</v>
      </c>
      <c r="D85" s="16" t="s">
        <v>14</v>
      </c>
      <c r="E85" s="17" t="s">
        <v>42</v>
      </c>
      <c r="F85" s="9">
        <v>4247</v>
      </c>
      <c r="G85" s="9">
        <v>390</v>
      </c>
      <c r="H85" s="9">
        <v>213</v>
      </c>
      <c r="I85" s="9">
        <v>29785</v>
      </c>
      <c r="J85" s="9">
        <v>57768</v>
      </c>
      <c r="K85" s="9">
        <v>122</v>
      </c>
      <c r="L85" s="16" t="s">
        <v>34</v>
      </c>
      <c r="M85" s="16"/>
      <c r="N85" s="16" t="s">
        <v>16</v>
      </c>
      <c r="O85" s="1"/>
    </row>
    <row r="86" spans="1:15">
      <c r="A86" s="1" t="s">
        <v>115</v>
      </c>
      <c r="B86" s="1" t="s">
        <v>13</v>
      </c>
      <c r="C86" s="5">
        <v>45522</v>
      </c>
      <c r="D86" s="16" t="s">
        <v>14</v>
      </c>
      <c r="E86" s="17" t="s">
        <v>18</v>
      </c>
      <c r="F86" s="9">
        <v>2965</v>
      </c>
      <c r="G86" s="9">
        <v>328</v>
      </c>
      <c r="H86" s="9">
        <v>171</v>
      </c>
      <c r="I86" s="9">
        <v>57685</v>
      </c>
      <c r="J86" s="9">
        <v>67536</v>
      </c>
      <c r="K86" s="9">
        <v>264</v>
      </c>
      <c r="L86" s="16" t="s">
        <v>37</v>
      </c>
      <c r="M86" s="16" t="s">
        <v>34</v>
      </c>
      <c r="N86" s="16" t="s">
        <v>16</v>
      </c>
      <c r="O86" s="1"/>
    </row>
    <row r="87" spans="1:15" ht="30">
      <c r="A87" s="1" t="s">
        <v>116</v>
      </c>
      <c r="B87" s="1" t="s">
        <v>22</v>
      </c>
      <c r="C87" s="5">
        <v>45791</v>
      </c>
      <c r="D87" s="16" t="s">
        <v>23</v>
      </c>
      <c r="E87" s="17" t="s">
        <v>360</v>
      </c>
      <c r="F87" s="9">
        <v>1371</v>
      </c>
      <c r="G87" s="9">
        <v>139</v>
      </c>
      <c r="H87" s="9">
        <v>96</v>
      </c>
      <c r="I87" s="9">
        <v>36140</v>
      </c>
      <c r="J87" s="9">
        <v>39395</v>
      </c>
      <c r="K87" s="9">
        <v>169</v>
      </c>
      <c r="L87" s="16" t="s">
        <v>37</v>
      </c>
      <c r="M87" s="16" t="s">
        <v>34</v>
      </c>
      <c r="N87" s="16" t="s">
        <v>16</v>
      </c>
      <c r="O87" s="1"/>
    </row>
    <row r="88" spans="1:15">
      <c r="A88" s="1" t="s">
        <v>117</v>
      </c>
      <c r="B88" s="1" t="s">
        <v>22</v>
      </c>
      <c r="C88" s="5">
        <v>45405</v>
      </c>
      <c r="D88" s="16" t="s">
        <v>23</v>
      </c>
      <c r="E88" s="17" t="s">
        <v>15</v>
      </c>
      <c r="F88" s="9">
        <v>2683</v>
      </c>
      <c r="G88" s="9">
        <v>496</v>
      </c>
      <c r="H88" s="9">
        <v>89</v>
      </c>
      <c r="I88" s="9">
        <v>53435</v>
      </c>
      <c r="J88" s="9">
        <v>30334</v>
      </c>
      <c r="K88" s="9">
        <v>160</v>
      </c>
      <c r="L88" s="16" t="s">
        <v>37</v>
      </c>
      <c r="M88" s="16" t="s">
        <v>34</v>
      </c>
      <c r="N88" s="16" t="s">
        <v>16</v>
      </c>
      <c r="O88" s="1"/>
    </row>
    <row r="89" spans="1:15">
      <c r="A89" s="1" t="s">
        <v>118</v>
      </c>
      <c r="B89" s="1" t="s">
        <v>22</v>
      </c>
      <c r="C89" s="5">
        <v>45705</v>
      </c>
      <c r="D89" s="16" t="s">
        <v>23</v>
      </c>
      <c r="E89" s="17" t="s">
        <v>362</v>
      </c>
      <c r="F89" s="9">
        <v>4796</v>
      </c>
      <c r="G89" s="9">
        <v>427</v>
      </c>
      <c r="H89" s="9">
        <v>339</v>
      </c>
      <c r="I89" s="9">
        <v>30752</v>
      </c>
      <c r="J89" s="9">
        <v>33870</v>
      </c>
      <c r="K89" s="9">
        <v>298</v>
      </c>
      <c r="L89" s="16" t="s">
        <v>37</v>
      </c>
      <c r="M89" s="16" t="s">
        <v>34</v>
      </c>
      <c r="N89" s="16" t="s">
        <v>16</v>
      </c>
      <c r="O89" s="1"/>
    </row>
    <row r="90" spans="1:15" ht="30">
      <c r="A90" s="1" t="s">
        <v>119</v>
      </c>
      <c r="B90" s="1" t="s">
        <v>13</v>
      </c>
      <c r="C90" s="5">
        <v>45630</v>
      </c>
      <c r="D90" s="16" t="s">
        <v>14</v>
      </c>
      <c r="E90" s="17" t="s">
        <v>360</v>
      </c>
      <c r="F90" s="9">
        <v>2601</v>
      </c>
      <c r="G90" s="9">
        <v>336</v>
      </c>
      <c r="H90" s="9">
        <v>260</v>
      </c>
      <c r="I90" s="9">
        <v>32368</v>
      </c>
      <c r="J90" s="9">
        <v>49028</v>
      </c>
      <c r="K90" s="9">
        <v>120</v>
      </c>
      <c r="L90" s="16" t="s">
        <v>37</v>
      </c>
      <c r="M90" s="16" t="s">
        <v>34</v>
      </c>
      <c r="N90" s="16" t="s">
        <v>16</v>
      </c>
      <c r="O90" s="1"/>
    </row>
    <row r="91" spans="1:15" ht="30">
      <c r="A91" s="1" t="s">
        <v>120</v>
      </c>
      <c r="B91" s="1" t="s">
        <v>22</v>
      </c>
      <c r="C91" s="5">
        <v>45495</v>
      </c>
      <c r="D91" s="16" t="s">
        <v>23</v>
      </c>
      <c r="E91" s="17" t="s">
        <v>360</v>
      </c>
      <c r="F91" s="9">
        <v>3336</v>
      </c>
      <c r="G91" s="9">
        <v>229</v>
      </c>
      <c r="H91" s="9">
        <v>337</v>
      </c>
      <c r="I91" s="9">
        <v>22117</v>
      </c>
      <c r="J91" s="9">
        <v>26205</v>
      </c>
      <c r="K91" s="9">
        <v>160</v>
      </c>
      <c r="L91" s="16" t="s">
        <v>364</v>
      </c>
      <c r="M91" s="16" t="s">
        <v>34</v>
      </c>
      <c r="N91" s="16" t="s">
        <v>16</v>
      </c>
      <c r="O91" s="1"/>
    </row>
    <row r="92" spans="1:15">
      <c r="A92" s="1" t="s">
        <v>121</v>
      </c>
      <c r="B92" s="1" t="s">
        <v>22</v>
      </c>
      <c r="C92" s="5">
        <v>45774</v>
      </c>
      <c r="D92" s="16" t="s">
        <v>14</v>
      </c>
      <c r="E92" s="17" t="s">
        <v>18</v>
      </c>
      <c r="F92" s="9">
        <v>1165</v>
      </c>
      <c r="G92" s="9">
        <v>294</v>
      </c>
      <c r="H92" s="9">
        <v>163</v>
      </c>
      <c r="I92" s="9">
        <v>20659</v>
      </c>
      <c r="J92" s="9">
        <v>45926</v>
      </c>
      <c r="K92" s="9">
        <v>111</v>
      </c>
      <c r="L92" s="16" t="s">
        <v>37</v>
      </c>
      <c r="M92" s="16"/>
      <c r="N92" s="16" t="s">
        <v>20</v>
      </c>
      <c r="O92" s="1"/>
    </row>
    <row r="93" spans="1:15">
      <c r="A93" s="1" t="s">
        <v>122</v>
      </c>
      <c r="B93" s="1" t="s">
        <v>27</v>
      </c>
      <c r="C93" s="5">
        <v>45376</v>
      </c>
      <c r="D93" s="16" t="s">
        <v>48</v>
      </c>
      <c r="E93" s="17" t="s">
        <v>18</v>
      </c>
      <c r="F93" s="9">
        <v>1948</v>
      </c>
      <c r="G93" s="9">
        <v>155</v>
      </c>
      <c r="H93" s="9">
        <v>315</v>
      </c>
      <c r="I93" s="9">
        <v>30321</v>
      </c>
      <c r="J93" s="9">
        <v>57121</v>
      </c>
      <c r="K93" s="9">
        <v>82</v>
      </c>
      <c r="L93" s="16" t="s">
        <v>19</v>
      </c>
      <c r="M93" s="16" t="s">
        <v>37</v>
      </c>
      <c r="N93" s="16" t="s">
        <v>49</v>
      </c>
      <c r="O93" s="1"/>
    </row>
    <row r="94" spans="1:15">
      <c r="A94" s="1" t="s">
        <v>123</v>
      </c>
      <c r="B94" s="1" t="s">
        <v>13</v>
      </c>
      <c r="C94" s="5">
        <v>45351</v>
      </c>
      <c r="D94" s="16" t="s">
        <v>14</v>
      </c>
      <c r="E94" s="17" t="s">
        <v>363</v>
      </c>
      <c r="F94" s="9">
        <v>1100</v>
      </c>
      <c r="G94" s="9">
        <v>229</v>
      </c>
      <c r="H94" s="9">
        <v>312</v>
      </c>
      <c r="I94" s="9">
        <v>25641</v>
      </c>
      <c r="J94" s="9">
        <v>34601</v>
      </c>
      <c r="K94" s="9">
        <v>169</v>
      </c>
      <c r="L94" s="16" t="s">
        <v>19</v>
      </c>
      <c r="M94" s="16"/>
      <c r="N94" s="16" t="s">
        <v>20</v>
      </c>
      <c r="O94" s="1"/>
    </row>
    <row r="95" spans="1:15">
      <c r="A95" s="1" t="s">
        <v>124</v>
      </c>
      <c r="B95" s="1" t="s">
        <v>22</v>
      </c>
      <c r="C95" s="5">
        <v>45609</v>
      </c>
      <c r="D95" s="16" t="s">
        <v>23</v>
      </c>
      <c r="E95" s="17" t="s">
        <v>33</v>
      </c>
      <c r="F95" s="9">
        <v>4628</v>
      </c>
      <c r="G95" s="9">
        <v>257</v>
      </c>
      <c r="H95" s="9">
        <v>397</v>
      </c>
      <c r="I95" s="9">
        <v>36686</v>
      </c>
      <c r="J95" s="9">
        <v>54683</v>
      </c>
      <c r="K95" s="9">
        <v>98</v>
      </c>
      <c r="L95" s="16" t="s">
        <v>37</v>
      </c>
      <c r="M95" s="16" t="s">
        <v>34</v>
      </c>
      <c r="N95" s="16" t="s">
        <v>16</v>
      </c>
      <c r="O95" s="1"/>
    </row>
    <row r="96" spans="1:15">
      <c r="A96" s="1" t="s">
        <v>125</v>
      </c>
      <c r="B96" s="1" t="s">
        <v>13</v>
      </c>
      <c r="C96" s="5">
        <v>45373</v>
      </c>
      <c r="D96" s="16" t="s">
        <v>23</v>
      </c>
      <c r="E96" s="17" t="s">
        <v>15</v>
      </c>
      <c r="F96" s="9">
        <v>2319</v>
      </c>
      <c r="G96" s="9">
        <v>484</v>
      </c>
      <c r="H96" s="9">
        <v>193</v>
      </c>
      <c r="I96" s="9">
        <v>21202</v>
      </c>
      <c r="J96" s="9">
        <v>18091</v>
      </c>
      <c r="K96" s="9">
        <v>241</v>
      </c>
      <c r="L96" s="16" t="s">
        <v>34</v>
      </c>
      <c r="M96" s="16"/>
      <c r="N96" s="16" t="s">
        <v>46</v>
      </c>
      <c r="O96" s="1"/>
    </row>
    <row r="97" spans="1:15" ht="30">
      <c r="A97" s="1" t="s">
        <v>126</v>
      </c>
      <c r="B97" s="1" t="s">
        <v>22</v>
      </c>
      <c r="C97" s="5">
        <v>45367</v>
      </c>
      <c r="D97" s="16" t="s">
        <v>23</v>
      </c>
      <c r="E97" s="17" t="s">
        <v>360</v>
      </c>
      <c r="F97" s="9">
        <v>2895</v>
      </c>
      <c r="G97" s="9">
        <v>292</v>
      </c>
      <c r="H97" s="9">
        <v>90</v>
      </c>
      <c r="I97" s="9">
        <v>24223</v>
      </c>
      <c r="J97" s="9">
        <v>54626</v>
      </c>
      <c r="K97" s="9">
        <v>114</v>
      </c>
      <c r="L97" s="16" t="s">
        <v>37</v>
      </c>
      <c r="M97" s="16" t="s">
        <v>34</v>
      </c>
      <c r="N97" s="16" t="s">
        <v>16</v>
      </c>
      <c r="O97" s="1"/>
    </row>
    <row r="98" spans="1:15">
      <c r="A98" s="1" t="s">
        <v>127</v>
      </c>
      <c r="B98" s="1" t="s">
        <v>13</v>
      </c>
      <c r="C98" s="5">
        <v>45317</v>
      </c>
      <c r="D98" s="16" t="s">
        <v>14</v>
      </c>
      <c r="E98" s="17" t="s">
        <v>362</v>
      </c>
      <c r="F98" s="9">
        <v>3878</v>
      </c>
      <c r="G98" s="9">
        <v>431</v>
      </c>
      <c r="H98" s="9">
        <v>97</v>
      </c>
      <c r="I98" s="9">
        <v>41763</v>
      </c>
      <c r="J98" s="9">
        <v>29729</v>
      </c>
      <c r="K98" s="9">
        <v>191</v>
      </c>
      <c r="L98" s="16" t="s">
        <v>19</v>
      </c>
      <c r="M98" s="16"/>
      <c r="N98" s="16" t="s">
        <v>20</v>
      </c>
      <c r="O98" s="1"/>
    </row>
    <row r="99" spans="1:15">
      <c r="A99" s="1" t="s">
        <v>128</v>
      </c>
      <c r="B99" s="1" t="s">
        <v>22</v>
      </c>
      <c r="C99" s="5">
        <v>45366</v>
      </c>
      <c r="D99" s="16" t="s">
        <v>23</v>
      </c>
      <c r="E99" s="17" t="s">
        <v>30</v>
      </c>
      <c r="F99" s="9">
        <v>4969</v>
      </c>
      <c r="G99" s="9">
        <v>433</v>
      </c>
      <c r="H99" s="9">
        <v>237</v>
      </c>
      <c r="I99" s="9">
        <v>59552</v>
      </c>
      <c r="J99" s="9">
        <v>23885</v>
      </c>
      <c r="K99" s="9">
        <v>157</v>
      </c>
      <c r="L99" s="16" t="s">
        <v>19</v>
      </c>
      <c r="M99" s="16" t="s">
        <v>364</v>
      </c>
      <c r="N99" s="16" t="s">
        <v>16</v>
      </c>
      <c r="O99" s="1"/>
    </row>
    <row r="100" spans="1:15" ht="30">
      <c r="A100" s="1" t="s">
        <v>129</v>
      </c>
      <c r="B100" s="1" t="s">
        <v>22</v>
      </c>
      <c r="C100" s="5">
        <v>45580</v>
      </c>
      <c r="D100" s="16" t="s">
        <v>14</v>
      </c>
      <c r="E100" s="17" t="s">
        <v>360</v>
      </c>
      <c r="F100" s="9">
        <v>1984</v>
      </c>
      <c r="G100" s="9">
        <v>481</v>
      </c>
      <c r="H100" s="9">
        <v>356</v>
      </c>
      <c r="I100" s="9">
        <v>40681</v>
      </c>
      <c r="J100" s="9">
        <v>63111</v>
      </c>
      <c r="K100" s="9">
        <v>258</v>
      </c>
      <c r="L100" s="16" t="s">
        <v>34</v>
      </c>
      <c r="M100" s="16"/>
      <c r="N100" s="16" t="s">
        <v>16</v>
      </c>
      <c r="O100" s="1"/>
    </row>
    <row r="101" spans="1:15">
      <c r="A101" s="1" t="s">
        <v>130</v>
      </c>
      <c r="B101" s="1" t="s">
        <v>13</v>
      </c>
      <c r="C101" s="5">
        <v>45494</v>
      </c>
      <c r="D101" s="16" t="s">
        <v>14</v>
      </c>
      <c r="E101" s="17" t="s">
        <v>15</v>
      </c>
      <c r="F101" s="9">
        <v>3004</v>
      </c>
      <c r="G101" s="9">
        <v>415</v>
      </c>
      <c r="H101" s="9">
        <v>218</v>
      </c>
      <c r="I101" s="9">
        <v>36090</v>
      </c>
      <c r="J101" s="9">
        <v>37073</v>
      </c>
      <c r="K101" s="9">
        <v>181</v>
      </c>
      <c r="L101" s="16" t="s">
        <v>19</v>
      </c>
      <c r="M101" s="16"/>
      <c r="N101" s="16" t="s">
        <v>20</v>
      </c>
      <c r="O101" s="1"/>
    </row>
    <row r="102" spans="1:15">
      <c r="A102" s="1" t="s">
        <v>131</v>
      </c>
      <c r="B102" s="1" t="s">
        <v>22</v>
      </c>
      <c r="C102" s="5">
        <v>45577</v>
      </c>
      <c r="D102" s="16" t="s">
        <v>14</v>
      </c>
      <c r="E102" s="17" t="s">
        <v>30</v>
      </c>
      <c r="F102" s="9">
        <v>3169</v>
      </c>
      <c r="G102" s="9">
        <v>386</v>
      </c>
      <c r="H102" s="9">
        <v>175</v>
      </c>
      <c r="I102" s="9">
        <v>45012</v>
      </c>
      <c r="J102" s="9">
        <v>38508</v>
      </c>
      <c r="K102" s="9">
        <v>218</v>
      </c>
      <c r="L102" s="16" t="s">
        <v>34</v>
      </c>
      <c r="M102" s="16"/>
      <c r="N102" s="16" t="s">
        <v>16</v>
      </c>
      <c r="O102" s="1"/>
    </row>
    <row r="103" spans="1:15">
      <c r="A103" s="1" t="s">
        <v>132</v>
      </c>
      <c r="B103" s="1" t="s">
        <v>22</v>
      </c>
      <c r="C103" s="5">
        <v>45591</v>
      </c>
      <c r="D103" s="16" t="s">
        <v>14</v>
      </c>
      <c r="E103" s="17" t="s">
        <v>15</v>
      </c>
      <c r="F103" s="9">
        <v>3036</v>
      </c>
      <c r="G103" s="9">
        <v>293</v>
      </c>
      <c r="H103" s="9">
        <v>115</v>
      </c>
      <c r="I103" s="9">
        <v>23776</v>
      </c>
      <c r="J103" s="9">
        <v>46386</v>
      </c>
      <c r="K103" s="9">
        <v>282</v>
      </c>
      <c r="L103" s="16" t="s">
        <v>34</v>
      </c>
      <c r="M103" s="16"/>
      <c r="N103" s="16" t="s">
        <v>16</v>
      </c>
      <c r="O103" s="1"/>
    </row>
    <row r="104" spans="1:15">
      <c r="A104" s="1" t="s">
        <v>133</v>
      </c>
      <c r="B104" s="1" t="s">
        <v>13</v>
      </c>
      <c r="C104" s="5">
        <v>45336</v>
      </c>
      <c r="D104" s="16" t="s">
        <v>14</v>
      </c>
      <c r="E104" s="17" t="s">
        <v>361</v>
      </c>
      <c r="F104" s="9">
        <v>1830</v>
      </c>
      <c r="G104" s="9">
        <v>112</v>
      </c>
      <c r="H104" s="9">
        <v>181</v>
      </c>
      <c r="I104" s="9">
        <v>31870</v>
      </c>
      <c r="J104" s="9">
        <v>55742</v>
      </c>
      <c r="K104" s="9">
        <v>263</v>
      </c>
      <c r="L104" s="16" t="s">
        <v>37</v>
      </c>
      <c r="M104" s="16" t="s">
        <v>34</v>
      </c>
      <c r="N104" s="16" t="s">
        <v>16</v>
      </c>
      <c r="O104" s="1"/>
    </row>
    <row r="105" spans="1:15">
      <c r="A105" s="1" t="s">
        <v>134</v>
      </c>
      <c r="B105" s="1" t="s">
        <v>22</v>
      </c>
      <c r="C105" s="5">
        <v>45413</v>
      </c>
      <c r="D105" s="16" t="s">
        <v>23</v>
      </c>
      <c r="E105" s="17" t="s">
        <v>362</v>
      </c>
      <c r="F105" s="9">
        <v>2587</v>
      </c>
      <c r="G105" s="9">
        <v>447</v>
      </c>
      <c r="H105" s="9">
        <v>183</v>
      </c>
      <c r="I105" s="9">
        <v>36266</v>
      </c>
      <c r="J105" s="9">
        <v>32877</v>
      </c>
      <c r="K105" s="9">
        <v>132</v>
      </c>
      <c r="L105" s="16" t="s">
        <v>19</v>
      </c>
      <c r="M105" s="16" t="s">
        <v>364</v>
      </c>
      <c r="N105" s="16" t="s">
        <v>16</v>
      </c>
      <c r="O105" s="1"/>
    </row>
    <row r="106" spans="1:15">
      <c r="A106" s="1" t="s">
        <v>135</v>
      </c>
      <c r="B106" s="1" t="s">
        <v>22</v>
      </c>
      <c r="C106" s="5">
        <v>45553</v>
      </c>
      <c r="D106" s="16" t="s">
        <v>14</v>
      </c>
      <c r="E106" s="17" t="s">
        <v>15</v>
      </c>
      <c r="F106" s="9">
        <v>2878</v>
      </c>
      <c r="G106" s="9">
        <v>265</v>
      </c>
      <c r="H106" s="9">
        <v>91</v>
      </c>
      <c r="I106" s="9">
        <v>52090</v>
      </c>
      <c r="J106" s="9">
        <v>28924</v>
      </c>
      <c r="K106" s="9">
        <v>133</v>
      </c>
      <c r="L106" s="16" t="s">
        <v>34</v>
      </c>
      <c r="M106" s="16"/>
      <c r="N106" s="16" t="s">
        <v>16</v>
      </c>
      <c r="O106" s="1"/>
    </row>
    <row r="107" spans="1:15">
      <c r="A107" s="1" t="s">
        <v>136</v>
      </c>
      <c r="B107" s="1" t="s">
        <v>22</v>
      </c>
      <c r="C107" s="5">
        <v>45677</v>
      </c>
      <c r="D107" s="16" t="s">
        <v>23</v>
      </c>
      <c r="E107" s="17" t="s">
        <v>24</v>
      </c>
      <c r="F107" s="9">
        <v>4619</v>
      </c>
      <c r="G107" s="9">
        <v>272</v>
      </c>
      <c r="H107" s="9">
        <v>57</v>
      </c>
      <c r="I107" s="9">
        <v>21334</v>
      </c>
      <c r="J107" s="9">
        <v>46292</v>
      </c>
      <c r="K107" s="9">
        <v>91</v>
      </c>
      <c r="L107" s="16" t="s">
        <v>37</v>
      </c>
      <c r="M107" s="16" t="s">
        <v>34</v>
      </c>
      <c r="N107" s="16" t="s">
        <v>16</v>
      </c>
      <c r="O107" s="1"/>
    </row>
    <row r="108" spans="1:15">
      <c r="A108" s="1" t="s">
        <v>137</v>
      </c>
      <c r="B108" s="1" t="s">
        <v>22</v>
      </c>
      <c r="C108" s="5">
        <v>45670</v>
      </c>
      <c r="D108" s="16" t="s">
        <v>14</v>
      </c>
      <c r="E108" s="17" t="s">
        <v>361</v>
      </c>
      <c r="F108" s="9">
        <v>4090</v>
      </c>
      <c r="G108" s="9">
        <v>209</v>
      </c>
      <c r="H108" s="9">
        <v>278</v>
      </c>
      <c r="I108" s="9">
        <v>52853</v>
      </c>
      <c r="J108" s="9">
        <v>57084</v>
      </c>
      <c r="K108" s="9">
        <v>102</v>
      </c>
      <c r="L108" s="16" t="s">
        <v>37</v>
      </c>
      <c r="M108" s="16"/>
      <c r="N108" s="16" t="s">
        <v>20</v>
      </c>
      <c r="O108" s="1"/>
    </row>
    <row r="109" spans="1:15">
      <c r="A109" s="1" t="s">
        <v>138</v>
      </c>
      <c r="B109" s="1" t="s">
        <v>27</v>
      </c>
      <c r="C109" s="5">
        <v>45542</v>
      </c>
      <c r="D109" s="16" t="s">
        <v>48</v>
      </c>
      <c r="E109" s="17" t="s">
        <v>361</v>
      </c>
      <c r="F109" s="9">
        <v>3882</v>
      </c>
      <c r="G109" s="9">
        <v>342</v>
      </c>
      <c r="H109" s="9">
        <v>374</v>
      </c>
      <c r="I109" s="9">
        <v>41991</v>
      </c>
      <c r="J109" s="9">
        <v>48554</v>
      </c>
      <c r="K109" s="9">
        <v>118</v>
      </c>
      <c r="L109" s="16" t="s">
        <v>19</v>
      </c>
      <c r="M109" s="16" t="s">
        <v>37</v>
      </c>
      <c r="N109" s="16" t="s">
        <v>49</v>
      </c>
      <c r="O109" s="1"/>
    </row>
    <row r="110" spans="1:15">
      <c r="A110" s="1" t="s">
        <v>139</v>
      </c>
      <c r="B110" s="1" t="s">
        <v>13</v>
      </c>
      <c r="C110" s="5">
        <v>45617</v>
      </c>
      <c r="D110" s="16" t="s">
        <v>14</v>
      </c>
      <c r="E110" s="17" t="s">
        <v>361</v>
      </c>
      <c r="F110" s="9">
        <v>4581</v>
      </c>
      <c r="G110" s="9">
        <v>181</v>
      </c>
      <c r="H110" s="9">
        <v>112</v>
      </c>
      <c r="I110" s="9">
        <v>35221</v>
      </c>
      <c r="J110" s="9">
        <v>28797</v>
      </c>
      <c r="K110" s="9">
        <v>164</v>
      </c>
      <c r="L110" s="16" t="s">
        <v>37</v>
      </c>
      <c r="M110" s="16" t="s">
        <v>34</v>
      </c>
      <c r="N110" s="16" t="s">
        <v>16</v>
      </c>
      <c r="O110" s="1"/>
    </row>
    <row r="111" spans="1:15">
      <c r="A111" s="1" t="s">
        <v>140</v>
      </c>
      <c r="B111" s="1" t="s">
        <v>13</v>
      </c>
      <c r="C111" s="5">
        <v>45469</v>
      </c>
      <c r="D111" s="16" t="s">
        <v>14</v>
      </c>
      <c r="E111" s="17" t="s">
        <v>24</v>
      </c>
      <c r="F111" s="9">
        <v>3253</v>
      </c>
      <c r="G111" s="9">
        <v>483</v>
      </c>
      <c r="H111" s="9">
        <v>336</v>
      </c>
      <c r="I111" s="9">
        <v>25397</v>
      </c>
      <c r="J111" s="9">
        <v>51485</v>
      </c>
      <c r="K111" s="9">
        <v>131</v>
      </c>
      <c r="L111" s="16" t="s">
        <v>19</v>
      </c>
      <c r="M111" s="16"/>
      <c r="N111" s="16" t="s">
        <v>20</v>
      </c>
      <c r="O111" s="1"/>
    </row>
    <row r="112" spans="1:15">
      <c r="A112" s="1" t="s">
        <v>141</v>
      </c>
      <c r="B112" s="1" t="s">
        <v>27</v>
      </c>
      <c r="C112" s="5">
        <v>45493</v>
      </c>
      <c r="D112" s="16" t="s">
        <v>48</v>
      </c>
      <c r="E112" s="17" t="s">
        <v>361</v>
      </c>
      <c r="F112" s="9">
        <v>4955</v>
      </c>
      <c r="G112" s="9">
        <v>299</v>
      </c>
      <c r="H112" s="9">
        <v>345</v>
      </c>
      <c r="I112" s="9">
        <v>33644</v>
      </c>
      <c r="J112" s="9">
        <v>43547</v>
      </c>
      <c r="K112" s="9">
        <v>194</v>
      </c>
      <c r="L112" s="16" t="s">
        <v>19</v>
      </c>
      <c r="M112" s="16" t="s">
        <v>37</v>
      </c>
      <c r="N112" s="16" t="s">
        <v>49</v>
      </c>
      <c r="O112" s="1"/>
    </row>
    <row r="113" spans="1:15">
      <c r="A113" s="1" t="s">
        <v>142</v>
      </c>
      <c r="B113" s="1" t="s">
        <v>13</v>
      </c>
      <c r="C113" s="5">
        <v>45704</v>
      </c>
      <c r="D113" s="16" t="s">
        <v>14</v>
      </c>
      <c r="E113" s="17" t="s">
        <v>42</v>
      </c>
      <c r="F113" s="9">
        <v>1333</v>
      </c>
      <c r="G113" s="9">
        <v>286</v>
      </c>
      <c r="H113" s="9">
        <v>298</v>
      </c>
      <c r="I113" s="9">
        <v>36174</v>
      </c>
      <c r="J113" s="9">
        <v>34517</v>
      </c>
      <c r="K113" s="9">
        <v>170</v>
      </c>
      <c r="L113" s="16" t="s">
        <v>37</v>
      </c>
      <c r="M113" s="16" t="s">
        <v>34</v>
      </c>
      <c r="N113" s="16" t="s">
        <v>16</v>
      </c>
      <c r="O113" s="1"/>
    </row>
    <row r="114" spans="1:15">
      <c r="A114" s="1" t="s">
        <v>143</v>
      </c>
      <c r="B114" s="1" t="s">
        <v>13</v>
      </c>
      <c r="C114" s="5">
        <v>45544</v>
      </c>
      <c r="D114" s="16" t="s">
        <v>14</v>
      </c>
      <c r="E114" s="17" t="s">
        <v>24</v>
      </c>
      <c r="F114" s="9">
        <v>1616</v>
      </c>
      <c r="G114" s="9">
        <v>360</v>
      </c>
      <c r="H114" s="9">
        <v>180</v>
      </c>
      <c r="I114" s="9">
        <v>54342</v>
      </c>
      <c r="J114" s="9">
        <v>18796</v>
      </c>
      <c r="K114" s="9">
        <v>282</v>
      </c>
      <c r="L114" s="16" t="s">
        <v>37</v>
      </c>
      <c r="M114" s="16" t="s">
        <v>34</v>
      </c>
      <c r="N114" s="16" t="s">
        <v>16</v>
      </c>
      <c r="O114" s="1"/>
    </row>
    <row r="115" spans="1:15">
      <c r="A115" s="1" t="s">
        <v>144</v>
      </c>
      <c r="B115" s="1" t="s">
        <v>22</v>
      </c>
      <c r="C115" s="5">
        <v>45489</v>
      </c>
      <c r="D115" s="16" t="s">
        <v>14</v>
      </c>
      <c r="E115" s="17" t="s">
        <v>33</v>
      </c>
      <c r="F115" s="9">
        <v>1803</v>
      </c>
      <c r="G115" s="9">
        <v>273</v>
      </c>
      <c r="H115" s="9">
        <v>287</v>
      </c>
      <c r="I115" s="9">
        <v>46176</v>
      </c>
      <c r="J115" s="9">
        <v>25488</v>
      </c>
      <c r="K115" s="9">
        <v>141</v>
      </c>
      <c r="L115" s="16" t="s">
        <v>34</v>
      </c>
      <c r="M115" s="16"/>
      <c r="N115" s="16" t="s">
        <v>16</v>
      </c>
      <c r="O115" s="1"/>
    </row>
    <row r="116" spans="1:15">
      <c r="A116" s="1" t="s">
        <v>145</v>
      </c>
      <c r="B116" s="1" t="s">
        <v>13</v>
      </c>
      <c r="C116" s="5">
        <v>45762</v>
      </c>
      <c r="D116" s="16" t="s">
        <v>14</v>
      </c>
      <c r="E116" s="17" t="s">
        <v>18</v>
      </c>
      <c r="F116" s="9">
        <v>4177</v>
      </c>
      <c r="G116" s="9">
        <v>489</v>
      </c>
      <c r="H116" s="9">
        <v>331</v>
      </c>
      <c r="I116" s="9">
        <v>57451</v>
      </c>
      <c r="J116" s="9">
        <v>73793</v>
      </c>
      <c r="K116" s="9">
        <v>251</v>
      </c>
      <c r="L116" s="16" t="s">
        <v>19</v>
      </c>
      <c r="M116" s="16"/>
      <c r="N116" s="16" t="s">
        <v>20</v>
      </c>
      <c r="O116" s="1"/>
    </row>
    <row r="117" spans="1:15">
      <c r="A117" s="1" t="s">
        <v>146</v>
      </c>
      <c r="B117" s="1" t="s">
        <v>13</v>
      </c>
      <c r="C117" s="5">
        <v>45781</v>
      </c>
      <c r="D117" s="16" t="s">
        <v>23</v>
      </c>
      <c r="E117" s="17" t="s">
        <v>24</v>
      </c>
      <c r="F117" s="9">
        <v>1311</v>
      </c>
      <c r="G117" s="9">
        <v>181</v>
      </c>
      <c r="H117" s="9">
        <v>361</v>
      </c>
      <c r="I117" s="9">
        <v>37148</v>
      </c>
      <c r="J117" s="9">
        <v>44875</v>
      </c>
      <c r="K117" s="9">
        <v>245</v>
      </c>
      <c r="L117" s="16" t="s">
        <v>34</v>
      </c>
      <c r="M117" s="16"/>
      <c r="N117" s="16" t="s">
        <v>46</v>
      </c>
      <c r="O117" s="1"/>
    </row>
    <row r="118" spans="1:15">
      <c r="A118" s="1" t="s">
        <v>147</v>
      </c>
      <c r="B118" s="1" t="s">
        <v>13</v>
      </c>
      <c r="C118" s="5">
        <v>45340</v>
      </c>
      <c r="D118" s="16" t="s">
        <v>23</v>
      </c>
      <c r="E118" s="17" t="s">
        <v>363</v>
      </c>
      <c r="F118" s="9">
        <v>1516</v>
      </c>
      <c r="G118" s="9">
        <v>215</v>
      </c>
      <c r="H118" s="9">
        <v>332</v>
      </c>
      <c r="I118" s="9">
        <v>58981</v>
      </c>
      <c r="J118" s="9">
        <v>36118</v>
      </c>
      <c r="K118" s="9">
        <v>211</v>
      </c>
      <c r="L118" s="16" t="s">
        <v>34</v>
      </c>
      <c r="M118" s="16"/>
      <c r="N118" s="16" t="s">
        <v>46</v>
      </c>
      <c r="O118" s="1"/>
    </row>
    <row r="119" spans="1:15">
      <c r="A119" s="1" t="s">
        <v>148</v>
      </c>
      <c r="B119" s="1" t="s">
        <v>22</v>
      </c>
      <c r="C119" s="5">
        <v>45428</v>
      </c>
      <c r="D119" s="16" t="s">
        <v>23</v>
      </c>
      <c r="E119" s="17" t="s">
        <v>361</v>
      </c>
      <c r="F119" s="9">
        <v>2023</v>
      </c>
      <c r="G119" s="9">
        <v>124</v>
      </c>
      <c r="H119" s="9">
        <v>99</v>
      </c>
      <c r="I119" s="9">
        <v>54524</v>
      </c>
      <c r="J119" s="9">
        <v>34790</v>
      </c>
      <c r="K119" s="9">
        <v>195</v>
      </c>
      <c r="L119" s="16" t="s">
        <v>19</v>
      </c>
      <c r="M119" s="16" t="s">
        <v>364</v>
      </c>
      <c r="N119" s="16" t="s">
        <v>16</v>
      </c>
      <c r="O119" s="1"/>
    </row>
    <row r="120" spans="1:15">
      <c r="A120" s="1" t="s">
        <v>149</v>
      </c>
      <c r="B120" s="1" t="s">
        <v>22</v>
      </c>
      <c r="C120" s="5">
        <v>45806</v>
      </c>
      <c r="D120" s="16" t="s">
        <v>23</v>
      </c>
      <c r="E120" s="17" t="s">
        <v>361</v>
      </c>
      <c r="F120" s="9">
        <v>2134</v>
      </c>
      <c r="G120" s="9">
        <v>322</v>
      </c>
      <c r="H120" s="9">
        <v>114</v>
      </c>
      <c r="I120" s="9">
        <v>44338</v>
      </c>
      <c r="J120" s="9">
        <v>52165</v>
      </c>
      <c r="K120" s="9">
        <v>176</v>
      </c>
      <c r="L120" s="16" t="s">
        <v>364</v>
      </c>
      <c r="M120" s="16" t="s">
        <v>34</v>
      </c>
      <c r="N120" s="16" t="s">
        <v>16</v>
      </c>
      <c r="O120" s="1"/>
    </row>
    <row r="121" spans="1:15">
      <c r="A121" s="1" t="s">
        <v>150</v>
      </c>
      <c r="B121" s="1" t="s">
        <v>13</v>
      </c>
      <c r="C121" s="5">
        <v>45674</v>
      </c>
      <c r="D121" s="16" t="s">
        <v>14</v>
      </c>
      <c r="E121" s="17" t="s">
        <v>33</v>
      </c>
      <c r="F121" s="9">
        <v>2266</v>
      </c>
      <c r="G121" s="9">
        <v>126</v>
      </c>
      <c r="H121" s="9">
        <v>140</v>
      </c>
      <c r="I121" s="9">
        <v>53759</v>
      </c>
      <c r="J121" s="9">
        <v>46834</v>
      </c>
      <c r="K121" s="9">
        <v>277</v>
      </c>
      <c r="L121" s="16" t="s">
        <v>19</v>
      </c>
      <c r="M121" s="16"/>
      <c r="N121" s="16" t="s">
        <v>20</v>
      </c>
      <c r="O121" s="1"/>
    </row>
    <row r="122" spans="1:15">
      <c r="A122" s="1" t="s">
        <v>151</v>
      </c>
      <c r="B122" s="1" t="s">
        <v>13</v>
      </c>
      <c r="C122" s="5">
        <v>45777</v>
      </c>
      <c r="D122" s="16" t="s">
        <v>23</v>
      </c>
      <c r="E122" s="17" t="s">
        <v>24</v>
      </c>
      <c r="F122" s="9">
        <v>3916</v>
      </c>
      <c r="G122" s="9">
        <v>459</v>
      </c>
      <c r="H122" s="9">
        <v>229</v>
      </c>
      <c r="I122" s="9">
        <v>48989</v>
      </c>
      <c r="J122" s="9">
        <v>39768</v>
      </c>
      <c r="K122" s="9">
        <v>200</v>
      </c>
      <c r="L122" s="16" t="s">
        <v>34</v>
      </c>
      <c r="M122" s="16"/>
      <c r="N122" s="16" t="s">
        <v>46</v>
      </c>
      <c r="O122" s="1"/>
    </row>
    <row r="123" spans="1:15">
      <c r="A123" s="1" t="s">
        <v>152</v>
      </c>
      <c r="B123" s="1" t="s">
        <v>22</v>
      </c>
      <c r="C123" s="5">
        <v>45346</v>
      </c>
      <c r="D123" s="16" t="s">
        <v>23</v>
      </c>
      <c r="E123" s="17" t="s">
        <v>361</v>
      </c>
      <c r="F123" s="9">
        <v>1022</v>
      </c>
      <c r="G123" s="9">
        <v>463</v>
      </c>
      <c r="H123" s="9">
        <v>360</v>
      </c>
      <c r="I123" s="9">
        <v>51468</v>
      </c>
      <c r="J123" s="9">
        <v>24279</v>
      </c>
      <c r="K123" s="9">
        <v>230</v>
      </c>
      <c r="L123" s="16" t="s">
        <v>19</v>
      </c>
      <c r="M123" s="16" t="s">
        <v>364</v>
      </c>
      <c r="N123" s="16" t="s">
        <v>16</v>
      </c>
      <c r="O123" s="1"/>
    </row>
    <row r="124" spans="1:15">
      <c r="A124" s="1" t="s">
        <v>153</v>
      </c>
      <c r="B124" s="1" t="s">
        <v>27</v>
      </c>
      <c r="C124" s="5">
        <v>45424</v>
      </c>
      <c r="D124" s="16" t="s">
        <v>14</v>
      </c>
      <c r="E124" s="17" t="s">
        <v>363</v>
      </c>
      <c r="F124" s="9">
        <v>2911</v>
      </c>
      <c r="G124" s="9">
        <v>467</v>
      </c>
      <c r="H124" s="9">
        <v>94</v>
      </c>
      <c r="I124" s="9">
        <v>59083</v>
      </c>
      <c r="J124" s="9">
        <v>49762</v>
      </c>
      <c r="K124" s="9">
        <v>236</v>
      </c>
      <c r="L124" s="16" t="s">
        <v>19</v>
      </c>
      <c r="M124" s="16" t="s">
        <v>365</v>
      </c>
      <c r="N124" s="16" t="s">
        <v>20</v>
      </c>
      <c r="O124" s="1"/>
    </row>
    <row r="125" spans="1:15">
      <c r="A125" s="1" t="s">
        <v>154</v>
      </c>
      <c r="B125" s="1" t="s">
        <v>22</v>
      </c>
      <c r="C125" s="5">
        <v>45421</v>
      </c>
      <c r="D125" s="16" t="s">
        <v>23</v>
      </c>
      <c r="E125" s="17" t="s">
        <v>24</v>
      </c>
      <c r="F125" s="9">
        <v>3277</v>
      </c>
      <c r="G125" s="9">
        <v>423</v>
      </c>
      <c r="H125" s="9">
        <v>259</v>
      </c>
      <c r="I125" s="9">
        <v>46328</v>
      </c>
      <c r="J125" s="9">
        <v>44293</v>
      </c>
      <c r="K125" s="9">
        <v>299</v>
      </c>
      <c r="L125" s="16" t="s">
        <v>37</v>
      </c>
      <c r="M125" s="16" t="s">
        <v>34</v>
      </c>
      <c r="N125" s="16" t="s">
        <v>16</v>
      </c>
      <c r="O125" s="1"/>
    </row>
    <row r="126" spans="1:15">
      <c r="A126" s="1" t="s">
        <v>155</v>
      </c>
      <c r="B126" s="1" t="s">
        <v>22</v>
      </c>
      <c r="C126" s="5">
        <v>45602</v>
      </c>
      <c r="D126" s="16" t="s">
        <v>14</v>
      </c>
      <c r="E126" s="17" t="s">
        <v>363</v>
      </c>
      <c r="F126" s="9">
        <v>2956</v>
      </c>
      <c r="G126" s="9">
        <v>381</v>
      </c>
      <c r="H126" s="9">
        <v>345</v>
      </c>
      <c r="I126" s="9">
        <v>33347</v>
      </c>
      <c r="J126" s="9">
        <v>22558</v>
      </c>
      <c r="K126" s="9">
        <v>173</v>
      </c>
      <c r="L126" s="16" t="s">
        <v>34</v>
      </c>
      <c r="M126" s="16"/>
      <c r="N126" s="16" t="s">
        <v>16</v>
      </c>
      <c r="O126" s="1"/>
    </row>
    <row r="127" spans="1:15">
      <c r="A127" s="1" t="s">
        <v>156</v>
      </c>
      <c r="B127" s="1" t="s">
        <v>22</v>
      </c>
      <c r="C127" s="5">
        <v>45295</v>
      </c>
      <c r="D127" s="16" t="s">
        <v>23</v>
      </c>
      <c r="E127" s="17" t="s">
        <v>362</v>
      </c>
      <c r="F127" s="9">
        <v>3208</v>
      </c>
      <c r="G127" s="9">
        <v>476</v>
      </c>
      <c r="H127" s="9">
        <v>277</v>
      </c>
      <c r="I127" s="9">
        <v>56072</v>
      </c>
      <c r="J127" s="9">
        <v>21061</v>
      </c>
      <c r="K127" s="9">
        <v>113</v>
      </c>
      <c r="L127" s="16" t="s">
        <v>364</v>
      </c>
      <c r="M127" s="16" t="s">
        <v>34</v>
      </c>
      <c r="N127" s="16" t="s">
        <v>16</v>
      </c>
      <c r="O127" s="1"/>
    </row>
    <row r="128" spans="1:15">
      <c r="A128" s="1" t="s">
        <v>157</v>
      </c>
      <c r="B128" s="1" t="s">
        <v>22</v>
      </c>
      <c r="C128" s="5">
        <v>45319</v>
      </c>
      <c r="D128" s="16" t="s">
        <v>14</v>
      </c>
      <c r="E128" s="17" t="s">
        <v>361</v>
      </c>
      <c r="F128" s="9">
        <v>1456</v>
      </c>
      <c r="G128" s="9">
        <v>265</v>
      </c>
      <c r="H128" s="9">
        <v>137</v>
      </c>
      <c r="I128" s="9">
        <v>53485</v>
      </c>
      <c r="J128" s="9">
        <v>59729</v>
      </c>
      <c r="K128" s="9">
        <v>145</v>
      </c>
      <c r="L128" s="16" t="s">
        <v>37</v>
      </c>
      <c r="M128" s="16"/>
      <c r="N128" s="16" t="s">
        <v>20</v>
      </c>
      <c r="O128" s="1"/>
    </row>
    <row r="129" spans="1:15">
      <c r="A129" s="1" t="s">
        <v>158</v>
      </c>
      <c r="B129" s="1" t="s">
        <v>13</v>
      </c>
      <c r="C129" s="5">
        <v>45344</v>
      </c>
      <c r="D129" s="16" t="s">
        <v>14</v>
      </c>
      <c r="E129" s="17" t="s">
        <v>24</v>
      </c>
      <c r="F129" s="9">
        <v>1902</v>
      </c>
      <c r="G129" s="9">
        <v>394</v>
      </c>
      <c r="H129" s="9">
        <v>279</v>
      </c>
      <c r="I129" s="9">
        <v>24615</v>
      </c>
      <c r="J129" s="9">
        <v>51330</v>
      </c>
      <c r="K129" s="9">
        <v>176</v>
      </c>
      <c r="L129" s="16" t="s">
        <v>37</v>
      </c>
      <c r="M129" s="16" t="s">
        <v>34</v>
      </c>
      <c r="N129" s="16" t="s">
        <v>16</v>
      </c>
      <c r="O129" s="1"/>
    </row>
    <row r="130" spans="1:15">
      <c r="A130" s="1" t="s">
        <v>159</v>
      </c>
      <c r="B130" s="1" t="s">
        <v>22</v>
      </c>
      <c r="C130" s="5">
        <v>45839</v>
      </c>
      <c r="D130" s="16" t="s">
        <v>23</v>
      </c>
      <c r="E130" s="17" t="s">
        <v>18</v>
      </c>
      <c r="F130" s="9">
        <v>3219</v>
      </c>
      <c r="G130" s="9">
        <v>424</v>
      </c>
      <c r="H130" s="9">
        <v>267</v>
      </c>
      <c r="I130" s="9">
        <v>48879</v>
      </c>
      <c r="J130" s="9">
        <v>37691</v>
      </c>
      <c r="K130" s="9">
        <v>224</v>
      </c>
      <c r="L130" s="16" t="s">
        <v>19</v>
      </c>
      <c r="M130" s="16" t="s">
        <v>364</v>
      </c>
      <c r="N130" s="16" t="s">
        <v>16</v>
      </c>
      <c r="O130" s="1"/>
    </row>
    <row r="131" spans="1:15">
      <c r="A131" s="1" t="s">
        <v>160</v>
      </c>
      <c r="B131" s="1" t="s">
        <v>27</v>
      </c>
      <c r="C131" s="5">
        <v>45301</v>
      </c>
      <c r="D131" s="16" t="s">
        <v>14</v>
      </c>
      <c r="E131" s="17" t="s">
        <v>18</v>
      </c>
      <c r="F131" s="9">
        <v>1261</v>
      </c>
      <c r="G131" s="9">
        <v>190</v>
      </c>
      <c r="H131" s="9">
        <v>233</v>
      </c>
      <c r="I131" s="9">
        <v>59888</v>
      </c>
      <c r="J131" s="9">
        <v>51449</v>
      </c>
      <c r="K131" s="9">
        <v>205</v>
      </c>
      <c r="L131" s="16" t="s">
        <v>19</v>
      </c>
      <c r="M131" s="16" t="s">
        <v>365</v>
      </c>
      <c r="N131" s="16" t="s">
        <v>20</v>
      </c>
      <c r="O131" s="1"/>
    </row>
    <row r="132" spans="1:15">
      <c r="A132" s="1" t="s">
        <v>161</v>
      </c>
      <c r="B132" s="1" t="s">
        <v>22</v>
      </c>
      <c r="C132" s="5">
        <v>45736</v>
      </c>
      <c r="D132" s="16" t="s">
        <v>14</v>
      </c>
      <c r="E132" s="17" t="s">
        <v>42</v>
      </c>
      <c r="F132" s="9">
        <v>1564</v>
      </c>
      <c r="G132" s="9">
        <v>362</v>
      </c>
      <c r="H132" s="9">
        <v>371</v>
      </c>
      <c r="I132" s="9">
        <v>42075</v>
      </c>
      <c r="J132" s="9">
        <v>66659</v>
      </c>
      <c r="K132" s="9">
        <v>205</v>
      </c>
      <c r="L132" s="16" t="s">
        <v>37</v>
      </c>
      <c r="M132" s="16"/>
      <c r="N132" s="16" t="s">
        <v>20</v>
      </c>
      <c r="O132" s="1"/>
    </row>
    <row r="133" spans="1:15">
      <c r="A133" s="1" t="s">
        <v>162</v>
      </c>
      <c r="B133" s="1" t="s">
        <v>22</v>
      </c>
      <c r="C133" s="5">
        <v>45563</v>
      </c>
      <c r="D133" s="16" t="s">
        <v>14</v>
      </c>
      <c r="E133" s="17" t="s">
        <v>362</v>
      </c>
      <c r="F133" s="9">
        <v>4006</v>
      </c>
      <c r="G133" s="9">
        <v>420</v>
      </c>
      <c r="H133" s="9">
        <v>194</v>
      </c>
      <c r="I133" s="9">
        <v>49964</v>
      </c>
      <c r="J133" s="9">
        <v>20685</v>
      </c>
      <c r="K133" s="9">
        <v>148</v>
      </c>
      <c r="L133" s="16" t="s">
        <v>34</v>
      </c>
      <c r="M133" s="16"/>
      <c r="N133" s="16" t="s">
        <v>16</v>
      </c>
      <c r="O133" s="1"/>
    </row>
    <row r="134" spans="1:15">
      <c r="A134" s="1" t="s">
        <v>163</v>
      </c>
      <c r="B134" s="1" t="s">
        <v>27</v>
      </c>
      <c r="C134" s="5">
        <v>45318</v>
      </c>
      <c r="D134" s="16" t="s">
        <v>14</v>
      </c>
      <c r="E134" s="17" t="s">
        <v>42</v>
      </c>
      <c r="F134" s="9">
        <v>1976</v>
      </c>
      <c r="G134" s="9">
        <v>262</v>
      </c>
      <c r="H134" s="9">
        <v>218</v>
      </c>
      <c r="I134" s="9">
        <v>51696</v>
      </c>
      <c r="J134" s="9">
        <v>44846</v>
      </c>
      <c r="K134" s="9">
        <v>139</v>
      </c>
      <c r="L134" s="16" t="s">
        <v>19</v>
      </c>
      <c r="M134" s="16" t="s">
        <v>365</v>
      </c>
      <c r="N134" s="16" t="s">
        <v>20</v>
      </c>
      <c r="O134" s="1"/>
    </row>
    <row r="135" spans="1:15">
      <c r="A135" s="1" t="s">
        <v>164</v>
      </c>
      <c r="B135" s="1" t="s">
        <v>22</v>
      </c>
      <c r="C135" s="5">
        <v>45792</v>
      </c>
      <c r="D135" s="16" t="s">
        <v>14</v>
      </c>
      <c r="E135" s="17" t="s">
        <v>24</v>
      </c>
      <c r="F135" s="9">
        <v>1583</v>
      </c>
      <c r="G135" s="9">
        <v>433</v>
      </c>
      <c r="H135" s="9">
        <v>249</v>
      </c>
      <c r="I135" s="9">
        <v>30256</v>
      </c>
      <c r="J135" s="9">
        <v>47066</v>
      </c>
      <c r="K135" s="9">
        <v>196</v>
      </c>
      <c r="L135" s="16" t="s">
        <v>34</v>
      </c>
      <c r="M135" s="16"/>
      <c r="N135" s="16" t="s">
        <v>16</v>
      </c>
      <c r="O135" s="1"/>
    </row>
    <row r="136" spans="1:15">
      <c r="A136" s="1" t="s">
        <v>165</v>
      </c>
      <c r="B136" s="1" t="s">
        <v>22</v>
      </c>
      <c r="C136" s="5">
        <v>45569</v>
      </c>
      <c r="D136" s="16" t="s">
        <v>23</v>
      </c>
      <c r="E136" s="17" t="s">
        <v>18</v>
      </c>
      <c r="F136" s="9">
        <v>2870</v>
      </c>
      <c r="G136" s="9">
        <v>380</v>
      </c>
      <c r="H136" s="9">
        <v>393</v>
      </c>
      <c r="I136" s="9">
        <v>37621</v>
      </c>
      <c r="J136" s="9">
        <v>71794</v>
      </c>
      <c r="K136" s="9">
        <v>127</v>
      </c>
      <c r="L136" s="16" t="s">
        <v>364</v>
      </c>
      <c r="M136" s="16" t="s">
        <v>34</v>
      </c>
      <c r="N136" s="16" t="s">
        <v>16</v>
      </c>
      <c r="O136" s="1"/>
    </row>
    <row r="137" spans="1:15">
      <c r="A137" s="1" t="s">
        <v>166</v>
      </c>
      <c r="B137" s="1" t="s">
        <v>22</v>
      </c>
      <c r="C137" s="5">
        <v>45615</v>
      </c>
      <c r="D137" s="16" t="s">
        <v>14</v>
      </c>
      <c r="E137" s="17" t="s">
        <v>33</v>
      </c>
      <c r="F137" s="9">
        <v>3728</v>
      </c>
      <c r="G137" s="9">
        <v>271</v>
      </c>
      <c r="H137" s="9">
        <v>275</v>
      </c>
      <c r="I137" s="9">
        <v>22827</v>
      </c>
      <c r="J137" s="9">
        <v>37034</v>
      </c>
      <c r="K137" s="9">
        <v>199</v>
      </c>
      <c r="L137" s="16" t="s">
        <v>34</v>
      </c>
      <c r="M137" s="16"/>
      <c r="N137" s="16" t="s">
        <v>16</v>
      </c>
      <c r="O137" s="1"/>
    </row>
    <row r="138" spans="1:15">
      <c r="A138" s="1" t="s">
        <v>167</v>
      </c>
      <c r="B138" s="1" t="s">
        <v>22</v>
      </c>
      <c r="C138" s="5">
        <v>45387</v>
      </c>
      <c r="D138" s="16" t="s">
        <v>23</v>
      </c>
      <c r="E138" s="17" t="s">
        <v>24</v>
      </c>
      <c r="F138" s="9">
        <v>4965</v>
      </c>
      <c r="G138" s="9">
        <v>175</v>
      </c>
      <c r="H138" s="9">
        <v>307</v>
      </c>
      <c r="I138" s="9">
        <v>32793</v>
      </c>
      <c r="J138" s="9">
        <v>43412</v>
      </c>
      <c r="K138" s="9">
        <v>296</v>
      </c>
      <c r="L138" s="16" t="s">
        <v>37</v>
      </c>
      <c r="M138" s="16" t="s">
        <v>34</v>
      </c>
      <c r="N138" s="16" t="s">
        <v>16</v>
      </c>
      <c r="O138" s="1"/>
    </row>
    <row r="139" spans="1:15">
      <c r="A139" s="1" t="s">
        <v>168</v>
      </c>
      <c r="B139" s="1" t="s">
        <v>22</v>
      </c>
      <c r="C139" s="5">
        <v>45624</v>
      </c>
      <c r="D139" s="16" t="s">
        <v>23</v>
      </c>
      <c r="E139" s="17" t="s">
        <v>24</v>
      </c>
      <c r="F139" s="9">
        <v>1131</v>
      </c>
      <c r="G139" s="9">
        <v>100</v>
      </c>
      <c r="H139" s="9">
        <v>116</v>
      </c>
      <c r="I139" s="9">
        <v>48437</v>
      </c>
      <c r="J139" s="9">
        <v>72704</v>
      </c>
      <c r="K139" s="9">
        <v>236</v>
      </c>
      <c r="L139" s="16" t="s">
        <v>19</v>
      </c>
      <c r="M139" s="16" t="s">
        <v>364</v>
      </c>
      <c r="N139" s="16" t="s">
        <v>16</v>
      </c>
      <c r="O139" s="1"/>
    </row>
    <row r="140" spans="1:15">
      <c r="A140" s="1" t="s">
        <v>169</v>
      </c>
      <c r="B140" s="1" t="s">
        <v>22</v>
      </c>
      <c r="C140" s="5">
        <v>45725</v>
      </c>
      <c r="D140" s="16" t="s">
        <v>14</v>
      </c>
      <c r="E140" s="17" t="s">
        <v>42</v>
      </c>
      <c r="F140" s="9">
        <v>2754</v>
      </c>
      <c r="G140" s="9">
        <v>215</v>
      </c>
      <c r="H140" s="9">
        <v>264</v>
      </c>
      <c r="I140" s="9">
        <v>27762</v>
      </c>
      <c r="J140" s="9">
        <v>70203</v>
      </c>
      <c r="K140" s="9">
        <v>289</v>
      </c>
      <c r="L140" s="16" t="s">
        <v>34</v>
      </c>
      <c r="M140" s="16"/>
      <c r="N140" s="16" t="s">
        <v>16</v>
      </c>
      <c r="O140" s="1"/>
    </row>
    <row r="141" spans="1:15">
      <c r="A141" s="1" t="s">
        <v>170</v>
      </c>
      <c r="B141" s="1" t="s">
        <v>22</v>
      </c>
      <c r="C141" s="5">
        <v>45531</v>
      </c>
      <c r="D141" s="16" t="s">
        <v>23</v>
      </c>
      <c r="E141" s="17" t="s">
        <v>24</v>
      </c>
      <c r="F141" s="9">
        <v>1856</v>
      </c>
      <c r="G141" s="9">
        <v>357</v>
      </c>
      <c r="H141" s="9">
        <v>348</v>
      </c>
      <c r="I141" s="9">
        <v>29428</v>
      </c>
      <c r="J141" s="9">
        <v>70206</v>
      </c>
      <c r="K141" s="9">
        <v>236</v>
      </c>
      <c r="L141" s="16" t="s">
        <v>364</v>
      </c>
      <c r="M141" s="16" t="s">
        <v>34</v>
      </c>
      <c r="N141" s="16" t="s">
        <v>16</v>
      </c>
      <c r="O141" s="1"/>
    </row>
    <row r="142" spans="1:15">
      <c r="A142" s="1" t="s">
        <v>171</v>
      </c>
      <c r="B142" s="1" t="s">
        <v>27</v>
      </c>
      <c r="C142" s="5">
        <v>45566</v>
      </c>
      <c r="D142" s="16" t="s">
        <v>48</v>
      </c>
      <c r="E142" s="17" t="s">
        <v>18</v>
      </c>
      <c r="F142" s="9">
        <v>3543</v>
      </c>
      <c r="G142" s="9">
        <v>334</v>
      </c>
      <c r="H142" s="9">
        <v>218</v>
      </c>
      <c r="I142" s="9">
        <v>58007</v>
      </c>
      <c r="J142" s="9">
        <v>24792</v>
      </c>
      <c r="K142" s="9">
        <v>273</v>
      </c>
      <c r="L142" s="16" t="s">
        <v>19</v>
      </c>
      <c r="M142" s="16" t="s">
        <v>37</v>
      </c>
      <c r="N142" s="16" t="s">
        <v>49</v>
      </c>
      <c r="O142" s="1"/>
    </row>
    <row r="143" spans="1:15">
      <c r="A143" s="1" t="s">
        <v>172</v>
      </c>
      <c r="B143" s="1" t="s">
        <v>13</v>
      </c>
      <c r="C143" s="5">
        <v>45647</v>
      </c>
      <c r="D143" s="16" t="s">
        <v>23</v>
      </c>
      <c r="E143" s="17" t="s">
        <v>24</v>
      </c>
      <c r="F143" s="9">
        <v>4563</v>
      </c>
      <c r="G143" s="9">
        <v>398</v>
      </c>
      <c r="H143" s="9">
        <v>163</v>
      </c>
      <c r="I143" s="9">
        <v>43679</v>
      </c>
      <c r="J143" s="9">
        <v>48760</v>
      </c>
      <c r="K143" s="9">
        <v>92</v>
      </c>
      <c r="L143" s="16" t="s">
        <v>34</v>
      </c>
      <c r="M143" s="16"/>
      <c r="N143" s="16" t="s">
        <v>46</v>
      </c>
      <c r="O143" s="1"/>
    </row>
    <row r="144" spans="1:15">
      <c r="A144" s="1" t="s">
        <v>173</v>
      </c>
      <c r="B144" s="1" t="s">
        <v>13</v>
      </c>
      <c r="C144" s="5">
        <v>45460</v>
      </c>
      <c r="D144" s="16" t="s">
        <v>14</v>
      </c>
      <c r="E144" s="17" t="s">
        <v>15</v>
      </c>
      <c r="F144" s="9">
        <v>4283</v>
      </c>
      <c r="G144" s="9">
        <v>471</v>
      </c>
      <c r="H144" s="9">
        <v>156</v>
      </c>
      <c r="I144" s="9">
        <v>53004</v>
      </c>
      <c r="J144" s="9">
        <v>25678</v>
      </c>
      <c r="K144" s="9">
        <v>105</v>
      </c>
      <c r="L144" s="16" t="s">
        <v>19</v>
      </c>
      <c r="M144" s="16"/>
      <c r="N144" s="16" t="s">
        <v>20</v>
      </c>
      <c r="O144" s="1"/>
    </row>
    <row r="145" spans="1:15">
      <c r="A145" s="1" t="s">
        <v>174</v>
      </c>
      <c r="B145" s="1" t="s">
        <v>13</v>
      </c>
      <c r="C145" s="5">
        <v>45702</v>
      </c>
      <c r="D145" s="16" t="s">
        <v>14</v>
      </c>
      <c r="E145" s="17" t="s">
        <v>15</v>
      </c>
      <c r="F145" s="9">
        <v>2329</v>
      </c>
      <c r="G145" s="9">
        <v>373</v>
      </c>
      <c r="H145" s="9">
        <v>291</v>
      </c>
      <c r="I145" s="9">
        <v>49577</v>
      </c>
      <c r="J145" s="9">
        <v>28002</v>
      </c>
      <c r="K145" s="9">
        <v>82</v>
      </c>
      <c r="L145" s="16" t="s">
        <v>37</v>
      </c>
      <c r="M145" s="16" t="s">
        <v>34</v>
      </c>
      <c r="N145" s="16" t="s">
        <v>16</v>
      </c>
      <c r="O145" s="1"/>
    </row>
    <row r="146" spans="1:15">
      <c r="A146" s="1" t="s">
        <v>175</v>
      </c>
      <c r="B146" s="1" t="s">
        <v>22</v>
      </c>
      <c r="C146" s="5">
        <v>45805</v>
      </c>
      <c r="D146" s="16" t="s">
        <v>23</v>
      </c>
      <c r="E146" s="17" t="s">
        <v>33</v>
      </c>
      <c r="F146" s="9">
        <v>4287</v>
      </c>
      <c r="G146" s="9">
        <v>273</v>
      </c>
      <c r="H146" s="9">
        <v>122</v>
      </c>
      <c r="I146" s="9">
        <v>40792</v>
      </c>
      <c r="J146" s="9">
        <v>23878</v>
      </c>
      <c r="K146" s="9">
        <v>277</v>
      </c>
      <c r="L146" s="16" t="s">
        <v>364</v>
      </c>
      <c r="M146" s="16" t="s">
        <v>34</v>
      </c>
      <c r="N146" s="16" t="s">
        <v>16</v>
      </c>
      <c r="O146" s="1"/>
    </row>
    <row r="147" spans="1:15">
      <c r="A147" s="1" t="s">
        <v>176</v>
      </c>
      <c r="B147" s="1" t="s">
        <v>13</v>
      </c>
      <c r="C147" s="5">
        <v>45799</v>
      </c>
      <c r="D147" s="16" t="s">
        <v>14</v>
      </c>
      <c r="E147" s="17" t="s">
        <v>15</v>
      </c>
      <c r="F147" s="9">
        <v>2633</v>
      </c>
      <c r="G147" s="9">
        <v>318</v>
      </c>
      <c r="H147" s="9">
        <v>380</v>
      </c>
      <c r="I147" s="9">
        <v>40869</v>
      </c>
      <c r="J147" s="9">
        <v>64474</v>
      </c>
      <c r="K147" s="9">
        <v>245</v>
      </c>
      <c r="L147" s="16" t="s">
        <v>19</v>
      </c>
      <c r="M147" s="16"/>
      <c r="N147" s="16" t="s">
        <v>20</v>
      </c>
      <c r="O147" s="1"/>
    </row>
    <row r="148" spans="1:15">
      <c r="A148" s="1" t="s">
        <v>177</v>
      </c>
      <c r="B148" s="1" t="s">
        <v>22</v>
      </c>
      <c r="C148" s="5">
        <v>45312</v>
      </c>
      <c r="D148" s="16" t="s">
        <v>23</v>
      </c>
      <c r="E148" s="17" t="s">
        <v>15</v>
      </c>
      <c r="F148" s="9">
        <v>2383</v>
      </c>
      <c r="G148" s="9">
        <v>136</v>
      </c>
      <c r="H148" s="9">
        <v>302</v>
      </c>
      <c r="I148" s="9">
        <v>39187</v>
      </c>
      <c r="J148" s="9">
        <v>22133</v>
      </c>
      <c r="K148" s="9">
        <v>208</v>
      </c>
      <c r="L148" s="16" t="s">
        <v>364</v>
      </c>
      <c r="M148" s="16" t="s">
        <v>34</v>
      </c>
      <c r="N148" s="16" t="s">
        <v>16</v>
      </c>
      <c r="O148" s="1"/>
    </row>
    <row r="149" spans="1:15">
      <c r="A149" s="1" t="s">
        <v>178</v>
      </c>
      <c r="B149" s="1" t="s">
        <v>22</v>
      </c>
      <c r="C149" s="5">
        <v>45696</v>
      </c>
      <c r="D149" s="16" t="s">
        <v>23</v>
      </c>
      <c r="E149" s="17" t="s">
        <v>42</v>
      </c>
      <c r="F149" s="9">
        <v>4752</v>
      </c>
      <c r="G149" s="9">
        <v>334</v>
      </c>
      <c r="H149" s="9">
        <v>56</v>
      </c>
      <c r="I149" s="9">
        <v>48017</v>
      </c>
      <c r="J149" s="9">
        <v>55534</v>
      </c>
      <c r="K149" s="9">
        <v>270</v>
      </c>
      <c r="L149" s="16" t="s">
        <v>19</v>
      </c>
      <c r="M149" s="16" t="s">
        <v>364</v>
      </c>
      <c r="N149" s="16" t="s">
        <v>16</v>
      </c>
      <c r="O149" s="1"/>
    </row>
    <row r="150" spans="1:15">
      <c r="A150" s="1" t="s">
        <v>179</v>
      </c>
      <c r="B150" s="1" t="s">
        <v>22</v>
      </c>
      <c r="C150" s="5">
        <v>45760</v>
      </c>
      <c r="D150" s="16" t="s">
        <v>14</v>
      </c>
      <c r="E150" s="17" t="s">
        <v>363</v>
      </c>
      <c r="F150" s="9">
        <v>3890</v>
      </c>
      <c r="G150" s="9">
        <v>408</v>
      </c>
      <c r="H150" s="9">
        <v>338</v>
      </c>
      <c r="I150" s="9">
        <v>56994</v>
      </c>
      <c r="J150" s="9">
        <v>32621</v>
      </c>
      <c r="K150" s="9">
        <v>286</v>
      </c>
      <c r="L150" s="16" t="s">
        <v>37</v>
      </c>
      <c r="M150" s="16"/>
      <c r="N150" s="16" t="s">
        <v>20</v>
      </c>
      <c r="O150" s="1"/>
    </row>
    <row r="151" spans="1:15">
      <c r="A151" s="1" t="s">
        <v>180</v>
      </c>
      <c r="B151" s="1" t="s">
        <v>22</v>
      </c>
      <c r="C151" s="5">
        <v>45442</v>
      </c>
      <c r="D151" s="16" t="s">
        <v>23</v>
      </c>
      <c r="E151" s="17" t="s">
        <v>42</v>
      </c>
      <c r="F151" s="9">
        <v>2311</v>
      </c>
      <c r="G151" s="9">
        <v>207</v>
      </c>
      <c r="H151" s="9">
        <v>363</v>
      </c>
      <c r="I151" s="9">
        <v>30349</v>
      </c>
      <c r="J151" s="9">
        <v>32925</v>
      </c>
      <c r="K151" s="9">
        <v>88</v>
      </c>
      <c r="L151" s="16" t="s">
        <v>364</v>
      </c>
      <c r="M151" s="16" t="s">
        <v>34</v>
      </c>
      <c r="N151" s="16" t="s">
        <v>16</v>
      </c>
      <c r="O151" s="1"/>
    </row>
    <row r="152" spans="1:15">
      <c r="A152" s="1" t="s">
        <v>181</v>
      </c>
      <c r="B152" s="1" t="s">
        <v>13</v>
      </c>
      <c r="C152" s="5">
        <v>45516</v>
      </c>
      <c r="D152" s="16" t="s">
        <v>23</v>
      </c>
      <c r="E152" s="17" t="s">
        <v>15</v>
      </c>
      <c r="F152" s="9">
        <v>2962</v>
      </c>
      <c r="G152" s="9">
        <v>400</v>
      </c>
      <c r="H152" s="9">
        <v>280</v>
      </c>
      <c r="I152" s="9">
        <v>52508</v>
      </c>
      <c r="J152" s="9">
        <v>58329</v>
      </c>
      <c r="K152" s="9">
        <v>219</v>
      </c>
      <c r="L152" s="16" t="s">
        <v>34</v>
      </c>
      <c r="M152" s="16"/>
      <c r="N152" s="16" t="s">
        <v>46</v>
      </c>
      <c r="O152" s="1"/>
    </row>
    <row r="153" spans="1:15">
      <c r="A153" s="1" t="s">
        <v>182</v>
      </c>
      <c r="B153" s="1" t="s">
        <v>13</v>
      </c>
      <c r="C153" s="5">
        <v>45562</v>
      </c>
      <c r="D153" s="16" t="s">
        <v>14</v>
      </c>
      <c r="E153" s="17" t="s">
        <v>15</v>
      </c>
      <c r="F153" s="9">
        <v>3118</v>
      </c>
      <c r="G153" s="9">
        <v>116</v>
      </c>
      <c r="H153" s="9">
        <v>195</v>
      </c>
      <c r="I153" s="9">
        <v>37100</v>
      </c>
      <c r="J153" s="9">
        <v>62629</v>
      </c>
      <c r="K153" s="9">
        <v>272</v>
      </c>
      <c r="L153" s="16" t="s">
        <v>19</v>
      </c>
      <c r="M153" s="16"/>
      <c r="N153" s="16" t="s">
        <v>20</v>
      </c>
      <c r="O153" s="1"/>
    </row>
    <row r="154" spans="1:15">
      <c r="A154" s="1" t="s">
        <v>183</v>
      </c>
      <c r="B154" s="1" t="s">
        <v>22</v>
      </c>
      <c r="C154" s="5">
        <v>45819</v>
      </c>
      <c r="D154" s="16" t="s">
        <v>23</v>
      </c>
      <c r="E154" s="17" t="s">
        <v>18</v>
      </c>
      <c r="F154" s="9">
        <v>3805</v>
      </c>
      <c r="G154" s="9">
        <v>453</v>
      </c>
      <c r="H154" s="9">
        <v>63</v>
      </c>
      <c r="I154" s="9">
        <v>52395</v>
      </c>
      <c r="J154" s="9">
        <v>72934</v>
      </c>
      <c r="K154" s="9">
        <v>87</v>
      </c>
      <c r="L154" s="16" t="s">
        <v>19</v>
      </c>
      <c r="M154" s="16" t="s">
        <v>364</v>
      </c>
      <c r="N154" s="16" t="s">
        <v>16</v>
      </c>
      <c r="O154" s="1"/>
    </row>
    <row r="155" spans="1:15">
      <c r="A155" s="1" t="s">
        <v>184</v>
      </c>
      <c r="B155" s="1" t="s">
        <v>13</v>
      </c>
      <c r="C155" s="5">
        <v>45615</v>
      </c>
      <c r="D155" s="16" t="s">
        <v>14</v>
      </c>
      <c r="E155" s="17" t="s">
        <v>362</v>
      </c>
      <c r="F155" s="9">
        <v>2525</v>
      </c>
      <c r="G155" s="9">
        <v>272</v>
      </c>
      <c r="H155" s="9">
        <v>294</v>
      </c>
      <c r="I155" s="9">
        <v>51875</v>
      </c>
      <c r="J155" s="9">
        <v>24732</v>
      </c>
      <c r="K155" s="9">
        <v>92</v>
      </c>
      <c r="L155" s="16" t="s">
        <v>19</v>
      </c>
      <c r="M155" s="16"/>
      <c r="N155" s="16" t="s">
        <v>20</v>
      </c>
      <c r="O155" s="1"/>
    </row>
    <row r="156" spans="1:15">
      <c r="A156" s="1" t="s">
        <v>185</v>
      </c>
      <c r="B156" s="1" t="s">
        <v>13</v>
      </c>
      <c r="C156" s="5">
        <v>45407</v>
      </c>
      <c r="D156" s="16" t="s">
        <v>14</v>
      </c>
      <c r="E156" s="17" t="s">
        <v>361</v>
      </c>
      <c r="F156" s="9">
        <v>3563</v>
      </c>
      <c r="G156" s="9">
        <v>483</v>
      </c>
      <c r="H156" s="9">
        <v>227</v>
      </c>
      <c r="I156" s="9">
        <v>41085</v>
      </c>
      <c r="J156" s="9">
        <v>26393</v>
      </c>
      <c r="K156" s="9">
        <v>236</v>
      </c>
      <c r="L156" s="16" t="s">
        <v>37</v>
      </c>
      <c r="M156" s="16" t="s">
        <v>34</v>
      </c>
      <c r="N156" s="16" t="s">
        <v>16</v>
      </c>
      <c r="O156" s="1"/>
    </row>
    <row r="157" spans="1:15">
      <c r="A157" s="1" t="s">
        <v>186</v>
      </c>
      <c r="B157" s="1" t="s">
        <v>27</v>
      </c>
      <c r="C157" s="5">
        <v>45538</v>
      </c>
      <c r="D157" s="16" t="s">
        <v>48</v>
      </c>
      <c r="E157" s="17" t="s">
        <v>362</v>
      </c>
      <c r="F157" s="9">
        <v>1437</v>
      </c>
      <c r="G157" s="9">
        <v>494</v>
      </c>
      <c r="H157" s="9">
        <v>129</v>
      </c>
      <c r="I157" s="9">
        <v>53048</v>
      </c>
      <c r="J157" s="9">
        <v>44090</v>
      </c>
      <c r="K157" s="9">
        <v>230</v>
      </c>
      <c r="L157" s="16" t="s">
        <v>19</v>
      </c>
      <c r="M157" s="16" t="s">
        <v>37</v>
      </c>
      <c r="N157" s="16" t="s">
        <v>49</v>
      </c>
      <c r="O157" s="1"/>
    </row>
    <row r="158" spans="1:15">
      <c r="A158" s="1" t="s">
        <v>187</v>
      </c>
      <c r="B158" s="1" t="s">
        <v>27</v>
      </c>
      <c r="C158" s="5">
        <v>45718</v>
      </c>
      <c r="D158" s="16" t="s">
        <v>14</v>
      </c>
      <c r="E158" s="17" t="s">
        <v>363</v>
      </c>
      <c r="F158" s="9">
        <v>4425</v>
      </c>
      <c r="G158" s="9">
        <v>185</v>
      </c>
      <c r="H158" s="9">
        <v>162</v>
      </c>
      <c r="I158" s="9">
        <v>24610</v>
      </c>
      <c r="J158" s="9">
        <v>21342</v>
      </c>
      <c r="K158" s="9">
        <v>158</v>
      </c>
      <c r="L158" s="16" t="s">
        <v>19</v>
      </c>
      <c r="M158" s="16" t="s">
        <v>365</v>
      </c>
      <c r="N158" s="16" t="s">
        <v>20</v>
      </c>
      <c r="O158" s="1"/>
    </row>
    <row r="159" spans="1:15">
      <c r="A159" s="1" t="s">
        <v>188</v>
      </c>
      <c r="B159" s="1" t="s">
        <v>22</v>
      </c>
      <c r="C159" s="5">
        <v>45737</v>
      </c>
      <c r="D159" s="16" t="s">
        <v>23</v>
      </c>
      <c r="E159" s="17" t="s">
        <v>24</v>
      </c>
      <c r="F159" s="9">
        <v>4609</v>
      </c>
      <c r="G159" s="9">
        <v>427</v>
      </c>
      <c r="H159" s="9">
        <v>395</v>
      </c>
      <c r="I159" s="9">
        <v>33698</v>
      </c>
      <c r="J159" s="9">
        <v>29259</v>
      </c>
      <c r="K159" s="9">
        <v>216</v>
      </c>
      <c r="L159" s="16" t="s">
        <v>19</v>
      </c>
      <c r="M159" s="16" t="s">
        <v>364</v>
      </c>
      <c r="N159" s="16" t="s">
        <v>16</v>
      </c>
      <c r="O159" s="1"/>
    </row>
    <row r="160" spans="1:15">
      <c r="A160" s="1" t="s">
        <v>189</v>
      </c>
      <c r="B160" s="1" t="s">
        <v>13</v>
      </c>
      <c r="C160" s="5">
        <v>45394</v>
      </c>
      <c r="D160" s="16" t="s">
        <v>23</v>
      </c>
      <c r="E160" s="17" t="s">
        <v>30</v>
      </c>
      <c r="F160" s="9">
        <v>1558</v>
      </c>
      <c r="G160" s="9">
        <v>352</v>
      </c>
      <c r="H160" s="9">
        <v>202</v>
      </c>
      <c r="I160" s="9">
        <v>25405</v>
      </c>
      <c r="J160" s="9">
        <v>69941</v>
      </c>
      <c r="K160" s="9">
        <v>219</v>
      </c>
      <c r="L160" s="16" t="s">
        <v>34</v>
      </c>
      <c r="M160" s="16"/>
      <c r="N160" s="16" t="s">
        <v>46</v>
      </c>
      <c r="O160" s="1"/>
    </row>
    <row r="161" spans="1:15">
      <c r="A161" s="1" t="s">
        <v>190</v>
      </c>
      <c r="B161" s="1" t="s">
        <v>27</v>
      </c>
      <c r="C161" s="5">
        <v>45330</v>
      </c>
      <c r="D161" s="16" t="s">
        <v>48</v>
      </c>
      <c r="E161" s="17" t="s">
        <v>33</v>
      </c>
      <c r="F161" s="9">
        <v>1889</v>
      </c>
      <c r="G161" s="9">
        <v>298</v>
      </c>
      <c r="H161" s="9">
        <v>122</v>
      </c>
      <c r="I161" s="9">
        <v>46225</v>
      </c>
      <c r="J161" s="9">
        <v>74305</v>
      </c>
      <c r="K161" s="9">
        <v>293</v>
      </c>
      <c r="L161" s="16" t="s">
        <v>19</v>
      </c>
      <c r="M161" s="16" t="s">
        <v>37</v>
      </c>
      <c r="N161" s="16" t="s">
        <v>49</v>
      </c>
      <c r="O161" s="1"/>
    </row>
    <row r="162" spans="1:15">
      <c r="A162" s="1" t="s">
        <v>191</v>
      </c>
      <c r="B162" s="1" t="s">
        <v>13</v>
      </c>
      <c r="C162" s="5">
        <v>45803</v>
      </c>
      <c r="D162" s="16" t="s">
        <v>14</v>
      </c>
      <c r="E162" s="17" t="s">
        <v>15</v>
      </c>
      <c r="F162" s="9">
        <v>3086</v>
      </c>
      <c r="G162" s="9">
        <v>148</v>
      </c>
      <c r="H162" s="9">
        <v>310</v>
      </c>
      <c r="I162" s="9">
        <v>22824</v>
      </c>
      <c r="J162" s="9">
        <v>58103</v>
      </c>
      <c r="K162" s="9">
        <v>275</v>
      </c>
      <c r="L162" s="16" t="s">
        <v>19</v>
      </c>
      <c r="M162" s="16"/>
      <c r="N162" s="16" t="s">
        <v>20</v>
      </c>
      <c r="O162" s="1"/>
    </row>
    <row r="163" spans="1:15">
      <c r="A163" s="1" t="s">
        <v>192</v>
      </c>
      <c r="B163" s="1" t="s">
        <v>13</v>
      </c>
      <c r="C163" s="5">
        <v>45610</v>
      </c>
      <c r="D163" s="16" t="s">
        <v>14</v>
      </c>
      <c r="E163" s="17" t="s">
        <v>361</v>
      </c>
      <c r="F163" s="9">
        <v>2422</v>
      </c>
      <c r="G163" s="9">
        <v>318</v>
      </c>
      <c r="H163" s="9">
        <v>118</v>
      </c>
      <c r="I163" s="9">
        <v>25386</v>
      </c>
      <c r="J163" s="9">
        <v>20873</v>
      </c>
      <c r="K163" s="9">
        <v>100</v>
      </c>
      <c r="L163" s="16" t="s">
        <v>37</v>
      </c>
      <c r="M163" s="16" t="s">
        <v>34</v>
      </c>
      <c r="N163" s="16" t="s">
        <v>16</v>
      </c>
      <c r="O163" s="1"/>
    </row>
    <row r="164" spans="1:15">
      <c r="A164" s="1" t="s">
        <v>193</v>
      </c>
      <c r="B164" s="1" t="s">
        <v>27</v>
      </c>
      <c r="C164" s="5">
        <v>45513</v>
      </c>
      <c r="D164" s="16" t="s">
        <v>48</v>
      </c>
      <c r="E164" s="17" t="s">
        <v>363</v>
      </c>
      <c r="F164" s="9">
        <v>3414</v>
      </c>
      <c r="G164" s="9">
        <v>154</v>
      </c>
      <c r="H164" s="9">
        <v>204</v>
      </c>
      <c r="I164" s="9">
        <v>34146</v>
      </c>
      <c r="J164" s="9">
        <v>44633</v>
      </c>
      <c r="K164" s="9">
        <v>256</v>
      </c>
      <c r="L164" s="16" t="s">
        <v>19</v>
      </c>
      <c r="M164" s="16" t="s">
        <v>37</v>
      </c>
      <c r="N164" s="16" t="s">
        <v>49</v>
      </c>
      <c r="O164" s="1"/>
    </row>
    <row r="165" spans="1:15">
      <c r="A165" s="1" t="s">
        <v>194</v>
      </c>
      <c r="B165" s="1" t="s">
        <v>13</v>
      </c>
      <c r="C165" s="5">
        <v>45835</v>
      </c>
      <c r="D165" s="16" t="s">
        <v>23</v>
      </c>
      <c r="E165" s="17" t="s">
        <v>362</v>
      </c>
      <c r="F165" s="9">
        <v>1342</v>
      </c>
      <c r="G165" s="9">
        <v>332</v>
      </c>
      <c r="H165" s="9">
        <v>163</v>
      </c>
      <c r="I165" s="9">
        <v>51712</v>
      </c>
      <c r="J165" s="9">
        <v>57922</v>
      </c>
      <c r="K165" s="9">
        <v>168</v>
      </c>
      <c r="L165" s="16" t="s">
        <v>34</v>
      </c>
      <c r="M165" s="16"/>
      <c r="N165" s="16" t="s">
        <v>46</v>
      </c>
      <c r="O165" s="1"/>
    </row>
    <row r="166" spans="1:15">
      <c r="A166" s="1" t="s">
        <v>195</v>
      </c>
      <c r="B166" s="1" t="s">
        <v>13</v>
      </c>
      <c r="C166" s="5">
        <v>45420</v>
      </c>
      <c r="D166" s="16" t="s">
        <v>23</v>
      </c>
      <c r="E166" s="17" t="s">
        <v>361</v>
      </c>
      <c r="F166" s="9">
        <v>2414</v>
      </c>
      <c r="G166" s="9">
        <v>220</v>
      </c>
      <c r="H166" s="9">
        <v>280</v>
      </c>
      <c r="I166" s="9">
        <v>27355</v>
      </c>
      <c r="J166" s="9">
        <v>50562</v>
      </c>
      <c r="K166" s="9">
        <v>258</v>
      </c>
      <c r="L166" s="16" t="s">
        <v>34</v>
      </c>
      <c r="M166" s="16"/>
      <c r="N166" s="16" t="s">
        <v>46</v>
      </c>
      <c r="O166" s="1"/>
    </row>
    <row r="167" spans="1:15">
      <c r="A167" s="1" t="s">
        <v>196</v>
      </c>
      <c r="B167" s="1" t="s">
        <v>13</v>
      </c>
      <c r="C167" s="5">
        <v>45387</v>
      </c>
      <c r="D167" s="16" t="s">
        <v>14</v>
      </c>
      <c r="E167" s="17" t="s">
        <v>24</v>
      </c>
      <c r="F167" s="9">
        <v>4383</v>
      </c>
      <c r="G167" s="9">
        <v>352</v>
      </c>
      <c r="H167" s="9">
        <v>176</v>
      </c>
      <c r="I167" s="9">
        <v>53239</v>
      </c>
      <c r="J167" s="9">
        <v>34168</v>
      </c>
      <c r="K167" s="9">
        <v>288</v>
      </c>
      <c r="L167" s="16" t="s">
        <v>19</v>
      </c>
      <c r="M167" s="16"/>
      <c r="N167" s="16" t="s">
        <v>20</v>
      </c>
      <c r="O167" s="1"/>
    </row>
    <row r="168" spans="1:15" ht="30">
      <c r="A168" s="1" t="s">
        <v>197</v>
      </c>
      <c r="B168" s="1" t="s">
        <v>27</v>
      </c>
      <c r="C168" s="5">
        <v>45684</v>
      </c>
      <c r="D168" s="16" t="s">
        <v>14</v>
      </c>
      <c r="E168" s="17" t="s">
        <v>360</v>
      </c>
      <c r="F168" s="9">
        <v>4294</v>
      </c>
      <c r="G168" s="9">
        <v>423</v>
      </c>
      <c r="H168" s="9">
        <v>93</v>
      </c>
      <c r="I168" s="9">
        <v>29828</v>
      </c>
      <c r="J168" s="9">
        <v>73144</v>
      </c>
      <c r="K168" s="9">
        <v>298</v>
      </c>
      <c r="L168" s="16" t="s">
        <v>19</v>
      </c>
      <c r="M168" s="16" t="s">
        <v>365</v>
      </c>
      <c r="N168" s="16" t="s">
        <v>20</v>
      </c>
      <c r="O168" s="1"/>
    </row>
    <row r="169" spans="1:15">
      <c r="A169" s="1" t="s">
        <v>198</v>
      </c>
      <c r="B169" s="1" t="s">
        <v>13</v>
      </c>
      <c r="C169" s="5">
        <v>45385</v>
      </c>
      <c r="D169" s="16" t="s">
        <v>14</v>
      </c>
      <c r="E169" s="17" t="s">
        <v>33</v>
      </c>
      <c r="F169" s="9">
        <v>2762</v>
      </c>
      <c r="G169" s="9">
        <v>339</v>
      </c>
      <c r="H169" s="9">
        <v>323</v>
      </c>
      <c r="I169" s="9">
        <v>33757</v>
      </c>
      <c r="J169" s="9">
        <v>68511</v>
      </c>
      <c r="K169" s="9">
        <v>121</v>
      </c>
      <c r="L169" s="16" t="s">
        <v>37</v>
      </c>
      <c r="M169" s="16" t="s">
        <v>34</v>
      </c>
      <c r="N169" s="16" t="s">
        <v>16</v>
      </c>
      <c r="O169" s="1"/>
    </row>
    <row r="170" spans="1:15">
      <c r="A170" s="1" t="s">
        <v>199</v>
      </c>
      <c r="B170" s="1" t="s">
        <v>27</v>
      </c>
      <c r="C170" s="5">
        <v>45660</v>
      </c>
      <c r="D170" s="16" t="s">
        <v>14</v>
      </c>
      <c r="E170" s="17" t="s">
        <v>24</v>
      </c>
      <c r="F170" s="9">
        <v>3782</v>
      </c>
      <c r="G170" s="9">
        <v>484</v>
      </c>
      <c r="H170" s="9">
        <v>144</v>
      </c>
      <c r="I170" s="9">
        <v>52172</v>
      </c>
      <c r="J170" s="9">
        <v>59386</v>
      </c>
      <c r="K170" s="9">
        <v>175</v>
      </c>
      <c r="L170" s="16" t="s">
        <v>19</v>
      </c>
      <c r="M170" s="16" t="s">
        <v>365</v>
      </c>
      <c r="N170" s="16" t="s">
        <v>20</v>
      </c>
      <c r="O170" s="1"/>
    </row>
    <row r="171" spans="1:15">
      <c r="A171" s="1" t="s">
        <v>200</v>
      </c>
      <c r="B171" s="1" t="s">
        <v>22</v>
      </c>
      <c r="C171" s="5">
        <v>45619</v>
      </c>
      <c r="D171" s="16" t="s">
        <v>14</v>
      </c>
      <c r="E171" s="17" t="s">
        <v>24</v>
      </c>
      <c r="F171" s="9">
        <v>4318</v>
      </c>
      <c r="G171" s="9">
        <v>371</v>
      </c>
      <c r="H171" s="9">
        <v>329</v>
      </c>
      <c r="I171" s="9">
        <v>32347</v>
      </c>
      <c r="J171" s="9">
        <v>68956</v>
      </c>
      <c r="K171" s="9">
        <v>259</v>
      </c>
      <c r="L171" s="16" t="s">
        <v>37</v>
      </c>
      <c r="M171" s="16"/>
      <c r="N171" s="16" t="s">
        <v>20</v>
      </c>
      <c r="O171" s="1"/>
    </row>
    <row r="172" spans="1:15" ht="30">
      <c r="A172" s="1" t="s">
        <v>201</v>
      </c>
      <c r="B172" s="1" t="s">
        <v>13</v>
      </c>
      <c r="C172" s="5">
        <v>45536</v>
      </c>
      <c r="D172" s="16" t="s">
        <v>23</v>
      </c>
      <c r="E172" s="17" t="s">
        <v>360</v>
      </c>
      <c r="F172" s="9">
        <v>2335</v>
      </c>
      <c r="G172" s="9">
        <v>150</v>
      </c>
      <c r="H172" s="9">
        <v>75</v>
      </c>
      <c r="I172" s="9">
        <v>26114</v>
      </c>
      <c r="J172" s="9">
        <v>57549</v>
      </c>
      <c r="K172" s="9">
        <v>135</v>
      </c>
      <c r="L172" s="16" t="s">
        <v>34</v>
      </c>
      <c r="M172" s="16"/>
      <c r="N172" s="16" t="s">
        <v>46</v>
      </c>
      <c r="O172" s="1"/>
    </row>
    <row r="173" spans="1:15">
      <c r="A173" s="1" t="s">
        <v>202</v>
      </c>
      <c r="B173" s="1" t="s">
        <v>27</v>
      </c>
      <c r="C173" s="5">
        <v>45400</v>
      </c>
      <c r="D173" s="16" t="s">
        <v>14</v>
      </c>
      <c r="E173" s="17" t="s">
        <v>18</v>
      </c>
      <c r="F173" s="9">
        <v>4023</v>
      </c>
      <c r="G173" s="9">
        <v>293</v>
      </c>
      <c r="H173" s="9">
        <v>91</v>
      </c>
      <c r="I173" s="9">
        <v>26795</v>
      </c>
      <c r="J173" s="9">
        <v>28924</v>
      </c>
      <c r="K173" s="9">
        <v>278</v>
      </c>
      <c r="L173" s="16" t="s">
        <v>19</v>
      </c>
      <c r="M173" s="16" t="s">
        <v>365</v>
      </c>
      <c r="N173" s="16" t="s">
        <v>20</v>
      </c>
      <c r="O173" s="1"/>
    </row>
    <row r="174" spans="1:15">
      <c r="A174" s="1" t="s">
        <v>203</v>
      </c>
      <c r="B174" s="1" t="s">
        <v>13</v>
      </c>
      <c r="C174" s="5">
        <v>45447</v>
      </c>
      <c r="D174" s="16" t="s">
        <v>14</v>
      </c>
      <c r="E174" s="17" t="s">
        <v>30</v>
      </c>
      <c r="F174" s="9">
        <v>3948</v>
      </c>
      <c r="G174" s="9">
        <v>151</v>
      </c>
      <c r="H174" s="9">
        <v>249</v>
      </c>
      <c r="I174" s="9">
        <v>43147</v>
      </c>
      <c r="J174" s="9">
        <v>63136</v>
      </c>
      <c r="K174" s="9">
        <v>230</v>
      </c>
      <c r="L174" s="16" t="s">
        <v>19</v>
      </c>
      <c r="M174" s="16"/>
      <c r="N174" s="16" t="s">
        <v>20</v>
      </c>
      <c r="O174" s="1"/>
    </row>
    <row r="175" spans="1:15" ht="30">
      <c r="A175" s="1" t="s">
        <v>204</v>
      </c>
      <c r="B175" s="1" t="s">
        <v>27</v>
      </c>
      <c r="C175" s="5">
        <v>45749</v>
      </c>
      <c r="D175" s="16" t="s">
        <v>14</v>
      </c>
      <c r="E175" s="17" t="s">
        <v>360</v>
      </c>
      <c r="F175" s="9">
        <v>4598</v>
      </c>
      <c r="G175" s="9">
        <v>455</v>
      </c>
      <c r="H175" s="9">
        <v>378</v>
      </c>
      <c r="I175" s="9">
        <v>52952</v>
      </c>
      <c r="J175" s="9">
        <v>58504</v>
      </c>
      <c r="K175" s="9">
        <v>269</v>
      </c>
      <c r="L175" s="16" t="s">
        <v>19</v>
      </c>
      <c r="M175" s="16" t="s">
        <v>365</v>
      </c>
      <c r="N175" s="16" t="s">
        <v>20</v>
      </c>
      <c r="O175" s="1"/>
    </row>
    <row r="176" spans="1:15">
      <c r="A176" s="1" t="s">
        <v>205</v>
      </c>
      <c r="B176" s="1" t="s">
        <v>22</v>
      </c>
      <c r="C176" s="5">
        <v>45748</v>
      </c>
      <c r="D176" s="16" t="s">
        <v>23</v>
      </c>
      <c r="E176" s="17" t="s">
        <v>361</v>
      </c>
      <c r="F176" s="9">
        <v>2665</v>
      </c>
      <c r="G176" s="9">
        <v>143</v>
      </c>
      <c r="H176" s="9">
        <v>315</v>
      </c>
      <c r="I176" s="9">
        <v>54808</v>
      </c>
      <c r="J176" s="9">
        <v>29818</v>
      </c>
      <c r="K176" s="9">
        <v>98</v>
      </c>
      <c r="L176" s="16" t="s">
        <v>19</v>
      </c>
      <c r="M176" s="16" t="s">
        <v>364</v>
      </c>
      <c r="N176" s="16" t="s">
        <v>16</v>
      </c>
      <c r="O176" s="1"/>
    </row>
    <row r="177" spans="1:15">
      <c r="A177" s="1" t="s">
        <v>206</v>
      </c>
      <c r="B177" s="1" t="s">
        <v>13</v>
      </c>
      <c r="C177" s="5">
        <v>45475</v>
      </c>
      <c r="D177" s="16" t="s">
        <v>14</v>
      </c>
      <c r="E177" s="17" t="s">
        <v>33</v>
      </c>
      <c r="F177" s="9">
        <v>3469</v>
      </c>
      <c r="G177" s="9">
        <v>371</v>
      </c>
      <c r="H177" s="9">
        <v>76</v>
      </c>
      <c r="I177" s="9">
        <v>46493</v>
      </c>
      <c r="J177" s="9">
        <v>26906</v>
      </c>
      <c r="K177" s="9">
        <v>150</v>
      </c>
      <c r="L177" s="16" t="s">
        <v>37</v>
      </c>
      <c r="M177" s="16" t="s">
        <v>34</v>
      </c>
      <c r="N177" s="16" t="s">
        <v>16</v>
      </c>
      <c r="O177" s="1"/>
    </row>
    <row r="178" spans="1:15">
      <c r="A178" s="1" t="s">
        <v>207</v>
      </c>
      <c r="B178" s="1" t="s">
        <v>22</v>
      </c>
      <c r="C178" s="5">
        <v>45606</v>
      </c>
      <c r="D178" s="16" t="s">
        <v>14</v>
      </c>
      <c r="E178" s="17" t="s">
        <v>18</v>
      </c>
      <c r="F178" s="9">
        <v>4823</v>
      </c>
      <c r="G178" s="9">
        <v>489</v>
      </c>
      <c r="H178" s="9">
        <v>302</v>
      </c>
      <c r="I178" s="9">
        <v>32470</v>
      </c>
      <c r="J178" s="9">
        <v>31861</v>
      </c>
      <c r="K178" s="9">
        <v>178</v>
      </c>
      <c r="L178" s="16" t="s">
        <v>37</v>
      </c>
      <c r="M178" s="16"/>
      <c r="N178" s="16" t="s">
        <v>20</v>
      </c>
      <c r="O178" s="1"/>
    </row>
    <row r="179" spans="1:15">
      <c r="A179" s="1" t="s">
        <v>208</v>
      </c>
      <c r="B179" s="1" t="s">
        <v>13</v>
      </c>
      <c r="C179" s="5">
        <v>45640</v>
      </c>
      <c r="D179" s="16" t="s">
        <v>23</v>
      </c>
      <c r="E179" s="17" t="s">
        <v>363</v>
      </c>
      <c r="F179" s="9">
        <v>3812</v>
      </c>
      <c r="G179" s="9">
        <v>321</v>
      </c>
      <c r="H179" s="9">
        <v>289</v>
      </c>
      <c r="I179" s="9">
        <v>59838</v>
      </c>
      <c r="J179" s="9">
        <v>36337</v>
      </c>
      <c r="K179" s="9">
        <v>161</v>
      </c>
      <c r="L179" s="16" t="s">
        <v>34</v>
      </c>
      <c r="M179" s="16"/>
      <c r="N179" s="16" t="s">
        <v>46</v>
      </c>
      <c r="O179" s="1"/>
    </row>
    <row r="180" spans="1:15">
      <c r="A180" s="1" t="s">
        <v>209</v>
      </c>
      <c r="B180" s="1" t="s">
        <v>22</v>
      </c>
      <c r="C180" s="5">
        <v>45615</v>
      </c>
      <c r="D180" s="16" t="s">
        <v>14</v>
      </c>
      <c r="E180" s="17" t="s">
        <v>18</v>
      </c>
      <c r="F180" s="9">
        <v>2387</v>
      </c>
      <c r="G180" s="9">
        <v>353</v>
      </c>
      <c r="H180" s="9">
        <v>78</v>
      </c>
      <c r="I180" s="9">
        <v>39745</v>
      </c>
      <c r="J180" s="9">
        <v>69226</v>
      </c>
      <c r="K180" s="9">
        <v>208</v>
      </c>
      <c r="L180" s="16" t="s">
        <v>37</v>
      </c>
      <c r="M180" s="16"/>
      <c r="N180" s="16" t="s">
        <v>20</v>
      </c>
      <c r="O180" s="1"/>
    </row>
    <row r="181" spans="1:15" ht="30">
      <c r="A181" s="1" t="s">
        <v>210</v>
      </c>
      <c r="B181" s="1" t="s">
        <v>22</v>
      </c>
      <c r="C181" s="5">
        <v>45777</v>
      </c>
      <c r="D181" s="16" t="s">
        <v>23</v>
      </c>
      <c r="E181" s="17" t="s">
        <v>360</v>
      </c>
      <c r="F181" s="9">
        <v>3929</v>
      </c>
      <c r="G181" s="9">
        <v>275</v>
      </c>
      <c r="H181" s="9">
        <v>330</v>
      </c>
      <c r="I181" s="9">
        <v>58329</v>
      </c>
      <c r="J181" s="9">
        <v>33196</v>
      </c>
      <c r="K181" s="9">
        <v>85</v>
      </c>
      <c r="L181" s="16" t="s">
        <v>364</v>
      </c>
      <c r="M181" s="16" t="s">
        <v>34</v>
      </c>
      <c r="N181" s="16" t="s">
        <v>16</v>
      </c>
      <c r="O181" s="1"/>
    </row>
    <row r="182" spans="1:15">
      <c r="A182" s="1" t="s">
        <v>211</v>
      </c>
      <c r="B182" s="1" t="s">
        <v>22</v>
      </c>
      <c r="C182" s="5">
        <v>45370</v>
      </c>
      <c r="D182" s="16" t="s">
        <v>14</v>
      </c>
      <c r="E182" s="17" t="s">
        <v>363</v>
      </c>
      <c r="F182" s="9">
        <v>2191</v>
      </c>
      <c r="G182" s="9">
        <v>288</v>
      </c>
      <c r="H182" s="9">
        <v>83</v>
      </c>
      <c r="I182" s="9">
        <v>59606</v>
      </c>
      <c r="J182" s="9">
        <v>24765</v>
      </c>
      <c r="K182" s="9">
        <v>281</v>
      </c>
      <c r="L182" s="16" t="s">
        <v>37</v>
      </c>
      <c r="M182" s="16"/>
      <c r="N182" s="16" t="s">
        <v>20</v>
      </c>
      <c r="O182" s="1"/>
    </row>
    <row r="183" spans="1:15">
      <c r="A183" s="1" t="s">
        <v>212</v>
      </c>
      <c r="B183" s="1" t="s">
        <v>13</v>
      </c>
      <c r="C183" s="5">
        <v>45370</v>
      </c>
      <c r="D183" s="16" t="s">
        <v>14</v>
      </c>
      <c r="E183" s="17" t="s">
        <v>363</v>
      </c>
      <c r="F183" s="9">
        <v>2878</v>
      </c>
      <c r="G183" s="9">
        <v>278</v>
      </c>
      <c r="H183" s="9">
        <v>255</v>
      </c>
      <c r="I183" s="9">
        <v>47235</v>
      </c>
      <c r="J183" s="9">
        <v>57922</v>
      </c>
      <c r="K183" s="9">
        <v>112</v>
      </c>
      <c r="L183" s="16" t="s">
        <v>37</v>
      </c>
      <c r="M183" s="16" t="s">
        <v>34</v>
      </c>
      <c r="N183" s="16" t="s">
        <v>16</v>
      </c>
      <c r="O183" s="1"/>
    </row>
    <row r="184" spans="1:15">
      <c r="A184" s="1" t="s">
        <v>213</v>
      </c>
      <c r="B184" s="1" t="s">
        <v>22</v>
      </c>
      <c r="C184" s="5">
        <v>45496</v>
      </c>
      <c r="D184" s="16" t="s">
        <v>14</v>
      </c>
      <c r="E184" s="17" t="s">
        <v>33</v>
      </c>
      <c r="F184" s="9">
        <v>3204</v>
      </c>
      <c r="G184" s="9">
        <v>398</v>
      </c>
      <c r="H184" s="9">
        <v>85</v>
      </c>
      <c r="I184" s="9">
        <v>22020</v>
      </c>
      <c r="J184" s="9">
        <v>58353</v>
      </c>
      <c r="K184" s="9">
        <v>286</v>
      </c>
      <c r="L184" s="16" t="s">
        <v>37</v>
      </c>
      <c r="M184" s="16"/>
      <c r="N184" s="16" t="s">
        <v>20</v>
      </c>
      <c r="O184" s="1"/>
    </row>
    <row r="185" spans="1:15">
      <c r="A185" s="1" t="s">
        <v>214</v>
      </c>
      <c r="B185" s="1" t="s">
        <v>22</v>
      </c>
      <c r="C185" s="5">
        <v>45486</v>
      </c>
      <c r="D185" s="16" t="s">
        <v>23</v>
      </c>
      <c r="E185" s="17" t="s">
        <v>30</v>
      </c>
      <c r="F185" s="9">
        <v>2408</v>
      </c>
      <c r="G185" s="9">
        <v>323</v>
      </c>
      <c r="H185" s="9">
        <v>251</v>
      </c>
      <c r="I185" s="9">
        <v>47599</v>
      </c>
      <c r="J185" s="9">
        <v>35543</v>
      </c>
      <c r="K185" s="9">
        <v>287</v>
      </c>
      <c r="L185" s="16" t="s">
        <v>364</v>
      </c>
      <c r="M185" s="16" t="s">
        <v>34</v>
      </c>
      <c r="N185" s="16" t="s">
        <v>16</v>
      </c>
      <c r="O185" s="1"/>
    </row>
    <row r="186" spans="1:15">
      <c r="A186" s="1" t="s">
        <v>215</v>
      </c>
      <c r="B186" s="1" t="s">
        <v>27</v>
      </c>
      <c r="C186" s="5">
        <v>45769</v>
      </c>
      <c r="D186" s="16" t="s">
        <v>48</v>
      </c>
      <c r="E186" s="17" t="s">
        <v>24</v>
      </c>
      <c r="F186" s="9">
        <v>2733</v>
      </c>
      <c r="G186" s="9">
        <v>297</v>
      </c>
      <c r="H186" s="9">
        <v>235</v>
      </c>
      <c r="I186" s="9">
        <v>37980</v>
      </c>
      <c r="J186" s="9">
        <v>33058</v>
      </c>
      <c r="K186" s="9">
        <v>219</v>
      </c>
      <c r="L186" s="16" t="s">
        <v>19</v>
      </c>
      <c r="M186" s="16" t="s">
        <v>37</v>
      </c>
      <c r="N186" s="16" t="s">
        <v>49</v>
      </c>
      <c r="O186" s="1"/>
    </row>
    <row r="187" spans="1:15">
      <c r="A187" s="1" t="s">
        <v>216</v>
      </c>
      <c r="B187" s="1" t="s">
        <v>22</v>
      </c>
      <c r="C187" s="5">
        <v>45459</v>
      </c>
      <c r="D187" s="16" t="s">
        <v>23</v>
      </c>
      <c r="E187" s="17" t="s">
        <v>18</v>
      </c>
      <c r="F187" s="9">
        <v>4618</v>
      </c>
      <c r="G187" s="9">
        <v>312</v>
      </c>
      <c r="H187" s="9">
        <v>254</v>
      </c>
      <c r="I187" s="9">
        <v>22571</v>
      </c>
      <c r="J187" s="9">
        <v>29453</v>
      </c>
      <c r="K187" s="9">
        <v>197</v>
      </c>
      <c r="L187" s="16" t="s">
        <v>364</v>
      </c>
      <c r="M187" s="16" t="s">
        <v>34</v>
      </c>
      <c r="N187" s="16" t="s">
        <v>16</v>
      </c>
      <c r="O187" s="1"/>
    </row>
    <row r="188" spans="1:15" ht="30">
      <c r="A188" s="1" t="s">
        <v>217</v>
      </c>
      <c r="B188" s="1" t="s">
        <v>27</v>
      </c>
      <c r="C188" s="5">
        <v>45795</v>
      </c>
      <c r="D188" s="16" t="s">
        <v>48</v>
      </c>
      <c r="E188" s="17" t="s">
        <v>360</v>
      </c>
      <c r="F188" s="9">
        <v>4210</v>
      </c>
      <c r="G188" s="9">
        <v>319</v>
      </c>
      <c r="H188" s="9">
        <v>350</v>
      </c>
      <c r="I188" s="9">
        <v>37762</v>
      </c>
      <c r="J188" s="9">
        <v>55162</v>
      </c>
      <c r="K188" s="9">
        <v>204</v>
      </c>
      <c r="L188" s="16" t="s">
        <v>19</v>
      </c>
      <c r="M188" s="16" t="s">
        <v>37</v>
      </c>
      <c r="N188" s="16" t="s">
        <v>49</v>
      </c>
      <c r="O188" s="1"/>
    </row>
    <row r="189" spans="1:15" ht="30">
      <c r="A189" s="1" t="s">
        <v>218</v>
      </c>
      <c r="B189" s="1" t="s">
        <v>13</v>
      </c>
      <c r="C189" s="5">
        <v>45814</v>
      </c>
      <c r="D189" s="16" t="s">
        <v>14</v>
      </c>
      <c r="E189" s="17" t="s">
        <v>360</v>
      </c>
      <c r="F189" s="9">
        <v>3987</v>
      </c>
      <c r="G189" s="9">
        <v>171</v>
      </c>
      <c r="H189" s="9">
        <v>274</v>
      </c>
      <c r="I189" s="9">
        <v>45122</v>
      </c>
      <c r="J189" s="9">
        <v>65431</v>
      </c>
      <c r="K189" s="9">
        <v>168</v>
      </c>
      <c r="L189" s="16" t="s">
        <v>19</v>
      </c>
      <c r="M189" s="16"/>
      <c r="N189" s="16" t="s">
        <v>20</v>
      </c>
      <c r="O189" s="1"/>
    </row>
    <row r="190" spans="1:15">
      <c r="A190" s="1" t="s">
        <v>219</v>
      </c>
      <c r="B190" s="1" t="s">
        <v>27</v>
      </c>
      <c r="C190" s="5">
        <v>45708</v>
      </c>
      <c r="D190" s="16" t="s">
        <v>48</v>
      </c>
      <c r="E190" s="17" t="s">
        <v>30</v>
      </c>
      <c r="F190" s="9">
        <v>4957</v>
      </c>
      <c r="G190" s="9">
        <v>262</v>
      </c>
      <c r="H190" s="9">
        <v>365</v>
      </c>
      <c r="I190" s="9">
        <v>49199</v>
      </c>
      <c r="J190" s="9">
        <v>40314</v>
      </c>
      <c r="K190" s="9">
        <v>216</v>
      </c>
      <c r="L190" s="16" t="s">
        <v>19</v>
      </c>
      <c r="M190" s="16" t="s">
        <v>37</v>
      </c>
      <c r="N190" s="16" t="s">
        <v>49</v>
      </c>
      <c r="O190" s="1"/>
    </row>
    <row r="191" spans="1:15">
      <c r="A191" s="1" t="s">
        <v>220</v>
      </c>
      <c r="B191" s="1" t="s">
        <v>13</v>
      </c>
      <c r="C191" s="5">
        <v>45673</v>
      </c>
      <c r="D191" s="16" t="s">
        <v>14</v>
      </c>
      <c r="E191" s="17" t="s">
        <v>361</v>
      </c>
      <c r="F191" s="9">
        <v>2605</v>
      </c>
      <c r="G191" s="9">
        <v>282</v>
      </c>
      <c r="H191" s="9">
        <v>148</v>
      </c>
      <c r="I191" s="9">
        <v>32201</v>
      </c>
      <c r="J191" s="9">
        <v>49583</v>
      </c>
      <c r="K191" s="9">
        <v>241</v>
      </c>
      <c r="L191" s="16" t="s">
        <v>37</v>
      </c>
      <c r="M191" s="16" t="s">
        <v>34</v>
      </c>
      <c r="N191" s="16" t="s">
        <v>16</v>
      </c>
      <c r="O191" s="1"/>
    </row>
    <row r="192" spans="1:15">
      <c r="A192" s="1" t="s">
        <v>221</v>
      </c>
      <c r="B192" s="1" t="s">
        <v>27</v>
      </c>
      <c r="C192" s="5">
        <v>45346</v>
      </c>
      <c r="D192" s="16" t="s">
        <v>48</v>
      </c>
      <c r="E192" s="17" t="s">
        <v>15</v>
      </c>
      <c r="F192" s="9">
        <v>4221</v>
      </c>
      <c r="G192" s="9">
        <v>307</v>
      </c>
      <c r="H192" s="9">
        <v>58</v>
      </c>
      <c r="I192" s="9">
        <v>45080</v>
      </c>
      <c r="J192" s="9">
        <v>37214</v>
      </c>
      <c r="K192" s="9">
        <v>240</v>
      </c>
      <c r="L192" s="16" t="s">
        <v>19</v>
      </c>
      <c r="M192" s="16" t="s">
        <v>37</v>
      </c>
      <c r="N192" s="16" t="s">
        <v>49</v>
      </c>
      <c r="O192" s="1"/>
    </row>
    <row r="193" spans="1:15">
      <c r="A193" s="1" t="s">
        <v>222</v>
      </c>
      <c r="B193" s="1" t="s">
        <v>22</v>
      </c>
      <c r="C193" s="5">
        <v>45551</v>
      </c>
      <c r="D193" s="16" t="s">
        <v>23</v>
      </c>
      <c r="E193" s="17" t="s">
        <v>362</v>
      </c>
      <c r="F193" s="9">
        <v>4422</v>
      </c>
      <c r="G193" s="9">
        <v>434</v>
      </c>
      <c r="H193" s="9">
        <v>156</v>
      </c>
      <c r="I193" s="9">
        <v>56165</v>
      </c>
      <c r="J193" s="9">
        <v>52431</v>
      </c>
      <c r="K193" s="9">
        <v>173</v>
      </c>
      <c r="L193" s="16" t="s">
        <v>19</v>
      </c>
      <c r="M193" s="16" t="s">
        <v>364</v>
      </c>
      <c r="N193" s="16" t="s">
        <v>16</v>
      </c>
      <c r="O193" s="1"/>
    </row>
    <row r="194" spans="1:15" ht="30">
      <c r="A194" s="1" t="s">
        <v>223</v>
      </c>
      <c r="B194" s="1" t="s">
        <v>27</v>
      </c>
      <c r="C194" s="5">
        <v>45447</v>
      </c>
      <c r="D194" s="16" t="s">
        <v>48</v>
      </c>
      <c r="E194" s="17" t="s">
        <v>360</v>
      </c>
      <c r="F194" s="9">
        <v>1211</v>
      </c>
      <c r="G194" s="9">
        <v>431</v>
      </c>
      <c r="H194" s="9">
        <v>83</v>
      </c>
      <c r="I194" s="9">
        <v>26532</v>
      </c>
      <c r="J194" s="9">
        <v>47305</v>
      </c>
      <c r="K194" s="9">
        <v>232</v>
      </c>
      <c r="L194" s="16" t="s">
        <v>19</v>
      </c>
      <c r="M194" s="16" t="s">
        <v>37</v>
      </c>
      <c r="N194" s="16" t="s">
        <v>49</v>
      </c>
      <c r="O194" s="1"/>
    </row>
    <row r="195" spans="1:15">
      <c r="A195" s="1" t="s">
        <v>224</v>
      </c>
      <c r="B195" s="1" t="s">
        <v>22</v>
      </c>
      <c r="C195" s="5">
        <v>45422</v>
      </c>
      <c r="D195" s="16" t="s">
        <v>23</v>
      </c>
      <c r="E195" s="17" t="s">
        <v>18</v>
      </c>
      <c r="F195" s="9">
        <v>2784</v>
      </c>
      <c r="G195" s="9">
        <v>111</v>
      </c>
      <c r="H195" s="9">
        <v>399</v>
      </c>
      <c r="I195" s="9">
        <v>58366</v>
      </c>
      <c r="J195" s="9">
        <v>69512</v>
      </c>
      <c r="K195" s="9">
        <v>269</v>
      </c>
      <c r="L195" s="16" t="s">
        <v>364</v>
      </c>
      <c r="M195" s="16" t="s">
        <v>34</v>
      </c>
      <c r="N195" s="16" t="s">
        <v>16</v>
      </c>
      <c r="O195" s="1"/>
    </row>
    <row r="196" spans="1:15">
      <c r="A196" s="1" t="s">
        <v>225</v>
      </c>
      <c r="B196" s="1" t="s">
        <v>27</v>
      </c>
      <c r="C196" s="5">
        <v>45305</v>
      </c>
      <c r="D196" s="16" t="s">
        <v>14</v>
      </c>
      <c r="E196" s="17" t="s">
        <v>24</v>
      </c>
      <c r="F196" s="9">
        <v>3634</v>
      </c>
      <c r="G196" s="9">
        <v>280</v>
      </c>
      <c r="H196" s="9">
        <v>399</v>
      </c>
      <c r="I196" s="9">
        <v>40256</v>
      </c>
      <c r="J196" s="9">
        <v>52605</v>
      </c>
      <c r="K196" s="9">
        <v>213</v>
      </c>
      <c r="L196" s="16" t="s">
        <v>19</v>
      </c>
      <c r="M196" s="16" t="s">
        <v>365</v>
      </c>
      <c r="N196" s="16" t="s">
        <v>20</v>
      </c>
      <c r="O196" s="1"/>
    </row>
    <row r="197" spans="1:15">
      <c r="A197" s="1" t="s">
        <v>226</v>
      </c>
      <c r="B197" s="1" t="s">
        <v>13</v>
      </c>
      <c r="C197" s="5">
        <v>45669</v>
      </c>
      <c r="D197" s="16" t="s">
        <v>14</v>
      </c>
      <c r="E197" s="17" t="s">
        <v>363</v>
      </c>
      <c r="F197" s="9">
        <v>1771</v>
      </c>
      <c r="G197" s="9">
        <v>487</v>
      </c>
      <c r="H197" s="9">
        <v>272</v>
      </c>
      <c r="I197" s="9">
        <v>48810</v>
      </c>
      <c r="J197" s="9">
        <v>48084</v>
      </c>
      <c r="K197" s="9">
        <v>272</v>
      </c>
      <c r="L197" s="16" t="s">
        <v>37</v>
      </c>
      <c r="M197" s="16" t="s">
        <v>34</v>
      </c>
      <c r="N197" s="16" t="s">
        <v>16</v>
      </c>
      <c r="O197" s="1"/>
    </row>
    <row r="198" spans="1:15">
      <c r="A198" s="1" t="s">
        <v>227</v>
      </c>
      <c r="B198" s="1" t="s">
        <v>27</v>
      </c>
      <c r="C198" s="5">
        <v>45634</v>
      </c>
      <c r="D198" s="16" t="s">
        <v>14</v>
      </c>
      <c r="E198" s="17" t="s">
        <v>33</v>
      </c>
      <c r="F198" s="9">
        <v>1424</v>
      </c>
      <c r="G198" s="9">
        <v>396</v>
      </c>
      <c r="H198" s="9">
        <v>312</v>
      </c>
      <c r="I198" s="9">
        <v>59517</v>
      </c>
      <c r="J198" s="9">
        <v>46102</v>
      </c>
      <c r="K198" s="9">
        <v>239</v>
      </c>
      <c r="L198" s="16" t="s">
        <v>19</v>
      </c>
      <c r="M198" s="16" t="s">
        <v>365</v>
      </c>
      <c r="N198" s="16" t="s">
        <v>20</v>
      </c>
      <c r="O198" s="1"/>
    </row>
    <row r="199" spans="1:15">
      <c r="A199" s="1" t="s">
        <v>228</v>
      </c>
      <c r="B199" s="1" t="s">
        <v>22</v>
      </c>
      <c r="C199" s="5">
        <v>45689</v>
      </c>
      <c r="D199" s="16" t="s">
        <v>23</v>
      </c>
      <c r="E199" s="17" t="s">
        <v>33</v>
      </c>
      <c r="F199" s="9">
        <v>1079</v>
      </c>
      <c r="G199" s="9">
        <v>265</v>
      </c>
      <c r="H199" s="9">
        <v>190</v>
      </c>
      <c r="I199" s="9">
        <v>43786</v>
      </c>
      <c r="J199" s="9">
        <v>72428</v>
      </c>
      <c r="K199" s="9">
        <v>222</v>
      </c>
      <c r="L199" s="16" t="s">
        <v>37</v>
      </c>
      <c r="M199" s="16" t="s">
        <v>34</v>
      </c>
      <c r="N199" s="16" t="s">
        <v>16</v>
      </c>
      <c r="O199" s="1"/>
    </row>
    <row r="200" spans="1:15">
      <c r="A200" s="1" t="s">
        <v>229</v>
      </c>
      <c r="B200" s="1" t="s">
        <v>22</v>
      </c>
      <c r="C200" s="5">
        <v>45484</v>
      </c>
      <c r="D200" s="16" t="s">
        <v>23</v>
      </c>
      <c r="E200" s="17" t="s">
        <v>30</v>
      </c>
      <c r="F200" s="9">
        <v>4247</v>
      </c>
      <c r="G200" s="9">
        <v>179</v>
      </c>
      <c r="H200" s="9">
        <v>175</v>
      </c>
      <c r="I200" s="9">
        <v>32991</v>
      </c>
      <c r="J200" s="9">
        <v>70120</v>
      </c>
      <c r="K200" s="9">
        <v>276</v>
      </c>
      <c r="L200" s="16" t="s">
        <v>37</v>
      </c>
      <c r="M200" s="16" t="s">
        <v>34</v>
      </c>
      <c r="N200" s="16" t="s">
        <v>16</v>
      </c>
      <c r="O200" s="1"/>
    </row>
    <row r="201" spans="1:15">
      <c r="A201" s="1" t="s">
        <v>230</v>
      </c>
      <c r="B201" s="1" t="s">
        <v>22</v>
      </c>
      <c r="C201" s="5">
        <v>45369</v>
      </c>
      <c r="D201" s="16" t="s">
        <v>14</v>
      </c>
      <c r="E201" s="17" t="s">
        <v>24</v>
      </c>
      <c r="F201" s="9">
        <v>2033</v>
      </c>
      <c r="G201" s="9">
        <v>420</v>
      </c>
      <c r="H201" s="9">
        <v>94</v>
      </c>
      <c r="I201" s="9">
        <v>56290</v>
      </c>
      <c r="J201" s="9">
        <v>57391</v>
      </c>
      <c r="K201" s="9">
        <v>196</v>
      </c>
      <c r="L201" s="16" t="s">
        <v>34</v>
      </c>
      <c r="M201" s="16"/>
      <c r="N201" s="16" t="s">
        <v>16</v>
      </c>
      <c r="O201" s="1"/>
    </row>
    <row r="202" spans="1:15" ht="30">
      <c r="A202" s="1" t="s">
        <v>231</v>
      </c>
      <c r="B202" s="1" t="s">
        <v>22</v>
      </c>
      <c r="C202" s="5">
        <v>45547</v>
      </c>
      <c r="D202" s="16" t="s">
        <v>23</v>
      </c>
      <c r="E202" s="17" t="s">
        <v>360</v>
      </c>
      <c r="F202" s="9">
        <v>1839</v>
      </c>
      <c r="G202" s="9">
        <v>223</v>
      </c>
      <c r="H202" s="9">
        <v>171</v>
      </c>
      <c r="I202" s="9">
        <v>35459</v>
      </c>
      <c r="J202" s="9">
        <v>69988</v>
      </c>
      <c r="K202" s="9">
        <v>114</v>
      </c>
      <c r="L202" s="16" t="s">
        <v>364</v>
      </c>
      <c r="M202" s="16" t="s">
        <v>34</v>
      </c>
      <c r="N202" s="16" t="s">
        <v>16</v>
      </c>
      <c r="O202" s="1"/>
    </row>
    <row r="203" spans="1:15" ht="30">
      <c r="A203" s="1" t="s">
        <v>232</v>
      </c>
      <c r="B203" s="1" t="s">
        <v>22</v>
      </c>
      <c r="C203" s="5">
        <v>45302</v>
      </c>
      <c r="D203" s="16" t="s">
        <v>23</v>
      </c>
      <c r="E203" s="17" t="s">
        <v>360</v>
      </c>
      <c r="F203" s="9">
        <v>2340</v>
      </c>
      <c r="G203" s="9">
        <v>141</v>
      </c>
      <c r="H203" s="9">
        <v>206</v>
      </c>
      <c r="I203" s="9">
        <v>24916</v>
      </c>
      <c r="J203" s="9">
        <v>30582</v>
      </c>
      <c r="K203" s="9">
        <v>157</v>
      </c>
      <c r="L203" s="16" t="s">
        <v>37</v>
      </c>
      <c r="M203" s="16" t="s">
        <v>34</v>
      </c>
      <c r="N203" s="16" t="s">
        <v>16</v>
      </c>
      <c r="O203" s="1"/>
    </row>
    <row r="204" spans="1:15">
      <c r="A204" s="1" t="s">
        <v>233</v>
      </c>
      <c r="B204" s="1" t="s">
        <v>13</v>
      </c>
      <c r="C204" s="5">
        <v>45571</v>
      </c>
      <c r="D204" s="16" t="s">
        <v>14</v>
      </c>
      <c r="E204" s="17" t="s">
        <v>33</v>
      </c>
      <c r="F204" s="9">
        <v>2080</v>
      </c>
      <c r="G204" s="9">
        <v>389</v>
      </c>
      <c r="H204" s="9">
        <v>92</v>
      </c>
      <c r="I204" s="9">
        <v>30971</v>
      </c>
      <c r="J204" s="9">
        <v>25347</v>
      </c>
      <c r="K204" s="9">
        <v>111</v>
      </c>
      <c r="L204" s="16" t="s">
        <v>19</v>
      </c>
      <c r="M204" s="16"/>
      <c r="N204" s="16" t="s">
        <v>20</v>
      </c>
      <c r="O204" s="1"/>
    </row>
    <row r="205" spans="1:15">
      <c r="A205" s="1" t="s">
        <v>234</v>
      </c>
      <c r="B205" s="1" t="s">
        <v>22</v>
      </c>
      <c r="C205" s="5">
        <v>45656</v>
      </c>
      <c r="D205" s="16" t="s">
        <v>14</v>
      </c>
      <c r="E205" s="17" t="s">
        <v>30</v>
      </c>
      <c r="F205" s="9">
        <v>4214</v>
      </c>
      <c r="G205" s="9">
        <v>286</v>
      </c>
      <c r="H205" s="9">
        <v>127</v>
      </c>
      <c r="I205" s="9">
        <v>47293</v>
      </c>
      <c r="J205" s="9">
        <v>27184</v>
      </c>
      <c r="K205" s="9">
        <v>232</v>
      </c>
      <c r="L205" s="16" t="s">
        <v>34</v>
      </c>
      <c r="M205" s="16"/>
      <c r="N205" s="16" t="s">
        <v>16</v>
      </c>
      <c r="O205" s="1"/>
    </row>
    <row r="206" spans="1:15" ht="30">
      <c r="A206" s="1" t="s">
        <v>235</v>
      </c>
      <c r="B206" s="1" t="s">
        <v>22</v>
      </c>
      <c r="C206" s="5">
        <v>45763</v>
      </c>
      <c r="D206" s="16" t="s">
        <v>14</v>
      </c>
      <c r="E206" s="17" t="s">
        <v>360</v>
      </c>
      <c r="F206" s="9">
        <v>3792</v>
      </c>
      <c r="G206" s="9">
        <v>315</v>
      </c>
      <c r="H206" s="9">
        <v>120</v>
      </c>
      <c r="I206" s="9">
        <v>54592</v>
      </c>
      <c r="J206" s="9">
        <v>67886</v>
      </c>
      <c r="K206" s="9">
        <v>117</v>
      </c>
      <c r="L206" s="16" t="s">
        <v>37</v>
      </c>
      <c r="M206" s="16"/>
      <c r="N206" s="16" t="s">
        <v>20</v>
      </c>
      <c r="O206" s="1"/>
    </row>
    <row r="207" spans="1:15">
      <c r="A207" s="1" t="s">
        <v>236</v>
      </c>
      <c r="B207" s="1" t="s">
        <v>22</v>
      </c>
      <c r="C207" s="5">
        <v>45525</v>
      </c>
      <c r="D207" s="16" t="s">
        <v>23</v>
      </c>
      <c r="E207" s="17" t="s">
        <v>18</v>
      </c>
      <c r="F207" s="9">
        <v>3989</v>
      </c>
      <c r="G207" s="9">
        <v>476</v>
      </c>
      <c r="H207" s="9">
        <v>128</v>
      </c>
      <c r="I207" s="9">
        <v>57569</v>
      </c>
      <c r="J207" s="9">
        <v>40193</v>
      </c>
      <c r="K207" s="9">
        <v>222</v>
      </c>
      <c r="L207" s="16" t="s">
        <v>19</v>
      </c>
      <c r="M207" s="16" t="s">
        <v>364</v>
      </c>
      <c r="N207" s="16" t="s">
        <v>16</v>
      </c>
      <c r="O207" s="1"/>
    </row>
    <row r="208" spans="1:15" ht="30">
      <c r="A208" s="1" t="s">
        <v>237</v>
      </c>
      <c r="B208" s="1" t="s">
        <v>22</v>
      </c>
      <c r="C208" s="5">
        <v>45387</v>
      </c>
      <c r="D208" s="16" t="s">
        <v>23</v>
      </c>
      <c r="E208" s="17" t="s">
        <v>360</v>
      </c>
      <c r="F208" s="9">
        <v>2857</v>
      </c>
      <c r="G208" s="9">
        <v>443</v>
      </c>
      <c r="H208" s="9">
        <v>359</v>
      </c>
      <c r="I208" s="9">
        <v>51519</v>
      </c>
      <c r="J208" s="9">
        <v>28256</v>
      </c>
      <c r="K208" s="9">
        <v>155</v>
      </c>
      <c r="L208" s="16" t="s">
        <v>37</v>
      </c>
      <c r="M208" s="16" t="s">
        <v>34</v>
      </c>
      <c r="N208" s="16" t="s">
        <v>16</v>
      </c>
      <c r="O208" s="1"/>
    </row>
    <row r="209" spans="1:15">
      <c r="A209" s="1" t="s">
        <v>238</v>
      </c>
      <c r="B209" s="1" t="s">
        <v>22</v>
      </c>
      <c r="C209" s="5">
        <v>45754</v>
      </c>
      <c r="D209" s="16" t="s">
        <v>14</v>
      </c>
      <c r="E209" s="17" t="s">
        <v>363</v>
      </c>
      <c r="F209" s="9">
        <v>1403</v>
      </c>
      <c r="G209" s="9">
        <v>385</v>
      </c>
      <c r="H209" s="9">
        <v>344</v>
      </c>
      <c r="I209" s="9">
        <v>54223</v>
      </c>
      <c r="J209" s="9">
        <v>72595</v>
      </c>
      <c r="K209" s="9">
        <v>239</v>
      </c>
      <c r="L209" s="16" t="s">
        <v>37</v>
      </c>
      <c r="M209" s="16"/>
      <c r="N209" s="16" t="s">
        <v>20</v>
      </c>
      <c r="O209" s="1"/>
    </row>
    <row r="210" spans="1:15">
      <c r="A210" s="1" t="s">
        <v>239</v>
      </c>
      <c r="B210" s="1" t="s">
        <v>22</v>
      </c>
      <c r="C210" s="5">
        <v>45492</v>
      </c>
      <c r="D210" s="16" t="s">
        <v>23</v>
      </c>
      <c r="E210" s="17" t="s">
        <v>362</v>
      </c>
      <c r="F210" s="9">
        <v>3071</v>
      </c>
      <c r="G210" s="9">
        <v>126</v>
      </c>
      <c r="H210" s="9">
        <v>200</v>
      </c>
      <c r="I210" s="9">
        <v>44013</v>
      </c>
      <c r="J210" s="9">
        <v>44679</v>
      </c>
      <c r="K210" s="9">
        <v>118</v>
      </c>
      <c r="L210" s="16" t="s">
        <v>19</v>
      </c>
      <c r="M210" s="16" t="s">
        <v>364</v>
      </c>
      <c r="N210" s="16" t="s">
        <v>16</v>
      </c>
      <c r="O210" s="1"/>
    </row>
    <row r="211" spans="1:15">
      <c r="A211" s="1" t="s">
        <v>240</v>
      </c>
      <c r="B211" s="1" t="s">
        <v>22</v>
      </c>
      <c r="C211" s="5">
        <v>45780</v>
      </c>
      <c r="D211" s="16" t="s">
        <v>23</v>
      </c>
      <c r="E211" s="17" t="s">
        <v>33</v>
      </c>
      <c r="F211" s="9">
        <v>1010</v>
      </c>
      <c r="G211" s="9">
        <v>361</v>
      </c>
      <c r="H211" s="9">
        <v>240</v>
      </c>
      <c r="I211" s="9">
        <v>47229</v>
      </c>
      <c r="J211" s="9">
        <v>72573</v>
      </c>
      <c r="K211" s="9">
        <v>275</v>
      </c>
      <c r="L211" s="16" t="s">
        <v>37</v>
      </c>
      <c r="M211" s="16" t="s">
        <v>34</v>
      </c>
      <c r="N211" s="16" t="s">
        <v>16</v>
      </c>
      <c r="O211" s="1"/>
    </row>
    <row r="212" spans="1:15">
      <c r="A212" s="1" t="s">
        <v>241</v>
      </c>
      <c r="B212" s="1" t="s">
        <v>22</v>
      </c>
      <c r="C212" s="5">
        <v>45396</v>
      </c>
      <c r="D212" s="16" t="s">
        <v>23</v>
      </c>
      <c r="E212" s="17" t="s">
        <v>15</v>
      </c>
      <c r="F212" s="9">
        <v>1295</v>
      </c>
      <c r="G212" s="9">
        <v>153</v>
      </c>
      <c r="H212" s="9">
        <v>81</v>
      </c>
      <c r="I212" s="9">
        <v>48350</v>
      </c>
      <c r="J212" s="9">
        <v>61033</v>
      </c>
      <c r="K212" s="9">
        <v>232</v>
      </c>
      <c r="L212" s="16" t="s">
        <v>19</v>
      </c>
      <c r="M212" s="16" t="s">
        <v>364</v>
      </c>
      <c r="N212" s="16" t="s">
        <v>16</v>
      </c>
      <c r="O212" s="1"/>
    </row>
    <row r="213" spans="1:15">
      <c r="A213" s="1" t="s">
        <v>242</v>
      </c>
      <c r="B213" s="1" t="s">
        <v>22</v>
      </c>
      <c r="C213" s="5">
        <v>45827</v>
      </c>
      <c r="D213" s="16" t="s">
        <v>23</v>
      </c>
      <c r="E213" s="17" t="s">
        <v>362</v>
      </c>
      <c r="F213" s="9">
        <v>1433</v>
      </c>
      <c r="G213" s="9">
        <v>452</v>
      </c>
      <c r="H213" s="9">
        <v>305</v>
      </c>
      <c r="I213" s="9">
        <v>54541</v>
      </c>
      <c r="J213" s="9">
        <v>63700</v>
      </c>
      <c r="K213" s="9">
        <v>296</v>
      </c>
      <c r="L213" s="16" t="s">
        <v>19</v>
      </c>
      <c r="M213" s="16" t="s">
        <v>364</v>
      </c>
      <c r="N213" s="16" t="s">
        <v>16</v>
      </c>
      <c r="O213" s="1"/>
    </row>
    <row r="214" spans="1:15">
      <c r="A214" s="1" t="s">
        <v>243</v>
      </c>
      <c r="B214" s="1" t="s">
        <v>13</v>
      </c>
      <c r="C214" s="5">
        <v>45832</v>
      </c>
      <c r="D214" s="16" t="s">
        <v>23</v>
      </c>
      <c r="E214" s="17" t="s">
        <v>30</v>
      </c>
      <c r="F214" s="9">
        <v>4902</v>
      </c>
      <c r="G214" s="9">
        <v>422</v>
      </c>
      <c r="H214" s="9">
        <v>376</v>
      </c>
      <c r="I214" s="9">
        <v>31674</v>
      </c>
      <c r="J214" s="9">
        <v>53225</v>
      </c>
      <c r="K214" s="9">
        <v>147</v>
      </c>
      <c r="L214" s="16" t="s">
        <v>34</v>
      </c>
      <c r="M214" s="16"/>
      <c r="N214" s="16" t="s">
        <v>46</v>
      </c>
      <c r="O214" s="1"/>
    </row>
    <row r="215" spans="1:15" ht="30">
      <c r="A215" s="1" t="s">
        <v>244</v>
      </c>
      <c r="B215" s="1" t="s">
        <v>22</v>
      </c>
      <c r="C215" s="5">
        <v>45574</v>
      </c>
      <c r="D215" s="16" t="s">
        <v>14</v>
      </c>
      <c r="E215" s="17" t="s">
        <v>360</v>
      </c>
      <c r="F215" s="9">
        <v>2659</v>
      </c>
      <c r="G215" s="9">
        <v>167</v>
      </c>
      <c r="H215" s="9">
        <v>73</v>
      </c>
      <c r="I215" s="9">
        <v>23090</v>
      </c>
      <c r="J215" s="9">
        <v>25872</v>
      </c>
      <c r="K215" s="9">
        <v>293</v>
      </c>
      <c r="L215" s="16" t="s">
        <v>37</v>
      </c>
      <c r="M215" s="16"/>
      <c r="N215" s="16" t="s">
        <v>20</v>
      </c>
      <c r="O215" s="1"/>
    </row>
    <row r="216" spans="1:15">
      <c r="A216" s="1" t="s">
        <v>245</v>
      </c>
      <c r="B216" s="1" t="s">
        <v>27</v>
      </c>
      <c r="C216" s="5">
        <v>45672</v>
      </c>
      <c r="D216" s="16" t="s">
        <v>14</v>
      </c>
      <c r="E216" s="17" t="s">
        <v>42</v>
      </c>
      <c r="F216" s="9">
        <v>2599</v>
      </c>
      <c r="G216" s="9">
        <v>324</v>
      </c>
      <c r="H216" s="9">
        <v>182</v>
      </c>
      <c r="I216" s="9">
        <v>37525</v>
      </c>
      <c r="J216" s="9">
        <v>37216</v>
      </c>
      <c r="K216" s="9">
        <v>186</v>
      </c>
      <c r="L216" s="16" t="s">
        <v>19</v>
      </c>
      <c r="M216" s="16" t="s">
        <v>365</v>
      </c>
      <c r="N216" s="16" t="s">
        <v>20</v>
      </c>
      <c r="O216" s="1"/>
    </row>
    <row r="217" spans="1:15">
      <c r="A217" s="1" t="s">
        <v>246</v>
      </c>
      <c r="B217" s="1" t="s">
        <v>22</v>
      </c>
      <c r="C217" s="5">
        <v>45669</v>
      </c>
      <c r="D217" s="16" t="s">
        <v>14</v>
      </c>
      <c r="E217" s="17" t="s">
        <v>361</v>
      </c>
      <c r="F217" s="9">
        <v>1765</v>
      </c>
      <c r="G217" s="9">
        <v>285</v>
      </c>
      <c r="H217" s="9">
        <v>100</v>
      </c>
      <c r="I217" s="9">
        <v>41313</v>
      </c>
      <c r="J217" s="9">
        <v>56575</v>
      </c>
      <c r="K217" s="9">
        <v>174</v>
      </c>
      <c r="L217" s="16" t="s">
        <v>37</v>
      </c>
      <c r="M217" s="16"/>
      <c r="N217" s="16" t="s">
        <v>20</v>
      </c>
      <c r="O217" s="1"/>
    </row>
    <row r="218" spans="1:15">
      <c r="A218" s="1" t="s">
        <v>247</v>
      </c>
      <c r="B218" s="1" t="s">
        <v>13</v>
      </c>
      <c r="C218" s="5">
        <v>45808</v>
      </c>
      <c r="D218" s="16" t="s">
        <v>14</v>
      </c>
      <c r="E218" s="17" t="s">
        <v>362</v>
      </c>
      <c r="F218" s="9">
        <v>2169</v>
      </c>
      <c r="G218" s="9">
        <v>240</v>
      </c>
      <c r="H218" s="9">
        <v>57</v>
      </c>
      <c r="I218" s="9">
        <v>26109</v>
      </c>
      <c r="J218" s="9">
        <v>46667</v>
      </c>
      <c r="K218" s="9">
        <v>133</v>
      </c>
      <c r="L218" s="16" t="s">
        <v>37</v>
      </c>
      <c r="M218" s="16" t="s">
        <v>34</v>
      </c>
      <c r="N218" s="16" t="s">
        <v>16</v>
      </c>
      <c r="O218" s="1"/>
    </row>
    <row r="219" spans="1:15">
      <c r="A219" s="1" t="s">
        <v>248</v>
      </c>
      <c r="B219" s="1" t="s">
        <v>22</v>
      </c>
      <c r="C219" s="5">
        <v>45579</v>
      </c>
      <c r="D219" s="16" t="s">
        <v>23</v>
      </c>
      <c r="E219" s="17" t="s">
        <v>18</v>
      </c>
      <c r="F219" s="9">
        <v>4303</v>
      </c>
      <c r="G219" s="9">
        <v>306</v>
      </c>
      <c r="H219" s="9">
        <v>302</v>
      </c>
      <c r="I219" s="9">
        <v>39575</v>
      </c>
      <c r="J219" s="9">
        <v>33762</v>
      </c>
      <c r="K219" s="9">
        <v>265</v>
      </c>
      <c r="L219" s="16" t="s">
        <v>19</v>
      </c>
      <c r="M219" s="16" t="s">
        <v>364</v>
      </c>
      <c r="N219" s="16" t="s">
        <v>16</v>
      </c>
      <c r="O219" s="1"/>
    </row>
    <row r="220" spans="1:15">
      <c r="A220" s="1" t="s">
        <v>249</v>
      </c>
      <c r="B220" s="1" t="s">
        <v>22</v>
      </c>
      <c r="C220" s="5">
        <v>45332</v>
      </c>
      <c r="D220" s="16" t="s">
        <v>14</v>
      </c>
      <c r="E220" s="17" t="s">
        <v>363</v>
      </c>
      <c r="F220" s="9">
        <v>1519</v>
      </c>
      <c r="G220" s="9">
        <v>456</v>
      </c>
      <c r="H220" s="9">
        <v>379</v>
      </c>
      <c r="I220" s="9">
        <v>51611</v>
      </c>
      <c r="J220" s="9">
        <v>45880</v>
      </c>
      <c r="K220" s="9">
        <v>176</v>
      </c>
      <c r="L220" s="16" t="s">
        <v>37</v>
      </c>
      <c r="M220" s="16"/>
      <c r="N220" s="16" t="s">
        <v>20</v>
      </c>
      <c r="O220" s="1"/>
    </row>
    <row r="221" spans="1:15">
      <c r="A221" s="1" t="s">
        <v>250</v>
      </c>
      <c r="B221" s="1" t="s">
        <v>27</v>
      </c>
      <c r="C221" s="5">
        <v>45636</v>
      </c>
      <c r="D221" s="16" t="s">
        <v>14</v>
      </c>
      <c r="E221" s="17" t="s">
        <v>362</v>
      </c>
      <c r="F221" s="9">
        <v>2569</v>
      </c>
      <c r="G221" s="9">
        <v>140</v>
      </c>
      <c r="H221" s="9">
        <v>375</v>
      </c>
      <c r="I221" s="9">
        <v>38372</v>
      </c>
      <c r="J221" s="9">
        <v>22102</v>
      </c>
      <c r="K221" s="9">
        <v>255</v>
      </c>
      <c r="L221" s="16" t="s">
        <v>19</v>
      </c>
      <c r="M221" s="16" t="s">
        <v>365</v>
      </c>
      <c r="N221" s="16" t="s">
        <v>20</v>
      </c>
      <c r="O221" s="1"/>
    </row>
    <row r="222" spans="1:15">
      <c r="A222" s="1" t="s">
        <v>251</v>
      </c>
      <c r="B222" s="1" t="s">
        <v>22</v>
      </c>
      <c r="C222" s="5">
        <v>45786</v>
      </c>
      <c r="D222" s="16" t="s">
        <v>23</v>
      </c>
      <c r="E222" s="17" t="s">
        <v>361</v>
      </c>
      <c r="F222" s="9">
        <v>2778</v>
      </c>
      <c r="G222" s="9">
        <v>241</v>
      </c>
      <c r="H222" s="9">
        <v>317</v>
      </c>
      <c r="I222" s="9">
        <v>26247</v>
      </c>
      <c r="J222" s="9">
        <v>20677</v>
      </c>
      <c r="K222" s="9">
        <v>282</v>
      </c>
      <c r="L222" s="16" t="s">
        <v>364</v>
      </c>
      <c r="M222" s="16" t="s">
        <v>34</v>
      </c>
      <c r="N222" s="16" t="s">
        <v>16</v>
      </c>
      <c r="O222" s="1"/>
    </row>
    <row r="223" spans="1:15">
      <c r="A223" s="1" t="s">
        <v>252</v>
      </c>
      <c r="B223" s="1" t="s">
        <v>22</v>
      </c>
      <c r="C223" s="5">
        <v>45829</v>
      </c>
      <c r="D223" s="16" t="s">
        <v>14</v>
      </c>
      <c r="E223" s="17" t="s">
        <v>18</v>
      </c>
      <c r="F223" s="9">
        <v>3611</v>
      </c>
      <c r="G223" s="9">
        <v>127</v>
      </c>
      <c r="H223" s="9">
        <v>139</v>
      </c>
      <c r="I223" s="9">
        <v>44768</v>
      </c>
      <c r="J223" s="9">
        <v>29435</v>
      </c>
      <c r="K223" s="9">
        <v>178</v>
      </c>
      <c r="L223" s="16" t="s">
        <v>34</v>
      </c>
      <c r="M223" s="16"/>
      <c r="N223" s="16" t="s">
        <v>16</v>
      </c>
      <c r="O223" s="1"/>
    </row>
    <row r="224" spans="1:15">
      <c r="A224" s="1" t="s">
        <v>253</v>
      </c>
      <c r="B224" s="1" t="s">
        <v>22</v>
      </c>
      <c r="C224" s="5">
        <v>45462</v>
      </c>
      <c r="D224" s="16" t="s">
        <v>14</v>
      </c>
      <c r="E224" s="17" t="s">
        <v>362</v>
      </c>
      <c r="F224" s="9">
        <v>1224</v>
      </c>
      <c r="G224" s="9">
        <v>168</v>
      </c>
      <c r="H224" s="9">
        <v>199</v>
      </c>
      <c r="I224" s="9">
        <v>54232</v>
      </c>
      <c r="J224" s="9">
        <v>52844</v>
      </c>
      <c r="K224" s="9">
        <v>271</v>
      </c>
      <c r="L224" s="16" t="s">
        <v>37</v>
      </c>
      <c r="M224" s="16"/>
      <c r="N224" s="16" t="s">
        <v>20</v>
      </c>
      <c r="O224" s="1"/>
    </row>
    <row r="225" spans="1:15">
      <c r="A225" s="1" t="s">
        <v>254</v>
      </c>
      <c r="B225" s="1" t="s">
        <v>22</v>
      </c>
      <c r="C225" s="5">
        <v>45636</v>
      </c>
      <c r="D225" s="16" t="s">
        <v>14</v>
      </c>
      <c r="E225" s="17" t="s">
        <v>363</v>
      </c>
      <c r="F225" s="9">
        <v>4673</v>
      </c>
      <c r="G225" s="9">
        <v>270</v>
      </c>
      <c r="H225" s="9">
        <v>93</v>
      </c>
      <c r="I225" s="9">
        <v>45260</v>
      </c>
      <c r="J225" s="9">
        <v>57513</v>
      </c>
      <c r="K225" s="9">
        <v>103</v>
      </c>
      <c r="L225" s="16" t="s">
        <v>34</v>
      </c>
      <c r="M225" s="16"/>
      <c r="N225" s="16" t="s">
        <v>16</v>
      </c>
      <c r="O225" s="1"/>
    </row>
    <row r="226" spans="1:15" ht="30">
      <c r="A226" s="1" t="s">
        <v>255</v>
      </c>
      <c r="B226" s="1" t="s">
        <v>27</v>
      </c>
      <c r="C226" s="5">
        <v>45323</v>
      </c>
      <c r="D226" s="16" t="s">
        <v>14</v>
      </c>
      <c r="E226" s="17" t="s">
        <v>360</v>
      </c>
      <c r="F226" s="9">
        <v>1432</v>
      </c>
      <c r="G226" s="9">
        <v>437</v>
      </c>
      <c r="H226" s="9">
        <v>267</v>
      </c>
      <c r="I226" s="9">
        <v>40634</v>
      </c>
      <c r="J226" s="9">
        <v>54511</v>
      </c>
      <c r="K226" s="9">
        <v>197</v>
      </c>
      <c r="L226" s="16" t="s">
        <v>19</v>
      </c>
      <c r="M226" s="16" t="s">
        <v>365</v>
      </c>
      <c r="N226" s="16" t="s">
        <v>20</v>
      </c>
      <c r="O226" s="1"/>
    </row>
    <row r="227" spans="1:15">
      <c r="A227" s="1" t="s">
        <v>256</v>
      </c>
      <c r="B227" s="1" t="s">
        <v>22</v>
      </c>
      <c r="C227" s="5">
        <v>45308</v>
      </c>
      <c r="D227" s="16" t="s">
        <v>23</v>
      </c>
      <c r="E227" s="17" t="s">
        <v>24</v>
      </c>
      <c r="F227" s="9">
        <v>2174</v>
      </c>
      <c r="G227" s="9">
        <v>499</v>
      </c>
      <c r="H227" s="9">
        <v>212</v>
      </c>
      <c r="I227" s="9">
        <v>54938</v>
      </c>
      <c r="J227" s="9">
        <v>27190</v>
      </c>
      <c r="K227" s="9">
        <v>265</v>
      </c>
      <c r="L227" s="16" t="s">
        <v>364</v>
      </c>
      <c r="M227" s="16" t="s">
        <v>34</v>
      </c>
      <c r="N227" s="16" t="s">
        <v>16</v>
      </c>
      <c r="O227" s="1"/>
    </row>
    <row r="228" spans="1:15">
      <c r="A228" s="1" t="s">
        <v>257</v>
      </c>
      <c r="B228" s="1" t="s">
        <v>27</v>
      </c>
      <c r="C228" s="5">
        <v>45738</v>
      </c>
      <c r="D228" s="16" t="s">
        <v>14</v>
      </c>
      <c r="E228" s="17" t="s">
        <v>361</v>
      </c>
      <c r="F228" s="9">
        <v>4308</v>
      </c>
      <c r="G228" s="9">
        <v>171</v>
      </c>
      <c r="H228" s="9">
        <v>106</v>
      </c>
      <c r="I228" s="9">
        <v>36955</v>
      </c>
      <c r="J228" s="9">
        <v>23949</v>
      </c>
      <c r="K228" s="9">
        <v>294</v>
      </c>
      <c r="L228" s="16" t="s">
        <v>19</v>
      </c>
      <c r="M228" s="16" t="s">
        <v>365</v>
      </c>
      <c r="N228" s="16" t="s">
        <v>20</v>
      </c>
      <c r="O228" s="1"/>
    </row>
    <row r="229" spans="1:15">
      <c r="A229" s="1" t="s">
        <v>258</v>
      </c>
      <c r="B229" s="1" t="s">
        <v>27</v>
      </c>
      <c r="C229" s="5">
        <v>45442</v>
      </c>
      <c r="D229" s="16" t="s">
        <v>48</v>
      </c>
      <c r="E229" s="17" t="s">
        <v>362</v>
      </c>
      <c r="F229" s="9">
        <v>1060</v>
      </c>
      <c r="G229" s="9">
        <v>442</v>
      </c>
      <c r="H229" s="9">
        <v>319</v>
      </c>
      <c r="I229" s="9">
        <v>57194</v>
      </c>
      <c r="J229" s="9">
        <v>24258</v>
      </c>
      <c r="K229" s="9">
        <v>101</v>
      </c>
      <c r="L229" s="16" t="s">
        <v>19</v>
      </c>
      <c r="M229" s="16" t="s">
        <v>37</v>
      </c>
      <c r="N229" s="16" t="s">
        <v>49</v>
      </c>
      <c r="O229" s="1"/>
    </row>
    <row r="230" spans="1:15">
      <c r="A230" s="1" t="s">
        <v>259</v>
      </c>
      <c r="B230" s="1" t="s">
        <v>27</v>
      </c>
      <c r="C230" s="5">
        <v>45346</v>
      </c>
      <c r="D230" s="16" t="s">
        <v>14</v>
      </c>
      <c r="E230" s="17" t="s">
        <v>361</v>
      </c>
      <c r="F230" s="9">
        <v>4653</v>
      </c>
      <c r="G230" s="9">
        <v>226</v>
      </c>
      <c r="H230" s="9">
        <v>349</v>
      </c>
      <c r="I230" s="9">
        <v>56876</v>
      </c>
      <c r="J230" s="9">
        <v>28452</v>
      </c>
      <c r="K230" s="9">
        <v>257</v>
      </c>
      <c r="L230" s="16" t="s">
        <v>19</v>
      </c>
      <c r="M230" s="16" t="s">
        <v>365</v>
      </c>
      <c r="N230" s="16" t="s">
        <v>20</v>
      </c>
      <c r="O230" s="1"/>
    </row>
    <row r="231" spans="1:15">
      <c r="A231" s="1" t="s">
        <v>260</v>
      </c>
      <c r="B231" s="1" t="s">
        <v>27</v>
      </c>
      <c r="C231" s="5">
        <v>45791</v>
      </c>
      <c r="D231" s="16" t="s">
        <v>14</v>
      </c>
      <c r="E231" s="17" t="s">
        <v>15</v>
      </c>
      <c r="F231" s="9">
        <v>1701</v>
      </c>
      <c r="G231" s="9">
        <v>272</v>
      </c>
      <c r="H231" s="9">
        <v>385</v>
      </c>
      <c r="I231" s="9">
        <v>47496</v>
      </c>
      <c r="J231" s="9">
        <v>40832</v>
      </c>
      <c r="K231" s="9">
        <v>246</v>
      </c>
      <c r="L231" s="16" t="s">
        <v>19</v>
      </c>
      <c r="M231" s="16" t="s">
        <v>365</v>
      </c>
      <c r="N231" s="16" t="s">
        <v>20</v>
      </c>
      <c r="O231" s="1"/>
    </row>
    <row r="232" spans="1:15">
      <c r="A232" s="1" t="s">
        <v>261</v>
      </c>
      <c r="B232" s="1" t="s">
        <v>13</v>
      </c>
      <c r="C232" s="5">
        <v>45379</v>
      </c>
      <c r="D232" s="16" t="s">
        <v>14</v>
      </c>
      <c r="E232" s="17" t="s">
        <v>362</v>
      </c>
      <c r="F232" s="9">
        <v>1673</v>
      </c>
      <c r="G232" s="9">
        <v>280</v>
      </c>
      <c r="H232" s="9">
        <v>67</v>
      </c>
      <c r="I232" s="9">
        <v>29847</v>
      </c>
      <c r="J232" s="9">
        <v>48016</v>
      </c>
      <c r="K232" s="9">
        <v>213</v>
      </c>
      <c r="L232" s="16" t="s">
        <v>37</v>
      </c>
      <c r="M232" s="16" t="s">
        <v>34</v>
      </c>
      <c r="N232" s="16" t="s">
        <v>16</v>
      </c>
      <c r="O232" s="1"/>
    </row>
    <row r="233" spans="1:15">
      <c r="A233" s="1" t="s">
        <v>262</v>
      </c>
      <c r="B233" s="1" t="s">
        <v>27</v>
      </c>
      <c r="C233" s="5">
        <v>45723</v>
      </c>
      <c r="D233" s="16" t="s">
        <v>14</v>
      </c>
      <c r="E233" s="17" t="s">
        <v>33</v>
      </c>
      <c r="F233" s="9">
        <v>4310</v>
      </c>
      <c r="G233" s="9">
        <v>284</v>
      </c>
      <c r="H233" s="9">
        <v>306</v>
      </c>
      <c r="I233" s="9">
        <v>44606</v>
      </c>
      <c r="J233" s="9">
        <v>42604</v>
      </c>
      <c r="K233" s="9">
        <v>290</v>
      </c>
      <c r="L233" s="16" t="s">
        <v>19</v>
      </c>
      <c r="M233" s="16" t="s">
        <v>365</v>
      </c>
      <c r="N233" s="16" t="s">
        <v>20</v>
      </c>
      <c r="O233" s="1"/>
    </row>
    <row r="234" spans="1:15">
      <c r="A234" s="1" t="s">
        <v>263</v>
      </c>
      <c r="B234" s="1" t="s">
        <v>22</v>
      </c>
      <c r="C234" s="5">
        <v>45585</v>
      </c>
      <c r="D234" s="16" t="s">
        <v>14</v>
      </c>
      <c r="E234" s="17" t="s">
        <v>363</v>
      </c>
      <c r="F234" s="9">
        <v>2752</v>
      </c>
      <c r="G234" s="9">
        <v>309</v>
      </c>
      <c r="H234" s="9">
        <v>91</v>
      </c>
      <c r="I234" s="9">
        <v>39038</v>
      </c>
      <c r="J234" s="9">
        <v>28095</v>
      </c>
      <c r="K234" s="9">
        <v>277</v>
      </c>
      <c r="L234" s="16" t="s">
        <v>34</v>
      </c>
      <c r="M234" s="16"/>
      <c r="N234" s="16" t="s">
        <v>16</v>
      </c>
      <c r="O234" s="1"/>
    </row>
    <row r="235" spans="1:15">
      <c r="A235" s="1" t="s">
        <v>264</v>
      </c>
      <c r="B235" s="1" t="s">
        <v>22</v>
      </c>
      <c r="C235" s="5">
        <v>45324</v>
      </c>
      <c r="D235" s="16" t="s">
        <v>14</v>
      </c>
      <c r="E235" s="17" t="s">
        <v>363</v>
      </c>
      <c r="F235" s="9">
        <v>3818</v>
      </c>
      <c r="G235" s="9">
        <v>115</v>
      </c>
      <c r="H235" s="9">
        <v>286</v>
      </c>
      <c r="I235" s="9">
        <v>25127</v>
      </c>
      <c r="J235" s="9">
        <v>22277</v>
      </c>
      <c r="K235" s="9">
        <v>263</v>
      </c>
      <c r="L235" s="16" t="s">
        <v>34</v>
      </c>
      <c r="M235" s="16"/>
      <c r="N235" s="16" t="s">
        <v>16</v>
      </c>
      <c r="O235" s="1"/>
    </row>
    <row r="236" spans="1:15">
      <c r="A236" s="1" t="s">
        <v>265</v>
      </c>
      <c r="B236" s="1" t="s">
        <v>27</v>
      </c>
      <c r="C236" s="5">
        <v>45542</v>
      </c>
      <c r="D236" s="16" t="s">
        <v>14</v>
      </c>
      <c r="E236" s="17" t="s">
        <v>42</v>
      </c>
      <c r="F236" s="9">
        <v>2101</v>
      </c>
      <c r="G236" s="9">
        <v>411</v>
      </c>
      <c r="H236" s="9">
        <v>190</v>
      </c>
      <c r="I236" s="9">
        <v>41791</v>
      </c>
      <c r="J236" s="9">
        <v>57090</v>
      </c>
      <c r="K236" s="9">
        <v>172</v>
      </c>
      <c r="L236" s="16" t="s">
        <v>19</v>
      </c>
      <c r="M236" s="16" t="s">
        <v>365</v>
      </c>
      <c r="N236" s="16" t="s">
        <v>20</v>
      </c>
      <c r="O236" s="1"/>
    </row>
    <row r="237" spans="1:15">
      <c r="A237" s="1" t="s">
        <v>266</v>
      </c>
      <c r="B237" s="1" t="s">
        <v>13</v>
      </c>
      <c r="C237" s="5">
        <v>45646</v>
      </c>
      <c r="D237" s="16" t="s">
        <v>14</v>
      </c>
      <c r="E237" s="17" t="s">
        <v>15</v>
      </c>
      <c r="F237" s="9">
        <v>2519</v>
      </c>
      <c r="G237" s="9">
        <v>202</v>
      </c>
      <c r="H237" s="9">
        <v>239</v>
      </c>
      <c r="I237" s="9">
        <v>36245</v>
      </c>
      <c r="J237" s="9">
        <v>48606</v>
      </c>
      <c r="K237" s="9">
        <v>145</v>
      </c>
      <c r="L237" s="16" t="s">
        <v>19</v>
      </c>
      <c r="M237" s="16"/>
      <c r="N237" s="16" t="s">
        <v>20</v>
      </c>
      <c r="O237" s="1"/>
    </row>
    <row r="238" spans="1:15">
      <c r="A238" s="1" t="s">
        <v>267</v>
      </c>
      <c r="B238" s="1" t="s">
        <v>27</v>
      </c>
      <c r="C238" s="5">
        <v>45305</v>
      </c>
      <c r="D238" s="16" t="s">
        <v>14</v>
      </c>
      <c r="E238" s="17" t="s">
        <v>362</v>
      </c>
      <c r="F238" s="9">
        <v>4502</v>
      </c>
      <c r="G238" s="9">
        <v>238</v>
      </c>
      <c r="H238" s="9">
        <v>386</v>
      </c>
      <c r="I238" s="9">
        <v>39198</v>
      </c>
      <c r="J238" s="9">
        <v>25050</v>
      </c>
      <c r="K238" s="9">
        <v>297</v>
      </c>
      <c r="L238" s="16" t="s">
        <v>19</v>
      </c>
      <c r="M238" s="16" t="s">
        <v>365</v>
      </c>
      <c r="N238" s="16" t="s">
        <v>20</v>
      </c>
      <c r="O238" s="1"/>
    </row>
    <row r="239" spans="1:15">
      <c r="A239" s="1" t="s">
        <v>268</v>
      </c>
      <c r="B239" s="1" t="s">
        <v>13</v>
      </c>
      <c r="C239" s="5">
        <v>45823</v>
      </c>
      <c r="D239" s="16" t="s">
        <v>14</v>
      </c>
      <c r="E239" s="17" t="s">
        <v>18</v>
      </c>
      <c r="F239" s="9">
        <v>2478</v>
      </c>
      <c r="G239" s="9">
        <v>427</v>
      </c>
      <c r="H239" s="9">
        <v>242</v>
      </c>
      <c r="I239" s="9">
        <v>59272</v>
      </c>
      <c r="J239" s="9">
        <v>37833</v>
      </c>
      <c r="K239" s="9">
        <v>214</v>
      </c>
      <c r="L239" s="16" t="s">
        <v>37</v>
      </c>
      <c r="M239" s="16" t="s">
        <v>34</v>
      </c>
      <c r="N239" s="16" t="s">
        <v>16</v>
      </c>
      <c r="O239" s="1"/>
    </row>
    <row r="240" spans="1:15">
      <c r="A240" s="1" t="s">
        <v>269</v>
      </c>
      <c r="B240" s="1" t="s">
        <v>22</v>
      </c>
      <c r="C240" s="5">
        <v>45639</v>
      </c>
      <c r="D240" s="16" t="s">
        <v>23</v>
      </c>
      <c r="E240" s="17" t="s">
        <v>24</v>
      </c>
      <c r="F240" s="9">
        <v>4984</v>
      </c>
      <c r="G240" s="9">
        <v>300</v>
      </c>
      <c r="H240" s="9">
        <v>338</v>
      </c>
      <c r="I240" s="9">
        <v>32900</v>
      </c>
      <c r="J240" s="9">
        <v>31691</v>
      </c>
      <c r="K240" s="9">
        <v>160</v>
      </c>
      <c r="L240" s="16" t="s">
        <v>364</v>
      </c>
      <c r="M240" s="16" t="s">
        <v>34</v>
      </c>
      <c r="N240" s="16" t="s">
        <v>16</v>
      </c>
      <c r="O240" s="1"/>
    </row>
    <row r="241" spans="1:15" ht="30">
      <c r="A241" s="1" t="s">
        <v>270</v>
      </c>
      <c r="B241" s="1" t="s">
        <v>27</v>
      </c>
      <c r="C241" s="5">
        <v>45533</v>
      </c>
      <c r="D241" s="16" t="s">
        <v>14</v>
      </c>
      <c r="E241" s="17" t="s">
        <v>360</v>
      </c>
      <c r="F241" s="9">
        <v>4774</v>
      </c>
      <c r="G241" s="9">
        <v>389</v>
      </c>
      <c r="H241" s="9">
        <v>358</v>
      </c>
      <c r="I241" s="9">
        <v>52346</v>
      </c>
      <c r="J241" s="9">
        <v>30518</v>
      </c>
      <c r="K241" s="9">
        <v>277</v>
      </c>
      <c r="L241" s="16" t="s">
        <v>19</v>
      </c>
      <c r="M241" s="16" t="s">
        <v>365</v>
      </c>
      <c r="N241" s="16" t="s">
        <v>20</v>
      </c>
      <c r="O241" s="1"/>
    </row>
    <row r="242" spans="1:15">
      <c r="A242" s="1" t="s">
        <v>271</v>
      </c>
      <c r="B242" s="1" t="s">
        <v>22</v>
      </c>
      <c r="C242" s="5">
        <v>45550</v>
      </c>
      <c r="D242" s="16" t="s">
        <v>14</v>
      </c>
      <c r="E242" s="17" t="s">
        <v>30</v>
      </c>
      <c r="F242" s="9">
        <v>2145</v>
      </c>
      <c r="G242" s="9">
        <v>340</v>
      </c>
      <c r="H242" s="9">
        <v>85</v>
      </c>
      <c r="I242" s="9">
        <v>53323</v>
      </c>
      <c r="J242" s="9">
        <v>49938</v>
      </c>
      <c r="K242" s="9">
        <v>104</v>
      </c>
      <c r="L242" s="16" t="s">
        <v>34</v>
      </c>
      <c r="M242" s="16"/>
      <c r="N242" s="16" t="s">
        <v>16</v>
      </c>
      <c r="O242" s="1"/>
    </row>
    <row r="243" spans="1:15">
      <c r="A243" s="1" t="s">
        <v>272</v>
      </c>
      <c r="B243" s="1" t="s">
        <v>22</v>
      </c>
      <c r="C243" s="5">
        <v>45759</v>
      </c>
      <c r="D243" s="16" t="s">
        <v>23</v>
      </c>
      <c r="E243" s="17" t="s">
        <v>363</v>
      </c>
      <c r="F243" s="9">
        <v>4315</v>
      </c>
      <c r="G243" s="9">
        <v>208</v>
      </c>
      <c r="H243" s="9">
        <v>273</v>
      </c>
      <c r="I243" s="9">
        <v>35780</v>
      </c>
      <c r="J243" s="9">
        <v>44349</v>
      </c>
      <c r="K243" s="9">
        <v>133</v>
      </c>
      <c r="L243" s="16" t="s">
        <v>19</v>
      </c>
      <c r="M243" s="16" t="s">
        <v>364</v>
      </c>
      <c r="N243" s="16" t="s">
        <v>16</v>
      </c>
      <c r="O243" s="1"/>
    </row>
    <row r="244" spans="1:15" ht="30">
      <c r="A244" s="1" t="s">
        <v>273</v>
      </c>
      <c r="B244" s="1" t="s">
        <v>22</v>
      </c>
      <c r="C244" s="5">
        <v>45636</v>
      </c>
      <c r="D244" s="16" t="s">
        <v>23</v>
      </c>
      <c r="E244" s="17" t="s">
        <v>360</v>
      </c>
      <c r="F244" s="9">
        <v>2267</v>
      </c>
      <c r="G244" s="9">
        <v>230</v>
      </c>
      <c r="H244" s="9">
        <v>243</v>
      </c>
      <c r="I244" s="9">
        <v>27904</v>
      </c>
      <c r="J244" s="9">
        <v>69771</v>
      </c>
      <c r="K244" s="9">
        <v>255</v>
      </c>
      <c r="L244" s="16" t="s">
        <v>19</v>
      </c>
      <c r="M244" s="16" t="s">
        <v>364</v>
      </c>
      <c r="N244" s="16" t="s">
        <v>16</v>
      </c>
      <c r="O244" s="1"/>
    </row>
    <row r="245" spans="1:15">
      <c r="A245" s="1" t="s">
        <v>274</v>
      </c>
      <c r="B245" s="1" t="s">
        <v>27</v>
      </c>
      <c r="C245" s="5">
        <v>45816</v>
      </c>
      <c r="D245" s="16" t="s">
        <v>14</v>
      </c>
      <c r="E245" s="17" t="s">
        <v>361</v>
      </c>
      <c r="F245" s="9">
        <v>4375</v>
      </c>
      <c r="G245" s="9">
        <v>303</v>
      </c>
      <c r="H245" s="9">
        <v>294</v>
      </c>
      <c r="I245" s="9">
        <v>57468</v>
      </c>
      <c r="J245" s="9">
        <v>53397</v>
      </c>
      <c r="K245" s="9">
        <v>159</v>
      </c>
      <c r="L245" s="16" t="s">
        <v>19</v>
      </c>
      <c r="M245" s="16" t="s">
        <v>365</v>
      </c>
      <c r="N245" s="16" t="s">
        <v>20</v>
      </c>
      <c r="O245" s="1"/>
    </row>
    <row r="246" spans="1:15">
      <c r="A246" s="1" t="s">
        <v>275</v>
      </c>
      <c r="B246" s="1" t="s">
        <v>22</v>
      </c>
      <c r="C246" s="5">
        <v>45666</v>
      </c>
      <c r="D246" s="16" t="s">
        <v>23</v>
      </c>
      <c r="E246" s="17" t="s">
        <v>42</v>
      </c>
      <c r="F246" s="9">
        <v>3817</v>
      </c>
      <c r="G246" s="9">
        <v>284</v>
      </c>
      <c r="H246" s="9">
        <v>204</v>
      </c>
      <c r="I246" s="9">
        <v>46434</v>
      </c>
      <c r="J246" s="9">
        <v>53396</v>
      </c>
      <c r="K246" s="9">
        <v>104</v>
      </c>
      <c r="L246" s="16" t="s">
        <v>364</v>
      </c>
      <c r="M246" s="16" t="s">
        <v>34</v>
      </c>
      <c r="N246" s="16" t="s">
        <v>16</v>
      </c>
      <c r="O246" s="1"/>
    </row>
    <row r="247" spans="1:15">
      <c r="A247" s="1" t="s">
        <v>276</v>
      </c>
      <c r="B247" s="1" t="s">
        <v>22</v>
      </c>
      <c r="C247" s="5">
        <v>45481</v>
      </c>
      <c r="D247" s="16" t="s">
        <v>23</v>
      </c>
      <c r="E247" s="17" t="s">
        <v>33</v>
      </c>
      <c r="F247" s="9">
        <v>2981</v>
      </c>
      <c r="G247" s="9">
        <v>258</v>
      </c>
      <c r="H247" s="9">
        <v>168</v>
      </c>
      <c r="I247" s="9">
        <v>20677</v>
      </c>
      <c r="J247" s="9">
        <v>68290</v>
      </c>
      <c r="K247" s="9">
        <v>130</v>
      </c>
      <c r="L247" s="16" t="s">
        <v>37</v>
      </c>
      <c r="M247" s="16" t="s">
        <v>34</v>
      </c>
      <c r="N247" s="16" t="s">
        <v>16</v>
      </c>
      <c r="O247" s="1"/>
    </row>
    <row r="248" spans="1:15">
      <c r="A248" s="1" t="s">
        <v>277</v>
      </c>
      <c r="B248" s="1" t="s">
        <v>22</v>
      </c>
      <c r="C248" s="5">
        <v>45551</v>
      </c>
      <c r="D248" s="16" t="s">
        <v>23</v>
      </c>
      <c r="E248" s="17" t="s">
        <v>42</v>
      </c>
      <c r="F248" s="9">
        <v>3300</v>
      </c>
      <c r="G248" s="9">
        <v>354</v>
      </c>
      <c r="H248" s="9">
        <v>397</v>
      </c>
      <c r="I248" s="9">
        <v>56773</v>
      </c>
      <c r="J248" s="9">
        <v>72110</v>
      </c>
      <c r="K248" s="9">
        <v>163</v>
      </c>
      <c r="L248" s="16" t="s">
        <v>19</v>
      </c>
      <c r="M248" s="16" t="s">
        <v>364</v>
      </c>
      <c r="N248" s="16" t="s">
        <v>16</v>
      </c>
      <c r="O248" s="1"/>
    </row>
    <row r="249" spans="1:15" ht="30">
      <c r="A249" s="1" t="s">
        <v>278</v>
      </c>
      <c r="B249" s="1" t="s">
        <v>27</v>
      </c>
      <c r="C249" s="5">
        <v>45457</v>
      </c>
      <c r="D249" s="16" t="s">
        <v>48</v>
      </c>
      <c r="E249" s="17" t="s">
        <v>360</v>
      </c>
      <c r="F249" s="9">
        <v>4722</v>
      </c>
      <c r="G249" s="9">
        <v>310</v>
      </c>
      <c r="H249" s="9">
        <v>344</v>
      </c>
      <c r="I249" s="9">
        <v>27911</v>
      </c>
      <c r="J249" s="9">
        <v>19000</v>
      </c>
      <c r="K249" s="9">
        <v>225</v>
      </c>
      <c r="L249" s="16" t="s">
        <v>19</v>
      </c>
      <c r="M249" s="16" t="s">
        <v>37</v>
      </c>
      <c r="N249" s="16" t="s">
        <v>49</v>
      </c>
      <c r="O249" s="1"/>
    </row>
    <row r="250" spans="1:15">
      <c r="A250" s="1" t="s">
        <v>279</v>
      </c>
      <c r="B250" s="1" t="s">
        <v>13</v>
      </c>
      <c r="C250" s="5">
        <v>45357</v>
      </c>
      <c r="D250" s="16" t="s">
        <v>14</v>
      </c>
      <c r="E250" s="17" t="s">
        <v>362</v>
      </c>
      <c r="F250" s="9">
        <v>3529</v>
      </c>
      <c r="G250" s="9">
        <v>263</v>
      </c>
      <c r="H250" s="9">
        <v>107</v>
      </c>
      <c r="I250" s="9">
        <v>26570</v>
      </c>
      <c r="J250" s="9">
        <v>19367</v>
      </c>
      <c r="K250" s="9">
        <v>96</v>
      </c>
      <c r="L250" s="16" t="s">
        <v>19</v>
      </c>
      <c r="M250" s="16"/>
      <c r="N250" s="16" t="s">
        <v>20</v>
      </c>
      <c r="O250" s="1"/>
    </row>
    <row r="251" spans="1:15">
      <c r="A251" s="1" t="s">
        <v>280</v>
      </c>
      <c r="B251" s="1" t="s">
        <v>22</v>
      </c>
      <c r="C251" s="5">
        <v>45792</v>
      </c>
      <c r="D251" s="16" t="s">
        <v>14</v>
      </c>
      <c r="E251" s="17" t="s">
        <v>42</v>
      </c>
      <c r="F251" s="9">
        <v>4782</v>
      </c>
      <c r="G251" s="9">
        <v>210</v>
      </c>
      <c r="H251" s="9">
        <v>311</v>
      </c>
      <c r="I251" s="9">
        <v>29793</v>
      </c>
      <c r="J251" s="9">
        <v>37543</v>
      </c>
      <c r="K251" s="9">
        <v>145</v>
      </c>
      <c r="L251" s="16" t="s">
        <v>34</v>
      </c>
      <c r="M251" s="16"/>
      <c r="N251" s="16" t="s">
        <v>16</v>
      </c>
      <c r="O251" s="1"/>
    </row>
    <row r="252" spans="1:15">
      <c r="A252" s="1" t="s">
        <v>281</v>
      </c>
      <c r="B252" s="1" t="s">
        <v>22</v>
      </c>
      <c r="C252" s="5">
        <v>45480</v>
      </c>
      <c r="D252" s="16" t="s">
        <v>14</v>
      </c>
      <c r="E252" s="17" t="s">
        <v>362</v>
      </c>
      <c r="F252" s="9">
        <v>1848</v>
      </c>
      <c r="G252" s="9">
        <v>417</v>
      </c>
      <c r="H252" s="9">
        <v>294</v>
      </c>
      <c r="I252" s="9">
        <v>57819</v>
      </c>
      <c r="J252" s="9">
        <v>19798</v>
      </c>
      <c r="K252" s="9">
        <v>262</v>
      </c>
      <c r="L252" s="16" t="s">
        <v>37</v>
      </c>
      <c r="M252" s="16"/>
      <c r="N252" s="16" t="s">
        <v>20</v>
      </c>
      <c r="O252" s="1"/>
    </row>
    <row r="253" spans="1:15">
      <c r="A253" s="1" t="s">
        <v>282</v>
      </c>
      <c r="B253" s="1" t="s">
        <v>27</v>
      </c>
      <c r="C253" s="5">
        <v>45591</v>
      </c>
      <c r="D253" s="16" t="s">
        <v>14</v>
      </c>
      <c r="E253" s="17" t="s">
        <v>24</v>
      </c>
      <c r="F253" s="9">
        <v>4676</v>
      </c>
      <c r="G253" s="9">
        <v>211</v>
      </c>
      <c r="H253" s="9">
        <v>55</v>
      </c>
      <c r="I253" s="9">
        <v>45917</v>
      </c>
      <c r="J253" s="9">
        <v>73503</v>
      </c>
      <c r="K253" s="9">
        <v>248</v>
      </c>
      <c r="L253" s="16" t="s">
        <v>19</v>
      </c>
      <c r="M253" s="16" t="s">
        <v>365</v>
      </c>
      <c r="N253" s="16" t="s">
        <v>20</v>
      </c>
      <c r="O253" s="1"/>
    </row>
    <row r="254" spans="1:15">
      <c r="A254" s="1" t="s">
        <v>283</v>
      </c>
      <c r="B254" s="1" t="s">
        <v>27</v>
      </c>
      <c r="C254" s="5">
        <v>45512</v>
      </c>
      <c r="D254" s="16" t="s">
        <v>14</v>
      </c>
      <c r="E254" s="17" t="s">
        <v>363</v>
      </c>
      <c r="F254" s="9">
        <v>1994</v>
      </c>
      <c r="G254" s="9">
        <v>197</v>
      </c>
      <c r="H254" s="9">
        <v>290</v>
      </c>
      <c r="I254" s="9">
        <v>49500</v>
      </c>
      <c r="J254" s="9">
        <v>23343</v>
      </c>
      <c r="K254" s="9">
        <v>160</v>
      </c>
      <c r="L254" s="16" t="s">
        <v>19</v>
      </c>
      <c r="M254" s="16" t="s">
        <v>365</v>
      </c>
      <c r="N254" s="16" t="s">
        <v>20</v>
      </c>
      <c r="O254" s="1"/>
    </row>
    <row r="255" spans="1:15">
      <c r="A255" s="1" t="s">
        <v>284</v>
      </c>
      <c r="B255" s="1" t="s">
        <v>22</v>
      </c>
      <c r="C255" s="5">
        <v>45691</v>
      </c>
      <c r="D255" s="16" t="s">
        <v>14</v>
      </c>
      <c r="E255" s="17" t="s">
        <v>362</v>
      </c>
      <c r="F255" s="9">
        <v>4995</v>
      </c>
      <c r="G255" s="9">
        <v>231</v>
      </c>
      <c r="H255" s="9">
        <v>94</v>
      </c>
      <c r="I255" s="9">
        <v>34431</v>
      </c>
      <c r="J255" s="9">
        <v>32560</v>
      </c>
      <c r="K255" s="9">
        <v>262</v>
      </c>
      <c r="L255" s="16" t="s">
        <v>34</v>
      </c>
      <c r="M255" s="16"/>
      <c r="N255" s="16" t="s">
        <v>16</v>
      </c>
      <c r="O255" s="1"/>
    </row>
    <row r="256" spans="1:15">
      <c r="A256" s="1" t="s">
        <v>285</v>
      </c>
      <c r="B256" s="1" t="s">
        <v>22</v>
      </c>
      <c r="C256" s="5">
        <v>45385</v>
      </c>
      <c r="D256" s="16" t="s">
        <v>23</v>
      </c>
      <c r="E256" s="17" t="s">
        <v>33</v>
      </c>
      <c r="F256" s="9">
        <v>2291</v>
      </c>
      <c r="G256" s="9">
        <v>146</v>
      </c>
      <c r="H256" s="9">
        <v>399</v>
      </c>
      <c r="I256" s="9">
        <v>49319</v>
      </c>
      <c r="J256" s="9">
        <v>28056</v>
      </c>
      <c r="K256" s="9">
        <v>90</v>
      </c>
      <c r="L256" s="16" t="s">
        <v>19</v>
      </c>
      <c r="M256" s="16" t="s">
        <v>364</v>
      </c>
      <c r="N256" s="16" t="s">
        <v>16</v>
      </c>
      <c r="O256" s="1"/>
    </row>
    <row r="257" spans="1:15" ht="30">
      <c r="A257" s="1" t="s">
        <v>286</v>
      </c>
      <c r="B257" s="1" t="s">
        <v>22</v>
      </c>
      <c r="C257" s="5">
        <v>45481</v>
      </c>
      <c r="D257" s="16" t="s">
        <v>23</v>
      </c>
      <c r="E257" s="17" t="s">
        <v>360</v>
      </c>
      <c r="F257" s="9">
        <v>2304</v>
      </c>
      <c r="G257" s="9">
        <v>289</v>
      </c>
      <c r="H257" s="9">
        <v>161</v>
      </c>
      <c r="I257" s="9">
        <v>52645</v>
      </c>
      <c r="J257" s="9">
        <v>66262</v>
      </c>
      <c r="K257" s="9">
        <v>146</v>
      </c>
      <c r="L257" s="16" t="s">
        <v>364</v>
      </c>
      <c r="M257" s="16" t="s">
        <v>34</v>
      </c>
      <c r="N257" s="16" t="s">
        <v>16</v>
      </c>
      <c r="O257" s="1"/>
    </row>
    <row r="258" spans="1:15">
      <c r="A258" s="1" t="s">
        <v>287</v>
      </c>
      <c r="B258" s="1" t="s">
        <v>22</v>
      </c>
      <c r="C258" s="5">
        <v>45451</v>
      </c>
      <c r="D258" s="16" t="s">
        <v>23</v>
      </c>
      <c r="E258" s="17" t="s">
        <v>33</v>
      </c>
      <c r="F258" s="9">
        <v>3413</v>
      </c>
      <c r="G258" s="9">
        <v>326</v>
      </c>
      <c r="H258" s="9">
        <v>86</v>
      </c>
      <c r="I258" s="9">
        <v>44680</v>
      </c>
      <c r="J258" s="9">
        <v>52719</v>
      </c>
      <c r="K258" s="9">
        <v>272</v>
      </c>
      <c r="L258" s="16" t="s">
        <v>19</v>
      </c>
      <c r="M258" s="16" t="s">
        <v>364</v>
      </c>
      <c r="N258" s="16" t="s">
        <v>16</v>
      </c>
      <c r="O258" s="1"/>
    </row>
    <row r="259" spans="1:15">
      <c r="A259" s="1" t="s">
        <v>288</v>
      </c>
      <c r="B259" s="1" t="s">
        <v>27</v>
      </c>
      <c r="C259" s="5">
        <v>45736</v>
      </c>
      <c r="D259" s="16" t="s">
        <v>48</v>
      </c>
      <c r="E259" s="17" t="s">
        <v>363</v>
      </c>
      <c r="F259" s="9">
        <v>1453</v>
      </c>
      <c r="G259" s="9">
        <v>156</v>
      </c>
      <c r="H259" s="9">
        <v>178</v>
      </c>
      <c r="I259" s="9">
        <v>52980</v>
      </c>
      <c r="J259" s="9">
        <v>57180</v>
      </c>
      <c r="K259" s="9">
        <v>286</v>
      </c>
      <c r="L259" s="16" t="s">
        <v>19</v>
      </c>
      <c r="M259" s="16" t="s">
        <v>37</v>
      </c>
      <c r="N259" s="16" t="s">
        <v>49</v>
      </c>
      <c r="O259" s="1"/>
    </row>
    <row r="260" spans="1:15">
      <c r="A260" s="1" t="s">
        <v>289</v>
      </c>
      <c r="B260" s="1" t="s">
        <v>22</v>
      </c>
      <c r="C260" s="5">
        <v>45676</v>
      </c>
      <c r="D260" s="16" t="s">
        <v>23</v>
      </c>
      <c r="E260" s="17" t="s">
        <v>361</v>
      </c>
      <c r="F260" s="9">
        <v>1651</v>
      </c>
      <c r="G260" s="9">
        <v>480</v>
      </c>
      <c r="H260" s="9">
        <v>282</v>
      </c>
      <c r="I260" s="9">
        <v>32140</v>
      </c>
      <c r="J260" s="9">
        <v>70560</v>
      </c>
      <c r="K260" s="9">
        <v>138</v>
      </c>
      <c r="L260" s="16" t="s">
        <v>37</v>
      </c>
      <c r="M260" s="16" t="s">
        <v>34</v>
      </c>
      <c r="N260" s="16" t="s">
        <v>16</v>
      </c>
      <c r="O260" s="1"/>
    </row>
    <row r="261" spans="1:15">
      <c r="A261" s="1" t="s">
        <v>290</v>
      </c>
      <c r="B261" s="1" t="s">
        <v>22</v>
      </c>
      <c r="C261" s="5">
        <v>45662</v>
      </c>
      <c r="D261" s="16" t="s">
        <v>23</v>
      </c>
      <c r="E261" s="17" t="s">
        <v>18</v>
      </c>
      <c r="F261" s="9">
        <v>3341</v>
      </c>
      <c r="G261" s="9">
        <v>154</v>
      </c>
      <c r="H261" s="9">
        <v>123</v>
      </c>
      <c r="I261" s="9">
        <v>43369</v>
      </c>
      <c r="J261" s="9">
        <v>49035</v>
      </c>
      <c r="K261" s="9">
        <v>128</v>
      </c>
      <c r="L261" s="16" t="s">
        <v>364</v>
      </c>
      <c r="M261" s="16" t="s">
        <v>34</v>
      </c>
      <c r="N261" s="16" t="s">
        <v>16</v>
      </c>
      <c r="O261" s="1"/>
    </row>
    <row r="262" spans="1:15">
      <c r="A262" s="1" t="s">
        <v>291</v>
      </c>
      <c r="B262" s="1" t="s">
        <v>22</v>
      </c>
      <c r="C262" s="5">
        <v>45612</v>
      </c>
      <c r="D262" s="16" t="s">
        <v>14</v>
      </c>
      <c r="E262" s="17" t="s">
        <v>363</v>
      </c>
      <c r="F262" s="9">
        <v>2972</v>
      </c>
      <c r="G262" s="9">
        <v>263</v>
      </c>
      <c r="H262" s="9">
        <v>308</v>
      </c>
      <c r="I262" s="9">
        <v>51740</v>
      </c>
      <c r="J262" s="9">
        <v>28214</v>
      </c>
      <c r="K262" s="9">
        <v>190</v>
      </c>
      <c r="L262" s="16" t="s">
        <v>37</v>
      </c>
      <c r="M262" s="16"/>
      <c r="N262" s="16" t="s">
        <v>20</v>
      </c>
      <c r="O262" s="1"/>
    </row>
    <row r="263" spans="1:15">
      <c r="A263" s="1" t="s">
        <v>292</v>
      </c>
      <c r="B263" s="1" t="s">
        <v>22</v>
      </c>
      <c r="C263" s="5">
        <v>45626</v>
      </c>
      <c r="D263" s="16" t="s">
        <v>23</v>
      </c>
      <c r="E263" s="17" t="s">
        <v>18</v>
      </c>
      <c r="F263" s="9">
        <v>4963</v>
      </c>
      <c r="G263" s="9">
        <v>255</v>
      </c>
      <c r="H263" s="9">
        <v>193</v>
      </c>
      <c r="I263" s="9">
        <v>44386</v>
      </c>
      <c r="J263" s="9">
        <v>28415</v>
      </c>
      <c r="K263" s="9">
        <v>174</v>
      </c>
      <c r="L263" s="16" t="s">
        <v>364</v>
      </c>
      <c r="M263" s="16" t="s">
        <v>34</v>
      </c>
      <c r="N263" s="16" t="s">
        <v>16</v>
      </c>
      <c r="O263" s="1"/>
    </row>
    <row r="264" spans="1:15">
      <c r="A264" s="1" t="s">
        <v>293</v>
      </c>
      <c r="B264" s="1" t="s">
        <v>27</v>
      </c>
      <c r="C264" s="5">
        <v>45378</v>
      </c>
      <c r="D264" s="16" t="s">
        <v>14</v>
      </c>
      <c r="E264" s="17" t="s">
        <v>361</v>
      </c>
      <c r="F264" s="9">
        <v>2399</v>
      </c>
      <c r="G264" s="9">
        <v>191</v>
      </c>
      <c r="H264" s="9">
        <v>221</v>
      </c>
      <c r="I264" s="9">
        <v>51603</v>
      </c>
      <c r="J264" s="9">
        <v>40033</v>
      </c>
      <c r="K264" s="9">
        <v>173</v>
      </c>
      <c r="L264" s="16" t="s">
        <v>19</v>
      </c>
      <c r="M264" s="16" t="s">
        <v>365</v>
      </c>
      <c r="N264" s="16" t="s">
        <v>20</v>
      </c>
      <c r="O264" s="1"/>
    </row>
    <row r="265" spans="1:15">
      <c r="A265" s="1" t="s">
        <v>294</v>
      </c>
      <c r="B265" s="1" t="s">
        <v>27</v>
      </c>
      <c r="C265" s="5">
        <v>45808</v>
      </c>
      <c r="D265" s="16" t="s">
        <v>48</v>
      </c>
      <c r="E265" s="17" t="s">
        <v>30</v>
      </c>
      <c r="F265" s="9">
        <v>2162</v>
      </c>
      <c r="G265" s="9">
        <v>318</v>
      </c>
      <c r="H265" s="9">
        <v>83</v>
      </c>
      <c r="I265" s="9">
        <v>46719</v>
      </c>
      <c r="J265" s="9">
        <v>20482</v>
      </c>
      <c r="K265" s="9">
        <v>185</v>
      </c>
      <c r="L265" s="16" t="s">
        <v>19</v>
      </c>
      <c r="M265" s="16" t="s">
        <v>37</v>
      </c>
      <c r="N265" s="16" t="s">
        <v>49</v>
      </c>
      <c r="O265" s="1"/>
    </row>
    <row r="266" spans="1:15">
      <c r="A266" s="1" t="s">
        <v>295</v>
      </c>
      <c r="B266" s="1" t="s">
        <v>22</v>
      </c>
      <c r="C266" s="5">
        <v>45825</v>
      </c>
      <c r="D266" s="16" t="s">
        <v>23</v>
      </c>
      <c r="E266" s="17" t="s">
        <v>18</v>
      </c>
      <c r="F266" s="9">
        <v>4341</v>
      </c>
      <c r="G266" s="9">
        <v>141</v>
      </c>
      <c r="H266" s="9">
        <v>63</v>
      </c>
      <c r="I266" s="9">
        <v>50081</v>
      </c>
      <c r="J266" s="9">
        <v>27507</v>
      </c>
      <c r="K266" s="9">
        <v>221</v>
      </c>
      <c r="L266" s="16" t="s">
        <v>19</v>
      </c>
      <c r="M266" s="16" t="s">
        <v>364</v>
      </c>
      <c r="N266" s="16" t="s">
        <v>16</v>
      </c>
      <c r="O266" s="1"/>
    </row>
    <row r="267" spans="1:15">
      <c r="A267" s="1" t="s">
        <v>296</v>
      </c>
      <c r="B267" s="1" t="s">
        <v>13</v>
      </c>
      <c r="C267" s="5">
        <v>45442</v>
      </c>
      <c r="D267" s="16" t="s">
        <v>23</v>
      </c>
      <c r="E267" s="17" t="s">
        <v>30</v>
      </c>
      <c r="F267" s="9">
        <v>2448</v>
      </c>
      <c r="G267" s="9">
        <v>464</v>
      </c>
      <c r="H267" s="9">
        <v>98</v>
      </c>
      <c r="I267" s="9">
        <v>25737</v>
      </c>
      <c r="J267" s="9">
        <v>48545</v>
      </c>
      <c r="K267" s="9">
        <v>246</v>
      </c>
      <c r="L267" s="16" t="s">
        <v>34</v>
      </c>
      <c r="M267" s="16"/>
      <c r="N267" s="16" t="s">
        <v>46</v>
      </c>
      <c r="O267" s="1"/>
    </row>
    <row r="268" spans="1:15">
      <c r="A268" s="1" t="s">
        <v>297</v>
      </c>
      <c r="B268" s="1" t="s">
        <v>27</v>
      </c>
      <c r="C268" s="5">
        <v>45604</v>
      </c>
      <c r="D268" s="16" t="s">
        <v>14</v>
      </c>
      <c r="E268" s="17" t="s">
        <v>33</v>
      </c>
      <c r="F268" s="9">
        <v>2471</v>
      </c>
      <c r="G268" s="9">
        <v>166</v>
      </c>
      <c r="H268" s="9">
        <v>320</v>
      </c>
      <c r="I268" s="9">
        <v>48254</v>
      </c>
      <c r="J268" s="9">
        <v>46900</v>
      </c>
      <c r="K268" s="9">
        <v>111</v>
      </c>
      <c r="L268" s="16" t="s">
        <v>19</v>
      </c>
      <c r="M268" s="16" t="s">
        <v>365</v>
      </c>
      <c r="N268" s="16" t="s">
        <v>20</v>
      </c>
      <c r="O268" s="1"/>
    </row>
    <row r="269" spans="1:15">
      <c r="A269" s="1" t="s">
        <v>298</v>
      </c>
      <c r="B269" s="1" t="s">
        <v>27</v>
      </c>
      <c r="C269" s="5">
        <v>45368</v>
      </c>
      <c r="D269" s="16" t="s">
        <v>48</v>
      </c>
      <c r="E269" s="17" t="s">
        <v>18</v>
      </c>
      <c r="F269" s="9">
        <v>2692</v>
      </c>
      <c r="G269" s="9">
        <v>446</v>
      </c>
      <c r="H269" s="9">
        <v>216</v>
      </c>
      <c r="I269" s="9">
        <v>45818</v>
      </c>
      <c r="J269" s="9">
        <v>62723</v>
      </c>
      <c r="K269" s="9">
        <v>85</v>
      </c>
      <c r="L269" s="16" t="s">
        <v>19</v>
      </c>
      <c r="M269" s="16" t="s">
        <v>37</v>
      </c>
      <c r="N269" s="16" t="s">
        <v>49</v>
      </c>
      <c r="O269" s="1"/>
    </row>
    <row r="270" spans="1:15">
      <c r="A270" s="1" t="s">
        <v>299</v>
      </c>
      <c r="B270" s="1" t="s">
        <v>27</v>
      </c>
      <c r="C270" s="5">
        <v>45464</v>
      </c>
      <c r="D270" s="16" t="s">
        <v>48</v>
      </c>
      <c r="E270" s="17" t="s">
        <v>361</v>
      </c>
      <c r="F270" s="9">
        <v>4621</v>
      </c>
      <c r="G270" s="9">
        <v>374</v>
      </c>
      <c r="H270" s="9">
        <v>298</v>
      </c>
      <c r="I270" s="9">
        <v>56979</v>
      </c>
      <c r="J270" s="9">
        <v>24098</v>
      </c>
      <c r="K270" s="9">
        <v>205</v>
      </c>
      <c r="L270" s="16" t="s">
        <v>19</v>
      </c>
      <c r="M270" s="16" t="s">
        <v>37</v>
      </c>
      <c r="N270" s="16" t="s">
        <v>49</v>
      </c>
      <c r="O270" s="1"/>
    </row>
    <row r="271" spans="1:15">
      <c r="A271" s="1" t="s">
        <v>300</v>
      </c>
      <c r="B271" s="1" t="s">
        <v>22</v>
      </c>
      <c r="C271" s="5">
        <v>45609</v>
      </c>
      <c r="D271" s="16" t="s">
        <v>23</v>
      </c>
      <c r="E271" s="17" t="s">
        <v>24</v>
      </c>
      <c r="F271" s="9">
        <v>1409</v>
      </c>
      <c r="G271" s="9">
        <v>466</v>
      </c>
      <c r="H271" s="9">
        <v>105</v>
      </c>
      <c r="I271" s="9">
        <v>58923</v>
      </c>
      <c r="J271" s="9">
        <v>38753</v>
      </c>
      <c r="K271" s="9">
        <v>265</v>
      </c>
      <c r="L271" s="16" t="s">
        <v>19</v>
      </c>
      <c r="M271" s="16" t="s">
        <v>364</v>
      </c>
      <c r="N271" s="16" t="s">
        <v>16</v>
      </c>
      <c r="O271" s="1"/>
    </row>
    <row r="272" spans="1:15">
      <c r="A272" s="1" t="s">
        <v>301</v>
      </c>
      <c r="B272" s="1" t="s">
        <v>22</v>
      </c>
      <c r="C272" s="5">
        <v>45693</v>
      </c>
      <c r="D272" s="16" t="s">
        <v>23</v>
      </c>
      <c r="E272" s="17" t="s">
        <v>15</v>
      </c>
      <c r="F272" s="9">
        <v>3029</v>
      </c>
      <c r="G272" s="9">
        <v>440</v>
      </c>
      <c r="H272" s="9">
        <v>66</v>
      </c>
      <c r="I272" s="9">
        <v>23815</v>
      </c>
      <c r="J272" s="9">
        <v>47895</v>
      </c>
      <c r="K272" s="9">
        <v>210</v>
      </c>
      <c r="L272" s="16" t="s">
        <v>19</v>
      </c>
      <c r="M272" s="16" t="s">
        <v>364</v>
      </c>
      <c r="N272" s="16" t="s">
        <v>16</v>
      </c>
      <c r="O272" s="1"/>
    </row>
    <row r="273" spans="1:15">
      <c r="A273" s="1" t="s">
        <v>302</v>
      </c>
      <c r="B273" s="1" t="s">
        <v>22</v>
      </c>
      <c r="C273" s="5">
        <v>45603</v>
      </c>
      <c r="D273" s="16" t="s">
        <v>14</v>
      </c>
      <c r="E273" s="17" t="s">
        <v>18</v>
      </c>
      <c r="F273" s="9">
        <v>2229</v>
      </c>
      <c r="G273" s="9">
        <v>395</v>
      </c>
      <c r="H273" s="9">
        <v>328</v>
      </c>
      <c r="I273" s="9">
        <v>56921</v>
      </c>
      <c r="J273" s="9">
        <v>37176</v>
      </c>
      <c r="K273" s="9">
        <v>126</v>
      </c>
      <c r="L273" s="16" t="s">
        <v>37</v>
      </c>
      <c r="M273" s="16"/>
      <c r="N273" s="16" t="s">
        <v>20</v>
      </c>
      <c r="O273" s="1"/>
    </row>
    <row r="274" spans="1:15">
      <c r="A274" s="1" t="s">
        <v>303</v>
      </c>
      <c r="B274" s="1" t="s">
        <v>22</v>
      </c>
      <c r="C274" s="5">
        <v>45334</v>
      </c>
      <c r="D274" s="16" t="s">
        <v>14</v>
      </c>
      <c r="E274" s="17" t="s">
        <v>18</v>
      </c>
      <c r="F274" s="9">
        <v>2691</v>
      </c>
      <c r="G274" s="9">
        <v>486</v>
      </c>
      <c r="H274" s="9">
        <v>206</v>
      </c>
      <c r="I274" s="9">
        <v>51133</v>
      </c>
      <c r="J274" s="9">
        <v>44583</v>
      </c>
      <c r="K274" s="9">
        <v>276</v>
      </c>
      <c r="L274" s="16" t="s">
        <v>34</v>
      </c>
      <c r="M274" s="16"/>
      <c r="N274" s="16" t="s">
        <v>16</v>
      </c>
      <c r="O274" s="1"/>
    </row>
    <row r="275" spans="1:15">
      <c r="A275" s="1" t="s">
        <v>304</v>
      </c>
      <c r="B275" s="1" t="s">
        <v>13</v>
      </c>
      <c r="C275" s="5">
        <v>45573</v>
      </c>
      <c r="D275" s="16" t="s">
        <v>14</v>
      </c>
      <c r="E275" s="17" t="s">
        <v>18</v>
      </c>
      <c r="F275" s="9">
        <v>2110</v>
      </c>
      <c r="G275" s="9">
        <v>384</v>
      </c>
      <c r="H275" s="9">
        <v>236</v>
      </c>
      <c r="I275" s="9">
        <v>49965</v>
      </c>
      <c r="J275" s="9">
        <v>61555</v>
      </c>
      <c r="K275" s="9">
        <v>195</v>
      </c>
      <c r="L275" s="16" t="s">
        <v>19</v>
      </c>
      <c r="M275" s="16"/>
      <c r="N275" s="16" t="s">
        <v>20</v>
      </c>
      <c r="O275" s="1"/>
    </row>
    <row r="276" spans="1:15" ht="30">
      <c r="A276" s="1" t="s">
        <v>305</v>
      </c>
      <c r="B276" s="1" t="s">
        <v>13</v>
      </c>
      <c r="C276" s="5">
        <v>45341</v>
      </c>
      <c r="D276" s="16" t="s">
        <v>14</v>
      </c>
      <c r="E276" s="17" t="s">
        <v>360</v>
      </c>
      <c r="F276" s="9">
        <v>4752</v>
      </c>
      <c r="G276" s="9">
        <v>449</v>
      </c>
      <c r="H276" s="9">
        <v>309</v>
      </c>
      <c r="I276" s="9">
        <v>58530</v>
      </c>
      <c r="J276" s="9">
        <v>26630</v>
      </c>
      <c r="K276" s="9">
        <v>234</v>
      </c>
      <c r="L276" s="16" t="s">
        <v>19</v>
      </c>
      <c r="M276" s="16"/>
      <c r="N276" s="16" t="s">
        <v>20</v>
      </c>
      <c r="O276" s="1"/>
    </row>
    <row r="277" spans="1:15">
      <c r="A277" s="1" t="s">
        <v>306</v>
      </c>
      <c r="B277" s="1" t="s">
        <v>22</v>
      </c>
      <c r="C277" s="5">
        <v>45720</v>
      </c>
      <c r="D277" s="16" t="s">
        <v>14</v>
      </c>
      <c r="E277" s="17" t="s">
        <v>15</v>
      </c>
      <c r="F277" s="9">
        <v>2177</v>
      </c>
      <c r="G277" s="9">
        <v>258</v>
      </c>
      <c r="H277" s="9">
        <v>292</v>
      </c>
      <c r="I277" s="9">
        <v>47276</v>
      </c>
      <c r="J277" s="9">
        <v>51324</v>
      </c>
      <c r="K277" s="9">
        <v>143</v>
      </c>
      <c r="L277" s="16" t="s">
        <v>34</v>
      </c>
      <c r="M277" s="16"/>
      <c r="N277" s="16" t="s">
        <v>16</v>
      </c>
      <c r="O277" s="1"/>
    </row>
    <row r="278" spans="1:15">
      <c r="A278" s="1" t="s">
        <v>307</v>
      </c>
      <c r="B278" s="1" t="s">
        <v>13</v>
      </c>
      <c r="C278" s="5">
        <v>45691</v>
      </c>
      <c r="D278" s="16" t="s">
        <v>23</v>
      </c>
      <c r="E278" s="17" t="s">
        <v>24</v>
      </c>
      <c r="F278" s="9">
        <v>1205</v>
      </c>
      <c r="G278" s="9">
        <v>486</v>
      </c>
      <c r="H278" s="9">
        <v>269</v>
      </c>
      <c r="I278" s="9">
        <v>23341</v>
      </c>
      <c r="J278" s="9">
        <v>42411</v>
      </c>
      <c r="K278" s="9">
        <v>184</v>
      </c>
      <c r="L278" s="16" t="s">
        <v>34</v>
      </c>
      <c r="M278" s="16"/>
      <c r="N278" s="16" t="s">
        <v>46</v>
      </c>
      <c r="O278" s="1"/>
    </row>
    <row r="279" spans="1:15">
      <c r="A279" s="1" t="s">
        <v>308</v>
      </c>
      <c r="B279" s="1" t="s">
        <v>13</v>
      </c>
      <c r="C279" s="5">
        <v>45628</v>
      </c>
      <c r="D279" s="16" t="s">
        <v>14</v>
      </c>
      <c r="E279" s="17" t="s">
        <v>33</v>
      </c>
      <c r="F279" s="9">
        <v>3194</v>
      </c>
      <c r="G279" s="9">
        <v>292</v>
      </c>
      <c r="H279" s="9">
        <v>245</v>
      </c>
      <c r="I279" s="9">
        <v>56371</v>
      </c>
      <c r="J279" s="9">
        <v>65597</v>
      </c>
      <c r="K279" s="9">
        <v>163</v>
      </c>
      <c r="L279" s="16" t="s">
        <v>37</v>
      </c>
      <c r="M279" s="16" t="s">
        <v>34</v>
      </c>
      <c r="N279" s="16" t="s">
        <v>16</v>
      </c>
      <c r="O279" s="1"/>
    </row>
    <row r="280" spans="1:15">
      <c r="A280" s="1" t="s">
        <v>309</v>
      </c>
      <c r="B280" s="1" t="s">
        <v>22</v>
      </c>
      <c r="C280" s="5">
        <v>45676</v>
      </c>
      <c r="D280" s="16" t="s">
        <v>23</v>
      </c>
      <c r="E280" s="17" t="s">
        <v>24</v>
      </c>
      <c r="F280" s="9">
        <v>3507</v>
      </c>
      <c r="G280" s="9">
        <v>295</v>
      </c>
      <c r="H280" s="9">
        <v>371</v>
      </c>
      <c r="I280" s="9">
        <v>20410</v>
      </c>
      <c r="J280" s="9">
        <v>53965</v>
      </c>
      <c r="K280" s="9">
        <v>212</v>
      </c>
      <c r="L280" s="16" t="s">
        <v>37</v>
      </c>
      <c r="M280" s="16" t="s">
        <v>34</v>
      </c>
      <c r="N280" s="16" t="s">
        <v>16</v>
      </c>
      <c r="O280" s="1"/>
    </row>
    <row r="281" spans="1:15" ht="30">
      <c r="A281" s="1" t="s">
        <v>310</v>
      </c>
      <c r="B281" s="1" t="s">
        <v>22</v>
      </c>
      <c r="C281" s="5">
        <v>45563</v>
      </c>
      <c r="D281" s="16" t="s">
        <v>23</v>
      </c>
      <c r="E281" s="17" t="s">
        <v>360</v>
      </c>
      <c r="F281" s="9">
        <v>4471</v>
      </c>
      <c r="G281" s="9">
        <v>317</v>
      </c>
      <c r="H281" s="9">
        <v>249</v>
      </c>
      <c r="I281" s="9">
        <v>44862</v>
      </c>
      <c r="J281" s="9">
        <v>33365</v>
      </c>
      <c r="K281" s="9">
        <v>184</v>
      </c>
      <c r="L281" s="16" t="s">
        <v>19</v>
      </c>
      <c r="M281" s="16" t="s">
        <v>364</v>
      </c>
      <c r="N281" s="16" t="s">
        <v>16</v>
      </c>
      <c r="O281" s="1"/>
    </row>
    <row r="282" spans="1:15">
      <c r="A282" s="1" t="s">
        <v>311</v>
      </c>
      <c r="B282" s="1" t="s">
        <v>13</v>
      </c>
      <c r="C282" s="5">
        <v>45298</v>
      </c>
      <c r="D282" s="16" t="s">
        <v>14</v>
      </c>
      <c r="E282" s="17" t="s">
        <v>33</v>
      </c>
      <c r="F282" s="9">
        <v>4931</v>
      </c>
      <c r="G282" s="9">
        <v>469</v>
      </c>
      <c r="H282" s="9">
        <v>193</v>
      </c>
      <c r="I282" s="9">
        <v>56701</v>
      </c>
      <c r="J282" s="9">
        <v>69437</v>
      </c>
      <c r="K282" s="9">
        <v>291</v>
      </c>
      <c r="L282" s="16" t="s">
        <v>37</v>
      </c>
      <c r="M282" s="16" t="s">
        <v>34</v>
      </c>
      <c r="N282" s="16" t="s">
        <v>16</v>
      </c>
      <c r="O282" s="1"/>
    </row>
    <row r="283" spans="1:15">
      <c r="A283" s="1" t="s">
        <v>312</v>
      </c>
      <c r="B283" s="1" t="s">
        <v>22</v>
      </c>
      <c r="C283" s="5">
        <v>45343</v>
      </c>
      <c r="D283" s="16" t="s">
        <v>23</v>
      </c>
      <c r="E283" s="17" t="s">
        <v>30</v>
      </c>
      <c r="F283" s="9">
        <v>2604</v>
      </c>
      <c r="G283" s="9">
        <v>439</v>
      </c>
      <c r="H283" s="9">
        <v>148</v>
      </c>
      <c r="I283" s="9">
        <v>58468</v>
      </c>
      <c r="J283" s="9">
        <v>39629</v>
      </c>
      <c r="K283" s="9">
        <v>163</v>
      </c>
      <c r="L283" s="16" t="s">
        <v>364</v>
      </c>
      <c r="M283" s="16" t="s">
        <v>34</v>
      </c>
      <c r="N283" s="16" t="s">
        <v>16</v>
      </c>
      <c r="O283" s="1"/>
    </row>
    <row r="284" spans="1:15">
      <c r="A284" s="1" t="s">
        <v>313</v>
      </c>
      <c r="B284" s="1" t="s">
        <v>13</v>
      </c>
      <c r="C284" s="5">
        <v>45531</v>
      </c>
      <c r="D284" s="16" t="s">
        <v>14</v>
      </c>
      <c r="E284" s="17" t="s">
        <v>361</v>
      </c>
      <c r="F284" s="9">
        <v>4197</v>
      </c>
      <c r="G284" s="9">
        <v>359</v>
      </c>
      <c r="H284" s="9">
        <v>280</v>
      </c>
      <c r="I284" s="9">
        <v>56048</v>
      </c>
      <c r="J284" s="9">
        <v>70930</v>
      </c>
      <c r="K284" s="9">
        <v>295</v>
      </c>
      <c r="L284" s="16" t="s">
        <v>19</v>
      </c>
      <c r="M284" s="16"/>
      <c r="N284" s="16" t="s">
        <v>20</v>
      </c>
      <c r="O284" s="1"/>
    </row>
    <row r="285" spans="1:15">
      <c r="A285" s="1" t="s">
        <v>314</v>
      </c>
      <c r="B285" s="1" t="s">
        <v>13</v>
      </c>
      <c r="C285" s="5">
        <v>45589</v>
      </c>
      <c r="D285" s="16" t="s">
        <v>23</v>
      </c>
      <c r="E285" s="17" t="s">
        <v>33</v>
      </c>
      <c r="F285" s="9">
        <v>1914</v>
      </c>
      <c r="G285" s="9">
        <v>255</v>
      </c>
      <c r="H285" s="9">
        <v>156</v>
      </c>
      <c r="I285" s="9">
        <v>27660</v>
      </c>
      <c r="J285" s="9">
        <v>47776</v>
      </c>
      <c r="K285" s="9">
        <v>111</v>
      </c>
      <c r="L285" s="16" t="s">
        <v>34</v>
      </c>
      <c r="M285" s="16"/>
      <c r="N285" s="16" t="s">
        <v>46</v>
      </c>
      <c r="O285" s="1"/>
    </row>
    <row r="286" spans="1:15">
      <c r="A286" s="1" t="s">
        <v>315</v>
      </c>
      <c r="B286" s="1" t="s">
        <v>27</v>
      </c>
      <c r="C286" s="5">
        <v>45686</v>
      </c>
      <c r="D286" s="16" t="s">
        <v>14</v>
      </c>
      <c r="E286" s="17" t="s">
        <v>24</v>
      </c>
      <c r="F286" s="9">
        <v>1334</v>
      </c>
      <c r="G286" s="9">
        <v>357</v>
      </c>
      <c r="H286" s="9">
        <v>257</v>
      </c>
      <c r="I286" s="9">
        <v>56910</v>
      </c>
      <c r="J286" s="9">
        <v>70606</v>
      </c>
      <c r="K286" s="9">
        <v>228</v>
      </c>
      <c r="L286" s="16" t="s">
        <v>19</v>
      </c>
      <c r="M286" s="16" t="s">
        <v>365</v>
      </c>
      <c r="N286" s="16" t="s">
        <v>20</v>
      </c>
      <c r="O286" s="1"/>
    </row>
    <row r="287" spans="1:15">
      <c r="A287" s="1" t="s">
        <v>316</v>
      </c>
      <c r="B287" s="1" t="s">
        <v>13</v>
      </c>
      <c r="C287" s="5">
        <v>45413</v>
      </c>
      <c r="D287" s="16" t="s">
        <v>14</v>
      </c>
      <c r="E287" s="17" t="s">
        <v>30</v>
      </c>
      <c r="F287" s="9">
        <v>3359</v>
      </c>
      <c r="G287" s="9">
        <v>137</v>
      </c>
      <c r="H287" s="9">
        <v>387</v>
      </c>
      <c r="I287" s="9">
        <v>33861</v>
      </c>
      <c r="J287" s="9">
        <v>47257</v>
      </c>
      <c r="K287" s="9">
        <v>198</v>
      </c>
      <c r="L287" s="16" t="s">
        <v>19</v>
      </c>
      <c r="M287" s="16"/>
      <c r="N287" s="16" t="s">
        <v>20</v>
      </c>
      <c r="O287" s="1"/>
    </row>
    <row r="288" spans="1:15">
      <c r="A288" s="1" t="s">
        <v>317</v>
      </c>
      <c r="B288" s="1" t="s">
        <v>27</v>
      </c>
      <c r="C288" s="5">
        <v>45468</v>
      </c>
      <c r="D288" s="16" t="s">
        <v>14</v>
      </c>
      <c r="E288" s="17" t="s">
        <v>42</v>
      </c>
      <c r="F288" s="9">
        <v>2172</v>
      </c>
      <c r="G288" s="9">
        <v>338</v>
      </c>
      <c r="H288" s="9">
        <v>70</v>
      </c>
      <c r="I288" s="9">
        <v>30515</v>
      </c>
      <c r="J288" s="9">
        <v>57853</v>
      </c>
      <c r="K288" s="9">
        <v>156</v>
      </c>
      <c r="L288" s="16" t="s">
        <v>19</v>
      </c>
      <c r="M288" s="16" t="s">
        <v>365</v>
      </c>
      <c r="N288" s="16" t="s">
        <v>20</v>
      </c>
      <c r="O288" s="1"/>
    </row>
    <row r="289" spans="1:15">
      <c r="A289" s="1" t="s">
        <v>318</v>
      </c>
      <c r="B289" s="1" t="s">
        <v>22</v>
      </c>
      <c r="C289" s="5">
        <v>45513</v>
      </c>
      <c r="D289" s="16" t="s">
        <v>23</v>
      </c>
      <c r="E289" s="17" t="s">
        <v>363</v>
      </c>
      <c r="F289" s="9">
        <v>4877</v>
      </c>
      <c r="G289" s="9">
        <v>442</v>
      </c>
      <c r="H289" s="9">
        <v>236</v>
      </c>
      <c r="I289" s="9">
        <v>52673</v>
      </c>
      <c r="J289" s="9">
        <v>48241</v>
      </c>
      <c r="K289" s="9">
        <v>114</v>
      </c>
      <c r="L289" s="16" t="s">
        <v>19</v>
      </c>
      <c r="M289" s="16" t="s">
        <v>364</v>
      </c>
      <c r="N289" s="16" t="s">
        <v>16</v>
      </c>
      <c r="O289" s="1"/>
    </row>
    <row r="290" spans="1:15">
      <c r="A290" s="1" t="s">
        <v>319</v>
      </c>
      <c r="B290" s="1" t="s">
        <v>13</v>
      </c>
      <c r="C290" s="5">
        <v>45678</v>
      </c>
      <c r="D290" s="16" t="s">
        <v>23</v>
      </c>
      <c r="E290" s="17" t="s">
        <v>24</v>
      </c>
      <c r="F290" s="9">
        <v>4918</v>
      </c>
      <c r="G290" s="9">
        <v>440</v>
      </c>
      <c r="H290" s="9">
        <v>149</v>
      </c>
      <c r="I290" s="9">
        <v>53269</v>
      </c>
      <c r="J290" s="9">
        <v>64370</v>
      </c>
      <c r="K290" s="9">
        <v>269</v>
      </c>
      <c r="L290" s="16" t="s">
        <v>34</v>
      </c>
      <c r="M290" s="16"/>
      <c r="N290" s="16" t="s">
        <v>46</v>
      </c>
      <c r="O290" s="1"/>
    </row>
    <row r="291" spans="1:15">
      <c r="A291" s="1" t="s">
        <v>320</v>
      </c>
      <c r="B291" s="1" t="s">
        <v>22</v>
      </c>
      <c r="C291" s="5">
        <v>45517</v>
      </c>
      <c r="D291" s="16" t="s">
        <v>14</v>
      </c>
      <c r="E291" s="17" t="s">
        <v>18</v>
      </c>
      <c r="F291" s="9">
        <v>3418</v>
      </c>
      <c r="G291" s="9">
        <v>107</v>
      </c>
      <c r="H291" s="9">
        <v>221</v>
      </c>
      <c r="I291" s="9">
        <v>23927</v>
      </c>
      <c r="J291" s="9">
        <v>26182</v>
      </c>
      <c r="K291" s="9">
        <v>155</v>
      </c>
      <c r="L291" s="16" t="s">
        <v>37</v>
      </c>
      <c r="M291" s="16"/>
      <c r="N291" s="16" t="s">
        <v>20</v>
      </c>
      <c r="O291" s="1"/>
    </row>
    <row r="292" spans="1:15">
      <c r="A292" s="1" t="s">
        <v>321</v>
      </c>
      <c r="B292" s="1" t="s">
        <v>13</v>
      </c>
      <c r="C292" s="5">
        <v>45472</v>
      </c>
      <c r="D292" s="16" t="s">
        <v>14</v>
      </c>
      <c r="E292" s="17" t="s">
        <v>42</v>
      </c>
      <c r="F292" s="9">
        <v>2088</v>
      </c>
      <c r="G292" s="9">
        <v>490</v>
      </c>
      <c r="H292" s="9">
        <v>124</v>
      </c>
      <c r="I292" s="9">
        <v>46544</v>
      </c>
      <c r="J292" s="9">
        <v>69346</v>
      </c>
      <c r="K292" s="9">
        <v>178</v>
      </c>
      <c r="L292" s="16" t="s">
        <v>37</v>
      </c>
      <c r="M292" s="16" t="s">
        <v>34</v>
      </c>
      <c r="N292" s="16" t="s">
        <v>16</v>
      </c>
      <c r="O292" s="1"/>
    </row>
    <row r="293" spans="1:15">
      <c r="A293" s="1" t="s">
        <v>322</v>
      </c>
      <c r="B293" s="1" t="s">
        <v>22</v>
      </c>
      <c r="C293" s="5">
        <v>45599</v>
      </c>
      <c r="D293" s="16" t="s">
        <v>23</v>
      </c>
      <c r="E293" s="17" t="s">
        <v>18</v>
      </c>
      <c r="F293" s="9">
        <v>3061</v>
      </c>
      <c r="G293" s="9">
        <v>320</v>
      </c>
      <c r="H293" s="9">
        <v>76</v>
      </c>
      <c r="I293" s="9">
        <v>26640</v>
      </c>
      <c r="J293" s="9">
        <v>24306</v>
      </c>
      <c r="K293" s="9">
        <v>112</v>
      </c>
      <c r="L293" s="16" t="s">
        <v>364</v>
      </c>
      <c r="M293" s="16" t="s">
        <v>34</v>
      </c>
      <c r="N293" s="16" t="s">
        <v>16</v>
      </c>
      <c r="O293" s="1"/>
    </row>
    <row r="294" spans="1:15">
      <c r="A294" s="1" t="s">
        <v>323</v>
      </c>
      <c r="B294" s="1" t="s">
        <v>27</v>
      </c>
      <c r="C294" s="5">
        <v>45765</v>
      </c>
      <c r="D294" s="16" t="s">
        <v>48</v>
      </c>
      <c r="E294" s="17" t="s">
        <v>42</v>
      </c>
      <c r="F294" s="9">
        <v>1265</v>
      </c>
      <c r="G294" s="9">
        <v>230</v>
      </c>
      <c r="H294" s="9">
        <v>364</v>
      </c>
      <c r="I294" s="9">
        <v>41312</v>
      </c>
      <c r="J294" s="9">
        <v>50382</v>
      </c>
      <c r="K294" s="9">
        <v>106</v>
      </c>
      <c r="L294" s="16" t="s">
        <v>19</v>
      </c>
      <c r="M294" s="16" t="s">
        <v>37</v>
      </c>
      <c r="N294" s="16" t="s">
        <v>49</v>
      </c>
      <c r="O294" s="1"/>
    </row>
    <row r="295" spans="1:15">
      <c r="A295" s="1" t="s">
        <v>324</v>
      </c>
      <c r="B295" s="1" t="s">
        <v>13</v>
      </c>
      <c r="C295" s="5">
        <v>45653</v>
      </c>
      <c r="D295" s="16" t="s">
        <v>14</v>
      </c>
      <c r="E295" s="17" t="s">
        <v>363</v>
      </c>
      <c r="F295" s="9">
        <v>1436</v>
      </c>
      <c r="G295" s="9">
        <v>219</v>
      </c>
      <c r="H295" s="9">
        <v>229</v>
      </c>
      <c r="I295" s="9">
        <v>58488</v>
      </c>
      <c r="J295" s="9">
        <v>24314</v>
      </c>
      <c r="K295" s="9">
        <v>147</v>
      </c>
      <c r="L295" s="16" t="s">
        <v>19</v>
      </c>
      <c r="M295" s="16"/>
      <c r="N295" s="16" t="s">
        <v>20</v>
      </c>
      <c r="O295" s="1"/>
    </row>
    <row r="296" spans="1:15">
      <c r="A296" s="1" t="s">
        <v>325</v>
      </c>
      <c r="B296" s="1" t="s">
        <v>13</v>
      </c>
      <c r="C296" s="5">
        <v>45724</v>
      </c>
      <c r="D296" s="16" t="s">
        <v>23</v>
      </c>
      <c r="E296" s="17" t="s">
        <v>33</v>
      </c>
      <c r="F296" s="9">
        <v>2244</v>
      </c>
      <c r="G296" s="9">
        <v>392</v>
      </c>
      <c r="H296" s="9">
        <v>231</v>
      </c>
      <c r="I296" s="9">
        <v>25834</v>
      </c>
      <c r="J296" s="9">
        <v>50906</v>
      </c>
      <c r="K296" s="9">
        <v>165</v>
      </c>
      <c r="L296" s="16" t="s">
        <v>34</v>
      </c>
      <c r="M296" s="16"/>
      <c r="N296" s="16" t="s">
        <v>46</v>
      </c>
      <c r="O296" s="1"/>
    </row>
    <row r="297" spans="1:15">
      <c r="A297" s="1" t="s">
        <v>326</v>
      </c>
      <c r="B297" s="1" t="s">
        <v>22</v>
      </c>
      <c r="C297" s="5">
        <v>45736</v>
      </c>
      <c r="D297" s="16" t="s">
        <v>23</v>
      </c>
      <c r="E297" s="17" t="s">
        <v>42</v>
      </c>
      <c r="F297" s="9">
        <v>3393</v>
      </c>
      <c r="G297" s="9">
        <v>104</v>
      </c>
      <c r="H297" s="9">
        <v>79</v>
      </c>
      <c r="I297" s="9">
        <v>30025</v>
      </c>
      <c r="J297" s="9">
        <v>21593</v>
      </c>
      <c r="K297" s="9">
        <v>165</v>
      </c>
      <c r="L297" s="16" t="s">
        <v>364</v>
      </c>
      <c r="M297" s="16" t="s">
        <v>34</v>
      </c>
      <c r="N297" s="16" t="s">
        <v>16</v>
      </c>
      <c r="O297" s="1"/>
    </row>
    <row r="298" spans="1:15">
      <c r="A298" s="1" t="s">
        <v>327</v>
      </c>
      <c r="B298" s="1" t="s">
        <v>22</v>
      </c>
      <c r="C298" s="5">
        <v>45612</v>
      </c>
      <c r="D298" s="16" t="s">
        <v>14</v>
      </c>
      <c r="E298" s="17" t="s">
        <v>18</v>
      </c>
      <c r="F298" s="9">
        <v>2901</v>
      </c>
      <c r="G298" s="9">
        <v>108</v>
      </c>
      <c r="H298" s="9">
        <v>86</v>
      </c>
      <c r="I298" s="9">
        <v>51777</v>
      </c>
      <c r="J298" s="9">
        <v>23773</v>
      </c>
      <c r="K298" s="9">
        <v>160</v>
      </c>
      <c r="L298" s="16" t="s">
        <v>37</v>
      </c>
      <c r="M298" s="16"/>
      <c r="N298" s="16" t="s">
        <v>20</v>
      </c>
      <c r="O298" s="1"/>
    </row>
    <row r="299" spans="1:15">
      <c r="A299" s="1" t="s">
        <v>328</v>
      </c>
      <c r="B299" s="1" t="s">
        <v>22</v>
      </c>
      <c r="C299" s="5">
        <v>45838</v>
      </c>
      <c r="D299" s="16" t="s">
        <v>14</v>
      </c>
      <c r="E299" s="17" t="s">
        <v>362</v>
      </c>
      <c r="F299" s="9">
        <v>2275</v>
      </c>
      <c r="G299" s="9">
        <v>285</v>
      </c>
      <c r="H299" s="9">
        <v>125</v>
      </c>
      <c r="I299" s="9">
        <v>43970</v>
      </c>
      <c r="J299" s="9">
        <v>74761</v>
      </c>
      <c r="K299" s="9">
        <v>83</v>
      </c>
      <c r="L299" s="16" t="s">
        <v>34</v>
      </c>
      <c r="M299" s="16"/>
      <c r="N299" s="16" t="s">
        <v>16</v>
      </c>
      <c r="O299" s="1"/>
    </row>
    <row r="300" spans="1:15" ht="30">
      <c r="A300" s="1" t="s">
        <v>329</v>
      </c>
      <c r="B300" s="1" t="s">
        <v>22</v>
      </c>
      <c r="C300" s="5">
        <v>45303</v>
      </c>
      <c r="D300" s="16" t="s">
        <v>23</v>
      </c>
      <c r="E300" s="17" t="s">
        <v>360</v>
      </c>
      <c r="F300" s="9">
        <v>2227</v>
      </c>
      <c r="G300" s="9">
        <v>494</v>
      </c>
      <c r="H300" s="9">
        <v>161</v>
      </c>
      <c r="I300" s="9">
        <v>51651</v>
      </c>
      <c r="J300" s="9">
        <v>68074</v>
      </c>
      <c r="K300" s="9">
        <v>240</v>
      </c>
      <c r="L300" s="16" t="s">
        <v>19</v>
      </c>
      <c r="M300" s="16" t="s">
        <v>364</v>
      </c>
      <c r="N300" s="16" t="s">
        <v>16</v>
      </c>
      <c r="O300" s="1"/>
    </row>
    <row r="301" spans="1:15">
      <c r="A301" s="1" t="s">
        <v>330</v>
      </c>
      <c r="B301" s="1" t="s">
        <v>13</v>
      </c>
      <c r="C301" s="5">
        <v>45329</v>
      </c>
      <c r="D301" s="16" t="s">
        <v>14</v>
      </c>
      <c r="E301" s="17" t="s">
        <v>361</v>
      </c>
      <c r="F301" s="9">
        <v>1883</v>
      </c>
      <c r="G301" s="9">
        <v>432</v>
      </c>
      <c r="H301" s="9">
        <v>397</v>
      </c>
      <c r="I301" s="9">
        <v>28759</v>
      </c>
      <c r="J301" s="9">
        <v>18691</v>
      </c>
      <c r="K301" s="9">
        <v>270</v>
      </c>
      <c r="L301" s="16" t="s">
        <v>37</v>
      </c>
      <c r="M301" s="16" t="s">
        <v>34</v>
      </c>
      <c r="N301" s="16" t="s">
        <v>16</v>
      </c>
      <c r="O301" s="1"/>
    </row>
    <row r="302" spans="1:15">
      <c r="A302" s="1"/>
      <c r="B302" s="1"/>
      <c r="C302" s="5"/>
      <c r="D302" s="16"/>
      <c r="E302" s="17"/>
      <c r="F302" s="9" t="e">
        <f xml:space="preserve"> AVERAGEIFS(Table1811[Likes],Table1811[Platform],#REF!, Table1811[Content Type],#REF!)</f>
        <v>#DIV/0!</v>
      </c>
      <c r="G302" s="9"/>
      <c r="H302" s="9"/>
      <c r="I302" s="9"/>
      <c r="J302" s="9"/>
      <c r="K302" s="9"/>
      <c r="L302" s="16"/>
      <c r="M302" s="16"/>
      <c r="N302" s="16"/>
    </row>
  </sheetData>
  <pageMargins left="0.7" right="0.7" top="0.75" bottom="0.75" header="0" footer="0"/>
  <pageSetup orientation="landscape"/>
  <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00"/>
  <sheetViews>
    <sheetView workbookViewId="0">
      <selection activeCell="I1" sqref="I1:J7"/>
    </sheetView>
  </sheetViews>
  <sheetFormatPr defaultColWidth="14.42578125" defaultRowHeight="15" customHeight="1"/>
  <cols>
    <col min="1" max="1" width="23.28515625" style="6" bestFit="1" customWidth="1"/>
    <col min="2" max="2" width="14" style="2" bestFit="1" customWidth="1"/>
    <col min="3" max="3" width="21.140625" style="10" bestFit="1" customWidth="1"/>
    <col min="4" max="4" width="15.5703125" style="10" bestFit="1" customWidth="1"/>
    <col min="5" max="5" width="22" style="10" bestFit="1" customWidth="1"/>
    <col min="6" max="6" width="24.42578125" style="8" bestFit="1" customWidth="1"/>
    <col min="7" max="7" width="15.85546875" style="10" bestFit="1" customWidth="1"/>
    <col min="8" max="9" width="8.7109375" style="2" customWidth="1"/>
    <col min="10" max="10" width="11.85546875" style="2" customWidth="1"/>
    <col min="11" max="26" width="8.7109375" style="2" customWidth="1"/>
    <col min="27" max="16384" width="14.42578125" style="2"/>
  </cols>
  <sheetData>
    <row r="1" spans="1:10">
      <c r="A1" s="5" t="s">
        <v>331</v>
      </c>
      <c r="B1" s="1" t="s">
        <v>1</v>
      </c>
      <c r="C1" s="9" t="s">
        <v>332</v>
      </c>
      <c r="D1" s="9" t="s">
        <v>333</v>
      </c>
      <c r="E1" s="9" t="s">
        <v>334</v>
      </c>
      <c r="F1" s="7" t="s">
        <v>335</v>
      </c>
      <c r="G1" s="9" t="s">
        <v>336</v>
      </c>
    </row>
    <row r="2" spans="1:10">
      <c r="A2" s="5">
        <v>45446</v>
      </c>
      <c r="B2" s="1" t="s">
        <v>13</v>
      </c>
      <c r="C2" s="9">
        <v>1402</v>
      </c>
      <c r="D2" s="9">
        <v>68</v>
      </c>
      <c r="E2" s="9">
        <v>124562</v>
      </c>
      <c r="F2" s="7">
        <v>9.92</v>
      </c>
      <c r="G2" s="9">
        <v>23125</v>
      </c>
      <c r="I2" s="23"/>
      <c r="J2" s="23"/>
    </row>
    <row r="3" spans="1:10">
      <c r="A3" s="5">
        <v>45446</v>
      </c>
      <c r="B3" s="1" t="s">
        <v>22</v>
      </c>
      <c r="C3" s="9">
        <v>995</v>
      </c>
      <c r="D3" s="9">
        <v>86</v>
      </c>
      <c r="E3" s="9">
        <v>227958</v>
      </c>
      <c r="F3" s="7">
        <v>8.0500000000000007</v>
      </c>
      <c r="G3" s="9">
        <v>22788</v>
      </c>
      <c r="I3" s="23"/>
      <c r="J3" s="23"/>
    </row>
    <row r="4" spans="1:10">
      <c r="A4" s="5">
        <v>45446</v>
      </c>
      <c r="B4" s="1" t="s">
        <v>27</v>
      </c>
      <c r="C4" s="9">
        <v>1472</v>
      </c>
      <c r="D4" s="9">
        <v>296</v>
      </c>
      <c r="E4" s="9">
        <v>370242</v>
      </c>
      <c r="F4" s="7">
        <v>7.72</v>
      </c>
      <c r="G4" s="9">
        <v>7810</v>
      </c>
      <c r="I4" s="23"/>
      <c r="J4" s="23"/>
    </row>
    <row r="5" spans="1:10">
      <c r="A5" s="5">
        <v>45453</v>
      </c>
      <c r="B5" s="1" t="s">
        <v>13</v>
      </c>
      <c r="C5" s="9">
        <v>1018</v>
      </c>
      <c r="D5" s="9">
        <v>90</v>
      </c>
      <c r="E5" s="9">
        <v>92474</v>
      </c>
      <c r="F5" s="7">
        <v>9.4</v>
      </c>
      <c r="G5" s="9">
        <v>11966</v>
      </c>
    </row>
    <row r="6" spans="1:10">
      <c r="A6" s="5">
        <v>45453</v>
      </c>
      <c r="B6" s="1" t="s">
        <v>22</v>
      </c>
      <c r="C6" s="9">
        <v>1461</v>
      </c>
      <c r="D6" s="9">
        <v>64</v>
      </c>
      <c r="E6" s="9">
        <v>328902</v>
      </c>
      <c r="F6" s="7">
        <v>9.02</v>
      </c>
      <c r="G6" s="9">
        <v>26298</v>
      </c>
    </row>
    <row r="7" spans="1:10">
      <c r="A7" s="5">
        <v>45453</v>
      </c>
      <c r="B7" s="1" t="s">
        <v>27</v>
      </c>
      <c r="C7" s="9">
        <v>545</v>
      </c>
      <c r="D7" s="9">
        <v>93</v>
      </c>
      <c r="E7" s="9">
        <v>391621</v>
      </c>
      <c r="F7" s="7">
        <v>9.9600000000000009</v>
      </c>
      <c r="G7" s="9">
        <v>22029</v>
      </c>
    </row>
    <row r="8" spans="1:10">
      <c r="A8" s="5">
        <v>45460</v>
      </c>
      <c r="B8" s="1" t="s">
        <v>13</v>
      </c>
      <c r="C8" s="9">
        <v>881</v>
      </c>
      <c r="D8" s="9">
        <v>291</v>
      </c>
      <c r="E8" s="9">
        <v>95885</v>
      </c>
      <c r="F8" s="7">
        <v>5.29</v>
      </c>
      <c r="G8" s="9">
        <v>12391</v>
      </c>
    </row>
    <row r="9" spans="1:10">
      <c r="A9" s="5">
        <v>45460</v>
      </c>
      <c r="B9" s="1" t="s">
        <v>22</v>
      </c>
      <c r="C9" s="9">
        <v>1414</v>
      </c>
      <c r="D9" s="9">
        <v>131</v>
      </c>
      <c r="E9" s="9">
        <v>245947</v>
      </c>
      <c r="F9" s="7">
        <v>8.3000000000000007</v>
      </c>
      <c r="G9" s="9">
        <v>14477</v>
      </c>
    </row>
    <row r="10" spans="1:10">
      <c r="A10" s="5">
        <v>45460</v>
      </c>
      <c r="B10" s="1" t="s">
        <v>27</v>
      </c>
      <c r="C10" s="9">
        <v>1472</v>
      </c>
      <c r="D10" s="9">
        <v>170</v>
      </c>
      <c r="E10" s="9">
        <v>250428</v>
      </c>
      <c r="F10" s="7">
        <v>4.66</v>
      </c>
      <c r="G10" s="9">
        <v>25040</v>
      </c>
    </row>
    <row r="11" spans="1:10">
      <c r="A11" s="5">
        <v>45467</v>
      </c>
      <c r="B11" s="1" t="s">
        <v>13</v>
      </c>
      <c r="C11" s="9">
        <v>809</v>
      </c>
      <c r="D11" s="9">
        <v>197</v>
      </c>
      <c r="E11" s="9">
        <v>87186</v>
      </c>
      <c r="F11" s="7">
        <v>9.48</v>
      </c>
      <c r="G11" s="9">
        <v>22619</v>
      </c>
    </row>
    <row r="12" spans="1:10">
      <c r="A12" s="5">
        <v>45467</v>
      </c>
      <c r="B12" s="1" t="s">
        <v>22</v>
      </c>
      <c r="C12" s="9">
        <v>1371</v>
      </c>
      <c r="D12" s="9">
        <v>250</v>
      </c>
      <c r="E12" s="9">
        <v>128620</v>
      </c>
      <c r="F12" s="7">
        <v>7.11</v>
      </c>
      <c r="G12" s="9">
        <v>12399</v>
      </c>
    </row>
    <row r="13" spans="1:10">
      <c r="A13" s="5">
        <v>45467</v>
      </c>
      <c r="B13" s="1" t="s">
        <v>27</v>
      </c>
      <c r="C13" s="9">
        <v>844</v>
      </c>
      <c r="D13" s="9">
        <v>144</v>
      </c>
      <c r="E13" s="9">
        <v>126015</v>
      </c>
      <c r="F13" s="7">
        <v>9.65</v>
      </c>
      <c r="G13" s="9">
        <v>22456</v>
      </c>
    </row>
    <row r="14" spans="1:10">
      <c r="A14" s="5">
        <v>45474</v>
      </c>
      <c r="B14" s="1" t="s">
        <v>13</v>
      </c>
      <c r="C14" s="9">
        <v>786</v>
      </c>
      <c r="D14" s="9">
        <v>72</v>
      </c>
      <c r="E14" s="9">
        <v>178615</v>
      </c>
      <c r="F14" s="7">
        <v>5.43</v>
      </c>
      <c r="G14" s="9">
        <v>19328</v>
      </c>
    </row>
    <row r="15" spans="1:10">
      <c r="A15" s="5">
        <v>45474</v>
      </c>
      <c r="B15" s="1" t="s">
        <v>22</v>
      </c>
      <c r="C15" s="9">
        <v>845</v>
      </c>
      <c r="D15" s="9">
        <v>250</v>
      </c>
      <c r="E15" s="9">
        <v>218228</v>
      </c>
      <c r="F15" s="7">
        <v>4.5199999999999996</v>
      </c>
      <c r="G15" s="9">
        <v>21107</v>
      </c>
    </row>
    <row r="16" spans="1:10">
      <c r="A16" s="5">
        <v>45474</v>
      </c>
      <c r="B16" s="1" t="s">
        <v>27</v>
      </c>
      <c r="C16" s="9">
        <v>1218</v>
      </c>
      <c r="D16" s="9">
        <v>101</v>
      </c>
      <c r="E16" s="9">
        <v>300397</v>
      </c>
      <c r="F16" s="7">
        <v>4.33</v>
      </c>
      <c r="G16" s="9">
        <v>12277</v>
      </c>
    </row>
    <row r="17" spans="1:7">
      <c r="A17" s="5">
        <v>45481</v>
      </c>
      <c r="B17" s="1" t="s">
        <v>13</v>
      </c>
      <c r="C17" s="9">
        <v>797</v>
      </c>
      <c r="D17" s="9">
        <v>130</v>
      </c>
      <c r="E17" s="9">
        <v>340121</v>
      </c>
      <c r="F17" s="7">
        <v>8.52</v>
      </c>
      <c r="G17" s="9">
        <v>11684</v>
      </c>
    </row>
    <row r="18" spans="1:7">
      <c r="A18" s="5">
        <v>45481</v>
      </c>
      <c r="B18" s="1" t="s">
        <v>22</v>
      </c>
      <c r="C18" s="9">
        <v>1471</v>
      </c>
      <c r="D18" s="9">
        <v>100</v>
      </c>
      <c r="E18" s="9">
        <v>76866</v>
      </c>
      <c r="F18" s="7">
        <v>8.5500000000000007</v>
      </c>
      <c r="G18" s="9">
        <v>14412</v>
      </c>
    </row>
    <row r="19" spans="1:7">
      <c r="A19" s="5">
        <v>45481</v>
      </c>
      <c r="B19" s="1" t="s">
        <v>27</v>
      </c>
      <c r="C19" s="9">
        <v>1253</v>
      </c>
      <c r="D19" s="9">
        <v>136</v>
      </c>
      <c r="E19" s="9">
        <v>193131</v>
      </c>
      <c r="F19" s="7">
        <v>7.99</v>
      </c>
      <c r="G19" s="9">
        <v>15924</v>
      </c>
    </row>
    <row r="20" spans="1:7">
      <c r="A20" s="5">
        <v>45488</v>
      </c>
      <c r="B20" s="1" t="s">
        <v>13</v>
      </c>
      <c r="C20" s="9">
        <v>616</v>
      </c>
      <c r="D20" s="9">
        <v>257</v>
      </c>
      <c r="E20" s="9">
        <v>169665</v>
      </c>
      <c r="F20" s="7">
        <v>6.31</v>
      </c>
      <c r="G20" s="9">
        <v>12390</v>
      </c>
    </row>
    <row r="21" spans="1:7" ht="15.75" customHeight="1">
      <c r="A21" s="5">
        <v>45488</v>
      </c>
      <c r="B21" s="1" t="s">
        <v>22</v>
      </c>
      <c r="C21" s="9">
        <v>1308</v>
      </c>
      <c r="D21" s="9">
        <v>210</v>
      </c>
      <c r="E21" s="9">
        <v>263729</v>
      </c>
      <c r="F21" s="7">
        <v>8.5299999999999994</v>
      </c>
      <c r="G21" s="9">
        <v>25742</v>
      </c>
    </row>
    <row r="22" spans="1:7" ht="15.75" customHeight="1">
      <c r="A22" s="5">
        <v>45488</v>
      </c>
      <c r="B22" s="1" t="s">
        <v>27</v>
      </c>
      <c r="C22" s="9">
        <v>981</v>
      </c>
      <c r="D22" s="9">
        <v>69</v>
      </c>
      <c r="E22" s="9">
        <v>206921</v>
      </c>
      <c r="F22" s="7">
        <v>8.42</v>
      </c>
      <c r="G22" s="9">
        <v>10495</v>
      </c>
    </row>
    <row r="23" spans="1:7" ht="15.75" customHeight="1">
      <c r="A23" s="5">
        <v>45495</v>
      </c>
      <c r="B23" s="1" t="s">
        <v>13</v>
      </c>
      <c r="C23" s="9">
        <v>866</v>
      </c>
      <c r="D23" s="9">
        <v>74</v>
      </c>
      <c r="E23" s="9">
        <v>204121</v>
      </c>
      <c r="F23" s="7">
        <v>9.34</v>
      </c>
      <c r="G23" s="9">
        <v>7797</v>
      </c>
    </row>
    <row r="24" spans="1:7" ht="15.75" customHeight="1">
      <c r="A24" s="5">
        <v>45495</v>
      </c>
      <c r="B24" s="1" t="s">
        <v>22</v>
      </c>
      <c r="C24" s="9">
        <v>547</v>
      </c>
      <c r="D24" s="9">
        <v>183</v>
      </c>
      <c r="E24" s="9">
        <v>266350</v>
      </c>
      <c r="F24" s="7">
        <v>5.65</v>
      </c>
      <c r="G24" s="9">
        <v>15595</v>
      </c>
    </row>
    <row r="25" spans="1:7" ht="15.75" customHeight="1">
      <c r="A25" s="5">
        <v>45495</v>
      </c>
      <c r="B25" s="1" t="s">
        <v>27</v>
      </c>
      <c r="C25" s="9">
        <v>1241</v>
      </c>
      <c r="D25" s="9">
        <v>116</v>
      </c>
      <c r="E25" s="9">
        <v>380606</v>
      </c>
      <c r="F25" s="7">
        <v>4.2</v>
      </c>
      <c r="G25" s="9">
        <v>24617</v>
      </c>
    </row>
    <row r="26" spans="1:7" ht="15.75" customHeight="1">
      <c r="A26" s="5">
        <v>45502</v>
      </c>
      <c r="B26" s="1" t="s">
        <v>13</v>
      </c>
      <c r="C26" s="9">
        <v>973</v>
      </c>
      <c r="D26" s="9">
        <v>104</v>
      </c>
      <c r="E26" s="9">
        <v>376358</v>
      </c>
      <c r="F26" s="7">
        <v>3.87</v>
      </c>
      <c r="G26" s="9">
        <v>9847</v>
      </c>
    </row>
    <row r="27" spans="1:7" ht="15.75" customHeight="1">
      <c r="A27" s="5">
        <v>45502</v>
      </c>
      <c r="B27" s="1" t="s">
        <v>22</v>
      </c>
      <c r="C27" s="9">
        <v>611</v>
      </c>
      <c r="D27" s="9">
        <v>197</v>
      </c>
      <c r="E27" s="9">
        <v>79423</v>
      </c>
      <c r="F27" s="7">
        <v>5.82</v>
      </c>
      <c r="G27" s="9">
        <v>13644</v>
      </c>
    </row>
    <row r="28" spans="1:7" ht="15.75" customHeight="1">
      <c r="A28" s="5">
        <v>45502</v>
      </c>
      <c r="B28" s="1" t="s">
        <v>27</v>
      </c>
      <c r="C28" s="9">
        <v>983</v>
      </c>
      <c r="D28" s="9">
        <v>134</v>
      </c>
      <c r="E28" s="9">
        <v>352178</v>
      </c>
      <c r="F28" s="7">
        <v>3.55</v>
      </c>
      <c r="G28" s="9">
        <v>11421</v>
      </c>
    </row>
    <row r="29" spans="1:7" ht="15.75" customHeight="1">
      <c r="A29" s="5">
        <v>45509</v>
      </c>
      <c r="B29" s="1" t="s">
        <v>13</v>
      </c>
      <c r="C29" s="9">
        <v>1449</v>
      </c>
      <c r="D29" s="9">
        <v>96</v>
      </c>
      <c r="E29" s="9">
        <v>200636</v>
      </c>
      <c r="F29" s="7">
        <v>9.92</v>
      </c>
      <c r="G29" s="9">
        <v>15613</v>
      </c>
    </row>
    <row r="30" spans="1:7" ht="15.75" customHeight="1">
      <c r="A30" s="5">
        <v>45509</v>
      </c>
      <c r="B30" s="1" t="s">
        <v>22</v>
      </c>
      <c r="C30" s="9">
        <v>752</v>
      </c>
      <c r="D30" s="9">
        <v>170</v>
      </c>
      <c r="E30" s="9">
        <v>132756</v>
      </c>
      <c r="F30" s="7">
        <v>8.17</v>
      </c>
      <c r="G30" s="9">
        <v>23900</v>
      </c>
    </row>
    <row r="31" spans="1:7" ht="15.75" customHeight="1">
      <c r="A31" s="5">
        <v>45509</v>
      </c>
      <c r="B31" s="1" t="s">
        <v>27</v>
      </c>
      <c r="C31" s="9">
        <v>937</v>
      </c>
      <c r="D31" s="9">
        <v>179</v>
      </c>
      <c r="E31" s="9">
        <v>318098</v>
      </c>
      <c r="F31" s="7">
        <v>5.3</v>
      </c>
      <c r="G31" s="9">
        <v>5836</v>
      </c>
    </row>
    <row r="32" spans="1:7" ht="15.75" customHeight="1">
      <c r="A32" s="5">
        <v>45516</v>
      </c>
      <c r="B32" s="1" t="s">
        <v>13</v>
      </c>
      <c r="C32" s="9">
        <v>1060</v>
      </c>
      <c r="D32" s="9">
        <v>83</v>
      </c>
      <c r="E32" s="9">
        <v>68724</v>
      </c>
      <c r="F32" s="7">
        <v>5.98</v>
      </c>
      <c r="G32" s="9">
        <v>5624</v>
      </c>
    </row>
    <row r="33" spans="1:7" ht="15.75" customHeight="1">
      <c r="A33" s="5">
        <v>45516</v>
      </c>
      <c r="B33" s="1" t="s">
        <v>22</v>
      </c>
      <c r="C33" s="9">
        <v>1456</v>
      </c>
      <c r="D33" s="9">
        <v>265</v>
      </c>
      <c r="E33" s="9">
        <v>115505</v>
      </c>
      <c r="F33" s="7">
        <v>7.49</v>
      </c>
      <c r="G33" s="9">
        <v>10311</v>
      </c>
    </row>
    <row r="34" spans="1:7" ht="15.75" customHeight="1">
      <c r="A34" s="5">
        <v>45516</v>
      </c>
      <c r="B34" s="1" t="s">
        <v>27</v>
      </c>
      <c r="C34" s="9">
        <v>1109</v>
      </c>
      <c r="D34" s="9">
        <v>205</v>
      </c>
      <c r="E34" s="9">
        <v>276722</v>
      </c>
      <c r="F34" s="7">
        <v>9.3800000000000008</v>
      </c>
      <c r="G34" s="9">
        <v>8274</v>
      </c>
    </row>
    <row r="35" spans="1:7" ht="15.75" customHeight="1">
      <c r="A35" s="5">
        <v>45523</v>
      </c>
      <c r="B35" s="1" t="s">
        <v>13</v>
      </c>
      <c r="C35" s="9">
        <v>1002</v>
      </c>
      <c r="D35" s="9">
        <v>93</v>
      </c>
      <c r="E35" s="9">
        <v>353538</v>
      </c>
      <c r="F35" s="7">
        <v>5.84</v>
      </c>
      <c r="G35" s="9">
        <v>6031</v>
      </c>
    </row>
    <row r="36" spans="1:7" ht="15.75" customHeight="1">
      <c r="A36" s="5">
        <v>45523</v>
      </c>
      <c r="B36" s="1" t="s">
        <v>22</v>
      </c>
      <c r="C36" s="9">
        <v>571</v>
      </c>
      <c r="D36" s="9">
        <v>189</v>
      </c>
      <c r="E36" s="9">
        <v>61445</v>
      </c>
      <c r="F36" s="7">
        <v>5.41</v>
      </c>
      <c r="G36" s="9">
        <v>27829</v>
      </c>
    </row>
    <row r="37" spans="1:7" ht="15.75" customHeight="1">
      <c r="A37" s="5">
        <v>45523</v>
      </c>
      <c r="B37" s="1" t="s">
        <v>27</v>
      </c>
      <c r="C37" s="9">
        <v>1240</v>
      </c>
      <c r="D37" s="9">
        <v>231</v>
      </c>
      <c r="E37" s="9">
        <v>165035</v>
      </c>
      <c r="F37" s="7">
        <v>6.05</v>
      </c>
      <c r="G37" s="9">
        <v>18267</v>
      </c>
    </row>
    <row r="38" spans="1:7" ht="15.75" customHeight="1">
      <c r="A38" s="5">
        <v>45530</v>
      </c>
      <c r="B38" s="1" t="s">
        <v>13</v>
      </c>
      <c r="C38" s="9">
        <v>1154</v>
      </c>
      <c r="D38" s="9">
        <v>132</v>
      </c>
      <c r="E38" s="9">
        <v>194595</v>
      </c>
      <c r="F38" s="7">
        <v>7.54</v>
      </c>
      <c r="G38" s="9">
        <v>26624</v>
      </c>
    </row>
    <row r="39" spans="1:7" ht="15.75" customHeight="1">
      <c r="A39" s="5">
        <v>45530</v>
      </c>
      <c r="B39" s="1" t="s">
        <v>22</v>
      </c>
      <c r="C39" s="9">
        <v>537</v>
      </c>
      <c r="D39" s="9">
        <v>275</v>
      </c>
      <c r="E39" s="9">
        <v>236238</v>
      </c>
      <c r="F39" s="7">
        <v>5.87</v>
      </c>
      <c r="G39" s="9">
        <v>26644</v>
      </c>
    </row>
    <row r="40" spans="1:7" ht="15.75" customHeight="1">
      <c r="A40" s="5">
        <v>45530</v>
      </c>
      <c r="B40" s="1" t="s">
        <v>27</v>
      </c>
      <c r="C40" s="9">
        <v>1456</v>
      </c>
      <c r="D40" s="9">
        <v>290</v>
      </c>
      <c r="E40" s="9">
        <v>271044</v>
      </c>
      <c r="F40" s="7">
        <v>7.17</v>
      </c>
      <c r="G40" s="9">
        <v>13051</v>
      </c>
    </row>
    <row r="41" spans="1:7" ht="15.75" customHeight="1">
      <c r="A41" s="5">
        <v>45537</v>
      </c>
      <c r="B41" s="1" t="s">
        <v>13</v>
      </c>
      <c r="C41" s="9">
        <v>721</v>
      </c>
      <c r="D41" s="9">
        <v>206</v>
      </c>
      <c r="E41" s="9">
        <v>334887</v>
      </c>
      <c r="F41" s="7">
        <v>6.05</v>
      </c>
      <c r="G41" s="9">
        <v>14217</v>
      </c>
    </row>
    <row r="42" spans="1:7" ht="15.75" customHeight="1">
      <c r="A42" s="5">
        <v>45537</v>
      </c>
      <c r="B42" s="1" t="s">
        <v>22</v>
      </c>
      <c r="C42" s="9">
        <v>1098</v>
      </c>
      <c r="D42" s="9">
        <v>142</v>
      </c>
      <c r="E42" s="9">
        <v>359150</v>
      </c>
      <c r="F42" s="7">
        <v>7.51</v>
      </c>
      <c r="G42" s="9">
        <v>16385</v>
      </c>
    </row>
    <row r="43" spans="1:7" ht="15.75" customHeight="1">
      <c r="A43" s="5">
        <v>45537</v>
      </c>
      <c r="B43" s="1" t="s">
        <v>27</v>
      </c>
      <c r="C43" s="9">
        <v>1096</v>
      </c>
      <c r="D43" s="9">
        <v>65</v>
      </c>
      <c r="E43" s="9">
        <v>358295</v>
      </c>
      <c r="F43" s="7">
        <v>7.66</v>
      </c>
      <c r="G43" s="9">
        <v>24548</v>
      </c>
    </row>
    <row r="44" spans="1:7" ht="15.75" customHeight="1">
      <c r="A44" s="5">
        <v>45544</v>
      </c>
      <c r="B44" s="1" t="s">
        <v>13</v>
      </c>
      <c r="C44" s="9">
        <v>912</v>
      </c>
      <c r="D44" s="9">
        <v>275</v>
      </c>
      <c r="E44" s="9">
        <v>368454</v>
      </c>
      <c r="F44" s="7">
        <v>6.03</v>
      </c>
      <c r="G44" s="9">
        <v>9195</v>
      </c>
    </row>
    <row r="45" spans="1:7" ht="15.75" customHeight="1">
      <c r="A45" s="5">
        <v>45544</v>
      </c>
      <c r="B45" s="1" t="s">
        <v>22</v>
      </c>
      <c r="C45" s="9">
        <v>1430</v>
      </c>
      <c r="D45" s="9">
        <v>162</v>
      </c>
      <c r="E45" s="9">
        <v>269082</v>
      </c>
      <c r="F45" s="7">
        <v>3.4</v>
      </c>
      <c r="G45" s="9">
        <v>18071</v>
      </c>
    </row>
    <row r="46" spans="1:7" ht="15.75" customHeight="1">
      <c r="A46" s="5">
        <v>45544</v>
      </c>
      <c r="B46" s="1" t="s">
        <v>27</v>
      </c>
      <c r="C46" s="9">
        <v>854</v>
      </c>
      <c r="D46" s="9">
        <v>129</v>
      </c>
      <c r="E46" s="9">
        <v>310903</v>
      </c>
      <c r="F46" s="7">
        <v>7.83</v>
      </c>
      <c r="G46" s="9">
        <v>16875</v>
      </c>
    </row>
    <row r="47" spans="1:7" ht="15.75" customHeight="1">
      <c r="A47" s="5">
        <v>45551</v>
      </c>
      <c r="B47" s="1" t="s">
        <v>13</v>
      </c>
      <c r="C47" s="9">
        <v>681</v>
      </c>
      <c r="D47" s="9">
        <v>210</v>
      </c>
      <c r="E47" s="9">
        <v>248581</v>
      </c>
      <c r="F47" s="7">
        <v>8.76</v>
      </c>
      <c r="G47" s="9">
        <v>9567</v>
      </c>
    </row>
    <row r="48" spans="1:7" ht="15.75" customHeight="1">
      <c r="A48" s="5">
        <v>45551</v>
      </c>
      <c r="B48" s="1" t="s">
        <v>22</v>
      </c>
      <c r="C48" s="9">
        <v>1373</v>
      </c>
      <c r="D48" s="9">
        <v>82</v>
      </c>
      <c r="E48" s="9">
        <v>371015</v>
      </c>
      <c r="F48" s="7">
        <v>9.52</v>
      </c>
      <c r="G48" s="9">
        <v>20306</v>
      </c>
    </row>
    <row r="49" spans="1:7" ht="15.75" customHeight="1">
      <c r="A49" s="5">
        <v>45551</v>
      </c>
      <c r="B49" s="1" t="s">
        <v>27</v>
      </c>
      <c r="C49" s="9">
        <v>685</v>
      </c>
      <c r="D49" s="9">
        <v>285</v>
      </c>
      <c r="E49" s="9">
        <v>177452</v>
      </c>
      <c r="F49" s="7">
        <v>3.36</v>
      </c>
      <c r="G49" s="9">
        <v>21134</v>
      </c>
    </row>
    <row r="50" spans="1:7" ht="15.75" customHeight="1">
      <c r="A50" s="5">
        <v>45558</v>
      </c>
      <c r="B50" s="1" t="s">
        <v>13</v>
      </c>
      <c r="C50" s="9">
        <v>1290</v>
      </c>
      <c r="D50" s="9">
        <v>177</v>
      </c>
      <c r="E50" s="9">
        <v>80745</v>
      </c>
      <c r="F50" s="7">
        <v>9.2200000000000006</v>
      </c>
      <c r="G50" s="9">
        <v>26872</v>
      </c>
    </row>
    <row r="51" spans="1:7" ht="15.75" customHeight="1">
      <c r="A51" s="5">
        <v>45558</v>
      </c>
      <c r="B51" s="1" t="s">
        <v>22</v>
      </c>
      <c r="C51" s="9">
        <v>1437</v>
      </c>
      <c r="D51" s="9">
        <v>239</v>
      </c>
      <c r="E51" s="9">
        <v>362441</v>
      </c>
      <c r="F51" s="7">
        <v>5.57</v>
      </c>
      <c r="G51" s="9">
        <v>10253</v>
      </c>
    </row>
    <row r="52" spans="1:7" ht="15.75" customHeight="1">
      <c r="A52" s="5">
        <v>45558</v>
      </c>
      <c r="B52" s="1" t="s">
        <v>27</v>
      </c>
      <c r="C52" s="9">
        <v>769</v>
      </c>
      <c r="D52" s="9">
        <v>295</v>
      </c>
      <c r="E52" s="9">
        <v>344771</v>
      </c>
      <c r="F52" s="7">
        <v>8.06</v>
      </c>
      <c r="G52" s="9">
        <v>23963</v>
      </c>
    </row>
    <row r="53" spans="1:7" ht="15.75" customHeight="1">
      <c r="A53" s="5">
        <v>45565</v>
      </c>
      <c r="B53" s="1" t="s">
        <v>13</v>
      </c>
      <c r="C53" s="9">
        <v>1416</v>
      </c>
      <c r="D53" s="9">
        <v>284</v>
      </c>
      <c r="E53" s="9">
        <v>374952</v>
      </c>
      <c r="F53" s="7">
        <v>3.45</v>
      </c>
      <c r="G53" s="9">
        <v>11335</v>
      </c>
    </row>
    <row r="54" spans="1:7" ht="15.75" customHeight="1">
      <c r="A54" s="5">
        <v>45565</v>
      </c>
      <c r="B54" s="1" t="s">
        <v>22</v>
      </c>
      <c r="C54" s="9">
        <v>998</v>
      </c>
      <c r="D54" s="9">
        <v>154</v>
      </c>
      <c r="E54" s="9">
        <v>179781</v>
      </c>
      <c r="F54" s="7">
        <v>9.58</v>
      </c>
      <c r="G54" s="9">
        <v>12115</v>
      </c>
    </row>
    <row r="55" spans="1:7" ht="15.75" customHeight="1">
      <c r="A55" s="5">
        <v>45565</v>
      </c>
      <c r="B55" s="1" t="s">
        <v>27</v>
      </c>
      <c r="C55" s="9">
        <v>1421</v>
      </c>
      <c r="D55" s="9">
        <v>246</v>
      </c>
      <c r="E55" s="9">
        <v>358581</v>
      </c>
      <c r="F55" s="7">
        <v>8.8800000000000008</v>
      </c>
      <c r="G55" s="9">
        <v>24358</v>
      </c>
    </row>
    <row r="56" spans="1:7" ht="15.75" customHeight="1">
      <c r="A56" s="5">
        <v>45572</v>
      </c>
      <c r="B56" s="1" t="s">
        <v>13</v>
      </c>
      <c r="C56" s="9">
        <v>764</v>
      </c>
      <c r="D56" s="9">
        <v>205</v>
      </c>
      <c r="E56" s="9">
        <v>319294</v>
      </c>
      <c r="F56" s="7">
        <v>6.23</v>
      </c>
      <c r="G56" s="9">
        <v>12181</v>
      </c>
    </row>
    <row r="57" spans="1:7" ht="15.75" customHeight="1">
      <c r="A57" s="5">
        <v>45572</v>
      </c>
      <c r="B57" s="1" t="s">
        <v>22</v>
      </c>
      <c r="C57" s="9">
        <v>678</v>
      </c>
      <c r="D57" s="9">
        <v>124</v>
      </c>
      <c r="E57" s="9">
        <v>192022</v>
      </c>
      <c r="F57" s="7">
        <v>8.4499999999999993</v>
      </c>
      <c r="G57" s="9">
        <v>17729</v>
      </c>
    </row>
    <row r="58" spans="1:7" ht="15.75" customHeight="1">
      <c r="A58" s="5">
        <v>45572</v>
      </c>
      <c r="B58" s="1" t="s">
        <v>27</v>
      </c>
      <c r="C58" s="9">
        <v>1328</v>
      </c>
      <c r="D58" s="9">
        <v>103</v>
      </c>
      <c r="E58" s="9">
        <v>151462</v>
      </c>
      <c r="F58" s="7">
        <v>8.4</v>
      </c>
      <c r="G58" s="9">
        <v>10881</v>
      </c>
    </row>
    <row r="59" spans="1:7" ht="15.75" customHeight="1">
      <c r="A59" s="5">
        <v>45579</v>
      </c>
      <c r="B59" s="1" t="s">
        <v>13</v>
      </c>
      <c r="C59" s="9">
        <v>1161</v>
      </c>
      <c r="D59" s="9">
        <v>269</v>
      </c>
      <c r="E59" s="9">
        <v>188193</v>
      </c>
      <c r="F59" s="7">
        <v>7.34</v>
      </c>
      <c r="G59" s="9">
        <v>18576</v>
      </c>
    </row>
    <row r="60" spans="1:7" ht="15.75" customHeight="1">
      <c r="A60" s="5">
        <v>45579</v>
      </c>
      <c r="B60" s="1" t="s">
        <v>22</v>
      </c>
      <c r="C60" s="9">
        <v>588</v>
      </c>
      <c r="D60" s="9">
        <v>52</v>
      </c>
      <c r="E60" s="9">
        <v>292040</v>
      </c>
      <c r="F60" s="7">
        <v>8.14</v>
      </c>
      <c r="G60" s="9">
        <v>9383</v>
      </c>
    </row>
    <row r="61" spans="1:7" ht="15.75" customHeight="1">
      <c r="A61" s="5">
        <v>45579</v>
      </c>
      <c r="B61" s="1" t="s">
        <v>27</v>
      </c>
      <c r="C61" s="9">
        <v>1457</v>
      </c>
      <c r="D61" s="9">
        <v>215</v>
      </c>
      <c r="E61" s="9">
        <v>325325</v>
      </c>
      <c r="F61" s="7">
        <v>9.58</v>
      </c>
      <c r="G61" s="9">
        <v>14178</v>
      </c>
    </row>
    <row r="62" spans="1:7" ht="15.75" customHeight="1">
      <c r="A62" s="5">
        <v>45586</v>
      </c>
      <c r="B62" s="1" t="s">
        <v>13</v>
      </c>
      <c r="C62" s="9">
        <v>1190</v>
      </c>
      <c r="D62" s="9">
        <v>242</v>
      </c>
      <c r="E62" s="9">
        <v>86849</v>
      </c>
      <c r="F62" s="7">
        <v>8.06</v>
      </c>
      <c r="G62" s="9">
        <v>21254</v>
      </c>
    </row>
    <row r="63" spans="1:7" ht="15.75" customHeight="1">
      <c r="A63" s="5">
        <v>45586</v>
      </c>
      <c r="B63" s="1" t="s">
        <v>22</v>
      </c>
      <c r="C63" s="9">
        <v>886</v>
      </c>
      <c r="D63" s="9">
        <v>124</v>
      </c>
      <c r="E63" s="9">
        <v>141161</v>
      </c>
      <c r="F63" s="7">
        <v>8.19</v>
      </c>
      <c r="G63" s="9">
        <v>14215</v>
      </c>
    </row>
    <row r="64" spans="1:7" ht="15.75" customHeight="1">
      <c r="A64" s="5">
        <v>45586</v>
      </c>
      <c r="B64" s="1" t="s">
        <v>27</v>
      </c>
      <c r="C64" s="9">
        <v>1237</v>
      </c>
      <c r="D64" s="9">
        <v>155</v>
      </c>
      <c r="E64" s="9">
        <v>149916</v>
      </c>
      <c r="F64" s="7">
        <v>4.4800000000000004</v>
      </c>
      <c r="G64" s="9">
        <v>16921</v>
      </c>
    </row>
    <row r="65" spans="1:7" ht="15.75" customHeight="1">
      <c r="A65" s="5">
        <v>45593</v>
      </c>
      <c r="B65" s="1" t="s">
        <v>13</v>
      </c>
      <c r="C65" s="9">
        <v>1435</v>
      </c>
      <c r="D65" s="9">
        <v>261</v>
      </c>
      <c r="E65" s="9">
        <v>308533</v>
      </c>
      <c r="F65" s="7">
        <v>4.5199999999999996</v>
      </c>
      <c r="G65" s="9">
        <v>25130</v>
      </c>
    </row>
    <row r="66" spans="1:7" ht="15.75" customHeight="1">
      <c r="A66" s="5">
        <v>45593</v>
      </c>
      <c r="B66" s="1" t="s">
        <v>22</v>
      </c>
      <c r="C66" s="9">
        <v>746</v>
      </c>
      <c r="D66" s="9">
        <v>282</v>
      </c>
      <c r="E66" s="9">
        <v>293894</v>
      </c>
      <c r="F66" s="7">
        <v>5.42</v>
      </c>
      <c r="G66" s="9">
        <v>25537</v>
      </c>
    </row>
    <row r="67" spans="1:7" ht="15.75" customHeight="1">
      <c r="A67" s="5">
        <v>45593</v>
      </c>
      <c r="B67" s="1" t="s">
        <v>27</v>
      </c>
      <c r="C67" s="9">
        <v>759</v>
      </c>
      <c r="D67" s="9">
        <v>216</v>
      </c>
      <c r="E67" s="9">
        <v>147656</v>
      </c>
      <c r="F67" s="7">
        <v>4.08</v>
      </c>
      <c r="G67" s="9">
        <v>24943</v>
      </c>
    </row>
    <row r="68" spans="1:7" ht="15.75" customHeight="1">
      <c r="A68" s="5">
        <v>45600</v>
      </c>
      <c r="B68" s="1" t="s">
        <v>13</v>
      </c>
      <c r="C68" s="9">
        <v>1437</v>
      </c>
      <c r="D68" s="9">
        <v>235</v>
      </c>
      <c r="E68" s="9">
        <v>326791</v>
      </c>
      <c r="F68" s="7">
        <v>4.0599999999999996</v>
      </c>
      <c r="G68" s="9">
        <v>14563</v>
      </c>
    </row>
    <row r="69" spans="1:7" ht="15.75" customHeight="1">
      <c r="A69" s="5">
        <v>45600</v>
      </c>
      <c r="B69" s="1" t="s">
        <v>22</v>
      </c>
      <c r="C69" s="9">
        <v>1463</v>
      </c>
      <c r="D69" s="9">
        <v>73</v>
      </c>
      <c r="E69" s="9">
        <v>348877</v>
      </c>
      <c r="F69" s="7">
        <v>9.91</v>
      </c>
      <c r="G69" s="9">
        <v>26273</v>
      </c>
    </row>
    <row r="70" spans="1:7" ht="15.75" customHeight="1">
      <c r="A70" s="5">
        <v>45600</v>
      </c>
      <c r="B70" s="1" t="s">
        <v>27</v>
      </c>
      <c r="C70" s="9">
        <v>1208</v>
      </c>
      <c r="D70" s="9">
        <v>224</v>
      </c>
      <c r="E70" s="9">
        <v>122730</v>
      </c>
      <c r="F70" s="7">
        <v>8.7200000000000006</v>
      </c>
      <c r="G70" s="9">
        <v>10858</v>
      </c>
    </row>
    <row r="71" spans="1:7" ht="15.75" customHeight="1">
      <c r="A71" s="5">
        <v>45607</v>
      </c>
      <c r="B71" s="1" t="s">
        <v>13</v>
      </c>
      <c r="C71" s="9">
        <v>1391</v>
      </c>
      <c r="D71" s="9">
        <v>187</v>
      </c>
      <c r="E71" s="9">
        <v>306508</v>
      </c>
      <c r="F71" s="7">
        <v>8.3800000000000008</v>
      </c>
      <c r="G71" s="9">
        <v>25038</v>
      </c>
    </row>
    <row r="72" spans="1:7" ht="15.75" customHeight="1">
      <c r="A72" s="5">
        <v>45607</v>
      </c>
      <c r="B72" s="1" t="s">
        <v>22</v>
      </c>
      <c r="C72" s="9">
        <v>655</v>
      </c>
      <c r="D72" s="9">
        <v>123</v>
      </c>
      <c r="E72" s="9">
        <v>202472</v>
      </c>
      <c r="F72" s="7">
        <v>7.56</v>
      </c>
      <c r="G72" s="9">
        <v>9092</v>
      </c>
    </row>
    <row r="73" spans="1:7" ht="15.75" customHeight="1">
      <c r="A73" s="5">
        <v>45607</v>
      </c>
      <c r="B73" s="1" t="s">
        <v>27</v>
      </c>
      <c r="C73" s="9">
        <v>1148</v>
      </c>
      <c r="D73" s="9">
        <v>90</v>
      </c>
      <c r="E73" s="9">
        <v>227249</v>
      </c>
      <c r="F73" s="7">
        <v>7.24</v>
      </c>
      <c r="G73" s="9">
        <v>17662</v>
      </c>
    </row>
    <row r="74" spans="1:7" ht="15.75" customHeight="1">
      <c r="A74" s="5">
        <v>45614</v>
      </c>
      <c r="B74" s="1" t="s">
        <v>13</v>
      </c>
      <c r="C74" s="9">
        <v>946</v>
      </c>
      <c r="D74" s="9">
        <v>270</v>
      </c>
      <c r="E74" s="9">
        <v>246567</v>
      </c>
      <c r="F74" s="7">
        <v>4.53</v>
      </c>
      <c r="G74" s="9">
        <v>5924</v>
      </c>
    </row>
    <row r="75" spans="1:7" ht="15.75" customHeight="1">
      <c r="A75" s="5">
        <v>45614</v>
      </c>
      <c r="B75" s="1" t="s">
        <v>22</v>
      </c>
      <c r="C75" s="9">
        <v>791</v>
      </c>
      <c r="D75" s="9">
        <v>214</v>
      </c>
      <c r="E75" s="9">
        <v>114738</v>
      </c>
      <c r="F75" s="7">
        <v>6.62</v>
      </c>
      <c r="G75" s="9">
        <v>25347</v>
      </c>
    </row>
    <row r="76" spans="1:7" ht="15.75" customHeight="1">
      <c r="A76" s="5">
        <v>45614</v>
      </c>
      <c r="B76" s="1" t="s">
        <v>27</v>
      </c>
      <c r="C76" s="9">
        <v>793</v>
      </c>
      <c r="D76" s="9">
        <v>111</v>
      </c>
      <c r="E76" s="9">
        <v>333500</v>
      </c>
      <c r="F76" s="7">
        <v>6.36</v>
      </c>
      <c r="G76" s="9">
        <v>8910</v>
      </c>
    </row>
    <row r="77" spans="1:7" ht="15.75" customHeight="1">
      <c r="A77" s="5">
        <v>45621</v>
      </c>
      <c r="B77" s="1" t="s">
        <v>13</v>
      </c>
      <c r="C77" s="9">
        <v>663</v>
      </c>
      <c r="D77" s="9">
        <v>213</v>
      </c>
      <c r="E77" s="9">
        <v>352677</v>
      </c>
      <c r="F77" s="7">
        <v>9</v>
      </c>
      <c r="G77" s="9">
        <v>20438</v>
      </c>
    </row>
    <row r="78" spans="1:7" ht="15.75" customHeight="1">
      <c r="A78" s="5">
        <v>45621</v>
      </c>
      <c r="B78" s="1" t="s">
        <v>22</v>
      </c>
      <c r="C78" s="9">
        <v>954</v>
      </c>
      <c r="D78" s="9">
        <v>271</v>
      </c>
      <c r="E78" s="9">
        <v>160936</v>
      </c>
      <c r="F78" s="7">
        <v>8.83</v>
      </c>
      <c r="G78" s="9">
        <v>8760</v>
      </c>
    </row>
    <row r="79" spans="1:7" ht="15.75" customHeight="1">
      <c r="A79" s="5">
        <v>45621</v>
      </c>
      <c r="B79" s="1" t="s">
        <v>27</v>
      </c>
      <c r="C79" s="9">
        <v>1313</v>
      </c>
      <c r="D79" s="9">
        <v>159</v>
      </c>
      <c r="E79" s="9">
        <v>197183</v>
      </c>
      <c r="F79" s="7">
        <v>9.7100000000000009</v>
      </c>
      <c r="G79" s="9">
        <v>6625</v>
      </c>
    </row>
    <row r="80" spans="1:7" ht="15.75" customHeight="1">
      <c r="A80" s="5">
        <v>45628</v>
      </c>
      <c r="B80" s="1" t="s">
        <v>13</v>
      </c>
      <c r="C80" s="9">
        <v>895</v>
      </c>
      <c r="D80" s="9">
        <v>87</v>
      </c>
      <c r="E80" s="9">
        <v>171271</v>
      </c>
      <c r="F80" s="7">
        <v>6.68</v>
      </c>
      <c r="G80" s="9">
        <v>23329</v>
      </c>
    </row>
    <row r="81" spans="1:7" ht="15.75" customHeight="1">
      <c r="A81" s="5">
        <v>45628</v>
      </c>
      <c r="B81" s="1" t="s">
        <v>22</v>
      </c>
      <c r="C81" s="9">
        <v>1027</v>
      </c>
      <c r="D81" s="9">
        <v>156</v>
      </c>
      <c r="E81" s="9">
        <v>111293</v>
      </c>
      <c r="F81" s="7">
        <v>5.51</v>
      </c>
      <c r="G81" s="9">
        <v>7299</v>
      </c>
    </row>
    <row r="82" spans="1:7" ht="15.75" customHeight="1">
      <c r="A82" s="5">
        <v>45628</v>
      </c>
      <c r="B82" s="1" t="s">
        <v>27</v>
      </c>
      <c r="C82" s="9">
        <v>990</v>
      </c>
      <c r="D82" s="9">
        <v>286</v>
      </c>
      <c r="E82" s="9">
        <v>351493</v>
      </c>
      <c r="F82" s="7">
        <v>7.97</v>
      </c>
      <c r="G82" s="9">
        <v>14496</v>
      </c>
    </row>
    <row r="83" spans="1:7" ht="15.75" customHeight="1">
      <c r="A83" s="5">
        <v>45635</v>
      </c>
      <c r="B83" s="1" t="s">
        <v>13</v>
      </c>
      <c r="C83" s="9">
        <v>875</v>
      </c>
      <c r="D83" s="9">
        <v>264</v>
      </c>
      <c r="E83" s="9">
        <v>345631</v>
      </c>
      <c r="F83" s="7">
        <v>9.18</v>
      </c>
      <c r="G83" s="9">
        <v>25703</v>
      </c>
    </row>
    <row r="84" spans="1:7" ht="15.75" customHeight="1">
      <c r="A84" s="5">
        <v>45635</v>
      </c>
      <c r="B84" s="1" t="s">
        <v>22</v>
      </c>
      <c r="C84" s="9">
        <v>599</v>
      </c>
      <c r="D84" s="9">
        <v>194</v>
      </c>
      <c r="E84" s="9">
        <v>105622</v>
      </c>
      <c r="F84" s="7">
        <v>6.44</v>
      </c>
      <c r="G84" s="9">
        <v>15108</v>
      </c>
    </row>
    <row r="85" spans="1:7" ht="15.75" customHeight="1">
      <c r="A85" s="5">
        <v>45635</v>
      </c>
      <c r="B85" s="1" t="s">
        <v>27</v>
      </c>
      <c r="C85" s="9">
        <v>630</v>
      </c>
      <c r="D85" s="9">
        <v>248</v>
      </c>
      <c r="E85" s="9">
        <v>119054</v>
      </c>
      <c r="F85" s="7">
        <v>5.0199999999999996</v>
      </c>
      <c r="G85" s="9">
        <v>18867</v>
      </c>
    </row>
    <row r="86" spans="1:7" ht="15.75" customHeight="1">
      <c r="A86" s="5">
        <v>45642</v>
      </c>
      <c r="B86" s="1" t="s">
        <v>13</v>
      </c>
      <c r="C86" s="9">
        <v>1350</v>
      </c>
      <c r="D86" s="9">
        <v>233</v>
      </c>
      <c r="E86" s="9">
        <v>171670</v>
      </c>
      <c r="F86" s="7">
        <v>4.53</v>
      </c>
      <c r="G86" s="9">
        <v>17574</v>
      </c>
    </row>
    <row r="87" spans="1:7" ht="15.75" customHeight="1">
      <c r="A87" s="5">
        <v>45642</v>
      </c>
      <c r="B87" s="1" t="s">
        <v>22</v>
      </c>
      <c r="C87" s="9">
        <v>632</v>
      </c>
      <c r="D87" s="9">
        <v>155</v>
      </c>
      <c r="E87" s="9">
        <v>170432</v>
      </c>
      <c r="F87" s="7">
        <v>9.17</v>
      </c>
      <c r="G87" s="9">
        <v>12840</v>
      </c>
    </row>
    <row r="88" spans="1:7" ht="15.75" customHeight="1">
      <c r="A88" s="5">
        <v>45642</v>
      </c>
      <c r="B88" s="1" t="s">
        <v>27</v>
      </c>
      <c r="C88" s="9">
        <v>1182</v>
      </c>
      <c r="D88" s="9">
        <v>83</v>
      </c>
      <c r="E88" s="9">
        <v>140300</v>
      </c>
      <c r="F88" s="7">
        <v>3.27</v>
      </c>
      <c r="G88" s="9">
        <v>21079</v>
      </c>
    </row>
    <row r="89" spans="1:7" ht="15.75" customHeight="1">
      <c r="A89" s="5">
        <v>45649</v>
      </c>
      <c r="B89" s="1" t="s">
        <v>13</v>
      </c>
      <c r="C89" s="9">
        <v>661</v>
      </c>
      <c r="D89" s="9">
        <v>94</v>
      </c>
      <c r="E89" s="9">
        <v>116538</v>
      </c>
      <c r="F89" s="7">
        <v>5.31</v>
      </c>
      <c r="G89" s="9">
        <v>23486</v>
      </c>
    </row>
    <row r="90" spans="1:7" ht="15.75" customHeight="1">
      <c r="A90" s="5">
        <v>45649</v>
      </c>
      <c r="B90" s="1" t="s">
        <v>22</v>
      </c>
      <c r="C90" s="9">
        <v>1360</v>
      </c>
      <c r="D90" s="9">
        <v>227</v>
      </c>
      <c r="E90" s="9">
        <v>176902</v>
      </c>
      <c r="F90" s="7">
        <v>6.03</v>
      </c>
      <c r="G90" s="9">
        <v>5960</v>
      </c>
    </row>
    <row r="91" spans="1:7" ht="15.75" customHeight="1">
      <c r="A91" s="5">
        <v>45649</v>
      </c>
      <c r="B91" s="1" t="s">
        <v>27</v>
      </c>
      <c r="C91" s="9">
        <v>935</v>
      </c>
      <c r="D91" s="9">
        <v>85</v>
      </c>
      <c r="E91" s="9">
        <v>326821</v>
      </c>
      <c r="F91" s="7">
        <v>8.89</v>
      </c>
      <c r="G91" s="9">
        <v>13301</v>
      </c>
    </row>
    <row r="92" spans="1:7" ht="15.75" customHeight="1">
      <c r="A92" s="5">
        <v>45656</v>
      </c>
      <c r="B92" s="1" t="s">
        <v>13</v>
      </c>
      <c r="C92" s="9">
        <v>664</v>
      </c>
      <c r="D92" s="9">
        <v>251</v>
      </c>
      <c r="E92" s="9">
        <v>240598</v>
      </c>
      <c r="F92" s="7">
        <v>4.79</v>
      </c>
      <c r="G92" s="9">
        <v>10563</v>
      </c>
    </row>
    <row r="93" spans="1:7" ht="15.75" customHeight="1">
      <c r="A93" s="5">
        <v>45656</v>
      </c>
      <c r="B93" s="1" t="s">
        <v>22</v>
      </c>
      <c r="C93" s="9">
        <v>1490</v>
      </c>
      <c r="D93" s="9">
        <v>103</v>
      </c>
      <c r="E93" s="9">
        <v>373274</v>
      </c>
      <c r="F93" s="7">
        <v>4.8</v>
      </c>
      <c r="G93" s="9">
        <v>19949</v>
      </c>
    </row>
    <row r="94" spans="1:7" ht="15.75" customHeight="1">
      <c r="A94" s="5">
        <v>45656</v>
      </c>
      <c r="B94" s="1" t="s">
        <v>27</v>
      </c>
      <c r="C94" s="9">
        <v>601</v>
      </c>
      <c r="D94" s="9">
        <v>64</v>
      </c>
      <c r="E94" s="9">
        <v>123272</v>
      </c>
      <c r="F94" s="7">
        <v>4.07</v>
      </c>
      <c r="G94" s="9">
        <v>14273</v>
      </c>
    </row>
    <row r="95" spans="1:7" ht="15.75" customHeight="1">
      <c r="A95" s="5">
        <v>45663</v>
      </c>
      <c r="B95" s="1" t="s">
        <v>13</v>
      </c>
      <c r="C95" s="9">
        <v>613</v>
      </c>
      <c r="D95" s="9">
        <v>170</v>
      </c>
      <c r="E95" s="9">
        <v>139266</v>
      </c>
      <c r="F95" s="7">
        <v>6.06</v>
      </c>
      <c r="G95" s="9">
        <v>9247</v>
      </c>
    </row>
    <row r="96" spans="1:7" ht="15.75" customHeight="1">
      <c r="A96" s="5">
        <v>45663</v>
      </c>
      <c r="B96" s="1" t="s">
        <v>22</v>
      </c>
      <c r="C96" s="9">
        <v>1340</v>
      </c>
      <c r="D96" s="9">
        <v>57</v>
      </c>
      <c r="E96" s="9">
        <v>155927</v>
      </c>
      <c r="F96" s="7">
        <v>7.79</v>
      </c>
      <c r="G96" s="9">
        <v>11972</v>
      </c>
    </row>
    <row r="97" spans="1:7" ht="15.75" customHeight="1">
      <c r="A97" s="5">
        <v>45663</v>
      </c>
      <c r="B97" s="1" t="s">
        <v>27</v>
      </c>
      <c r="C97" s="9">
        <v>953</v>
      </c>
      <c r="D97" s="9">
        <v>228</v>
      </c>
      <c r="E97" s="9">
        <v>258398</v>
      </c>
      <c r="F97" s="7">
        <v>9.0500000000000007</v>
      </c>
      <c r="G97" s="9">
        <v>13314</v>
      </c>
    </row>
    <row r="98" spans="1:7" ht="15.75" customHeight="1">
      <c r="A98" s="5">
        <v>45670</v>
      </c>
      <c r="B98" s="1" t="s">
        <v>13</v>
      </c>
      <c r="C98" s="9">
        <v>532</v>
      </c>
      <c r="D98" s="9">
        <v>65</v>
      </c>
      <c r="E98" s="9">
        <v>338561</v>
      </c>
      <c r="F98" s="7">
        <v>3.5</v>
      </c>
      <c r="G98" s="9">
        <v>14749</v>
      </c>
    </row>
    <row r="99" spans="1:7" ht="15.75" customHeight="1">
      <c r="A99" s="5">
        <v>45670</v>
      </c>
      <c r="B99" s="1" t="s">
        <v>22</v>
      </c>
      <c r="C99" s="9">
        <v>1414</v>
      </c>
      <c r="D99" s="9">
        <v>60</v>
      </c>
      <c r="E99" s="9">
        <v>341856</v>
      </c>
      <c r="F99" s="7">
        <v>8.76</v>
      </c>
      <c r="G99" s="9">
        <v>6868</v>
      </c>
    </row>
    <row r="100" spans="1:7" ht="15.75" customHeight="1">
      <c r="A100" s="5">
        <v>45670</v>
      </c>
      <c r="B100" s="1" t="s">
        <v>27</v>
      </c>
      <c r="C100" s="9">
        <v>685</v>
      </c>
      <c r="D100" s="9">
        <v>165</v>
      </c>
      <c r="E100" s="9">
        <v>175860</v>
      </c>
      <c r="F100" s="7">
        <v>6.26</v>
      </c>
      <c r="G100" s="9">
        <v>6027</v>
      </c>
    </row>
    <row r="101" spans="1:7" ht="15.75" customHeight="1">
      <c r="A101" s="5">
        <v>45677</v>
      </c>
      <c r="B101" s="1" t="s">
        <v>13</v>
      </c>
      <c r="C101" s="9">
        <v>601</v>
      </c>
      <c r="D101" s="9">
        <v>159</v>
      </c>
      <c r="E101" s="9">
        <v>327722</v>
      </c>
      <c r="F101" s="7">
        <v>3.33</v>
      </c>
      <c r="G101" s="9">
        <v>25267</v>
      </c>
    </row>
    <row r="102" spans="1:7" ht="15.75" customHeight="1">
      <c r="A102" s="5">
        <v>45677</v>
      </c>
      <c r="B102" s="1" t="s">
        <v>22</v>
      </c>
      <c r="C102" s="9">
        <v>841</v>
      </c>
      <c r="D102" s="9">
        <v>295</v>
      </c>
      <c r="E102" s="9">
        <v>271638</v>
      </c>
      <c r="F102" s="7">
        <v>9.15</v>
      </c>
      <c r="G102" s="9">
        <v>5900</v>
      </c>
    </row>
    <row r="103" spans="1:7" ht="15.75" customHeight="1">
      <c r="A103" s="5">
        <v>45677</v>
      </c>
      <c r="B103" s="1" t="s">
        <v>27</v>
      </c>
      <c r="C103" s="9">
        <v>1105</v>
      </c>
      <c r="D103" s="9">
        <v>261</v>
      </c>
      <c r="E103" s="9">
        <v>333851</v>
      </c>
      <c r="F103" s="7">
        <v>6.03</v>
      </c>
      <c r="G103" s="9">
        <v>11181</v>
      </c>
    </row>
    <row r="104" spans="1:7" ht="15.75" customHeight="1">
      <c r="A104" s="5">
        <v>45684</v>
      </c>
      <c r="B104" s="1" t="s">
        <v>13</v>
      </c>
      <c r="C104" s="9">
        <v>566</v>
      </c>
      <c r="D104" s="9">
        <v>225</v>
      </c>
      <c r="E104" s="9">
        <v>368984</v>
      </c>
      <c r="F104" s="7">
        <v>9.82</v>
      </c>
      <c r="G104" s="9">
        <v>9592</v>
      </c>
    </row>
    <row r="105" spans="1:7" ht="15.75" customHeight="1">
      <c r="A105" s="5">
        <v>45684</v>
      </c>
      <c r="B105" s="1" t="s">
        <v>22</v>
      </c>
      <c r="C105" s="9">
        <v>1149</v>
      </c>
      <c r="D105" s="9">
        <v>280</v>
      </c>
      <c r="E105" s="9">
        <v>167310</v>
      </c>
      <c r="F105" s="7">
        <v>3.7</v>
      </c>
      <c r="G105" s="9">
        <v>5291</v>
      </c>
    </row>
    <row r="106" spans="1:7" ht="15.75" customHeight="1">
      <c r="A106" s="5">
        <v>45684</v>
      </c>
      <c r="B106" s="1" t="s">
        <v>27</v>
      </c>
      <c r="C106" s="9">
        <v>819</v>
      </c>
      <c r="D106" s="9">
        <v>101</v>
      </c>
      <c r="E106" s="9">
        <v>194811</v>
      </c>
      <c r="F106" s="7">
        <v>3.35</v>
      </c>
      <c r="G106" s="9">
        <v>22244</v>
      </c>
    </row>
    <row r="107" spans="1:7" ht="15.75" customHeight="1">
      <c r="A107" s="5">
        <v>45691</v>
      </c>
      <c r="B107" s="1" t="s">
        <v>13</v>
      </c>
      <c r="C107" s="9">
        <v>795</v>
      </c>
      <c r="D107" s="9">
        <v>60</v>
      </c>
      <c r="E107" s="9">
        <v>314982</v>
      </c>
      <c r="F107" s="7">
        <v>7.31</v>
      </c>
      <c r="G107" s="9">
        <v>6824</v>
      </c>
    </row>
    <row r="108" spans="1:7" ht="15.75" customHeight="1">
      <c r="A108" s="5">
        <v>45691</v>
      </c>
      <c r="B108" s="1" t="s">
        <v>22</v>
      </c>
      <c r="C108" s="9">
        <v>681</v>
      </c>
      <c r="D108" s="9">
        <v>158</v>
      </c>
      <c r="E108" s="9">
        <v>75960</v>
      </c>
      <c r="F108" s="7">
        <v>3.13</v>
      </c>
      <c r="G108" s="9">
        <v>24112</v>
      </c>
    </row>
    <row r="109" spans="1:7" ht="15.75" customHeight="1">
      <c r="A109" s="5">
        <v>45691</v>
      </c>
      <c r="B109" s="1" t="s">
        <v>27</v>
      </c>
      <c r="C109" s="9">
        <v>534</v>
      </c>
      <c r="D109" s="9">
        <v>112</v>
      </c>
      <c r="E109" s="9">
        <v>360759</v>
      </c>
      <c r="F109" s="7">
        <v>4.8899999999999997</v>
      </c>
      <c r="G109" s="9">
        <v>25478</v>
      </c>
    </row>
    <row r="110" spans="1:7" ht="15.75" customHeight="1">
      <c r="A110" s="5">
        <v>45698</v>
      </c>
      <c r="B110" s="1" t="s">
        <v>13</v>
      </c>
      <c r="C110" s="9">
        <v>1066</v>
      </c>
      <c r="D110" s="9">
        <v>151</v>
      </c>
      <c r="E110" s="9">
        <v>297090</v>
      </c>
      <c r="F110" s="7">
        <v>8.6300000000000008</v>
      </c>
      <c r="G110" s="9">
        <v>11235</v>
      </c>
    </row>
    <row r="111" spans="1:7" ht="15.75" customHeight="1">
      <c r="A111" s="5">
        <v>45698</v>
      </c>
      <c r="B111" s="1" t="s">
        <v>22</v>
      </c>
      <c r="C111" s="9">
        <v>1270</v>
      </c>
      <c r="D111" s="9">
        <v>162</v>
      </c>
      <c r="E111" s="9">
        <v>92040</v>
      </c>
      <c r="F111" s="7">
        <v>8.0299999999999994</v>
      </c>
      <c r="G111" s="9">
        <v>6120</v>
      </c>
    </row>
    <row r="112" spans="1:7" ht="15.75" customHeight="1">
      <c r="A112" s="5">
        <v>45698</v>
      </c>
      <c r="B112" s="1" t="s">
        <v>27</v>
      </c>
      <c r="C112" s="9">
        <v>536</v>
      </c>
      <c r="D112" s="9">
        <v>198</v>
      </c>
      <c r="E112" s="9">
        <v>174610</v>
      </c>
      <c r="F112" s="7">
        <v>7.85</v>
      </c>
      <c r="G112" s="9">
        <v>20572</v>
      </c>
    </row>
    <row r="113" spans="1:7" ht="15.75" customHeight="1">
      <c r="A113" s="5">
        <v>45705</v>
      </c>
      <c r="B113" s="1" t="s">
        <v>13</v>
      </c>
      <c r="C113" s="9">
        <v>819</v>
      </c>
      <c r="D113" s="9">
        <v>95</v>
      </c>
      <c r="E113" s="9">
        <v>177376</v>
      </c>
      <c r="F113" s="7">
        <v>6.12</v>
      </c>
      <c r="G113" s="9">
        <v>14975</v>
      </c>
    </row>
    <row r="114" spans="1:7" ht="15.75" customHeight="1">
      <c r="A114" s="5">
        <v>45705</v>
      </c>
      <c r="B114" s="1" t="s">
        <v>22</v>
      </c>
      <c r="C114" s="9">
        <v>681</v>
      </c>
      <c r="D114" s="9">
        <v>218</v>
      </c>
      <c r="E114" s="9">
        <v>198882</v>
      </c>
      <c r="F114" s="7">
        <v>7.16</v>
      </c>
      <c r="G114" s="9">
        <v>22234</v>
      </c>
    </row>
    <row r="115" spans="1:7" ht="15.75" customHeight="1">
      <c r="A115" s="5">
        <v>45705</v>
      </c>
      <c r="B115" s="1" t="s">
        <v>27</v>
      </c>
      <c r="C115" s="9">
        <v>646</v>
      </c>
      <c r="D115" s="9">
        <v>290</v>
      </c>
      <c r="E115" s="9">
        <v>336383</v>
      </c>
      <c r="F115" s="7">
        <v>7.04</v>
      </c>
      <c r="G115" s="9">
        <v>6532</v>
      </c>
    </row>
    <row r="116" spans="1:7" ht="15.75" customHeight="1">
      <c r="A116" s="5">
        <v>45712</v>
      </c>
      <c r="B116" s="1" t="s">
        <v>13</v>
      </c>
      <c r="C116" s="9">
        <v>645</v>
      </c>
      <c r="D116" s="9">
        <v>267</v>
      </c>
      <c r="E116" s="9">
        <v>346890</v>
      </c>
      <c r="F116" s="7">
        <v>3.71</v>
      </c>
      <c r="G116" s="9">
        <v>24858</v>
      </c>
    </row>
    <row r="117" spans="1:7" ht="15.75" customHeight="1">
      <c r="A117" s="5">
        <v>45712</v>
      </c>
      <c r="B117" s="1" t="s">
        <v>22</v>
      </c>
      <c r="C117" s="9">
        <v>886</v>
      </c>
      <c r="D117" s="9">
        <v>250</v>
      </c>
      <c r="E117" s="9">
        <v>168170</v>
      </c>
      <c r="F117" s="7">
        <v>4.12</v>
      </c>
      <c r="G117" s="9">
        <v>13883</v>
      </c>
    </row>
    <row r="118" spans="1:7" ht="15.75" customHeight="1">
      <c r="A118" s="5">
        <v>45712</v>
      </c>
      <c r="B118" s="1" t="s">
        <v>27</v>
      </c>
      <c r="C118" s="9">
        <v>978</v>
      </c>
      <c r="D118" s="9">
        <v>279</v>
      </c>
      <c r="E118" s="9">
        <v>368872</v>
      </c>
      <c r="F118" s="7">
        <v>6.82</v>
      </c>
      <c r="G118" s="9">
        <v>18654</v>
      </c>
    </row>
    <row r="119" spans="1:7" ht="15.75" customHeight="1">
      <c r="A119" s="5">
        <v>45719</v>
      </c>
      <c r="B119" s="1" t="s">
        <v>13</v>
      </c>
      <c r="C119" s="9">
        <v>1444</v>
      </c>
      <c r="D119" s="9">
        <v>165</v>
      </c>
      <c r="E119" s="9">
        <v>116436</v>
      </c>
      <c r="F119" s="7">
        <v>8.2200000000000006</v>
      </c>
      <c r="G119" s="9">
        <v>25234</v>
      </c>
    </row>
    <row r="120" spans="1:7" ht="15.75" customHeight="1">
      <c r="A120" s="5">
        <v>45719</v>
      </c>
      <c r="B120" s="1" t="s">
        <v>22</v>
      </c>
      <c r="C120" s="9">
        <v>1234</v>
      </c>
      <c r="D120" s="9">
        <v>228</v>
      </c>
      <c r="E120" s="9">
        <v>127502</v>
      </c>
      <c r="F120" s="7">
        <v>7.71</v>
      </c>
      <c r="G120" s="9">
        <v>6772</v>
      </c>
    </row>
    <row r="121" spans="1:7" ht="15.75" customHeight="1">
      <c r="A121" s="5">
        <v>45719</v>
      </c>
      <c r="B121" s="1" t="s">
        <v>27</v>
      </c>
      <c r="C121" s="9">
        <v>665</v>
      </c>
      <c r="D121" s="9">
        <v>187</v>
      </c>
      <c r="E121" s="9">
        <v>274567</v>
      </c>
      <c r="F121" s="7">
        <v>7.39</v>
      </c>
      <c r="G121" s="9">
        <v>22428</v>
      </c>
    </row>
    <row r="122" spans="1:7" ht="15.75" customHeight="1">
      <c r="A122" s="5">
        <v>45726</v>
      </c>
      <c r="B122" s="1" t="s">
        <v>13</v>
      </c>
      <c r="C122" s="9">
        <v>631</v>
      </c>
      <c r="D122" s="9">
        <v>86</v>
      </c>
      <c r="E122" s="9">
        <v>295090</v>
      </c>
      <c r="F122" s="7">
        <v>7.89</v>
      </c>
      <c r="G122" s="9">
        <v>11911</v>
      </c>
    </row>
    <row r="123" spans="1:7" ht="15.75" customHeight="1">
      <c r="A123" s="5">
        <v>45726</v>
      </c>
      <c r="B123" s="1" t="s">
        <v>22</v>
      </c>
      <c r="C123" s="9">
        <v>1159</v>
      </c>
      <c r="D123" s="9">
        <v>154</v>
      </c>
      <c r="E123" s="9">
        <v>194994</v>
      </c>
      <c r="F123" s="7">
        <v>6.39</v>
      </c>
      <c r="G123" s="9">
        <v>21900</v>
      </c>
    </row>
    <row r="124" spans="1:7" ht="15.75" customHeight="1">
      <c r="A124" s="5">
        <v>45726</v>
      </c>
      <c r="B124" s="1" t="s">
        <v>27</v>
      </c>
      <c r="C124" s="9">
        <v>950</v>
      </c>
      <c r="D124" s="9">
        <v>185</v>
      </c>
      <c r="E124" s="9">
        <v>340750</v>
      </c>
      <c r="F124" s="7">
        <v>6.77</v>
      </c>
      <c r="G124" s="9">
        <v>25542</v>
      </c>
    </row>
    <row r="125" spans="1:7" ht="15.75" customHeight="1">
      <c r="A125" s="5">
        <v>45733</v>
      </c>
      <c r="B125" s="1" t="s">
        <v>13</v>
      </c>
      <c r="C125" s="9">
        <v>693</v>
      </c>
      <c r="D125" s="9">
        <v>129</v>
      </c>
      <c r="E125" s="9">
        <v>296031</v>
      </c>
      <c r="F125" s="7">
        <v>3.41</v>
      </c>
      <c r="G125" s="9">
        <v>7140</v>
      </c>
    </row>
    <row r="126" spans="1:7" ht="15.75" customHeight="1">
      <c r="A126" s="5">
        <v>45733</v>
      </c>
      <c r="B126" s="1" t="s">
        <v>22</v>
      </c>
      <c r="C126" s="9">
        <v>576</v>
      </c>
      <c r="D126" s="9">
        <v>80</v>
      </c>
      <c r="E126" s="9">
        <v>345688</v>
      </c>
      <c r="F126" s="7">
        <v>4.1100000000000003</v>
      </c>
      <c r="G126" s="9">
        <v>20474</v>
      </c>
    </row>
    <row r="127" spans="1:7" ht="15.75" customHeight="1">
      <c r="A127" s="5">
        <v>45733</v>
      </c>
      <c r="B127" s="1" t="s">
        <v>27</v>
      </c>
      <c r="C127" s="9">
        <v>1274</v>
      </c>
      <c r="D127" s="9">
        <v>146</v>
      </c>
      <c r="E127" s="9">
        <v>263488</v>
      </c>
      <c r="F127" s="7">
        <v>9.58</v>
      </c>
      <c r="G127" s="9">
        <v>8698</v>
      </c>
    </row>
    <row r="128" spans="1:7" ht="15.75" customHeight="1">
      <c r="A128" s="5">
        <v>45740</v>
      </c>
      <c r="B128" s="1" t="s">
        <v>13</v>
      </c>
      <c r="C128" s="9">
        <v>818</v>
      </c>
      <c r="D128" s="9">
        <v>253</v>
      </c>
      <c r="E128" s="9">
        <v>184911</v>
      </c>
      <c r="F128" s="7">
        <v>3.39</v>
      </c>
      <c r="G128" s="9">
        <v>10402</v>
      </c>
    </row>
    <row r="129" spans="1:7" ht="15.75" customHeight="1">
      <c r="A129" s="5">
        <v>45740</v>
      </c>
      <c r="B129" s="1" t="s">
        <v>22</v>
      </c>
      <c r="C129" s="9">
        <v>975</v>
      </c>
      <c r="D129" s="9">
        <v>162</v>
      </c>
      <c r="E129" s="9">
        <v>124497</v>
      </c>
      <c r="F129" s="7">
        <v>9.58</v>
      </c>
      <c r="G129" s="9">
        <v>26618</v>
      </c>
    </row>
    <row r="130" spans="1:7" ht="15.75" customHeight="1">
      <c r="A130" s="5">
        <v>45740</v>
      </c>
      <c r="B130" s="1" t="s">
        <v>27</v>
      </c>
      <c r="C130" s="9">
        <v>1398</v>
      </c>
      <c r="D130" s="9">
        <v>97</v>
      </c>
      <c r="E130" s="9">
        <v>397607</v>
      </c>
      <c r="F130" s="7">
        <v>5.09</v>
      </c>
      <c r="G130" s="9">
        <v>7975</v>
      </c>
    </row>
    <row r="131" spans="1:7" ht="15.75" customHeight="1">
      <c r="A131" s="5">
        <v>45747</v>
      </c>
      <c r="B131" s="1" t="s">
        <v>13</v>
      </c>
      <c r="C131" s="9">
        <v>591</v>
      </c>
      <c r="D131" s="9">
        <v>155</v>
      </c>
      <c r="E131" s="9">
        <v>138521</v>
      </c>
      <c r="F131" s="7">
        <v>7.85</v>
      </c>
      <c r="G131" s="9">
        <v>19054</v>
      </c>
    </row>
    <row r="132" spans="1:7" ht="15.75" customHeight="1">
      <c r="A132" s="5">
        <v>45747</v>
      </c>
      <c r="B132" s="1" t="s">
        <v>22</v>
      </c>
      <c r="C132" s="9">
        <v>1232</v>
      </c>
      <c r="D132" s="9">
        <v>254</v>
      </c>
      <c r="E132" s="9">
        <v>107718</v>
      </c>
      <c r="F132" s="7">
        <v>9.7100000000000009</v>
      </c>
      <c r="G132" s="9">
        <v>13740</v>
      </c>
    </row>
    <row r="133" spans="1:7" ht="15.75" customHeight="1">
      <c r="A133" s="5">
        <v>45747</v>
      </c>
      <c r="B133" s="1" t="s">
        <v>27</v>
      </c>
      <c r="C133" s="9">
        <v>1425</v>
      </c>
      <c r="D133" s="9">
        <v>58</v>
      </c>
      <c r="E133" s="9">
        <v>202234</v>
      </c>
      <c r="F133" s="7">
        <v>6.67</v>
      </c>
      <c r="G133" s="9">
        <v>18442</v>
      </c>
    </row>
    <row r="134" spans="1:7" ht="15.75" customHeight="1">
      <c r="A134" s="5">
        <v>45754</v>
      </c>
      <c r="B134" s="1" t="s">
        <v>13</v>
      </c>
      <c r="C134" s="9">
        <v>1417</v>
      </c>
      <c r="D134" s="9">
        <v>80</v>
      </c>
      <c r="E134" s="9">
        <v>340987</v>
      </c>
      <c r="F134" s="7">
        <v>6.13</v>
      </c>
      <c r="G134" s="9">
        <v>10104</v>
      </c>
    </row>
    <row r="135" spans="1:7" ht="15.75" customHeight="1">
      <c r="A135" s="5">
        <v>45754</v>
      </c>
      <c r="B135" s="1" t="s">
        <v>22</v>
      </c>
      <c r="C135" s="9">
        <v>1222</v>
      </c>
      <c r="D135" s="9">
        <v>208</v>
      </c>
      <c r="E135" s="9">
        <v>340098</v>
      </c>
      <c r="F135" s="7">
        <v>7.34</v>
      </c>
      <c r="G135" s="9">
        <v>21771</v>
      </c>
    </row>
    <row r="136" spans="1:7" ht="15.75" customHeight="1">
      <c r="A136" s="5">
        <v>45754</v>
      </c>
      <c r="B136" s="1" t="s">
        <v>27</v>
      </c>
      <c r="C136" s="9">
        <v>1071</v>
      </c>
      <c r="D136" s="9">
        <v>131</v>
      </c>
      <c r="E136" s="9">
        <v>254727</v>
      </c>
      <c r="F136" s="7">
        <v>6.87</v>
      </c>
      <c r="G136" s="9">
        <v>22191</v>
      </c>
    </row>
    <row r="137" spans="1:7" ht="15.75" customHeight="1">
      <c r="A137" s="5">
        <v>45761</v>
      </c>
      <c r="B137" s="1" t="s">
        <v>13</v>
      </c>
      <c r="C137" s="9">
        <v>772</v>
      </c>
      <c r="D137" s="9">
        <v>82</v>
      </c>
      <c r="E137" s="9">
        <v>345659</v>
      </c>
      <c r="F137" s="7">
        <v>3.52</v>
      </c>
      <c r="G137" s="9">
        <v>27753</v>
      </c>
    </row>
    <row r="138" spans="1:7" ht="15.75" customHeight="1">
      <c r="A138" s="5">
        <v>45761</v>
      </c>
      <c r="B138" s="1" t="s">
        <v>22</v>
      </c>
      <c r="C138" s="9">
        <v>1472</v>
      </c>
      <c r="D138" s="9">
        <v>137</v>
      </c>
      <c r="E138" s="9">
        <v>213950</v>
      </c>
      <c r="F138" s="7">
        <v>6.96</v>
      </c>
      <c r="G138" s="9">
        <v>23736</v>
      </c>
    </row>
    <row r="139" spans="1:7" ht="15.75" customHeight="1">
      <c r="A139" s="5">
        <v>45761</v>
      </c>
      <c r="B139" s="1" t="s">
        <v>27</v>
      </c>
      <c r="C139" s="9">
        <v>1472</v>
      </c>
      <c r="D139" s="9">
        <v>281</v>
      </c>
      <c r="E139" s="9">
        <v>258115</v>
      </c>
      <c r="F139" s="7">
        <v>7.23</v>
      </c>
      <c r="G139" s="9">
        <v>27393</v>
      </c>
    </row>
    <row r="140" spans="1:7" ht="15.75" customHeight="1">
      <c r="A140" s="5">
        <v>45768</v>
      </c>
      <c r="B140" s="1" t="s">
        <v>13</v>
      </c>
      <c r="C140" s="9">
        <v>585</v>
      </c>
      <c r="D140" s="9">
        <v>232</v>
      </c>
      <c r="E140" s="9">
        <v>321258</v>
      </c>
      <c r="F140" s="7">
        <v>7.42</v>
      </c>
      <c r="G140" s="9">
        <v>10343</v>
      </c>
    </row>
    <row r="141" spans="1:7" ht="15.75" customHeight="1">
      <c r="A141" s="5">
        <v>45768</v>
      </c>
      <c r="B141" s="1" t="s">
        <v>22</v>
      </c>
      <c r="C141" s="9">
        <v>747</v>
      </c>
      <c r="D141" s="9">
        <v>261</v>
      </c>
      <c r="E141" s="9">
        <v>338650</v>
      </c>
      <c r="F141" s="7">
        <v>7.73</v>
      </c>
      <c r="G141" s="9">
        <v>25259</v>
      </c>
    </row>
    <row r="142" spans="1:7" ht="15.75" customHeight="1">
      <c r="A142" s="5">
        <v>45768</v>
      </c>
      <c r="B142" s="1" t="s">
        <v>27</v>
      </c>
      <c r="C142" s="9">
        <v>1113</v>
      </c>
      <c r="D142" s="9">
        <v>224</v>
      </c>
      <c r="E142" s="9">
        <v>272989</v>
      </c>
      <c r="F142" s="7">
        <v>5.13</v>
      </c>
      <c r="G142" s="9">
        <v>24827</v>
      </c>
    </row>
    <row r="143" spans="1:7" ht="15.75" customHeight="1">
      <c r="A143" s="5">
        <v>45775</v>
      </c>
      <c r="B143" s="1" t="s">
        <v>13</v>
      </c>
      <c r="C143" s="9">
        <v>1100</v>
      </c>
      <c r="D143" s="9">
        <v>117</v>
      </c>
      <c r="E143" s="9">
        <v>260204</v>
      </c>
      <c r="F143" s="7">
        <v>4.4000000000000004</v>
      </c>
      <c r="G143" s="9">
        <v>11908</v>
      </c>
    </row>
    <row r="144" spans="1:7" ht="15.75" customHeight="1">
      <c r="A144" s="5">
        <v>45775</v>
      </c>
      <c r="B144" s="1" t="s">
        <v>22</v>
      </c>
      <c r="C144" s="9">
        <v>751</v>
      </c>
      <c r="D144" s="9">
        <v>170</v>
      </c>
      <c r="E144" s="9">
        <v>283278</v>
      </c>
      <c r="F144" s="7">
        <v>3.49</v>
      </c>
      <c r="G144" s="9">
        <v>11005</v>
      </c>
    </row>
    <row r="145" spans="1:7" ht="15.75" customHeight="1">
      <c r="A145" s="5">
        <v>45775</v>
      </c>
      <c r="B145" s="1" t="s">
        <v>27</v>
      </c>
      <c r="C145" s="9">
        <v>864</v>
      </c>
      <c r="D145" s="9">
        <v>50</v>
      </c>
      <c r="E145" s="9">
        <v>277445</v>
      </c>
      <c r="F145" s="7">
        <v>3.57</v>
      </c>
      <c r="G145" s="9">
        <v>26333</v>
      </c>
    </row>
    <row r="146" spans="1:7" ht="15.75" customHeight="1">
      <c r="A146" s="5">
        <v>45782</v>
      </c>
      <c r="B146" s="1" t="s">
        <v>13</v>
      </c>
      <c r="C146" s="9">
        <v>1146</v>
      </c>
      <c r="D146" s="9">
        <v>227</v>
      </c>
      <c r="E146" s="9">
        <v>353781</v>
      </c>
      <c r="F146" s="7">
        <v>6.41</v>
      </c>
      <c r="G146" s="9">
        <v>5495</v>
      </c>
    </row>
    <row r="147" spans="1:7" ht="15.75" customHeight="1">
      <c r="A147" s="5">
        <v>45782</v>
      </c>
      <c r="B147" s="1" t="s">
        <v>22</v>
      </c>
      <c r="C147" s="9">
        <v>883</v>
      </c>
      <c r="D147" s="9">
        <v>207</v>
      </c>
      <c r="E147" s="9">
        <v>265019</v>
      </c>
      <c r="F147" s="7">
        <v>6.04</v>
      </c>
      <c r="G147" s="9">
        <v>15655</v>
      </c>
    </row>
    <row r="148" spans="1:7" ht="15.75" customHeight="1">
      <c r="A148" s="5">
        <v>45782</v>
      </c>
      <c r="B148" s="1" t="s">
        <v>27</v>
      </c>
      <c r="C148" s="9">
        <v>622</v>
      </c>
      <c r="D148" s="9">
        <v>163</v>
      </c>
      <c r="E148" s="9">
        <v>231925</v>
      </c>
      <c r="F148" s="7">
        <v>9.18</v>
      </c>
      <c r="G148" s="9">
        <v>13763</v>
      </c>
    </row>
    <row r="149" spans="1:7" ht="15.75" customHeight="1">
      <c r="A149" s="5">
        <v>45789</v>
      </c>
      <c r="B149" s="1" t="s">
        <v>13</v>
      </c>
      <c r="C149" s="9">
        <v>837</v>
      </c>
      <c r="D149" s="9">
        <v>261</v>
      </c>
      <c r="E149" s="9">
        <v>366149</v>
      </c>
      <c r="F149" s="7">
        <v>6.54</v>
      </c>
      <c r="G149" s="9">
        <v>26073</v>
      </c>
    </row>
    <row r="150" spans="1:7" ht="15.75" customHeight="1">
      <c r="A150" s="5">
        <v>45789</v>
      </c>
      <c r="B150" s="1" t="s">
        <v>22</v>
      </c>
      <c r="C150" s="9">
        <v>544</v>
      </c>
      <c r="D150" s="9">
        <v>97</v>
      </c>
      <c r="E150" s="9">
        <v>168375</v>
      </c>
      <c r="F150" s="7">
        <v>8.66</v>
      </c>
      <c r="G150" s="9">
        <v>12774</v>
      </c>
    </row>
    <row r="151" spans="1:7" ht="15.75" customHeight="1">
      <c r="A151" s="5">
        <v>45789</v>
      </c>
      <c r="B151" s="1" t="s">
        <v>27</v>
      </c>
      <c r="C151" s="9">
        <v>624</v>
      </c>
      <c r="D151" s="9">
        <v>247</v>
      </c>
      <c r="E151" s="9">
        <v>252763</v>
      </c>
      <c r="F151" s="7">
        <v>3.89</v>
      </c>
      <c r="G151" s="9">
        <v>19000</v>
      </c>
    </row>
    <row r="152" spans="1:7" ht="15.75" customHeight="1">
      <c r="A152" s="5">
        <v>45796</v>
      </c>
      <c r="B152" s="1" t="s">
        <v>13</v>
      </c>
      <c r="C152" s="9">
        <v>1073</v>
      </c>
      <c r="D152" s="9">
        <v>141</v>
      </c>
      <c r="E152" s="9">
        <v>118393</v>
      </c>
      <c r="F152" s="7">
        <v>7.95</v>
      </c>
      <c r="G152" s="9">
        <v>14051</v>
      </c>
    </row>
    <row r="153" spans="1:7" ht="15.75" customHeight="1">
      <c r="A153" s="5">
        <v>45796</v>
      </c>
      <c r="B153" s="1" t="s">
        <v>22</v>
      </c>
      <c r="C153" s="9">
        <v>1430</v>
      </c>
      <c r="D153" s="9">
        <v>74</v>
      </c>
      <c r="E153" s="9">
        <v>327012</v>
      </c>
      <c r="F153" s="7">
        <v>6.66</v>
      </c>
      <c r="G153" s="9">
        <v>27782</v>
      </c>
    </row>
    <row r="154" spans="1:7" ht="15.75" customHeight="1">
      <c r="A154" s="5">
        <v>45796</v>
      </c>
      <c r="B154" s="1" t="s">
        <v>27</v>
      </c>
      <c r="C154" s="9">
        <v>1358</v>
      </c>
      <c r="D154" s="9">
        <v>77</v>
      </c>
      <c r="E154" s="9">
        <v>169688</v>
      </c>
      <c r="F154" s="7">
        <v>5.25</v>
      </c>
      <c r="G154" s="9">
        <v>7859</v>
      </c>
    </row>
    <row r="155" spans="1:7" ht="15.75" customHeight="1">
      <c r="A155" s="5">
        <v>45803</v>
      </c>
      <c r="B155" s="1" t="s">
        <v>13</v>
      </c>
      <c r="C155" s="9">
        <v>1242</v>
      </c>
      <c r="D155" s="9">
        <v>201</v>
      </c>
      <c r="E155" s="9">
        <v>271935</v>
      </c>
      <c r="F155" s="7">
        <v>5.07</v>
      </c>
      <c r="G155" s="9">
        <v>15773</v>
      </c>
    </row>
    <row r="156" spans="1:7" ht="15.75" customHeight="1">
      <c r="A156" s="5">
        <v>45803</v>
      </c>
      <c r="B156" s="1" t="s">
        <v>22</v>
      </c>
      <c r="C156" s="9">
        <v>1389</v>
      </c>
      <c r="D156" s="9">
        <v>205</v>
      </c>
      <c r="E156" s="9">
        <v>315981</v>
      </c>
      <c r="F156" s="7">
        <v>7.62</v>
      </c>
      <c r="G156" s="9">
        <v>20595</v>
      </c>
    </row>
    <row r="157" spans="1:7" ht="15.75" customHeight="1">
      <c r="A157" s="5">
        <v>45803</v>
      </c>
      <c r="B157" s="1" t="s">
        <v>27</v>
      </c>
      <c r="C157" s="9">
        <v>826</v>
      </c>
      <c r="D157" s="9">
        <v>142</v>
      </c>
      <c r="E157" s="9">
        <v>341016</v>
      </c>
      <c r="F157" s="7">
        <v>7.44</v>
      </c>
      <c r="G157" s="9">
        <v>12031</v>
      </c>
    </row>
    <row r="158" spans="1:7" ht="15.75" customHeight="1">
      <c r="A158" s="5">
        <v>45810</v>
      </c>
      <c r="B158" s="1" t="s">
        <v>13</v>
      </c>
      <c r="C158" s="9">
        <v>618</v>
      </c>
      <c r="D158" s="9">
        <v>264</v>
      </c>
      <c r="E158" s="9">
        <v>285164</v>
      </c>
      <c r="F158" s="7">
        <v>4.8600000000000003</v>
      </c>
      <c r="G158" s="9">
        <v>15128</v>
      </c>
    </row>
    <row r="159" spans="1:7" ht="15.75" customHeight="1">
      <c r="A159" s="5">
        <v>45810</v>
      </c>
      <c r="B159" s="1" t="s">
        <v>22</v>
      </c>
      <c r="C159" s="9">
        <v>1419</v>
      </c>
      <c r="D159" s="9">
        <v>293</v>
      </c>
      <c r="E159" s="9">
        <v>116632</v>
      </c>
      <c r="F159" s="7">
        <v>6.93</v>
      </c>
      <c r="G159" s="9">
        <v>11826</v>
      </c>
    </row>
    <row r="160" spans="1:7" ht="15.75" customHeight="1">
      <c r="A160" s="5">
        <v>45810</v>
      </c>
      <c r="B160" s="1" t="s">
        <v>27</v>
      </c>
      <c r="C160" s="9">
        <v>637</v>
      </c>
      <c r="D160" s="9">
        <v>68</v>
      </c>
      <c r="E160" s="9">
        <v>115694</v>
      </c>
      <c r="F160" s="7">
        <v>9.99</v>
      </c>
      <c r="G160" s="9">
        <v>12562</v>
      </c>
    </row>
    <row r="161" spans="1:7" ht="15.75" customHeight="1">
      <c r="A161" s="5">
        <v>45817</v>
      </c>
      <c r="B161" s="1" t="s">
        <v>13</v>
      </c>
      <c r="C161" s="9">
        <v>917</v>
      </c>
      <c r="D161" s="9">
        <v>187</v>
      </c>
      <c r="E161" s="9">
        <v>64444</v>
      </c>
      <c r="F161" s="7">
        <v>5.22</v>
      </c>
      <c r="G161" s="9">
        <v>13013</v>
      </c>
    </row>
    <row r="162" spans="1:7" ht="15.75" customHeight="1">
      <c r="A162" s="5">
        <v>45817</v>
      </c>
      <c r="B162" s="1" t="s">
        <v>22</v>
      </c>
      <c r="C162" s="9">
        <v>810</v>
      </c>
      <c r="D162" s="9">
        <v>232</v>
      </c>
      <c r="E162" s="9">
        <v>362559</v>
      </c>
      <c r="F162" s="7">
        <v>5.17</v>
      </c>
      <c r="G162" s="9">
        <v>12937</v>
      </c>
    </row>
    <row r="163" spans="1:7" ht="15.75" customHeight="1">
      <c r="A163" s="5">
        <v>45817</v>
      </c>
      <c r="B163" s="1" t="s">
        <v>27</v>
      </c>
      <c r="C163" s="9">
        <v>1183</v>
      </c>
      <c r="D163" s="9">
        <v>248</v>
      </c>
      <c r="E163" s="9">
        <v>226881</v>
      </c>
      <c r="F163" s="7">
        <v>5.17</v>
      </c>
      <c r="G163" s="9">
        <v>14534</v>
      </c>
    </row>
    <row r="164" spans="1:7" ht="15.75" customHeight="1">
      <c r="A164" s="5">
        <v>45824</v>
      </c>
      <c r="B164" s="1" t="s">
        <v>13</v>
      </c>
      <c r="C164" s="9">
        <v>765</v>
      </c>
      <c r="D164" s="9">
        <v>67</v>
      </c>
      <c r="E164" s="9">
        <v>283537</v>
      </c>
      <c r="F164" s="7">
        <v>6.18</v>
      </c>
      <c r="G164" s="9">
        <v>8182</v>
      </c>
    </row>
    <row r="165" spans="1:7" ht="15.75" customHeight="1">
      <c r="A165" s="5">
        <v>45824</v>
      </c>
      <c r="B165" s="1" t="s">
        <v>22</v>
      </c>
      <c r="C165" s="9">
        <v>540</v>
      </c>
      <c r="D165" s="9">
        <v>215</v>
      </c>
      <c r="E165" s="9">
        <v>62837</v>
      </c>
      <c r="F165" s="7">
        <v>5.3</v>
      </c>
      <c r="G165" s="9">
        <v>10615</v>
      </c>
    </row>
    <row r="166" spans="1:7" ht="15.75" customHeight="1">
      <c r="A166" s="5">
        <v>45824</v>
      </c>
      <c r="B166" s="1" t="s">
        <v>27</v>
      </c>
      <c r="C166" s="9">
        <v>1145</v>
      </c>
      <c r="D166" s="9">
        <v>151</v>
      </c>
      <c r="E166" s="9">
        <v>182759</v>
      </c>
      <c r="F166" s="7">
        <v>5.99</v>
      </c>
      <c r="G166" s="9">
        <v>20109</v>
      </c>
    </row>
    <row r="167" spans="1:7" ht="15.75" customHeight="1">
      <c r="A167" s="5">
        <v>45831</v>
      </c>
      <c r="B167" s="1" t="s">
        <v>13</v>
      </c>
      <c r="C167" s="9">
        <v>564</v>
      </c>
      <c r="D167" s="9">
        <v>244</v>
      </c>
      <c r="E167" s="9">
        <v>279405</v>
      </c>
      <c r="F167" s="7">
        <v>8.43</v>
      </c>
      <c r="G167" s="9">
        <v>26024</v>
      </c>
    </row>
    <row r="168" spans="1:7" ht="15.75" customHeight="1">
      <c r="A168" s="5">
        <v>45831</v>
      </c>
      <c r="B168" s="1" t="s">
        <v>22</v>
      </c>
      <c r="C168" s="9">
        <v>668</v>
      </c>
      <c r="D168" s="9">
        <v>124</v>
      </c>
      <c r="E168" s="9">
        <v>257485</v>
      </c>
      <c r="F168" s="7">
        <v>7.55</v>
      </c>
      <c r="G168" s="9">
        <v>26730</v>
      </c>
    </row>
    <row r="169" spans="1:7" ht="15.75" customHeight="1">
      <c r="A169" s="5">
        <v>45831</v>
      </c>
      <c r="B169" s="1" t="s">
        <v>27</v>
      </c>
      <c r="C169" s="9">
        <v>761</v>
      </c>
      <c r="D169" s="9">
        <v>241</v>
      </c>
      <c r="E169" s="9">
        <v>154977</v>
      </c>
      <c r="F169" s="7">
        <v>5.63</v>
      </c>
      <c r="G169" s="9">
        <v>10563</v>
      </c>
    </row>
    <row r="170" spans="1:7" ht="15.75" customHeight="1">
      <c r="A170" s="5">
        <v>45838</v>
      </c>
      <c r="B170" s="1" t="s">
        <v>13</v>
      </c>
      <c r="C170" s="9">
        <v>593</v>
      </c>
      <c r="D170" s="9">
        <v>108</v>
      </c>
      <c r="E170" s="9">
        <v>216500</v>
      </c>
      <c r="F170" s="7">
        <v>4.71</v>
      </c>
      <c r="G170" s="9">
        <v>27575</v>
      </c>
    </row>
    <row r="171" spans="1:7" ht="15.75" customHeight="1">
      <c r="A171" s="5">
        <v>45838</v>
      </c>
      <c r="B171" s="1" t="s">
        <v>22</v>
      </c>
      <c r="C171" s="9">
        <v>1349</v>
      </c>
      <c r="D171" s="9">
        <v>115</v>
      </c>
      <c r="E171" s="9">
        <v>102102</v>
      </c>
      <c r="F171" s="7">
        <v>5.28</v>
      </c>
      <c r="G171" s="9">
        <v>14479</v>
      </c>
    </row>
    <row r="172" spans="1:7" ht="15.75" customHeight="1">
      <c r="A172" s="5">
        <v>45838</v>
      </c>
      <c r="B172" s="1" t="s">
        <v>27</v>
      </c>
      <c r="C172" s="9">
        <v>693</v>
      </c>
      <c r="D172" s="9">
        <v>97</v>
      </c>
      <c r="E172" s="9">
        <v>92025</v>
      </c>
      <c r="F172" s="7">
        <v>5.95</v>
      </c>
      <c r="G172" s="9">
        <v>15915</v>
      </c>
    </row>
    <row r="173" spans="1:7" ht="15.75" customHeight="1">
      <c r="A173" s="5">
        <v>45845</v>
      </c>
      <c r="B173" s="1" t="s">
        <v>13</v>
      </c>
      <c r="C173" s="9">
        <v>974</v>
      </c>
      <c r="D173" s="9">
        <v>143</v>
      </c>
      <c r="E173" s="9">
        <v>247965</v>
      </c>
      <c r="F173" s="7">
        <v>9.98</v>
      </c>
      <c r="G173" s="9">
        <v>12767</v>
      </c>
    </row>
    <row r="174" spans="1:7" ht="15.75" customHeight="1">
      <c r="A174" s="5">
        <v>45845</v>
      </c>
      <c r="B174" s="1" t="s">
        <v>22</v>
      </c>
      <c r="C174" s="9">
        <v>1155</v>
      </c>
      <c r="D174" s="9">
        <v>122</v>
      </c>
      <c r="E174" s="9">
        <v>387352</v>
      </c>
      <c r="F174" s="7">
        <v>9.93</v>
      </c>
      <c r="G174" s="9">
        <v>12170</v>
      </c>
    </row>
    <row r="175" spans="1:7" ht="15.75" customHeight="1">
      <c r="A175" s="5">
        <v>45845</v>
      </c>
      <c r="B175" s="1" t="s">
        <v>27</v>
      </c>
      <c r="C175" s="9">
        <v>1051</v>
      </c>
      <c r="D175" s="9">
        <v>246</v>
      </c>
      <c r="E175" s="9">
        <v>253985</v>
      </c>
      <c r="F175" s="7">
        <v>9.08</v>
      </c>
      <c r="G175" s="9">
        <v>7245</v>
      </c>
    </row>
    <row r="176" spans="1:7" ht="15.75" customHeight="1">
      <c r="A176" s="5">
        <v>45852</v>
      </c>
      <c r="B176" s="1" t="s">
        <v>13</v>
      </c>
      <c r="C176" s="9">
        <v>1457</v>
      </c>
      <c r="D176" s="9">
        <v>183</v>
      </c>
      <c r="E176" s="9">
        <v>129640</v>
      </c>
      <c r="F176" s="7">
        <v>7.98</v>
      </c>
      <c r="G176" s="9">
        <v>12985</v>
      </c>
    </row>
    <row r="177" spans="1:7" ht="15.75" customHeight="1">
      <c r="A177" s="5">
        <v>45852</v>
      </c>
      <c r="B177" s="1" t="s">
        <v>22</v>
      </c>
      <c r="C177" s="9">
        <v>670</v>
      </c>
      <c r="D177" s="9">
        <v>242</v>
      </c>
      <c r="E177" s="9">
        <v>281913</v>
      </c>
      <c r="F177" s="7">
        <v>9.6199999999999992</v>
      </c>
      <c r="G177" s="9">
        <v>16377</v>
      </c>
    </row>
    <row r="178" spans="1:7" ht="15.75" customHeight="1">
      <c r="A178" s="5">
        <v>45852</v>
      </c>
      <c r="B178" s="1" t="s">
        <v>27</v>
      </c>
      <c r="C178" s="9">
        <v>1111</v>
      </c>
      <c r="D178" s="9">
        <v>159</v>
      </c>
      <c r="E178" s="9">
        <v>360770</v>
      </c>
      <c r="F178" s="7">
        <v>8.7100000000000009</v>
      </c>
      <c r="G178" s="9">
        <v>11453</v>
      </c>
    </row>
    <row r="179" spans="1:7" ht="15.75" customHeight="1">
      <c r="A179" s="5">
        <v>45859</v>
      </c>
      <c r="B179" s="1" t="s">
        <v>13</v>
      </c>
      <c r="C179" s="9">
        <v>1197</v>
      </c>
      <c r="D179" s="9">
        <v>246</v>
      </c>
      <c r="E179" s="9">
        <v>127273</v>
      </c>
      <c r="F179" s="7">
        <v>6.69</v>
      </c>
      <c r="G179" s="9">
        <v>12323</v>
      </c>
    </row>
    <row r="180" spans="1:7" ht="15.75" customHeight="1">
      <c r="A180" s="5">
        <v>45859</v>
      </c>
      <c r="B180" s="1" t="s">
        <v>22</v>
      </c>
      <c r="C180" s="9">
        <v>754</v>
      </c>
      <c r="D180" s="9">
        <v>150</v>
      </c>
      <c r="E180" s="9">
        <v>189622</v>
      </c>
      <c r="F180" s="7">
        <v>4.25</v>
      </c>
      <c r="G180" s="9">
        <v>11911</v>
      </c>
    </row>
    <row r="181" spans="1:7" ht="15.75" customHeight="1">
      <c r="A181" s="5">
        <v>45859</v>
      </c>
      <c r="B181" s="1" t="s">
        <v>27</v>
      </c>
      <c r="C181" s="9">
        <v>1246</v>
      </c>
      <c r="D181" s="9">
        <v>107</v>
      </c>
      <c r="E181" s="9">
        <v>350949</v>
      </c>
      <c r="F181" s="7">
        <v>4.9800000000000004</v>
      </c>
      <c r="G181" s="9">
        <v>27809</v>
      </c>
    </row>
    <row r="182" spans="1:7" ht="15.75" customHeight="1">
      <c r="A182" s="5">
        <v>45866</v>
      </c>
      <c r="B182" s="1" t="s">
        <v>13</v>
      </c>
      <c r="C182" s="9">
        <v>780</v>
      </c>
      <c r="D182" s="9">
        <v>213</v>
      </c>
      <c r="E182" s="9">
        <v>121431</v>
      </c>
      <c r="F182" s="7">
        <v>4.97</v>
      </c>
      <c r="G182" s="9">
        <v>21464</v>
      </c>
    </row>
    <row r="183" spans="1:7" ht="15.75" customHeight="1">
      <c r="A183" s="5">
        <v>45866</v>
      </c>
      <c r="B183" s="1" t="s">
        <v>22</v>
      </c>
      <c r="C183" s="9">
        <v>1425</v>
      </c>
      <c r="D183" s="9">
        <v>143</v>
      </c>
      <c r="E183" s="9">
        <v>116742</v>
      </c>
      <c r="F183" s="7">
        <v>3.71</v>
      </c>
      <c r="G183" s="9">
        <v>27126</v>
      </c>
    </row>
    <row r="184" spans="1:7" ht="15.75" customHeight="1">
      <c r="A184" s="5">
        <v>45866</v>
      </c>
      <c r="B184" s="1" t="s">
        <v>27</v>
      </c>
      <c r="C184" s="9">
        <v>1490</v>
      </c>
      <c r="D184" s="9">
        <v>103</v>
      </c>
      <c r="E184" s="9">
        <v>81184</v>
      </c>
      <c r="F184" s="7">
        <v>7.79</v>
      </c>
      <c r="G184" s="9">
        <v>10681</v>
      </c>
    </row>
    <row r="185" spans="1:7" ht="15.75" customHeight="1">
      <c r="A185" s="5">
        <v>45873</v>
      </c>
      <c r="B185" s="1" t="s">
        <v>13</v>
      </c>
      <c r="C185" s="9">
        <v>949</v>
      </c>
      <c r="D185" s="9">
        <v>282</v>
      </c>
      <c r="E185" s="9">
        <v>87126</v>
      </c>
      <c r="F185" s="7">
        <v>4.96</v>
      </c>
      <c r="G185" s="9">
        <v>5413</v>
      </c>
    </row>
    <row r="186" spans="1:7" ht="15.75" customHeight="1">
      <c r="A186" s="5">
        <v>45873</v>
      </c>
      <c r="B186" s="1" t="s">
        <v>22</v>
      </c>
      <c r="C186" s="9">
        <v>640</v>
      </c>
      <c r="D186" s="9">
        <v>141</v>
      </c>
      <c r="E186" s="9">
        <v>267546</v>
      </c>
      <c r="F186" s="7">
        <v>8.58</v>
      </c>
      <c r="G186" s="9">
        <v>25058</v>
      </c>
    </row>
    <row r="187" spans="1:7" ht="15.75" customHeight="1">
      <c r="A187" s="5">
        <v>45873</v>
      </c>
      <c r="B187" s="1" t="s">
        <v>27</v>
      </c>
      <c r="C187" s="9">
        <v>616</v>
      </c>
      <c r="D187" s="9">
        <v>93</v>
      </c>
      <c r="E187" s="9">
        <v>133082</v>
      </c>
      <c r="F187" s="7">
        <v>8.51</v>
      </c>
      <c r="G187" s="9">
        <v>18303</v>
      </c>
    </row>
    <row r="188" spans="1:7" ht="15.75" customHeight="1">
      <c r="A188" s="5">
        <v>45880</v>
      </c>
      <c r="B188" s="1" t="s">
        <v>13</v>
      </c>
      <c r="C188" s="9">
        <v>1080</v>
      </c>
      <c r="D188" s="9">
        <v>184</v>
      </c>
      <c r="E188" s="9">
        <v>340557</v>
      </c>
      <c r="F188" s="7">
        <v>5.41</v>
      </c>
      <c r="G188" s="9">
        <v>5526</v>
      </c>
    </row>
    <row r="189" spans="1:7" ht="15.75" customHeight="1">
      <c r="A189" s="5">
        <v>45880</v>
      </c>
      <c r="B189" s="1" t="s">
        <v>22</v>
      </c>
      <c r="C189" s="9">
        <v>938</v>
      </c>
      <c r="D189" s="9">
        <v>236</v>
      </c>
      <c r="E189" s="9">
        <v>116472</v>
      </c>
      <c r="F189" s="7">
        <v>8.7200000000000006</v>
      </c>
      <c r="G189" s="9">
        <v>17460</v>
      </c>
    </row>
    <row r="190" spans="1:7" ht="15.75" customHeight="1">
      <c r="A190" s="5">
        <v>45880</v>
      </c>
      <c r="B190" s="1" t="s">
        <v>27</v>
      </c>
      <c r="C190" s="9">
        <v>1007</v>
      </c>
      <c r="D190" s="9">
        <v>258</v>
      </c>
      <c r="E190" s="9">
        <v>113412</v>
      </c>
      <c r="F190" s="7">
        <v>7.71</v>
      </c>
      <c r="G190" s="9">
        <v>14475</v>
      </c>
    </row>
    <row r="191" spans="1:7" ht="15.75" customHeight="1">
      <c r="A191" s="5">
        <v>45887</v>
      </c>
      <c r="B191" s="1" t="s">
        <v>13</v>
      </c>
      <c r="C191" s="9">
        <v>541</v>
      </c>
      <c r="D191" s="9">
        <v>208</v>
      </c>
      <c r="E191" s="9">
        <v>157547</v>
      </c>
      <c r="F191" s="7">
        <v>8.35</v>
      </c>
      <c r="G191" s="9">
        <v>20162</v>
      </c>
    </row>
    <row r="192" spans="1:7" ht="15.75" customHeight="1">
      <c r="A192" s="5">
        <v>45887</v>
      </c>
      <c r="B192" s="1" t="s">
        <v>22</v>
      </c>
      <c r="C192" s="9">
        <v>745</v>
      </c>
      <c r="D192" s="9">
        <v>98</v>
      </c>
      <c r="E192" s="9">
        <v>354816</v>
      </c>
      <c r="F192" s="7">
        <v>4.03</v>
      </c>
      <c r="G192" s="9">
        <v>17103</v>
      </c>
    </row>
    <row r="193" spans="1:7" ht="15.75" customHeight="1">
      <c r="A193" s="5">
        <v>45887</v>
      </c>
      <c r="B193" s="1" t="s">
        <v>27</v>
      </c>
      <c r="C193" s="9">
        <v>936</v>
      </c>
      <c r="D193" s="9">
        <v>97</v>
      </c>
      <c r="E193" s="9">
        <v>151799</v>
      </c>
      <c r="F193" s="7">
        <v>9.3699999999999992</v>
      </c>
      <c r="G193" s="9">
        <v>15461</v>
      </c>
    </row>
    <row r="194" spans="1:7" ht="15.75" customHeight="1">
      <c r="A194" s="5">
        <v>45894</v>
      </c>
      <c r="B194" s="1" t="s">
        <v>13</v>
      </c>
      <c r="C194" s="9">
        <v>1183</v>
      </c>
      <c r="D194" s="9">
        <v>223</v>
      </c>
      <c r="E194" s="9">
        <v>143811</v>
      </c>
      <c r="F194" s="7">
        <v>6.07</v>
      </c>
      <c r="G194" s="9">
        <v>22103</v>
      </c>
    </row>
    <row r="195" spans="1:7" ht="15.75" customHeight="1">
      <c r="A195" s="5">
        <v>45894</v>
      </c>
      <c r="B195" s="1" t="s">
        <v>22</v>
      </c>
      <c r="C195" s="9">
        <v>1413</v>
      </c>
      <c r="D195" s="9">
        <v>245</v>
      </c>
      <c r="E195" s="9">
        <v>296450</v>
      </c>
      <c r="F195" s="7">
        <v>6.52</v>
      </c>
      <c r="G195" s="9">
        <v>11625</v>
      </c>
    </row>
    <row r="196" spans="1:7" ht="15.75" customHeight="1">
      <c r="A196" s="5">
        <v>45894</v>
      </c>
      <c r="B196" s="1" t="s">
        <v>27</v>
      </c>
      <c r="C196" s="9">
        <v>791</v>
      </c>
      <c r="D196" s="9">
        <v>273</v>
      </c>
      <c r="E196" s="9">
        <v>144049</v>
      </c>
      <c r="F196" s="7">
        <v>3.08</v>
      </c>
      <c r="G196" s="9">
        <v>5281</v>
      </c>
    </row>
    <row r="197" spans="1:7" ht="15.75" customHeight="1">
      <c r="A197" s="5">
        <v>45901</v>
      </c>
      <c r="B197" s="1" t="s">
        <v>13</v>
      </c>
      <c r="C197" s="9">
        <v>1052</v>
      </c>
      <c r="D197" s="9">
        <v>180</v>
      </c>
      <c r="E197" s="9">
        <v>272534</v>
      </c>
      <c r="F197" s="7">
        <v>5.34</v>
      </c>
      <c r="G197" s="9">
        <v>13424</v>
      </c>
    </row>
    <row r="198" spans="1:7" ht="15.75" customHeight="1">
      <c r="A198" s="5">
        <v>45901</v>
      </c>
      <c r="B198" s="1" t="s">
        <v>22</v>
      </c>
      <c r="C198" s="9">
        <v>572</v>
      </c>
      <c r="D198" s="9">
        <v>270</v>
      </c>
      <c r="E198" s="9">
        <v>82265</v>
      </c>
      <c r="F198" s="7">
        <v>3.65</v>
      </c>
      <c r="G198" s="9">
        <v>13140</v>
      </c>
    </row>
    <row r="199" spans="1:7" ht="15.75" customHeight="1">
      <c r="A199" s="5">
        <v>45901</v>
      </c>
      <c r="B199" s="1" t="s">
        <v>27</v>
      </c>
      <c r="C199" s="9">
        <v>503</v>
      </c>
      <c r="D199" s="9">
        <v>253</v>
      </c>
      <c r="E199" s="9">
        <v>313562</v>
      </c>
      <c r="F199" s="7">
        <v>4.18</v>
      </c>
      <c r="G199" s="9">
        <v>19538</v>
      </c>
    </row>
    <row r="200" spans="1:7" ht="15.75" customHeight="1">
      <c r="A200" s="5">
        <v>45908</v>
      </c>
      <c r="B200" s="1" t="s">
        <v>13</v>
      </c>
      <c r="C200" s="9">
        <v>1017</v>
      </c>
      <c r="D200" s="9">
        <v>197</v>
      </c>
      <c r="E200" s="9">
        <v>89918</v>
      </c>
      <c r="F200" s="7">
        <v>3.91</v>
      </c>
      <c r="G200" s="9">
        <v>7881</v>
      </c>
    </row>
    <row r="201" spans="1:7" ht="15.75" customHeight="1">
      <c r="A201" s="5">
        <v>45908</v>
      </c>
      <c r="B201" s="1" t="s">
        <v>22</v>
      </c>
      <c r="C201" s="9">
        <v>860</v>
      </c>
      <c r="D201" s="9">
        <v>244</v>
      </c>
      <c r="E201" s="9">
        <v>348686</v>
      </c>
      <c r="F201" s="7">
        <v>5.12</v>
      </c>
      <c r="G201" s="9">
        <v>11418</v>
      </c>
    </row>
    <row r="202" spans="1:7" ht="15.75" customHeight="1"/>
    <row r="203" spans="1:7" ht="15.75" customHeight="1"/>
    <row r="204" spans="1:7" ht="15.75" customHeight="1"/>
    <row r="205" spans="1:7" ht="15.75" customHeight="1"/>
    <row r="206" spans="1:7" ht="15.75" customHeight="1"/>
    <row r="207" spans="1:7" ht="15.75" customHeight="1"/>
    <row r="208" spans="1:7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000"/>
  <sheetViews>
    <sheetView workbookViewId="0">
      <selection activeCell="F10" sqref="F10"/>
    </sheetView>
  </sheetViews>
  <sheetFormatPr defaultColWidth="14.42578125" defaultRowHeight="15" customHeight="1"/>
  <cols>
    <col min="1" max="1" width="18.140625" style="2" customWidth="1"/>
    <col min="2" max="2" width="12.42578125" style="2" customWidth="1"/>
    <col min="3" max="3" width="11.5703125" style="2" customWidth="1"/>
    <col min="4" max="4" width="16.42578125" style="2" bestFit="1" customWidth="1"/>
    <col min="5" max="5" width="14.85546875" style="10" customWidth="1"/>
    <col min="6" max="6" width="19" style="2" bestFit="1" customWidth="1"/>
    <col min="7" max="8" width="18.5703125" style="2" customWidth="1"/>
    <col min="9" max="11" width="8.7109375" style="2" customWidth="1"/>
    <col min="12" max="12" width="16" style="2" bestFit="1" customWidth="1"/>
    <col min="13" max="25" width="8.7109375" style="2" customWidth="1"/>
    <col min="26" max="16384" width="14.42578125" style="2"/>
  </cols>
  <sheetData>
    <row r="1" spans="1:12">
      <c r="A1" s="3" t="s">
        <v>11</v>
      </c>
      <c r="B1" s="3" t="s">
        <v>337</v>
      </c>
      <c r="C1" s="3" t="s">
        <v>338</v>
      </c>
      <c r="D1" s="3" t="s">
        <v>339</v>
      </c>
      <c r="E1" s="11" t="s">
        <v>340</v>
      </c>
      <c r="F1" s="3" t="s">
        <v>341</v>
      </c>
      <c r="G1" s="13" t="s">
        <v>358</v>
      </c>
      <c r="H1" s="13" t="s">
        <v>359</v>
      </c>
    </row>
    <row r="2" spans="1:12">
      <c r="A2" s="4" t="s">
        <v>49</v>
      </c>
      <c r="B2" s="4" t="s">
        <v>342</v>
      </c>
      <c r="C2" s="4" t="s">
        <v>343</v>
      </c>
      <c r="D2" s="4" t="s">
        <v>344</v>
      </c>
      <c r="E2" s="12">
        <v>175000</v>
      </c>
      <c r="F2" s="4" t="s">
        <v>345</v>
      </c>
      <c r="G2" s="2" t="s">
        <v>365</v>
      </c>
      <c r="H2" s="2" t="s">
        <v>364</v>
      </c>
      <c r="J2" s="23"/>
      <c r="K2" s="23"/>
      <c r="L2" s="13"/>
    </row>
    <row r="3" spans="1:12">
      <c r="A3" s="4" t="s">
        <v>46</v>
      </c>
      <c r="B3" s="4" t="s">
        <v>346</v>
      </c>
      <c r="C3" s="4" t="s">
        <v>347</v>
      </c>
      <c r="D3" s="4" t="s">
        <v>348</v>
      </c>
      <c r="E3" s="12">
        <v>225000</v>
      </c>
      <c r="F3" s="4" t="s">
        <v>349</v>
      </c>
      <c r="G3" s="2" t="s">
        <v>365</v>
      </c>
      <c r="H3" s="2" t="s">
        <v>34</v>
      </c>
      <c r="J3" s="23"/>
      <c r="K3" s="23"/>
    </row>
    <row r="4" spans="1:12">
      <c r="A4" s="4" t="s">
        <v>16</v>
      </c>
      <c r="B4" s="4" t="s">
        <v>350</v>
      </c>
      <c r="C4" s="4" t="s">
        <v>351</v>
      </c>
      <c r="D4" s="4" t="s">
        <v>352</v>
      </c>
      <c r="E4" s="12">
        <v>200000</v>
      </c>
      <c r="F4" s="4" t="s">
        <v>353</v>
      </c>
      <c r="G4" s="2" t="s">
        <v>366</v>
      </c>
      <c r="H4" s="2" t="s">
        <v>37</v>
      </c>
      <c r="J4" s="23"/>
      <c r="K4" s="23"/>
    </row>
    <row r="5" spans="1:12">
      <c r="A5" s="4" t="s">
        <v>20</v>
      </c>
      <c r="B5" s="4" t="s">
        <v>354</v>
      </c>
      <c r="C5" s="4" t="s">
        <v>355</v>
      </c>
      <c r="D5" s="4" t="s">
        <v>356</v>
      </c>
      <c r="E5" s="12">
        <v>160000</v>
      </c>
      <c r="F5" s="4" t="s">
        <v>357</v>
      </c>
      <c r="G5" s="2" t="s">
        <v>19</v>
      </c>
      <c r="H5" s="2" t="s">
        <v>367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10" type="noConversion"/>
  <pageMargins left="0.7" right="0.7" top="0.75" bottom="0.75" header="0" footer="0"/>
  <pageSetup orientation="landscape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9A33E86-E062-4CD4-AA44-4E14C16AFF8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Posts</vt:lpstr>
      <vt:lpstr>4.1Hastag_summary</vt:lpstr>
      <vt:lpstr>4.2ContentType</vt:lpstr>
      <vt:lpstr>4.3OptimalContentTypePlatform</vt:lpstr>
      <vt:lpstr>Engagement Summary</vt:lpstr>
      <vt:lpstr>Campaign 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2025-08-26T05:40:30Z</dcterms:created>
  <dcterms:modified xsi:type="dcterms:W3CDTF">2025-09-03T05:57:37Z</dcterms:modified>
</cp:coreProperties>
</file>
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Project_Spotify\"/>
    </mc:Choice>
  </mc:AlternateContent>
  <xr:revisionPtr revIDLastSave="0" documentId="13_ncr:1_{B2BB17A1-1C6B-4543-8EB8-0BBE28CF1A4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osts" sheetId="1" r:id="rId1"/>
    <sheet name="Engagement Summary" sheetId="2" r:id="rId2"/>
    <sheet name="Campaign Metadata" sheetId="3" r:id="rId3"/>
    <sheet name="Video_Lin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K2" i="3"/>
  <c r="E2" i="3"/>
  <c r="L2" i="3" s="1"/>
  <c r="D2" i="3"/>
  <c r="L3" i="3"/>
  <c r="L4" i="3"/>
  <c r="L5" i="3"/>
  <c r="E3" i="3"/>
  <c r="E4" i="3"/>
  <c r="E5" i="3"/>
  <c r="K3" i="3"/>
  <c r="K4" i="3"/>
  <c r="K5" i="3"/>
  <c r="D3" i="3"/>
  <c r="D4" i="3"/>
  <c r="D5" i="3"/>
</calcChain>
</file>

<file path=xl/sharedStrings.xml><?xml version="1.0" encoding="utf-8"?>
<sst xmlns="http://schemas.openxmlformats.org/spreadsheetml/2006/main" count="2252" uniqueCount="379">
  <si>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</si>
  <si>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</si>
  <si>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</si>
  <si>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</si>
  <si>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</si>
  <si>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</si>
  <si>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</si>
  <si>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</si>
  <si>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</si>
  <si>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</si>
  <si>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</si>
  <si>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</si>
  <si>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</si>
  <si>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</si>
  <si>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</si>
  <si>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</si>
  <si>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</si>
  <si>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</si>
  <si>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</si>
  <si>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</si>
  <si>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</si>
  <si>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</si>
  <si>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</si>
  <si>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</si>
  <si>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</si>
  <si>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</si>
  <si>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</si>
  <si>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</si>
  <si>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</si>
  <si>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</si>
  <si>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</si>
  <si>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</si>
  <si>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</si>
  <si>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</si>
  <si>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</si>
  <si>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</si>
  <si>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</si>
  <si>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</si>
  <si>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</si>
  <si>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</si>
  <si>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</si>
  <si>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</si>
  <si>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</si>
  <si>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</si>
  <si>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</si>
  <si>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</si>
  <si>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</si>
  <si>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</si>
  <si>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</si>
  <si>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</si>
  <si>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</si>
  <si>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</si>
  <si>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</si>
  <si>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</si>
  <si>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</si>
  <si>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</si>
  <si>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</si>
  <si>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</si>
  <si>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</si>
  <si>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</si>
  <si>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</si>
  <si>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</si>
  <si>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</si>
  <si>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</si>
  <si>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</si>
  <si>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</si>
  <si>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</si>
  <si>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</si>
  <si>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</si>
  <si>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</si>
  <si>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</si>
  <si>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</si>
  <si>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</si>
  <si>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</si>
  <si>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</si>
  <si>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</si>
  <si>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</si>
  <si>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</si>
  <si>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</si>
  <si>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</si>
  <si>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</si>
  <si>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</si>
  <si>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</si>
  <si>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</si>
  <si>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</si>
  <si>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</si>
  <si>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</si>
  <si>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</si>
  <si>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</si>
  <si>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</si>
  <si>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</si>
  <si>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</si>
  <si>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</si>
  <si>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</si>
  <si>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</si>
  <si>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</si>
  <si>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</si>
  <si>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</si>
  <si>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</si>
  <si>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</si>
  <si>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</si>
  <si>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</si>
  <si>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</si>
  <si>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</si>
  <si>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</si>
  <si>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</si>
  <si>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</si>
  <si>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</si>
  <si>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</si>
  <si>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</si>
  <si>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</si>
  <si>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</si>
  <si>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</si>
  <si>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</si>
  <si>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</si>
  <si>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</si>
  <si>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</si>
  <si>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</si>
  <si>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</si>
  <si>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</si>
  <si>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</si>
  <si>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</si>
  <si>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</si>
  <si>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</si>
  <si>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</si>
  <si>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</si>
  <si>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</si>
  <si>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</si>
  <si>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</si>
  <si>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</si>
  <si>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</si>
  <si>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</si>
  <si>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</si>
  <si>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</si>
  <si>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</si>
  <si>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</si>
  <si>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</si>
  <si>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</si>
  <si>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</si>
  <si>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</si>
  <si>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</si>
  <si>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</si>
  <si>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</si>
  <si>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</si>
  <si>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</si>
  <si>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</si>
  <si>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</si>
  <si>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</si>
  <si>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</si>
  <si>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</si>
  <si>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</si>
  <si>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</si>
  <si>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</si>
  <si>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</si>
  <si>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</si>
  <si>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</si>
  <si>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</si>
  <si>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</si>
  <si>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</si>
  <si>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</si>
  <si>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</si>
  <si>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</si>
  <si>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</si>
  <si>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</si>
  <si>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</si>
  <si>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</si>
  <si>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</si>
  <si>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</si>
  <si>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</si>
  <si>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</si>
  <si>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</si>
  <si>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</si>
  <si>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</si>
  <si>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</si>
  <si>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</si>
  <si>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</si>
  <si>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</si>
  <si>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</si>
  <si>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</si>
  <si>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</si>
  <si>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</si>
  <si>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</si>
  <si>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</si>
  <si>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</si>
  <si>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</si>
  <si>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</si>
  <si>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</si>
  <si>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</si>
  <si>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</si>
  <si>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</si>
  <si>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</si>
  <si>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</si>
  <si>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</si>
  <si>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</si>
  <si>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</si>
  <si>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</si>
  <si>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</si>
  <si>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</si>
  <si>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</si>
  <si>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</si>
  <si>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</si>
  <si>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</si>
  <si>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</si>
  <si>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</si>
  <si>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</si>
  <si>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</si>
  <si>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</si>
  <si>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</si>
  <si>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</si>
  <si>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</si>
  <si>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</si>
  <si>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</si>
  <si>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</si>
  <si>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</si>
  <si>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</si>
  <si>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</si>
  <si>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</si>
  <si>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</si>
  <si>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</si>
  <si>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</si>
  <si>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</si>
  <si>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</si>
  <si>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</si>
  <si>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</si>
  <si>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</si>
  <si>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</si>
  <si>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</si>
  <si>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</si>
  <si>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</si>
  <si>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</si>
  <si>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</si>
  <si>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</si>
  <si>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</si>
  <si>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</si>
  <si>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</si>
  <si>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</si>
  <si>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</si>
  <si>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</si>
  <si>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</si>
  <si>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</si>
  <si>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</si>
  <si>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</si>
  <si>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</si>
  <si>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</si>
  <si>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</si>
  <si>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</si>
  <si>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</si>
  <si>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</si>
  <si>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</si>
  <si>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</si>
  <si>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</si>
  <si>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</si>
  <si>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</si>
  <si>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</si>
  <si>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</si>
  <si>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</si>
  <si>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</si>
  <si>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</si>
  <si>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</si>
  <si>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</si>
  <si>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</si>
  <si>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</si>
  <si>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</si>
  <si>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</si>
  <si>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</si>
  <si>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</si>
  <si>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</si>
  <si>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</si>
  <si>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</si>
  <si>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</si>
  <si>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</si>
  <si>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</si>
  <si>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</si>
  <si>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</si>
  <si>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</si>
  <si>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</si>
  <si>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</si>
  <si>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</si>
  <si>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</si>
  <si>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</si>
  <si>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</si>
  <si>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</si>
  <si>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</si>
  <si>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</si>
  <si>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</si>
  <si>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</si>
  <si>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</si>
  <si>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</si>
  <si>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</si>
  <si>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</si>
  <si>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</si>
  <si>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</si>
  <si>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</si>
  <si>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</si>
  <si>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</si>
  <si>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</si>
  <si>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</si>
  <si>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</si>
  <si>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</si>
  <si>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</si>
  <si>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</si>
  <si>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</si>
  <si>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</si>
  <si>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</si>
  <si>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</si>
  <si>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</si>
  <si>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</si>
  <si>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</si>
  <si>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</si>
  <si>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</si>
  <si>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</si>
  <si>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</si>
  <si>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</si>
  <si>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</si>
  <si>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</si>
  <si>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</si>
  <si>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</si>
  <si>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</si>
  <si>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</si>
  <si>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</si>
  <si>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</si>
  <si>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</si>
  <si>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</si>
  <si>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</si>
  <si>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</si>
  <si>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</si>
  <si>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</si>
  <si>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</si>
  <si>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</si>
  <si>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</si>
  <si>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</si>
  <si>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</si>
  <si>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</si>
  <si>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</si>
  <si>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</si>
  <si>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</si>
  <si>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</si>
  <si>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</si>
  <si>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</si>
  <si>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</si>
  <si>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</si>
  <si>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</si>
  <si>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2024-06-15</t>
  </si>
  <si>
    <t>2024-07-15</t>
  </si>
  <si>
    <t>Brand Awareness</t>
  </si>
  <si>
    <t>Instagram,YouTube</t>
  </si>
  <si>
    <t>2024-12-01</t>
  </si>
  <si>
    <t>2024-12-31</t>
  </si>
  <si>
    <t>Engagement</t>
  </si>
  <si>
    <t>Twitter,YouTube</t>
  </si>
  <si>
    <t>2025-01-10</t>
  </si>
  <si>
    <t>2025-02-10</t>
  </si>
  <si>
    <t>Product Launch</t>
  </si>
  <si>
    <t>Instagram,Twitter</t>
  </si>
  <si>
    <t>2025-03-01</t>
  </si>
  <si>
    <t>2025-03-31</t>
  </si>
  <si>
    <t>Traffic</t>
  </si>
  <si>
    <t>Facebook,Instagram</t>
  </si>
  <si>
    <t>Hastag_1</t>
  </si>
  <si>
    <t>Hastag_2</t>
  </si>
  <si>
    <t>TEXTSPLIT(L2,",")</t>
  </si>
  <si>
    <t>TextslipFunction</t>
  </si>
  <si>
    <t>Wrapped is here! Relive your top tracks</t>
  </si>
  <si>
    <t>Music that moves you only on Spotify.</t>
  </si>
  <si>
    <t>Whats your vibe today?</t>
  </si>
  <si>
    <t>From pop to podcasts, its all here.</t>
  </si>
  <si>
    <t>#MusicForEveryone</t>
  </si>
  <si>
    <t>#SpotifyWrapped</t>
  </si>
  <si>
    <t>#ChillVibes</t>
  </si>
  <si>
    <t>#IndieWave</t>
  </si>
  <si>
    <t>Date Standardise</t>
  </si>
  <si>
    <t>Numeric Format</t>
  </si>
  <si>
    <t>Date format check</t>
  </si>
  <si>
    <t>Date format check2</t>
  </si>
  <si>
    <t>Start_date2</t>
  </si>
  <si>
    <t>End_date2</t>
  </si>
  <si>
    <t>Date_check</t>
  </si>
  <si>
    <t>Video Link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</si>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</sst>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Inherit"/>
    </font>
    <font>
      <b/>
      <sz val="12"/>
      <color theme="1"/>
      <name val="Calibri"/>
      <family val="2"/>
      <scheme val="minor"/>
    </font>
    <font>
      <b/>
      <sz val="11"/>
      <color rgb="FF000000"/>
      <name val="&quot;Aptos Narrow&quot;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/>
    <xf numFmtId="0" fontId="11" fillId="0" borderId="0" xfId="1"/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3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22414</xdr:colOff>
      <xdr:row>21</xdr:row>
      <xdr:rowOff>1</xdr:rowOff>
    </xdr:from>
    <xdr:ext cx="8733738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267821-AA31-39CD-E5F5-217492E3547A}"/>
            </a:ext>
          </a:extLst>
        </xdr:cNvPr>
        <xdr:cNvSpPr txBox="1"/>
      </xdr:nvSpPr>
      <xdr:spPr>
        <a:xfrm>
          <a:off x="19173267" y="4179795"/>
          <a:ext cx="8733738" cy="7812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Purpose/Formula</a:t>
          </a:r>
          <a:r>
            <a:rPr lang="en-IN" sz="1100" b="1" baseline="0"/>
            <a:t> used:</a:t>
          </a:r>
          <a:endParaRPr lang="en-IN" sz="1100" b="1"/>
        </a:p>
        <a:p>
          <a:r>
            <a:rPr lang="en-IN" sz="1100"/>
            <a:t>To split Hastags-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TEXTSPLIT(M2, ",")</a:t>
          </a:r>
          <a:endParaRPr lang="en-IN" sz="1100"/>
        </a:p>
        <a:p>
          <a:r>
            <a:rPr lang="en-IN" sz="1100"/>
            <a:t>To</a:t>
          </a:r>
          <a:r>
            <a:rPr lang="en-IN" sz="1100" baseline="0"/>
            <a:t> remove Unwated symbol from text-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TRIM(SUBSTITUTE(SUBSTITUTE(SUBSTITUTE(SUBSTITUTE(E2,"â€™",""),"ðŸŽ§",""),"â€”"," "),"#SpotifyHits",""))</a:t>
          </a:r>
          <a:r>
            <a:rPr lang="en-IN"/>
            <a:t> </a:t>
          </a:r>
        </a:p>
        <a:p>
          <a:r>
            <a:rPr lang="en-IN" sz="1100"/>
            <a:t>To check</a:t>
          </a:r>
          <a:r>
            <a:rPr lang="en-IN" sz="1100" baseline="0"/>
            <a:t> Date type - ISNUMBER(C2)</a:t>
          </a:r>
          <a:endParaRPr lang="en-IN" sz="1100"/>
        </a:p>
      </xdr:txBody>
    </xdr:sp>
    <xdr:clientData/>
  </xdr:oneCellAnchor>
  <xdr:oneCellAnchor>
    <xdr:from>
      <xdr:col>16</xdr:col>
      <xdr:colOff>2241</xdr:colOff>
      <xdr:row>0</xdr:row>
      <xdr:rowOff>201705</xdr:rowOff>
    </xdr:from>
    <xdr:ext cx="6980437" cy="156389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A51B8B-223A-A3BD-21F8-80358D54608F}"/>
            </a:ext>
          </a:extLst>
        </xdr:cNvPr>
        <xdr:cNvSpPr txBox="1"/>
      </xdr:nvSpPr>
      <xdr:spPr>
        <a:xfrm>
          <a:off x="18626417" y="201705"/>
          <a:ext cx="6980437" cy="15638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Criteria</a:t>
          </a:r>
          <a:r>
            <a:rPr lang="en-IN" sz="1100">
              <a:solidFill>
                <a:sysClr val="windowText" lastClr="000000"/>
              </a:solidFill>
            </a:rPr>
            <a:t>:</a:t>
          </a:r>
        </a:p>
        <a:p>
          <a:endParaRPr lang="en-IN" sz="11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Eliminate duplicate post entries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Standardize date and platform formats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Ensure numeric columns (likes, impressions, ad spend, downloads) are correctly formatted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Split multi-hashtag columns into separate entries 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16</xdr:col>
      <xdr:colOff>22412</xdr:colOff>
      <xdr:row>10</xdr:row>
      <xdr:rowOff>0</xdr:rowOff>
    </xdr:from>
    <xdr:ext cx="8145243" cy="203947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31EC7C-51D6-46D7-AA27-2545DC9479D6}"/>
            </a:ext>
          </a:extLst>
        </xdr:cNvPr>
        <xdr:cNvSpPr txBox="1"/>
      </xdr:nvSpPr>
      <xdr:spPr>
        <a:xfrm>
          <a:off x="18646588" y="1961029"/>
          <a:ext cx="8145243" cy="203947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Steps</a:t>
          </a:r>
          <a:r>
            <a:rPr lang="en-IN" sz="1600" baseline="0">
              <a:solidFill>
                <a:sysClr val="windowText" lastClr="000000"/>
              </a:solidFill>
            </a:rPr>
            <a:t> Taken</a:t>
          </a:r>
          <a:r>
            <a:rPr lang="en-IN" sz="1100">
              <a:solidFill>
                <a:sysClr val="windowText" lastClr="000000"/>
              </a:solidFill>
            </a:rPr>
            <a:t>: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No Duplicate entries found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Date and Numeric values in dataset standaridized as needed.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I've used textsplit to slipt the Hashtags in Sheet(Posts and Campaign Metadata)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Data in Columns (Likes,commens ,adspend,etc) are set to numeric values.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I've used substitutte function to clean and remove unwanted Non-printable characters in post text column.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Created the Table for the dataset for better functionality.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561975</xdr:colOff>
      <xdr:row>0</xdr:row>
      <xdr:rowOff>180975</xdr:rowOff>
    </xdr:from>
    <xdr:ext cx="4483984" cy="6872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2BC1E3-0034-4EF6-8997-398DB085DA71}"/>
            </a:ext>
          </a:extLst>
        </xdr:cNvPr>
        <xdr:cNvSpPr txBox="1"/>
      </xdr:nvSpPr>
      <xdr:spPr>
        <a:xfrm>
          <a:off x="10810875" y="180975"/>
          <a:ext cx="4483984" cy="6872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chemeClr val="tx2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/>
            <a:t>Purpose/Formula</a:t>
          </a:r>
          <a:r>
            <a:rPr lang="en-IN" sz="1400" b="1" baseline="0"/>
            <a:t> used:</a:t>
          </a:r>
        </a:p>
        <a:p>
          <a:r>
            <a:rPr lang="en-IN" sz="1200" b="0" baseline="0"/>
            <a:t>TO check the data type of Date -  ISNUMBER([@[Week_Start_Date]])</a:t>
          </a:r>
        </a:p>
        <a:p>
          <a:endParaRPr lang="en-IN" sz="1200"/>
        </a:p>
      </xdr:txBody>
    </xdr:sp>
    <xdr:clientData/>
  </xdr:oneCellAnchor>
  <xdr:oneCellAnchor>
    <xdr:from>
      <xdr:col>8</xdr:col>
      <xdr:colOff>571500</xdr:colOff>
      <xdr:row>5</xdr:row>
      <xdr:rowOff>66676</xdr:rowOff>
    </xdr:from>
    <xdr:ext cx="8145243" cy="11620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11B41A-5F15-486B-85A4-553FAC386FD7}"/>
            </a:ext>
          </a:extLst>
        </xdr:cNvPr>
        <xdr:cNvSpPr txBox="1"/>
      </xdr:nvSpPr>
      <xdr:spPr>
        <a:xfrm>
          <a:off x="10820400" y="1019176"/>
          <a:ext cx="8145243" cy="1162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400" b="1">
              <a:solidFill>
                <a:sysClr val="windowText" lastClr="000000"/>
              </a:solidFill>
            </a:rPr>
            <a:t>Steps</a:t>
          </a:r>
          <a:r>
            <a:rPr lang="en-IN" sz="1400" b="1" baseline="0">
              <a:solidFill>
                <a:sysClr val="windowText" lastClr="000000"/>
              </a:solidFill>
            </a:rPr>
            <a:t> Taken</a:t>
          </a:r>
          <a:r>
            <a:rPr lang="en-IN" sz="1400" b="1">
              <a:solidFill>
                <a:sysClr val="windowText" lastClr="000000"/>
              </a:solidFill>
            </a:rPr>
            <a:t>:</a:t>
          </a:r>
        </a:p>
        <a:p>
          <a:endParaRPr lang="en-IN" sz="12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Data in Columns (Likes,commens ,adspend,etc) are set to numeric values.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Created the Table for the dataset for better functionality.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18</xdr:row>
      <xdr:rowOff>38100</xdr:rowOff>
    </xdr:from>
    <xdr:ext cx="5497274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CD641-D683-4C30-A1CE-5EC262D8C834}"/>
            </a:ext>
          </a:extLst>
        </xdr:cNvPr>
        <xdr:cNvSpPr txBox="1"/>
      </xdr:nvSpPr>
      <xdr:spPr>
        <a:xfrm>
          <a:off x="19050" y="3467100"/>
          <a:ext cx="5497274" cy="7812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chemeClr val="tx2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Purpose/Formula</a:t>
          </a:r>
          <a:r>
            <a:rPr lang="en-IN" sz="1100" b="1" baseline="0"/>
            <a:t> used:</a:t>
          </a:r>
          <a:endParaRPr lang="en-IN" sz="1100" b="1"/>
        </a:p>
        <a:p>
          <a:r>
            <a:rPr lang="en-IN" sz="1100"/>
            <a:t>To split Hastags-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TEXTSPLIT(L2,",")</a:t>
          </a:r>
          <a:r>
            <a:rPr lang="en-IN"/>
            <a:t> </a:t>
          </a:r>
          <a:endParaRPr lang="en-IN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</a:t>
          </a:r>
          <a:r>
            <a:rPr lang="en-IN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covert string into Datevalue - DATEVALUE([@[Start_Date]]) / DATEVALUE([@[End_Date]])</a:t>
          </a:r>
        </a:p>
        <a:p>
          <a:r>
            <a:rPr lang="en-IN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check the date format type - ISNUMBER([@[Start_date2]])</a:t>
          </a:r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8145243" cy="203947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F65B0D-1EE8-431F-ADEB-DA4B8BC9D937}"/>
            </a:ext>
          </a:extLst>
        </xdr:cNvPr>
        <xdr:cNvSpPr txBox="1"/>
      </xdr:nvSpPr>
      <xdr:spPr>
        <a:xfrm>
          <a:off x="0" y="1143000"/>
          <a:ext cx="8145243" cy="203947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chemeClr val="tx2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>
              <a:solidFill>
                <a:sysClr val="windowText" lastClr="000000"/>
              </a:solidFill>
            </a:rPr>
            <a:t>Steps</a:t>
          </a:r>
          <a:r>
            <a:rPr lang="en-IN" sz="1600" baseline="0">
              <a:solidFill>
                <a:sysClr val="windowText" lastClr="000000"/>
              </a:solidFill>
            </a:rPr>
            <a:t> Taken</a:t>
          </a:r>
          <a:r>
            <a:rPr lang="en-IN" sz="1100">
              <a:solidFill>
                <a:sysClr val="windowText" lastClr="000000"/>
              </a:solidFill>
            </a:rPr>
            <a:t>:</a:t>
          </a:r>
        </a:p>
        <a:p>
          <a:endParaRPr lang="en-IN" sz="1400" b="0" i="0" u="none" strike="noStrike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Date and Numeric values in dataset standaridized as needed. 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● I've used textsplit to slipt the Hashtags in Sheet Campaign Metadata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Data in Columns Total_budget are set to numeric values.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Created the Table for the dataset for better functionality.</a:t>
          </a:r>
        </a:p>
        <a:p>
          <a:r>
            <a:rPr lang="en-IN" sz="14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</a:p>
        <a:p>
          <a:endParaRPr lang="en-IN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328CB-3CF8-4CE9-8173-31A31811932B}" name="Table1" displayName="Table1" ref="A1:O301" totalsRowShown="0" headerRowDxfId="38" dataDxfId="37">
  <autoFilter ref="A1:O301" xr:uid="{CE7328CB-3CF8-4CE9-8173-31A31811932B}"/>
  <tableColumns count="15">
    <tableColumn id="1" xr3:uid="{50BE9EC5-6FF1-44F1-88A8-78C2A41C4D09}" name="Post ID" dataDxfId="36"/>
    <tableColumn id="2" xr3:uid="{9883916F-949A-4666-AEA5-FDC0F67CC906}" name="Platform" dataDxfId="35"/>
    <tableColumn id="3" xr3:uid="{AF010181-4110-4E71-B98B-FD29DB6651CF}" name="Date" dataDxfId="34"/>
    <tableColumn id="4" xr3:uid="{9103B60D-E65B-4ED3-B2F3-BEC4BF100C52}" name="Content Type" dataDxfId="33"/>
    <tableColumn id="5" xr3:uid="{BA501876-6374-44B9-B149-9711995BF42A}" name="Post Text" dataDxfId="32"/>
    <tableColumn id="6" xr3:uid="{01957983-48D8-473B-A5DE-A5CFC502F28D}" name="Likes" dataDxfId="31"/>
    <tableColumn id="7" xr3:uid="{6A03D69F-C971-40FB-9FF9-C02454951930}" name="Shares" dataDxfId="30"/>
    <tableColumn id="8" xr3:uid="{38CB7255-BA66-4820-AC40-68C7AB9B94C5}" name="Comments" dataDxfId="29"/>
    <tableColumn id="9" xr3:uid="{6951EC6B-7D45-48AC-B019-C857C62F8E26}" name="Impressions" dataDxfId="28"/>
    <tableColumn id="10" xr3:uid="{48B3BB3F-1BDA-4FFF-A50D-D3E568B926B7}" name="Reach" dataDxfId="27"/>
    <tableColumn id="11" xr3:uid="{8DACC315-A10E-4D3F-A1C5-73DB7466E79C}" name="Clicks" dataDxfId="26"/>
    <tableColumn id="12" xr3:uid="{84E6C39D-1056-4DA8-AF47-7B86F53495BE}" name="Hastag_1" dataDxfId="25"/>
    <tableColumn id="13" xr3:uid="{397EA6AB-AC59-42A7-B59A-F57E0D226D9B}" name="Hastag_2" dataDxfId="24"/>
    <tableColumn id="14" xr3:uid="{588814A8-B3D6-475B-A914-4DF55B38CABD}" name="Campaign_Name" dataDxfId="23"/>
    <tableColumn id="15" xr3:uid="{5F912D65-D70D-455E-9CE8-1FD030E7AD06}" name="Date_check" dataDxfId="22">
      <calculatedColumnFormula>ISNUMBER(C2)</calculatedColumnFormula>
    </tableColumn>
  </tableColumns>
  <tableStyleInfo name="TableStyleMedium7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4538A-C580-49AF-BC8A-0D92C4906E78}" name="Table2" displayName="Table2" ref="A1:H201" totalsRowShown="0" headerRowDxfId="21" dataDxfId="20">
  <autoFilter ref="A1:H201" xr:uid="{E084538A-C580-49AF-BC8A-0D92C4906E78}"/>
  <tableColumns count="8">
    <tableColumn id="1" xr3:uid="{94D3A589-E3C7-403E-9B3F-CD825E72BA2B}" name="Week_Start_Date" dataDxfId="19"/>
    <tableColumn id="2" xr3:uid="{849174EA-C6B1-48AF-A29C-FC776E8B12B2}" name="Platform" dataDxfId="18"/>
    <tableColumn id="3" xr3:uid="{4DC494A1-3DCC-46E9-B299-D13AC282DE1E}" name="New_Followers" dataDxfId="17"/>
    <tableColumn id="4" xr3:uid="{5A91DC21-51FC-4D19-AA3C-750471E3B59D}" name="Unfollows" dataDxfId="16"/>
    <tableColumn id="5" xr3:uid="{01DD98DC-26D4-4AE9-A785-C364BE290FD1}" name="Total_Followers" dataDxfId="15"/>
    <tableColumn id="6" xr3:uid="{526B28EB-F74C-4329-98EA-94820C31809E}" name="Engagement_Rate" dataDxfId="14"/>
    <tableColumn id="7" xr3:uid="{750BBAD2-5137-40BB-B918-A559F425F5B6}" name="Ad_Spend" dataDxfId="13"/>
    <tableColumn id="8" xr3:uid="{49117540-7106-4290-A34E-12D9A3292D22}" name="Date_check" dataDxfId="12">
      <calculatedColumnFormula>ISNUMBER(Table2[[#This Row],[Week_Start_Date]])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BD1CC-1AB4-4DF5-B8E0-AC4413E1F708}" name="Table5" displayName="Table5" ref="A1:L5" totalsRowShown="0">
  <autoFilter ref="A1:L5" xr:uid="{57ABD1CC-1AB4-4DF5-B8E0-AC4413E1F708}"/>
  <tableColumns count="12">
    <tableColumn id="1" xr3:uid="{52BC7565-1693-44E7-9FD2-066DE19ED893}" name="Campaign_Name" dataDxfId="11"/>
    <tableColumn id="2" xr3:uid="{0270FCF1-2971-4C25-930C-B09560C743DF}" name="Start_Date" dataDxfId="10"/>
    <tableColumn id="3" xr3:uid="{78F97C0E-D665-4555-BD2F-D2574D3D118E}" name="End_Date" dataDxfId="9"/>
    <tableColumn id="12" xr3:uid="{23C2CA36-DC1F-43C5-849E-6DDAA4C7808F}" name="Start_date2" dataDxfId="8">
      <calculatedColumnFormula>DATEVALUE(Table5[[#This Row],[Start_Date]])</calculatedColumnFormula>
    </tableColumn>
    <tableColumn id="11" xr3:uid="{B1276234-F750-4F71-A4DF-7560BD194431}" name="End_date2" dataDxfId="7">
      <calculatedColumnFormula>DATEVALUE(Table5[[#This Row],[End_Date]])</calculatedColumnFormula>
    </tableColumn>
    <tableColumn id="4" xr3:uid="{445CB235-B9CE-49C1-A357-C8FDEE5808F8}" name="Objective" dataDxfId="6"/>
    <tableColumn id="5" xr3:uid="{60CC0ADD-8ACC-4790-8384-43DD2083E276}" name="Total_Budget" dataDxfId="5"/>
    <tableColumn id="6" xr3:uid="{8E26B079-ADBE-48E6-9FA8-A0E2D39DC64F}" name="Target_Platforms" dataDxfId="4"/>
    <tableColumn id="7" xr3:uid="{EAA2E888-E2F6-4E89-92DB-CE62CB29A924}" name="Hastag_1" dataDxfId="3"/>
    <tableColumn id="8" xr3:uid="{EFB05805-BDF6-436D-892C-F15F724420DE}" name="Hastag_2" dataDxfId="2"/>
    <tableColumn id="9" xr3:uid="{7BAA10E8-D440-4AFE-871A-BABD267DA59A}" name="Date format check" dataDxfId="1">
      <calculatedColumnFormula>ISNUMBER(Table5[[#This Row],[Start_date2]])</calculatedColumnFormula>
    </tableColumn>
    <tableColumn id="10" xr3:uid="{BCE74412-3097-4FA0-96A0-158F0C9D33EF}" name="Date format check2" dataDxfId="0">
      <calculatedColumnFormula>ISNUMBER(Table5[[#This Row],[End_date2]])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3ZpraVr4n92kPzQjX5i87pBpE1OTh_U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topLeftCell="F1" zoomScale="85" zoomScaleNormal="85" workbookViewId="0">
      <selection activeCell="P9" sqref="P9"/>
    </sheetView>
  </sheetViews>
  <sheetFormatPr defaultColWidth="10.140625" defaultRowHeight="15.75"/>
  <cols>
    <col min="1" max="1" width="13.28515625" style="2" bestFit="1" customWidth="1"/>
    <col min="2" max="2" width="14.7109375" style="2" bestFit="1" customWidth="1"/>
    <col min="3" max="3" width="11.85546875" style="6" bestFit="1" customWidth="1"/>
    <col min="4" max="4" width="19.42578125" style="18" bestFit="1" customWidth="1"/>
    <col min="5" max="5" width="44.7109375" style="18" bestFit="1" customWidth="1"/>
    <col min="6" max="6" width="11.7109375" style="10" bestFit="1" customWidth="1"/>
    <col min="7" max="7" width="13.42578125" style="10" bestFit="1" customWidth="1"/>
    <col min="8" max="8" width="17" style="10" bestFit="1" customWidth="1"/>
    <col min="9" max="9" width="18.42578125" style="10" bestFit="1" customWidth="1"/>
    <col min="10" max="10" width="12.5703125" style="10" bestFit="1" customWidth="1"/>
    <col min="11" max="11" width="12.42578125" style="10" bestFit="1" customWidth="1"/>
    <col min="12" max="13" width="19.7109375" style="18" bestFit="1" customWidth="1"/>
    <col min="14" max="14" width="23.140625" style="18" bestFit="1" customWidth="1"/>
    <col min="15" max="15" width="18" style="2" bestFit="1" customWidth="1"/>
    <col min="16" max="16" width="16.85546875" style="15" customWidth="1"/>
    <col min="17" max="18" width="10.140625" style="15"/>
    <col min="19" max="19" width="9.7109375" style="13" customWidth="1"/>
    <col min="20" max="16384" width="10.140625" style="2"/>
  </cols>
  <sheetData>
    <row r="1" spans="1:19" s="14" customForma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19" t="s">
        <v>358</v>
      </c>
      <c r="M1" s="19" t="s">
        <v>359</v>
      </c>
      <c r="N1" s="19" t="s">
        <v>11</v>
      </c>
      <c r="O1" s="19" t="s">
        <v>376</v>
      </c>
      <c r="P1" s="27"/>
      <c r="Q1" s="27"/>
      <c r="R1" s="27"/>
      <c r="S1" s="24"/>
    </row>
    <row r="2" spans="1:19">
      <c r="A2" s="1" t="s">
        <v>12</v>
      </c>
      <c r="B2" s="1" t="s">
        <v>13</v>
      </c>
      <c r="C2" s="5">
        <v>45781</v>
      </c>
      <c r="D2" s="16" t="s">
        <v>14</v>
      </c>
      <c r="E2" s="17" t="s">
        <v>15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16" t="s">
        <v>37</v>
      </c>
      <c r="M2" s="16" t="s">
        <v>34</v>
      </c>
      <c r="N2" s="16" t="s">
        <v>16</v>
      </c>
      <c r="O2" s="16" t="b">
        <f>ISNUMBER(C2)</f>
        <v>1</v>
      </c>
      <c r="P2" s="27"/>
      <c r="Q2" s="27"/>
      <c r="R2" s="27"/>
    </row>
    <row r="3" spans="1:19">
      <c r="A3" s="1" t="s">
        <v>17</v>
      </c>
      <c r="B3" s="1" t="s">
        <v>13</v>
      </c>
      <c r="C3" s="5">
        <v>45689</v>
      </c>
      <c r="D3" s="16" t="s">
        <v>14</v>
      </c>
      <c r="E3" s="17" t="s">
        <v>18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16" t="s">
        <v>19</v>
      </c>
      <c r="M3" s="16"/>
      <c r="N3" s="16" t="s">
        <v>20</v>
      </c>
      <c r="O3" s="16" t="b">
        <f t="shared" ref="O3:O65" si="0">ISNUMBER(C3)</f>
        <v>1</v>
      </c>
      <c r="P3" s="27"/>
      <c r="Q3" s="27"/>
      <c r="R3" s="27"/>
    </row>
    <row r="4" spans="1:19" ht="15">
      <c r="A4" s="1" t="s">
        <v>21</v>
      </c>
      <c r="B4" s="1" t="s">
        <v>22</v>
      </c>
      <c r="C4" s="5">
        <v>45629</v>
      </c>
      <c r="D4" s="16" t="s">
        <v>23</v>
      </c>
      <c r="E4" s="17" t="s">
        <v>24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16" t="s">
        <v>366</v>
      </c>
      <c r="M4" s="16" t="s">
        <v>34</v>
      </c>
      <c r="N4" s="16" t="s">
        <v>16</v>
      </c>
      <c r="O4" s="16" t="b">
        <f t="shared" si="0"/>
        <v>1</v>
      </c>
      <c r="P4" s="26"/>
      <c r="Q4" s="26"/>
      <c r="R4" s="26"/>
    </row>
    <row r="5" spans="1:19" ht="15">
      <c r="A5" s="1" t="s">
        <v>25</v>
      </c>
      <c r="B5" s="1" t="s">
        <v>13</v>
      </c>
      <c r="C5" s="5">
        <v>45629</v>
      </c>
      <c r="D5" s="16" t="s">
        <v>14</v>
      </c>
      <c r="E5" s="17" t="s">
        <v>362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16" t="s">
        <v>37</v>
      </c>
      <c r="M5" s="16" t="s">
        <v>34</v>
      </c>
      <c r="N5" s="16" t="s">
        <v>16</v>
      </c>
      <c r="O5" s="16" t="b">
        <f t="shared" si="0"/>
        <v>1</v>
      </c>
      <c r="P5" s="26"/>
      <c r="Q5" s="26"/>
      <c r="R5" s="26"/>
    </row>
    <row r="6" spans="1:19" ht="15">
      <c r="A6" s="1" t="s">
        <v>26</v>
      </c>
      <c r="B6" s="1" t="s">
        <v>27</v>
      </c>
      <c r="C6" s="5">
        <v>45388</v>
      </c>
      <c r="D6" s="16" t="s">
        <v>14</v>
      </c>
      <c r="E6" s="17" t="s">
        <v>363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16" t="s">
        <v>19</v>
      </c>
      <c r="M6" s="16" t="s">
        <v>367</v>
      </c>
      <c r="N6" s="16" t="s">
        <v>20</v>
      </c>
      <c r="O6" s="16" t="b">
        <f t="shared" si="0"/>
        <v>1</v>
      </c>
      <c r="P6" s="26"/>
      <c r="Q6" s="26"/>
      <c r="R6" s="26"/>
      <c r="S6" s="22"/>
    </row>
    <row r="7" spans="1:19" ht="15">
      <c r="A7" s="1" t="s">
        <v>28</v>
      </c>
      <c r="B7" s="1" t="s">
        <v>27</v>
      </c>
      <c r="C7" s="5">
        <v>45456</v>
      </c>
      <c r="D7" s="16" t="s">
        <v>14</v>
      </c>
      <c r="E7" s="17" t="s">
        <v>364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16" t="s">
        <v>19</v>
      </c>
      <c r="M7" s="16" t="s">
        <v>367</v>
      </c>
      <c r="N7" s="16" t="s">
        <v>20</v>
      </c>
      <c r="O7" s="16" t="b">
        <f t="shared" si="0"/>
        <v>1</v>
      </c>
      <c r="P7" s="26"/>
      <c r="Q7" s="26"/>
      <c r="R7" s="26"/>
      <c r="S7" s="23"/>
    </row>
    <row r="8" spans="1:19" ht="15">
      <c r="A8" s="1" t="s">
        <v>29</v>
      </c>
      <c r="B8" s="1" t="s">
        <v>22</v>
      </c>
      <c r="C8" s="5">
        <v>45645</v>
      </c>
      <c r="D8" s="16" t="s">
        <v>23</v>
      </c>
      <c r="E8" s="17" t="s">
        <v>30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16" t="s">
        <v>37</v>
      </c>
      <c r="M8" s="16" t="s">
        <v>34</v>
      </c>
      <c r="N8" s="16" t="s">
        <v>16</v>
      </c>
      <c r="O8" s="16" t="b">
        <f t="shared" si="0"/>
        <v>1</v>
      </c>
      <c r="P8" s="26"/>
      <c r="Q8" s="26"/>
      <c r="R8" s="26"/>
    </row>
    <row r="9" spans="1:19">
      <c r="A9" s="1" t="s">
        <v>31</v>
      </c>
      <c r="B9" s="1" t="s">
        <v>22</v>
      </c>
      <c r="C9" s="5">
        <v>45421</v>
      </c>
      <c r="D9" s="16" t="s">
        <v>23</v>
      </c>
      <c r="E9" s="17" t="s">
        <v>362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16" t="s">
        <v>19</v>
      </c>
      <c r="M9" s="16" t="s">
        <v>366</v>
      </c>
      <c r="N9" s="16" t="s">
        <v>16</v>
      </c>
      <c r="O9" s="16" t="b">
        <f t="shared" si="0"/>
        <v>1</v>
      </c>
    </row>
    <row r="10" spans="1:19">
      <c r="A10" s="1" t="s">
        <v>32</v>
      </c>
      <c r="B10" s="1" t="s">
        <v>22</v>
      </c>
      <c r="C10" s="5">
        <v>45823</v>
      </c>
      <c r="D10" s="16" t="s">
        <v>14</v>
      </c>
      <c r="E10" s="17" t="s">
        <v>33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16" t="s">
        <v>34</v>
      </c>
      <c r="M10" s="16"/>
      <c r="N10" s="16" t="s">
        <v>16</v>
      </c>
      <c r="O10" s="16" t="b">
        <f t="shared" si="0"/>
        <v>1</v>
      </c>
    </row>
    <row r="11" spans="1:19">
      <c r="A11" s="1" t="s">
        <v>35</v>
      </c>
      <c r="B11" s="1" t="s">
        <v>22</v>
      </c>
      <c r="C11" s="5">
        <v>45630</v>
      </c>
      <c r="D11" s="16" t="s">
        <v>14</v>
      </c>
      <c r="E11" s="17" t="s">
        <v>362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16" t="s">
        <v>34</v>
      </c>
      <c r="M11" s="16"/>
      <c r="N11" s="16" t="s">
        <v>16</v>
      </c>
      <c r="O11" s="16" t="b">
        <f t="shared" si="0"/>
        <v>1</v>
      </c>
    </row>
    <row r="12" spans="1:19">
      <c r="A12" s="1" t="s">
        <v>36</v>
      </c>
      <c r="B12" s="1" t="s">
        <v>22</v>
      </c>
      <c r="C12" s="5">
        <v>45357</v>
      </c>
      <c r="D12" s="16" t="s">
        <v>14</v>
      </c>
      <c r="E12" s="17" t="s">
        <v>15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16" t="s">
        <v>37</v>
      </c>
      <c r="M12" s="16"/>
      <c r="N12" s="16" t="s">
        <v>20</v>
      </c>
      <c r="O12" s="16" t="b">
        <f t="shared" si="0"/>
        <v>1</v>
      </c>
    </row>
    <row r="13" spans="1:19">
      <c r="A13" s="1" t="s">
        <v>38</v>
      </c>
      <c r="B13" s="1" t="s">
        <v>13</v>
      </c>
      <c r="C13" s="5">
        <v>45426</v>
      </c>
      <c r="D13" s="16" t="s">
        <v>14</v>
      </c>
      <c r="E13" s="17" t="s">
        <v>15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16" t="s">
        <v>37</v>
      </c>
      <c r="M13" s="16" t="s">
        <v>34</v>
      </c>
      <c r="N13" s="16" t="s">
        <v>16</v>
      </c>
      <c r="O13" s="16" t="b">
        <f t="shared" si="0"/>
        <v>1</v>
      </c>
    </row>
    <row r="14" spans="1:19">
      <c r="A14" s="1" t="s">
        <v>39</v>
      </c>
      <c r="B14" s="1" t="s">
        <v>22</v>
      </c>
      <c r="C14" s="5">
        <v>45826</v>
      </c>
      <c r="D14" s="16" t="s">
        <v>23</v>
      </c>
      <c r="E14" s="17" t="s">
        <v>15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16" t="s">
        <v>366</v>
      </c>
      <c r="M14" s="16" t="s">
        <v>34</v>
      </c>
      <c r="N14" s="16" t="s">
        <v>16</v>
      </c>
      <c r="O14" s="16" t="b">
        <f t="shared" si="0"/>
        <v>1</v>
      </c>
    </row>
    <row r="15" spans="1:19">
      <c r="A15" s="1" t="s">
        <v>40</v>
      </c>
      <c r="B15" s="1" t="s">
        <v>22</v>
      </c>
      <c r="C15" s="5">
        <v>45573</v>
      </c>
      <c r="D15" s="16" t="s">
        <v>14</v>
      </c>
      <c r="E15" s="17" t="s">
        <v>365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16" t="s">
        <v>34</v>
      </c>
      <c r="M15" s="16"/>
      <c r="N15" s="16" t="s">
        <v>16</v>
      </c>
      <c r="O15" s="16" t="b">
        <f t="shared" si="0"/>
        <v>1</v>
      </c>
    </row>
    <row r="16" spans="1:19">
      <c r="A16" s="1" t="s">
        <v>41</v>
      </c>
      <c r="B16" s="1" t="s">
        <v>22</v>
      </c>
      <c r="C16" s="5">
        <v>45418</v>
      </c>
      <c r="D16" s="16" t="s">
        <v>14</v>
      </c>
      <c r="E16" s="17" t="s">
        <v>42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16" t="s">
        <v>34</v>
      </c>
      <c r="M16" s="16"/>
      <c r="N16" s="16" t="s">
        <v>16</v>
      </c>
      <c r="O16" s="16" t="b">
        <f t="shared" si="0"/>
        <v>1</v>
      </c>
    </row>
    <row r="17" spans="1:19">
      <c r="A17" s="1" t="s">
        <v>43</v>
      </c>
      <c r="B17" s="1" t="s">
        <v>22</v>
      </c>
      <c r="C17" s="5">
        <v>45655</v>
      </c>
      <c r="D17" s="16" t="s">
        <v>23</v>
      </c>
      <c r="E17" s="17" t="s">
        <v>24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16" t="s">
        <v>366</v>
      </c>
      <c r="M17" s="16" t="s">
        <v>34</v>
      </c>
      <c r="N17" s="16" t="s">
        <v>16</v>
      </c>
      <c r="O17" s="16" t="b">
        <f t="shared" si="0"/>
        <v>1</v>
      </c>
    </row>
    <row r="18" spans="1:19">
      <c r="A18" s="1" t="s">
        <v>44</v>
      </c>
      <c r="B18" s="1" t="s">
        <v>22</v>
      </c>
      <c r="C18" s="5">
        <v>45453</v>
      </c>
      <c r="D18" s="16" t="s">
        <v>14</v>
      </c>
      <c r="E18" s="17" t="s">
        <v>364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16" t="s">
        <v>34</v>
      </c>
      <c r="M18" s="16"/>
      <c r="N18" s="16" t="s">
        <v>16</v>
      </c>
      <c r="O18" s="16" t="b">
        <f t="shared" si="0"/>
        <v>1</v>
      </c>
    </row>
    <row r="19" spans="1:19">
      <c r="A19" s="1" t="s">
        <v>45</v>
      </c>
      <c r="B19" s="1" t="s">
        <v>13</v>
      </c>
      <c r="C19" s="5">
        <v>45325</v>
      </c>
      <c r="D19" s="16" t="s">
        <v>23</v>
      </c>
      <c r="E19" s="17" t="s">
        <v>363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16" t="s">
        <v>34</v>
      </c>
      <c r="M19" s="16"/>
      <c r="N19" s="16" t="s">
        <v>46</v>
      </c>
      <c r="O19" s="16" t="b">
        <f t="shared" si="0"/>
        <v>1</v>
      </c>
    </row>
    <row r="20" spans="1:19">
      <c r="A20" s="1" t="s">
        <v>47</v>
      </c>
      <c r="B20" s="1" t="s">
        <v>27</v>
      </c>
      <c r="C20" s="5">
        <v>45458</v>
      </c>
      <c r="D20" s="16" t="s">
        <v>48</v>
      </c>
      <c r="E20" s="17" t="s">
        <v>30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16" t="s">
        <v>19</v>
      </c>
      <c r="M20" s="16" t="s">
        <v>37</v>
      </c>
      <c r="N20" s="16" t="s">
        <v>49</v>
      </c>
      <c r="O20" s="16" t="b">
        <f t="shared" si="0"/>
        <v>1</v>
      </c>
    </row>
    <row r="21" spans="1:19">
      <c r="A21" s="1" t="s">
        <v>50</v>
      </c>
      <c r="B21" s="1" t="s">
        <v>13</v>
      </c>
      <c r="C21" s="5">
        <v>45478</v>
      </c>
      <c r="D21" s="16" t="s">
        <v>14</v>
      </c>
      <c r="E21" s="17" t="s">
        <v>42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16" t="s">
        <v>19</v>
      </c>
      <c r="M21" s="16"/>
      <c r="N21" s="16" t="s">
        <v>20</v>
      </c>
      <c r="O21" s="16" t="b">
        <f t="shared" si="0"/>
        <v>1</v>
      </c>
    </row>
    <row r="22" spans="1:19">
      <c r="A22" s="1" t="s">
        <v>51</v>
      </c>
      <c r="B22" s="1" t="s">
        <v>13</v>
      </c>
      <c r="C22" s="5">
        <v>45603</v>
      </c>
      <c r="D22" s="16" t="s">
        <v>23</v>
      </c>
      <c r="E22" s="17" t="s">
        <v>362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16" t="s">
        <v>34</v>
      </c>
      <c r="M22" s="16"/>
      <c r="N22" s="16" t="s">
        <v>46</v>
      </c>
      <c r="O22" s="16" t="b">
        <f t="shared" si="0"/>
        <v>1</v>
      </c>
    </row>
    <row r="23" spans="1:19">
      <c r="A23" s="1" t="s">
        <v>52</v>
      </c>
      <c r="B23" s="1" t="s">
        <v>13</v>
      </c>
      <c r="C23" s="5">
        <v>45823</v>
      </c>
      <c r="D23" s="16" t="s">
        <v>14</v>
      </c>
      <c r="E23" s="17" t="s">
        <v>364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16" t="s">
        <v>37</v>
      </c>
      <c r="M23" s="16" t="s">
        <v>34</v>
      </c>
      <c r="N23" s="16" t="s">
        <v>16</v>
      </c>
      <c r="O23" s="16" t="b">
        <f t="shared" si="0"/>
        <v>1</v>
      </c>
    </row>
    <row r="24" spans="1:19">
      <c r="A24" s="1" t="s">
        <v>53</v>
      </c>
      <c r="B24" s="1" t="s">
        <v>27</v>
      </c>
      <c r="C24" s="5">
        <v>45452</v>
      </c>
      <c r="D24" s="16" t="s">
        <v>48</v>
      </c>
      <c r="E24" s="17" t="s">
        <v>365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16" t="s">
        <v>19</v>
      </c>
      <c r="M24" s="16" t="s">
        <v>37</v>
      </c>
      <c r="N24" s="16" t="s">
        <v>49</v>
      </c>
      <c r="O24" s="16" t="b">
        <f t="shared" si="0"/>
        <v>1</v>
      </c>
    </row>
    <row r="25" spans="1:19">
      <c r="A25" s="1" t="s">
        <v>54</v>
      </c>
      <c r="B25" s="1" t="s">
        <v>22</v>
      </c>
      <c r="C25" s="5">
        <v>45583</v>
      </c>
      <c r="D25" s="16" t="s">
        <v>14</v>
      </c>
      <c r="E25" s="17" t="s">
        <v>24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16" t="s">
        <v>37</v>
      </c>
      <c r="M25" s="16"/>
      <c r="N25" s="16" t="s">
        <v>20</v>
      </c>
      <c r="O25" s="16" t="b">
        <f t="shared" si="0"/>
        <v>1</v>
      </c>
    </row>
    <row r="26" spans="1:19">
      <c r="A26" s="1" t="s">
        <v>55</v>
      </c>
      <c r="B26" s="1" t="s">
        <v>27</v>
      </c>
      <c r="C26" s="5">
        <v>45575</v>
      </c>
      <c r="D26" s="16" t="s">
        <v>48</v>
      </c>
      <c r="E26" s="17" t="s">
        <v>365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16" t="s">
        <v>19</v>
      </c>
      <c r="M26" s="16" t="s">
        <v>37</v>
      </c>
      <c r="N26" s="16" t="s">
        <v>49</v>
      </c>
      <c r="O26" s="16" t="b">
        <f t="shared" si="0"/>
        <v>1</v>
      </c>
    </row>
    <row r="27" spans="1:19">
      <c r="A27" s="1" t="s">
        <v>56</v>
      </c>
      <c r="B27" s="1" t="s">
        <v>22</v>
      </c>
      <c r="C27" s="5">
        <v>45791</v>
      </c>
      <c r="D27" s="16" t="s">
        <v>23</v>
      </c>
      <c r="E27" s="17" t="s">
        <v>365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16" t="s">
        <v>19</v>
      </c>
      <c r="M27" s="16" t="s">
        <v>366</v>
      </c>
      <c r="N27" s="16" t="s">
        <v>16</v>
      </c>
      <c r="O27" s="16" t="b">
        <f t="shared" si="0"/>
        <v>1</v>
      </c>
    </row>
    <row r="28" spans="1:19">
      <c r="A28" s="1" t="s">
        <v>57</v>
      </c>
      <c r="B28" s="1" t="s">
        <v>13</v>
      </c>
      <c r="C28" s="5">
        <v>45625</v>
      </c>
      <c r="D28" s="16" t="s">
        <v>14</v>
      </c>
      <c r="E28" s="17" t="s">
        <v>364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16" t="s">
        <v>37</v>
      </c>
      <c r="M28" s="16" t="s">
        <v>34</v>
      </c>
      <c r="N28" s="16" t="s">
        <v>16</v>
      </c>
      <c r="O28" s="16" t="b">
        <f t="shared" si="0"/>
        <v>1</v>
      </c>
    </row>
    <row r="29" spans="1:19">
      <c r="A29" s="1" t="s">
        <v>58</v>
      </c>
      <c r="B29" s="1" t="s">
        <v>27</v>
      </c>
      <c r="C29" s="5">
        <v>45356</v>
      </c>
      <c r="D29" s="16" t="s">
        <v>48</v>
      </c>
      <c r="E29" s="17" t="s">
        <v>18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16" t="s">
        <v>19</v>
      </c>
      <c r="M29" s="16" t="s">
        <v>37</v>
      </c>
      <c r="N29" s="16" t="s">
        <v>49</v>
      </c>
      <c r="O29" s="16" t="b">
        <f t="shared" si="0"/>
        <v>1</v>
      </c>
    </row>
    <row r="30" spans="1:19">
      <c r="A30" s="1" t="s">
        <v>59</v>
      </c>
      <c r="B30" s="1" t="s">
        <v>22</v>
      </c>
      <c r="C30" s="5">
        <v>45734</v>
      </c>
      <c r="D30" s="16" t="s">
        <v>23</v>
      </c>
      <c r="E30" s="17" t="s">
        <v>18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16" t="s">
        <v>366</v>
      </c>
      <c r="M30" s="16" t="s">
        <v>34</v>
      </c>
      <c r="N30" s="16" t="s">
        <v>16</v>
      </c>
      <c r="O30" s="16" t="b">
        <f t="shared" si="0"/>
        <v>1</v>
      </c>
      <c r="S30" s="25"/>
    </row>
    <row r="31" spans="1:19" ht="15">
      <c r="A31" s="1" t="s">
        <v>60</v>
      </c>
      <c r="B31" s="1" t="s">
        <v>22</v>
      </c>
      <c r="C31" s="5">
        <v>45773</v>
      </c>
      <c r="D31" s="16" t="s">
        <v>14</v>
      </c>
      <c r="E31" s="17" t="s">
        <v>15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16" t="s">
        <v>34</v>
      </c>
      <c r="M31" s="16"/>
      <c r="N31" s="16" t="s">
        <v>16</v>
      </c>
      <c r="O31" s="16" t="b">
        <f t="shared" si="0"/>
        <v>1</v>
      </c>
      <c r="P31" s="26"/>
      <c r="Q31" s="26"/>
      <c r="R31" s="26"/>
      <c r="S31" s="22"/>
    </row>
    <row r="32" spans="1:19" ht="15">
      <c r="A32" s="1" t="s">
        <v>61</v>
      </c>
      <c r="B32" s="1" t="s">
        <v>13</v>
      </c>
      <c r="C32" s="5">
        <v>45658</v>
      </c>
      <c r="D32" s="16" t="s">
        <v>14</v>
      </c>
      <c r="E32" s="17" t="s">
        <v>24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16" t="s">
        <v>37</v>
      </c>
      <c r="M32" s="16" t="s">
        <v>34</v>
      </c>
      <c r="N32" s="16" t="s">
        <v>16</v>
      </c>
      <c r="O32" s="16" t="b">
        <f t="shared" si="0"/>
        <v>1</v>
      </c>
      <c r="P32" s="26"/>
      <c r="Q32" s="26"/>
      <c r="R32" s="26"/>
      <c r="S32" s="23"/>
    </row>
    <row r="33" spans="1:18" ht="15">
      <c r="A33" s="1" t="s">
        <v>62</v>
      </c>
      <c r="B33" s="1" t="s">
        <v>22</v>
      </c>
      <c r="C33" s="5">
        <v>45419</v>
      </c>
      <c r="D33" s="16" t="s">
        <v>23</v>
      </c>
      <c r="E33" s="17" t="s">
        <v>18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16" t="s">
        <v>37</v>
      </c>
      <c r="M33" s="16" t="s">
        <v>34</v>
      </c>
      <c r="N33" s="16" t="s">
        <v>16</v>
      </c>
      <c r="O33" s="16" t="b">
        <f t="shared" si="0"/>
        <v>1</v>
      </c>
      <c r="P33" s="26"/>
      <c r="Q33" s="26"/>
      <c r="R33" s="26"/>
    </row>
    <row r="34" spans="1:18">
      <c r="A34" s="1" t="s">
        <v>63</v>
      </c>
      <c r="B34" s="1" t="s">
        <v>22</v>
      </c>
      <c r="C34" s="5">
        <v>45574</v>
      </c>
      <c r="D34" s="16" t="s">
        <v>23</v>
      </c>
      <c r="E34" s="17" t="s">
        <v>15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16" t="s">
        <v>19</v>
      </c>
      <c r="M34" s="16" t="s">
        <v>366</v>
      </c>
      <c r="N34" s="16" t="s">
        <v>16</v>
      </c>
      <c r="O34" s="16" t="b">
        <f t="shared" si="0"/>
        <v>1</v>
      </c>
    </row>
    <row r="35" spans="1:18">
      <c r="A35" s="1" t="s">
        <v>64</v>
      </c>
      <c r="B35" s="1" t="s">
        <v>13</v>
      </c>
      <c r="C35" s="5">
        <v>45666</v>
      </c>
      <c r="D35" s="16" t="s">
        <v>14</v>
      </c>
      <c r="E35" s="17" t="s">
        <v>24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16" t="s">
        <v>37</v>
      </c>
      <c r="M35" s="16" t="s">
        <v>34</v>
      </c>
      <c r="N35" s="16" t="s">
        <v>16</v>
      </c>
      <c r="O35" s="16" t="b">
        <f t="shared" si="0"/>
        <v>1</v>
      </c>
    </row>
    <row r="36" spans="1:18">
      <c r="A36" s="1" t="s">
        <v>65</v>
      </c>
      <c r="B36" s="1" t="s">
        <v>22</v>
      </c>
      <c r="C36" s="5">
        <v>45785</v>
      </c>
      <c r="D36" s="16" t="s">
        <v>23</v>
      </c>
      <c r="E36" s="17" t="s">
        <v>42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16" t="s">
        <v>366</v>
      </c>
      <c r="M36" s="16" t="s">
        <v>34</v>
      </c>
      <c r="N36" s="16" t="s">
        <v>16</v>
      </c>
      <c r="O36" s="16" t="b">
        <f t="shared" si="0"/>
        <v>1</v>
      </c>
    </row>
    <row r="37" spans="1:18">
      <c r="A37" s="1" t="s">
        <v>66</v>
      </c>
      <c r="B37" s="1" t="s">
        <v>13</v>
      </c>
      <c r="C37" s="5">
        <v>45416</v>
      </c>
      <c r="D37" s="16" t="s">
        <v>14</v>
      </c>
      <c r="E37" s="17" t="s">
        <v>362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16" t="s">
        <v>19</v>
      </c>
      <c r="M37" s="16"/>
      <c r="N37" s="16" t="s">
        <v>20</v>
      </c>
      <c r="O37" s="16" t="b">
        <f t="shared" si="0"/>
        <v>1</v>
      </c>
    </row>
    <row r="38" spans="1:18">
      <c r="A38" s="1" t="s">
        <v>67</v>
      </c>
      <c r="B38" s="1" t="s">
        <v>22</v>
      </c>
      <c r="C38" s="5">
        <v>45804</v>
      </c>
      <c r="D38" s="16" t="s">
        <v>23</v>
      </c>
      <c r="E38" s="17" t="s">
        <v>18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16" t="s">
        <v>366</v>
      </c>
      <c r="M38" s="16" t="s">
        <v>34</v>
      </c>
      <c r="N38" s="16" t="s">
        <v>16</v>
      </c>
      <c r="O38" s="16" t="b">
        <f t="shared" si="0"/>
        <v>1</v>
      </c>
    </row>
    <row r="39" spans="1:18">
      <c r="A39" s="1" t="s">
        <v>68</v>
      </c>
      <c r="B39" s="1" t="s">
        <v>13</v>
      </c>
      <c r="C39" s="5">
        <v>45545</v>
      </c>
      <c r="D39" s="16" t="s">
        <v>23</v>
      </c>
      <c r="E39" s="17" t="s">
        <v>24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16" t="s">
        <v>34</v>
      </c>
      <c r="M39" s="16"/>
      <c r="N39" s="16" t="s">
        <v>46</v>
      </c>
      <c r="O39" s="16" t="b">
        <f t="shared" si="0"/>
        <v>1</v>
      </c>
    </row>
    <row r="40" spans="1:18">
      <c r="A40" s="1" t="s">
        <v>69</v>
      </c>
      <c r="B40" s="1" t="s">
        <v>13</v>
      </c>
      <c r="C40" s="5">
        <v>45621</v>
      </c>
      <c r="D40" s="16" t="s">
        <v>14</v>
      </c>
      <c r="E40" s="17" t="s">
        <v>365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16" t="s">
        <v>19</v>
      </c>
      <c r="M40" s="16"/>
      <c r="N40" s="16" t="s">
        <v>20</v>
      </c>
      <c r="O40" s="16" t="b">
        <f t="shared" si="0"/>
        <v>1</v>
      </c>
    </row>
    <row r="41" spans="1:18">
      <c r="A41" s="1" t="s">
        <v>70</v>
      </c>
      <c r="B41" s="1" t="s">
        <v>22</v>
      </c>
      <c r="C41" s="5">
        <v>45818</v>
      </c>
      <c r="D41" s="16" t="s">
        <v>14</v>
      </c>
      <c r="E41" s="17" t="s">
        <v>18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16" t="s">
        <v>34</v>
      </c>
      <c r="M41" s="16"/>
      <c r="N41" s="16" t="s">
        <v>16</v>
      </c>
      <c r="O41" s="16" t="b">
        <f t="shared" si="0"/>
        <v>1</v>
      </c>
    </row>
    <row r="42" spans="1:18">
      <c r="A42" s="1" t="s">
        <v>71</v>
      </c>
      <c r="B42" s="1" t="s">
        <v>13</v>
      </c>
      <c r="C42" s="5">
        <v>45401</v>
      </c>
      <c r="D42" s="16" t="s">
        <v>14</v>
      </c>
      <c r="E42" s="17" t="s">
        <v>24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16" t="s">
        <v>37</v>
      </c>
      <c r="M42" s="16" t="s">
        <v>34</v>
      </c>
      <c r="N42" s="16" t="s">
        <v>16</v>
      </c>
      <c r="O42" s="16" t="b">
        <f t="shared" si="0"/>
        <v>1</v>
      </c>
    </row>
    <row r="43" spans="1:18">
      <c r="A43" s="1" t="s">
        <v>72</v>
      </c>
      <c r="B43" s="1" t="s">
        <v>13</v>
      </c>
      <c r="C43" s="5">
        <v>45683</v>
      </c>
      <c r="D43" s="16" t="s">
        <v>23</v>
      </c>
      <c r="E43" s="17" t="s">
        <v>364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16" t="s">
        <v>34</v>
      </c>
      <c r="M43" s="16"/>
      <c r="N43" s="16" t="s">
        <v>46</v>
      </c>
      <c r="O43" s="16" t="b">
        <f t="shared" si="0"/>
        <v>1</v>
      </c>
    </row>
    <row r="44" spans="1:18">
      <c r="A44" s="1" t="s">
        <v>73</v>
      </c>
      <c r="B44" s="1" t="s">
        <v>13</v>
      </c>
      <c r="C44" s="5">
        <v>45702</v>
      </c>
      <c r="D44" s="16" t="s">
        <v>14</v>
      </c>
      <c r="E44" s="17" t="s">
        <v>33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16" t="s">
        <v>37</v>
      </c>
      <c r="M44" s="16" t="s">
        <v>34</v>
      </c>
      <c r="N44" s="16" t="s">
        <v>16</v>
      </c>
      <c r="O44" s="16" t="b">
        <f t="shared" si="0"/>
        <v>1</v>
      </c>
    </row>
    <row r="45" spans="1:18">
      <c r="A45" s="1" t="s">
        <v>74</v>
      </c>
      <c r="B45" s="1" t="s">
        <v>13</v>
      </c>
      <c r="C45" s="5">
        <v>45541</v>
      </c>
      <c r="D45" s="16" t="s">
        <v>14</v>
      </c>
      <c r="E45" s="17" t="s">
        <v>24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16" t="s">
        <v>19</v>
      </c>
      <c r="M45" s="16"/>
      <c r="N45" s="16" t="s">
        <v>20</v>
      </c>
      <c r="O45" s="16" t="b">
        <f t="shared" si="0"/>
        <v>1</v>
      </c>
    </row>
    <row r="46" spans="1:18">
      <c r="A46" s="1" t="s">
        <v>75</v>
      </c>
      <c r="B46" s="1" t="s">
        <v>27</v>
      </c>
      <c r="C46" s="5">
        <v>45487</v>
      </c>
      <c r="D46" s="16" t="s">
        <v>14</v>
      </c>
      <c r="E46" s="17" t="s">
        <v>42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16" t="s">
        <v>19</v>
      </c>
      <c r="M46" s="16" t="s">
        <v>367</v>
      </c>
      <c r="N46" s="16" t="s">
        <v>20</v>
      </c>
      <c r="O46" s="16" t="b">
        <f t="shared" si="0"/>
        <v>1</v>
      </c>
    </row>
    <row r="47" spans="1:18">
      <c r="A47" s="1" t="s">
        <v>76</v>
      </c>
      <c r="B47" s="1" t="s">
        <v>13</v>
      </c>
      <c r="C47" s="5">
        <v>45334</v>
      </c>
      <c r="D47" s="16" t="s">
        <v>14</v>
      </c>
      <c r="E47" s="17" t="s">
        <v>18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16" t="s">
        <v>19</v>
      </c>
      <c r="M47" s="16"/>
      <c r="N47" s="16" t="s">
        <v>20</v>
      </c>
      <c r="O47" s="16" t="b">
        <f t="shared" si="0"/>
        <v>1</v>
      </c>
    </row>
    <row r="48" spans="1:18">
      <c r="A48" s="1" t="s">
        <v>77</v>
      </c>
      <c r="B48" s="1" t="s">
        <v>27</v>
      </c>
      <c r="C48" s="5">
        <v>45365</v>
      </c>
      <c r="D48" s="16" t="s">
        <v>48</v>
      </c>
      <c r="E48" s="17" t="s">
        <v>365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16" t="s">
        <v>19</v>
      </c>
      <c r="M48" s="16" t="s">
        <v>37</v>
      </c>
      <c r="N48" s="16" t="s">
        <v>49</v>
      </c>
      <c r="O48" s="16" t="b">
        <f t="shared" si="0"/>
        <v>1</v>
      </c>
    </row>
    <row r="49" spans="1:15">
      <c r="A49" s="1" t="s">
        <v>78</v>
      </c>
      <c r="B49" s="1" t="s">
        <v>13</v>
      </c>
      <c r="C49" s="5">
        <v>45693</v>
      </c>
      <c r="D49" s="16" t="s">
        <v>23</v>
      </c>
      <c r="E49" s="17" t="s">
        <v>363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16" t="s">
        <v>34</v>
      </c>
      <c r="M49" s="16"/>
      <c r="N49" s="16" t="s">
        <v>46</v>
      </c>
      <c r="O49" s="16" t="b">
        <f t="shared" si="0"/>
        <v>1</v>
      </c>
    </row>
    <row r="50" spans="1:15">
      <c r="A50" s="1" t="s">
        <v>79</v>
      </c>
      <c r="B50" s="1" t="s">
        <v>22</v>
      </c>
      <c r="C50" s="5">
        <v>45533</v>
      </c>
      <c r="D50" s="16" t="s">
        <v>23</v>
      </c>
      <c r="E50" s="17" t="s">
        <v>30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16" t="s">
        <v>19</v>
      </c>
      <c r="M50" s="16" t="s">
        <v>366</v>
      </c>
      <c r="N50" s="16" t="s">
        <v>16</v>
      </c>
      <c r="O50" s="16" t="b">
        <f t="shared" si="0"/>
        <v>1</v>
      </c>
    </row>
    <row r="51" spans="1:15">
      <c r="A51" s="1" t="s">
        <v>80</v>
      </c>
      <c r="B51" s="1" t="s">
        <v>22</v>
      </c>
      <c r="C51" s="5">
        <v>45769</v>
      </c>
      <c r="D51" s="16" t="s">
        <v>14</v>
      </c>
      <c r="E51" s="17" t="s">
        <v>15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16" t="s">
        <v>34</v>
      </c>
      <c r="M51" s="16"/>
      <c r="N51" s="16" t="s">
        <v>16</v>
      </c>
      <c r="O51" s="16" t="b">
        <f t="shared" si="0"/>
        <v>1</v>
      </c>
    </row>
    <row r="52" spans="1:15">
      <c r="A52" s="1" t="s">
        <v>81</v>
      </c>
      <c r="B52" s="1" t="s">
        <v>27</v>
      </c>
      <c r="C52" s="5">
        <v>45425</v>
      </c>
      <c r="D52" s="16" t="s">
        <v>48</v>
      </c>
      <c r="E52" s="17" t="s">
        <v>18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16" t="s">
        <v>19</v>
      </c>
      <c r="M52" s="16" t="s">
        <v>37</v>
      </c>
      <c r="N52" s="16" t="s">
        <v>49</v>
      </c>
      <c r="O52" s="16" t="b">
        <f t="shared" si="0"/>
        <v>1</v>
      </c>
    </row>
    <row r="53" spans="1:15">
      <c r="A53" s="1" t="s">
        <v>82</v>
      </c>
      <c r="B53" s="1" t="s">
        <v>22</v>
      </c>
      <c r="C53" s="5">
        <v>45539</v>
      </c>
      <c r="D53" s="16" t="s">
        <v>23</v>
      </c>
      <c r="E53" s="17" t="s">
        <v>24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16" t="s">
        <v>19</v>
      </c>
      <c r="M53" s="16" t="s">
        <v>366</v>
      </c>
      <c r="N53" s="16" t="s">
        <v>16</v>
      </c>
      <c r="O53" s="16" t="b">
        <f t="shared" si="0"/>
        <v>1</v>
      </c>
    </row>
    <row r="54" spans="1:15">
      <c r="A54" s="1" t="s">
        <v>83</v>
      </c>
      <c r="B54" s="1" t="s">
        <v>22</v>
      </c>
      <c r="C54" s="5">
        <v>45516</v>
      </c>
      <c r="D54" s="16" t="s">
        <v>23</v>
      </c>
      <c r="E54" s="17" t="s">
        <v>364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16" t="s">
        <v>366</v>
      </c>
      <c r="M54" s="16" t="s">
        <v>34</v>
      </c>
      <c r="N54" s="16" t="s">
        <v>16</v>
      </c>
      <c r="O54" s="16" t="b">
        <f t="shared" si="0"/>
        <v>1</v>
      </c>
    </row>
    <row r="55" spans="1:15">
      <c r="A55" s="1" t="s">
        <v>84</v>
      </c>
      <c r="B55" s="1" t="s">
        <v>13</v>
      </c>
      <c r="C55" s="5">
        <v>45722</v>
      </c>
      <c r="D55" s="16" t="s">
        <v>14</v>
      </c>
      <c r="E55" s="17" t="s">
        <v>30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16" t="s">
        <v>19</v>
      </c>
      <c r="M55" s="16"/>
      <c r="N55" s="16" t="s">
        <v>20</v>
      </c>
      <c r="O55" s="16" t="b">
        <f t="shared" si="0"/>
        <v>1</v>
      </c>
    </row>
    <row r="56" spans="1:15">
      <c r="A56" s="1" t="s">
        <v>85</v>
      </c>
      <c r="B56" s="1" t="s">
        <v>22</v>
      </c>
      <c r="C56" s="5">
        <v>45420</v>
      </c>
      <c r="D56" s="16" t="s">
        <v>14</v>
      </c>
      <c r="E56" s="17" t="s">
        <v>18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16" t="s">
        <v>34</v>
      </c>
      <c r="M56" s="16"/>
      <c r="N56" s="16" t="s">
        <v>16</v>
      </c>
      <c r="O56" s="16" t="b">
        <f t="shared" si="0"/>
        <v>1</v>
      </c>
    </row>
    <row r="57" spans="1:15">
      <c r="A57" s="1" t="s">
        <v>86</v>
      </c>
      <c r="B57" s="1" t="s">
        <v>13</v>
      </c>
      <c r="C57" s="5">
        <v>45707</v>
      </c>
      <c r="D57" s="16" t="s">
        <v>23</v>
      </c>
      <c r="E57" s="17" t="s">
        <v>365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16" t="s">
        <v>34</v>
      </c>
      <c r="M57" s="16"/>
      <c r="N57" s="16" t="s">
        <v>46</v>
      </c>
      <c r="O57" s="16" t="b">
        <f t="shared" si="0"/>
        <v>1</v>
      </c>
    </row>
    <row r="58" spans="1:15">
      <c r="A58" s="1" t="s">
        <v>87</v>
      </c>
      <c r="B58" s="1" t="s">
        <v>13</v>
      </c>
      <c r="C58" s="5">
        <v>45299</v>
      </c>
      <c r="D58" s="16" t="s">
        <v>14</v>
      </c>
      <c r="E58" s="17" t="s">
        <v>33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16" t="s">
        <v>19</v>
      </c>
      <c r="M58" s="16"/>
      <c r="N58" s="16" t="s">
        <v>20</v>
      </c>
      <c r="O58" s="16" t="b">
        <f t="shared" si="0"/>
        <v>1</v>
      </c>
    </row>
    <row r="59" spans="1:15">
      <c r="A59" s="1" t="s">
        <v>88</v>
      </c>
      <c r="B59" s="1" t="s">
        <v>27</v>
      </c>
      <c r="C59" s="5">
        <v>45490</v>
      </c>
      <c r="D59" s="16" t="s">
        <v>14</v>
      </c>
      <c r="E59" s="17" t="s">
        <v>33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16" t="s">
        <v>19</v>
      </c>
      <c r="M59" s="16" t="s">
        <v>367</v>
      </c>
      <c r="N59" s="16" t="s">
        <v>20</v>
      </c>
      <c r="O59" s="16" t="b">
        <f t="shared" si="0"/>
        <v>1</v>
      </c>
    </row>
    <row r="60" spans="1:15">
      <c r="A60" s="1" t="s">
        <v>89</v>
      </c>
      <c r="B60" s="1" t="s">
        <v>27</v>
      </c>
      <c r="C60" s="5">
        <v>45514</v>
      </c>
      <c r="D60" s="16" t="s">
        <v>14</v>
      </c>
      <c r="E60" s="17" t="s">
        <v>365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16" t="s">
        <v>19</v>
      </c>
      <c r="M60" s="16" t="s">
        <v>367</v>
      </c>
      <c r="N60" s="16" t="s">
        <v>20</v>
      </c>
      <c r="O60" s="16" t="b">
        <f t="shared" si="0"/>
        <v>1</v>
      </c>
    </row>
    <row r="61" spans="1:15">
      <c r="A61" s="1" t="s">
        <v>90</v>
      </c>
      <c r="B61" s="1" t="s">
        <v>27</v>
      </c>
      <c r="C61" s="5">
        <v>45398</v>
      </c>
      <c r="D61" s="16" t="s">
        <v>14</v>
      </c>
      <c r="E61" s="17" t="s">
        <v>15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16" t="s">
        <v>19</v>
      </c>
      <c r="M61" s="16" t="s">
        <v>367</v>
      </c>
      <c r="N61" s="16" t="s">
        <v>20</v>
      </c>
      <c r="O61" s="16" t="b">
        <f t="shared" si="0"/>
        <v>1</v>
      </c>
    </row>
    <row r="62" spans="1:15">
      <c r="A62" s="1" t="s">
        <v>91</v>
      </c>
      <c r="B62" s="1" t="s">
        <v>27</v>
      </c>
      <c r="C62" s="5">
        <v>45292</v>
      </c>
      <c r="D62" s="16" t="s">
        <v>48</v>
      </c>
      <c r="E62" s="17" t="s">
        <v>18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16" t="s">
        <v>19</v>
      </c>
      <c r="M62" s="16" t="s">
        <v>37</v>
      </c>
      <c r="N62" s="16" t="s">
        <v>49</v>
      </c>
      <c r="O62" s="16" t="b">
        <f t="shared" si="0"/>
        <v>1</v>
      </c>
    </row>
    <row r="63" spans="1:15">
      <c r="A63" s="1" t="s">
        <v>92</v>
      </c>
      <c r="B63" s="1" t="s">
        <v>22</v>
      </c>
      <c r="C63" s="5">
        <v>45599</v>
      </c>
      <c r="D63" s="16" t="s">
        <v>23</v>
      </c>
      <c r="E63" s="17" t="s">
        <v>362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16" t="s">
        <v>366</v>
      </c>
      <c r="M63" s="16" t="s">
        <v>34</v>
      </c>
      <c r="N63" s="16" t="s">
        <v>16</v>
      </c>
      <c r="O63" s="16" t="b">
        <f t="shared" si="0"/>
        <v>1</v>
      </c>
    </row>
    <row r="64" spans="1:15">
      <c r="A64" s="1" t="s">
        <v>93</v>
      </c>
      <c r="B64" s="1" t="s">
        <v>22</v>
      </c>
      <c r="C64" s="5">
        <v>45480</v>
      </c>
      <c r="D64" s="16" t="s">
        <v>14</v>
      </c>
      <c r="E64" s="17" t="s">
        <v>24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16" t="s">
        <v>37</v>
      </c>
      <c r="M64" s="16"/>
      <c r="N64" s="16" t="s">
        <v>20</v>
      </c>
      <c r="O64" s="16" t="b">
        <f t="shared" si="0"/>
        <v>1</v>
      </c>
    </row>
    <row r="65" spans="1:15">
      <c r="A65" s="1" t="s">
        <v>94</v>
      </c>
      <c r="B65" s="1" t="s">
        <v>22</v>
      </c>
      <c r="C65" s="5">
        <v>45679</v>
      </c>
      <c r="D65" s="16" t="s">
        <v>23</v>
      </c>
      <c r="E65" s="17" t="s">
        <v>24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16" t="s">
        <v>366</v>
      </c>
      <c r="M65" s="16" t="s">
        <v>34</v>
      </c>
      <c r="N65" s="16" t="s">
        <v>16</v>
      </c>
      <c r="O65" s="16" t="b">
        <f t="shared" si="0"/>
        <v>1</v>
      </c>
    </row>
    <row r="66" spans="1:15">
      <c r="A66" s="1" t="s">
        <v>95</v>
      </c>
      <c r="B66" s="1" t="s">
        <v>27</v>
      </c>
      <c r="C66" s="5">
        <v>45438</v>
      </c>
      <c r="D66" s="16" t="s">
        <v>14</v>
      </c>
      <c r="E66" s="17" t="s">
        <v>365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16" t="s">
        <v>19</v>
      </c>
      <c r="M66" s="16" t="s">
        <v>367</v>
      </c>
      <c r="N66" s="16" t="s">
        <v>20</v>
      </c>
      <c r="O66" s="16" t="b">
        <f t="shared" ref="O66:O129" si="1">ISNUMBER(C66)</f>
        <v>1</v>
      </c>
    </row>
    <row r="67" spans="1:15">
      <c r="A67" s="1" t="s">
        <v>96</v>
      </c>
      <c r="B67" s="1" t="s">
        <v>13</v>
      </c>
      <c r="C67" s="5">
        <v>45763</v>
      </c>
      <c r="D67" s="16" t="s">
        <v>14</v>
      </c>
      <c r="E67" s="17" t="s">
        <v>362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16" t="s">
        <v>37</v>
      </c>
      <c r="M67" s="16" t="s">
        <v>34</v>
      </c>
      <c r="N67" s="16" t="s">
        <v>16</v>
      </c>
      <c r="O67" s="16" t="b">
        <f t="shared" si="1"/>
        <v>1</v>
      </c>
    </row>
    <row r="68" spans="1:15">
      <c r="A68" s="1" t="s">
        <v>97</v>
      </c>
      <c r="B68" s="1" t="s">
        <v>27</v>
      </c>
      <c r="C68" s="5">
        <v>45384</v>
      </c>
      <c r="D68" s="16" t="s">
        <v>48</v>
      </c>
      <c r="E68" s="17" t="s">
        <v>42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16" t="s">
        <v>19</v>
      </c>
      <c r="M68" s="16" t="s">
        <v>37</v>
      </c>
      <c r="N68" s="16" t="s">
        <v>49</v>
      </c>
      <c r="O68" s="16" t="b">
        <f t="shared" si="1"/>
        <v>1</v>
      </c>
    </row>
    <row r="69" spans="1:15">
      <c r="A69" s="1" t="s">
        <v>98</v>
      </c>
      <c r="B69" s="1" t="s">
        <v>22</v>
      </c>
      <c r="C69" s="5">
        <v>45379</v>
      </c>
      <c r="D69" s="16" t="s">
        <v>14</v>
      </c>
      <c r="E69" s="17" t="s">
        <v>363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16" t="s">
        <v>37</v>
      </c>
      <c r="M69" s="16"/>
      <c r="N69" s="16" t="s">
        <v>20</v>
      </c>
      <c r="O69" s="16" t="b">
        <f t="shared" si="1"/>
        <v>1</v>
      </c>
    </row>
    <row r="70" spans="1:15">
      <c r="A70" s="1" t="s">
        <v>99</v>
      </c>
      <c r="B70" s="1" t="s">
        <v>22</v>
      </c>
      <c r="C70" s="5">
        <v>45643</v>
      </c>
      <c r="D70" s="16" t="s">
        <v>23</v>
      </c>
      <c r="E70" s="17" t="s">
        <v>363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16" t="s">
        <v>19</v>
      </c>
      <c r="M70" s="16" t="s">
        <v>366</v>
      </c>
      <c r="N70" s="16" t="s">
        <v>16</v>
      </c>
      <c r="O70" s="16" t="b">
        <f t="shared" si="1"/>
        <v>1</v>
      </c>
    </row>
    <row r="71" spans="1:15">
      <c r="A71" s="1" t="s">
        <v>100</v>
      </c>
      <c r="B71" s="1" t="s">
        <v>22</v>
      </c>
      <c r="C71" s="5">
        <v>45662</v>
      </c>
      <c r="D71" s="16" t="s">
        <v>14</v>
      </c>
      <c r="E71" s="17" t="s">
        <v>362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16" t="s">
        <v>34</v>
      </c>
      <c r="M71" s="16"/>
      <c r="N71" s="16" t="s">
        <v>16</v>
      </c>
      <c r="O71" s="16" t="b">
        <f t="shared" si="1"/>
        <v>1</v>
      </c>
    </row>
    <row r="72" spans="1:15">
      <c r="A72" s="1" t="s">
        <v>101</v>
      </c>
      <c r="B72" s="1" t="s">
        <v>22</v>
      </c>
      <c r="C72" s="5">
        <v>45302</v>
      </c>
      <c r="D72" s="16" t="s">
        <v>14</v>
      </c>
      <c r="E72" s="17" t="s">
        <v>364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16" t="s">
        <v>37</v>
      </c>
      <c r="M72" s="16"/>
      <c r="N72" s="16" t="s">
        <v>20</v>
      </c>
      <c r="O72" s="16" t="b">
        <f t="shared" si="1"/>
        <v>1</v>
      </c>
    </row>
    <row r="73" spans="1:15">
      <c r="A73" s="1" t="s">
        <v>102</v>
      </c>
      <c r="B73" s="1" t="s">
        <v>13</v>
      </c>
      <c r="C73" s="5">
        <v>45576</v>
      </c>
      <c r="D73" s="16" t="s">
        <v>14</v>
      </c>
      <c r="E73" s="17" t="s">
        <v>365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16" t="s">
        <v>19</v>
      </c>
      <c r="M73" s="16"/>
      <c r="N73" s="16" t="s">
        <v>20</v>
      </c>
      <c r="O73" s="16" t="b">
        <f t="shared" si="1"/>
        <v>1</v>
      </c>
    </row>
    <row r="74" spans="1:15">
      <c r="A74" s="1" t="s">
        <v>103</v>
      </c>
      <c r="B74" s="1" t="s">
        <v>27</v>
      </c>
      <c r="C74" s="5">
        <v>45783</v>
      </c>
      <c r="D74" s="16" t="s">
        <v>48</v>
      </c>
      <c r="E74" s="17" t="s">
        <v>15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16" t="s">
        <v>19</v>
      </c>
      <c r="M74" s="16" t="s">
        <v>37</v>
      </c>
      <c r="N74" s="16" t="s">
        <v>49</v>
      </c>
      <c r="O74" s="16" t="b">
        <f t="shared" si="1"/>
        <v>1</v>
      </c>
    </row>
    <row r="75" spans="1:15">
      <c r="A75" s="1" t="s">
        <v>104</v>
      </c>
      <c r="B75" s="1" t="s">
        <v>22</v>
      </c>
      <c r="C75" s="5">
        <v>45431</v>
      </c>
      <c r="D75" s="16" t="s">
        <v>23</v>
      </c>
      <c r="E75" s="17" t="s">
        <v>30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16" t="s">
        <v>19</v>
      </c>
      <c r="M75" s="16" t="s">
        <v>366</v>
      </c>
      <c r="N75" s="16" t="s">
        <v>16</v>
      </c>
      <c r="O75" s="16" t="b">
        <f t="shared" si="1"/>
        <v>1</v>
      </c>
    </row>
    <row r="76" spans="1:15">
      <c r="A76" s="1" t="s">
        <v>105</v>
      </c>
      <c r="B76" s="1" t="s">
        <v>22</v>
      </c>
      <c r="C76" s="5">
        <v>45313</v>
      </c>
      <c r="D76" s="16" t="s">
        <v>23</v>
      </c>
      <c r="E76" s="17" t="s">
        <v>365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16" t="s">
        <v>37</v>
      </c>
      <c r="M76" s="16" t="s">
        <v>34</v>
      </c>
      <c r="N76" s="16" t="s">
        <v>16</v>
      </c>
      <c r="O76" s="16" t="b">
        <f t="shared" si="1"/>
        <v>1</v>
      </c>
    </row>
    <row r="77" spans="1:15">
      <c r="A77" s="1" t="s">
        <v>106</v>
      </c>
      <c r="B77" s="1" t="s">
        <v>13</v>
      </c>
      <c r="C77" s="5">
        <v>45487</v>
      </c>
      <c r="D77" s="16" t="s">
        <v>14</v>
      </c>
      <c r="E77" s="17" t="s">
        <v>362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16" t="s">
        <v>19</v>
      </c>
      <c r="M77" s="16"/>
      <c r="N77" s="16" t="s">
        <v>20</v>
      </c>
      <c r="O77" s="16" t="b">
        <f t="shared" si="1"/>
        <v>1</v>
      </c>
    </row>
    <row r="78" spans="1:15">
      <c r="A78" s="1" t="s">
        <v>107</v>
      </c>
      <c r="B78" s="1" t="s">
        <v>22</v>
      </c>
      <c r="C78" s="5">
        <v>45805</v>
      </c>
      <c r="D78" s="16" t="s">
        <v>14</v>
      </c>
      <c r="E78" s="17" t="s">
        <v>365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16" t="s">
        <v>34</v>
      </c>
      <c r="M78" s="16"/>
      <c r="N78" s="16" t="s">
        <v>16</v>
      </c>
      <c r="O78" s="16" t="b">
        <f t="shared" si="1"/>
        <v>1</v>
      </c>
    </row>
    <row r="79" spans="1:15">
      <c r="A79" s="1" t="s">
        <v>108</v>
      </c>
      <c r="B79" s="1" t="s">
        <v>22</v>
      </c>
      <c r="C79" s="5">
        <v>45678</v>
      </c>
      <c r="D79" s="16" t="s">
        <v>23</v>
      </c>
      <c r="E79" s="17" t="s">
        <v>15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16" t="s">
        <v>366</v>
      </c>
      <c r="M79" s="16" t="s">
        <v>34</v>
      </c>
      <c r="N79" s="16" t="s">
        <v>16</v>
      </c>
      <c r="O79" s="16" t="b">
        <f t="shared" si="1"/>
        <v>1</v>
      </c>
    </row>
    <row r="80" spans="1:15">
      <c r="A80" s="1" t="s">
        <v>109</v>
      </c>
      <c r="B80" s="1" t="s">
        <v>27</v>
      </c>
      <c r="C80" s="5">
        <v>45304</v>
      </c>
      <c r="D80" s="16" t="s">
        <v>48</v>
      </c>
      <c r="E80" s="17" t="s">
        <v>24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16" t="s">
        <v>19</v>
      </c>
      <c r="M80" s="16" t="s">
        <v>37</v>
      </c>
      <c r="N80" s="16" t="s">
        <v>49</v>
      </c>
      <c r="O80" s="16" t="b">
        <f t="shared" si="1"/>
        <v>1</v>
      </c>
    </row>
    <row r="81" spans="1:15">
      <c r="A81" s="1" t="s">
        <v>110</v>
      </c>
      <c r="B81" s="1" t="s">
        <v>13</v>
      </c>
      <c r="C81" s="5">
        <v>45825</v>
      </c>
      <c r="D81" s="16" t="s">
        <v>14</v>
      </c>
      <c r="E81" s="17" t="s">
        <v>363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16" t="s">
        <v>37</v>
      </c>
      <c r="M81" s="16" t="s">
        <v>34</v>
      </c>
      <c r="N81" s="16" t="s">
        <v>16</v>
      </c>
      <c r="O81" s="16" t="b">
        <f t="shared" si="1"/>
        <v>1</v>
      </c>
    </row>
    <row r="82" spans="1:15">
      <c r="A82" s="1" t="s">
        <v>111</v>
      </c>
      <c r="B82" s="1" t="s">
        <v>22</v>
      </c>
      <c r="C82" s="5">
        <v>45723</v>
      </c>
      <c r="D82" s="16" t="s">
        <v>14</v>
      </c>
      <c r="E82" s="17" t="s">
        <v>30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16" t="s">
        <v>37</v>
      </c>
      <c r="M82" s="16"/>
      <c r="N82" s="16" t="s">
        <v>20</v>
      </c>
      <c r="O82" s="16" t="b">
        <f t="shared" si="1"/>
        <v>1</v>
      </c>
    </row>
    <row r="83" spans="1:15">
      <c r="A83" s="1" t="s">
        <v>112</v>
      </c>
      <c r="B83" s="1" t="s">
        <v>13</v>
      </c>
      <c r="C83" s="5">
        <v>45530</v>
      </c>
      <c r="D83" s="16" t="s">
        <v>14</v>
      </c>
      <c r="E83" s="17" t="s">
        <v>42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16" t="s">
        <v>19</v>
      </c>
      <c r="M83" s="16"/>
      <c r="N83" s="16" t="s">
        <v>20</v>
      </c>
      <c r="O83" s="16" t="b">
        <f t="shared" si="1"/>
        <v>1</v>
      </c>
    </row>
    <row r="84" spans="1:15">
      <c r="A84" s="1" t="s">
        <v>113</v>
      </c>
      <c r="B84" s="1" t="s">
        <v>22</v>
      </c>
      <c r="C84" s="5">
        <v>45660</v>
      </c>
      <c r="D84" s="16" t="s">
        <v>23</v>
      </c>
      <c r="E84" s="17" t="s">
        <v>30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16" t="s">
        <v>37</v>
      </c>
      <c r="M84" s="16" t="s">
        <v>34</v>
      </c>
      <c r="N84" s="16" t="s">
        <v>16</v>
      </c>
      <c r="O84" s="16" t="b">
        <f t="shared" si="1"/>
        <v>1</v>
      </c>
    </row>
    <row r="85" spans="1:15">
      <c r="A85" s="1" t="s">
        <v>114</v>
      </c>
      <c r="B85" s="1" t="s">
        <v>22</v>
      </c>
      <c r="C85" s="5">
        <v>45507</v>
      </c>
      <c r="D85" s="16" t="s">
        <v>14</v>
      </c>
      <c r="E85" s="17" t="s">
        <v>42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16" t="s">
        <v>34</v>
      </c>
      <c r="M85" s="16"/>
      <c r="N85" s="16" t="s">
        <v>16</v>
      </c>
      <c r="O85" s="16" t="b">
        <f t="shared" si="1"/>
        <v>1</v>
      </c>
    </row>
    <row r="86" spans="1:15">
      <c r="A86" s="1" t="s">
        <v>115</v>
      </c>
      <c r="B86" s="1" t="s">
        <v>13</v>
      </c>
      <c r="C86" s="5">
        <v>45522</v>
      </c>
      <c r="D86" s="16" t="s">
        <v>14</v>
      </c>
      <c r="E86" s="17" t="s">
        <v>18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16" t="s">
        <v>37</v>
      </c>
      <c r="M86" s="16" t="s">
        <v>34</v>
      </c>
      <c r="N86" s="16" t="s">
        <v>16</v>
      </c>
      <c r="O86" s="16" t="b">
        <f t="shared" si="1"/>
        <v>1</v>
      </c>
    </row>
    <row r="87" spans="1:15">
      <c r="A87" s="1" t="s">
        <v>116</v>
      </c>
      <c r="B87" s="1" t="s">
        <v>22</v>
      </c>
      <c r="C87" s="5">
        <v>45791</v>
      </c>
      <c r="D87" s="16" t="s">
        <v>23</v>
      </c>
      <c r="E87" s="17" t="s">
        <v>362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16" t="s">
        <v>37</v>
      </c>
      <c r="M87" s="16" t="s">
        <v>34</v>
      </c>
      <c r="N87" s="16" t="s">
        <v>16</v>
      </c>
      <c r="O87" s="16" t="b">
        <f t="shared" si="1"/>
        <v>1</v>
      </c>
    </row>
    <row r="88" spans="1:15">
      <c r="A88" s="1" t="s">
        <v>117</v>
      </c>
      <c r="B88" s="1" t="s">
        <v>22</v>
      </c>
      <c r="C88" s="5">
        <v>45405</v>
      </c>
      <c r="D88" s="16" t="s">
        <v>23</v>
      </c>
      <c r="E88" s="17" t="s">
        <v>15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16" t="s">
        <v>37</v>
      </c>
      <c r="M88" s="16" t="s">
        <v>34</v>
      </c>
      <c r="N88" s="16" t="s">
        <v>16</v>
      </c>
      <c r="O88" s="16" t="b">
        <f t="shared" si="1"/>
        <v>1</v>
      </c>
    </row>
    <row r="89" spans="1:15">
      <c r="A89" s="1" t="s">
        <v>118</v>
      </c>
      <c r="B89" s="1" t="s">
        <v>22</v>
      </c>
      <c r="C89" s="5">
        <v>45705</v>
      </c>
      <c r="D89" s="16" t="s">
        <v>23</v>
      </c>
      <c r="E89" s="17" t="s">
        <v>364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16" t="s">
        <v>37</v>
      </c>
      <c r="M89" s="16" t="s">
        <v>34</v>
      </c>
      <c r="N89" s="16" t="s">
        <v>16</v>
      </c>
      <c r="O89" s="16" t="b">
        <f t="shared" si="1"/>
        <v>1</v>
      </c>
    </row>
    <row r="90" spans="1:15">
      <c r="A90" s="1" t="s">
        <v>119</v>
      </c>
      <c r="B90" s="1" t="s">
        <v>13</v>
      </c>
      <c r="C90" s="5">
        <v>45630</v>
      </c>
      <c r="D90" s="16" t="s">
        <v>14</v>
      </c>
      <c r="E90" s="17" t="s">
        <v>362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16" t="s">
        <v>37</v>
      </c>
      <c r="M90" s="16" t="s">
        <v>34</v>
      </c>
      <c r="N90" s="16" t="s">
        <v>16</v>
      </c>
      <c r="O90" s="16" t="b">
        <f t="shared" si="1"/>
        <v>1</v>
      </c>
    </row>
    <row r="91" spans="1:15">
      <c r="A91" s="1" t="s">
        <v>120</v>
      </c>
      <c r="B91" s="1" t="s">
        <v>22</v>
      </c>
      <c r="C91" s="5">
        <v>45495</v>
      </c>
      <c r="D91" s="16" t="s">
        <v>23</v>
      </c>
      <c r="E91" s="17" t="s">
        <v>362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16" t="s">
        <v>366</v>
      </c>
      <c r="M91" s="16" t="s">
        <v>34</v>
      </c>
      <c r="N91" s="16" t="s">
        <v>16</v>
      </c>
      <c r="O91" s="16" t="b">
        <f t="shared" si="1"/>
        <v>1</v>
      </c>
    </row>
    <row r="92" spans="1:15">
      <c r="A92" s="1" t="s">
        <v>121</v>
      </c>
      <c r="B92" s="1" t="s">
        <v>22</v>
      </c>
      <c r="C92" s="5">
        <v>45774</v>
      </c>
      <c r="D92" s="16" t="s">
        <v>14</v>
      </c>
      <c r="E92" s="17" t="s">
        <v>18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16" t="s">
        <v>37</v>
      </c>
      <c r="M92" s="16"/>
      <c r="N92" s="16" t="s">
        <v>20</v>
      </c>
      <c r="O92" s="16" t="b">
        <f t="shared" si="1"/>
        <v>1</v>
      </c>
    </row>
    <row r="93" spans="1:15">
      <c r="A93" s="1" t="s">
        <v>122</v>
      </c>
      <c r="B93" s="1" t="s">
        <v>27</v>
      </c>
      <c r="C93" s="5">
        <v>45376</v>
      </c>
      <c r="D93" s="16" t="s">
        <v>48</v>
      </c>
      <c r="E93" s="17" t="s">
        <v>18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16" t="s">
        <v>19</v>
      </c>
      <c r="M93" s="16" t="s">
        <v>37</v>
      </c>
      <c r="N93" s="16" t="s">
        <v>49</v>
      </c>
      <c r="O93" s="16" t="b">
        <f t="shared" si="1"/>
        <v>1</v>
      </c>
    </row>
    <row r="94" spans="1:15">
      <c r="A94" s="1" t="s">
        <v>123</v>
      </c>
      <c r="B94" s="1" t="s">
        <v>13</v>
      </c>
      <c r="C94" s="5">
        <v>45351</v>
      </c>
      <c r="D94" s="16" t="s">
        <v>14</v>
      </c>
      <c r="E94" s="17" t="s">
        <v>365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16" t="s">
        <v>19</v>
      </c>
      <c r="M94" s="16"/>
      <c r="N94" s="16" t="s">
        <v>20</v>
      </c>
      <c r="O94" s="16" t="b">
        <f t="shared" si="1"/>
        <v>1</v>
      </c>
    </row>
    <row r="95" spans="1:15">
      <c r="A95" s="1" t="s">
        <v>124</v>
      </c>
      <c r="B95" s="1" t="s">
        <v>22</v>
      </c>
      <c r="C95" s="5">
        <v>45609</v>
      </c>
      <c r="D95" s="16" t="s">
        <v>23</v>
      </c>
      <c r="E95" s="17" t="s">
        <v>33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16" t="s">
        <v>37</v>
      </c>
      <c r="M95" s="16" t="s">
        <v>34</v>
      </c>
      <c r="N95" s="16" t="s">
        <v>16</v>
      </c>
      <c r="O95" s="16" t="b">
        <f t="shared" si="1"/>
        <v>1</v>
      </c>
    </row>
    <row r="96" spans="1:15">
      <c r="A96" s="1" t="s">
        <v>125</v>
      </c>
      <c r="B96" s="1" t="s">
        <v>13</v>
      </c>
      <c r="C96" s="5">
        <v>45373</v>
      </c>
      <c r="D96" s="16" t="s">
        <v>23</v>
      </c>
      <c r="E96" s="17" t="s">
        <v>15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16" t="s">
        <v>34</v>
      </c>
      <c r="M96" s="16"/>
      <c r="N96" s="16" t="s">
        <v>46</v>
      </c>
      <c r="O96" s="16" t="b">
        <f t="shared" si="1"/>
        <v>1</v>
      </c>
    </row>
    <row r="97" spans="1:15">
      <c r="A97" s="1" t="s">
        <v>126</v>
      </c>
      <c r="B97" s="1" t="s">
        <v>22</v>
      </c>
      <c r="C97" s="5">
        <v>45367</v>
      </c>
      <c r="D97" s="16" t="s">
        <v>23</v>
      </c>
      <c r="E97" s="17" t="s">
        <v>362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16" t="s">
        <v>37</v>
      </c>
      <c r="M97" s="16" t="s">
        <v>34</v>
      </c>
      <c r="N97" s="16" t="s">
        <v>16</v>
      </c>
      <c r="O97" s="16" t="b">
        <f t="shared" si="1"/>
        <v>1</v>
      </c>
    </row>
    <row r="98" spans="1:15">
      <c r="A98" s="1" t="s">
        <v>127</v>
      </c>
      <c r="B98" s="1" t="s">
        <v>13</v>
      </c>
      <c r="C98" s="5">
        <v>45317</v>
      </c>
      <c r="D98" s="16" t="s">
        <v>14</v>
      </c>
      <c r="E98" s="17" t="s">
        <v>364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16" t="s">
        <v>19</v>
      </c>
      <c r="M98" s="16"/>
      <c r="N98" s="16" t="s">
        <v>20</v>
      </c>
      <c r="O98" s="16" t="b">
        <f t="shared" si="1"/>
        <v>1</v>
      </c>
    </row>
    <row r="99" spans="1:15">
      <c r="A99" s="1" t="s">
        <v>128</v>
      </c>
      <c r="B99" s="1" t="s">
        <v>22</v>
      </c>
      <c r="C99" s="5">
        <v>45366</v>
      </c>
      <c r="D99" s="16" t="s">
        <v>23</v>
      </c>
      <c r="E99" s="17" t="s">
        <v>30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16" t="s">
        <v>19</v>
      </c>
      <c r="M99" s="16" t="s">
        <v>366</v>
      </c>
      <c r="N99" s="16" t="s">
        <v>16</v>
      </c>
      <c r="O99" s="16" t="b">
        <f t="shared" si="1"/>
        <v>1</v>
      </c>
    </row>
    <row r="100" spans="1:15">
      <c r="A100" s="1" t="s">
        <v>129</v>
      </c>
      <c r="B100" s="1" t="s">
        <v>22</v>
      </c>
      <c r="C100" s="5">
        <v>45580</v>
      </c>
      <c r="D100" s="16" t="s">
        <v>14</v>
      </c>
      <c r="E100" s="17" t="s">
        <v>362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16" t="s">
        <v>34</v>
      </c>
      <c r="M100" s="16"/>
      <c r="N100" s="16" t="s">
        <v>16</v>
      </c>
      <c r="O100" s="16" t="b">
        <f t="shared" si="1"/>
        <v>1</v>
      </c>
    </row>
    <row r="101" spans="1:15">
      <c r="A101" s="1" t="s">
        <v>130</v>
      </c>
      <c r="B101" s="1" t="s">
        <v>13</v>
      </c>
      <c r="C101" s="5">
        <v>45494</v>
      </c>
      <c r="D101" s="16" t="s">
        <v>14</v>
      </c>
      <c r="E101" s="17" t="s">
        <v>15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16" t="s">
        <v>19</v>
      </c>
      <c r="M101" s="16"/>
      <c r="N101" s="16" t="s">
        <v>20</v>
      </c>
      <c r="O101" s="16" t="b">
        <f t="shared" si="1"/>
        <v>1</v>
      </c>
    </row>
    <row r="102" spans="1:15">
      <c r="A102" s="1" t="s">
        <v>131</v>
      </c>
      <c r="B102" s="1" t="s">
        <v>22</v>
      </c>
      <c r="C102" s="5">
        <v>45577</v>
      </c>
      <c r="D102" s="16" t="s">
        <v>14</v>
      </c>
      <c r="E102" s="17" t="s">
        <v>30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16" t="s">
        <v>34</v>
      </c>
      <c r="M102" s="16"/>
      <c r="N102" s="16" t="s">
        <v>16</v>
      </c>
      <c r="O102" s="16" t="b">
        <f t="shared" si="1"/>
        <v>1</v>
      </c>
    </row>
    <row r="103" spans="1:15">
      <c r="A103" s="1" t="s">
        <v>132</v>
      </c>
      <c r="B103" s="1" t="s">
        <v>22</v>
      </c>
      <c r="C103" s="5">
        <v>45591</v>
      </c>
      <c r="D103" s="16" t="s">
        <v>14</v>
      </c>
      <c r="E103" s="17" t="s">
        <v>15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16" t="s">
        <v>34</v>
      </c>
      <c r="M103" s="16"/>
      <c r="N103" s="16" t="s">
        <v>16</v>
      </c>
      <c r="O103" s="16" t="b">
        <f t="shared" si="1"/>
        <v>1</v>
      </c>
    </row>
    <row r="104" spans="1:15">
      <c r="A104" s="1" t="s">
        <v>133</v>
      </c>
      <c r="B104" s="1" t="s">
        <v>13</v>
      </c>
      <c r="C104" s="5">
        <v>45336</v>
      </c>
      <c r="D104" s="16" t="s">
        <v>14</v>
      </c>
      <c r="E104" s="17" t="s">
        <v>363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16" t="s">
        <v>37</v>
      </c>
      <c r="M104" s="16" t="s">
        <v>34</v>
      </c>
      <c r="N104" s="16" t="s">
        <v>16</v>
      </c>
      <c r="O104" s="16" t="b">
        <f t="shared" si="1"/>
        <v>1</v>
      </c>
    </row>
    <row r="105" spans="1:15">
      <c r="A105" s="1" t="s">
        <v>134</v>
      </c>
      <c r="B105" s="1" t="s">
        <v>22</v>
      </c>
      <c r="C105" s="5">
        <v>45413</v>
      </c>
      <c r="D105" s="16" t="s">
        <v>23</v>
      </c>
      <c r="E105" s="17" t="s">
        <v>364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16" t="s">
        <v>19</v>
      </c>
      <c r="M105" s="16" t="s">
        <v>366</v>
      </c>
      <c r="N105" s="16" t="s">
        <v>16</v>
      </c>
      <c r="O105" s="16" t="b">
        <f t="shared" si="1"/>
        <v>1</v>
      </c>
    </row>
    <row r="106" spans="1:15">
      <c r="A106" s="1" t="s">
        <v>135</v>
      </c>
      <c r="B106" s="1" t="s">
        <v>22</v>
      </c>
      <c r="C106" s="5">
        <v>45553</v>
      </c>
      <c r="D106" s="16" t="s">
        <v>14</v>
      </c>
      <c r="E106" s="17" t="s">
        <v>15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16" t="s">
        <v>34</v>
      </c>
      <c r="M106" s="16"/>
      <c r="N106" s="16" t="s">
        <v>16</v>
      </c>
      <c r="O106" s="16" t="b">
        <f t="shared" si="1"/>
        <v>1</v>
      </c>
    </row>
    <row r="107" spans="1:15">
      <c r="A107" s="1" t="s">
        <v>136</v>
      </c>
      <c r="B107" s="1" t="s">
        <v>22</v>
      </c>
      <c r="C107" s="5">
        <v>45677</v>
      </c>
      <c r="D107" s="16" t="s">
        <v>23</v>
      </c>
      <c r="E107" s="17" t="s">
        <v>24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16" t="s">
        <v>37</v>
      </c>
      <c r="M107" s="16" t="s">
        <v>34</v>
      </c>
      <c r="N107" s="16" t="s">
        <v>16</v>
      </c>
      <c r="O107" s="16" t="b">
        <f t="shared" si="1"/>
        <v>1</v>
      </c>
    </row>
    <row r="108" spans="1:15">
      <c r="A108" s="1" t="s">
        <v>137</v>
      </c>
      <c r="B108" s="1" t="s">
        <v>22</v>
      </c>
      <c r="C108" s="5">
        <v>45670</v>
      </c>
      <c r="D108" s="16" t="s">
        <v>14</v>
      </c>
      <c r="E108" s="17" t="s">
        <v>363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16" t="s">
        <v>37</v>
      </c>
      <c r="M108" s="16"/>
      <c r="N108" s="16" t="s">
        <v>20</v>
      </c>
      <c r="O108" s="16" t="b">
        <f t="shared" si="1"/>
        <v>1</v>
      </c>
    </row>
    <row r="109" spans="1:15">
      <c r="A109" s="1" t="s">
        <v>138</v>
      </c>
      <c r="B109" s="1" t="s">
        <v>27</v>
      </c>
      <c r="C109" s="5">
        <v>45542</v>
      </c>
      <c r="D109" s="16" t="s">
        <v>48</v>
      </c>
      <c r="E109" s="17" t="s">
        <v>363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16" t="s">
        <v>19</v>
      </c>
      <c r="M109" s="16" t="s">
        <v>37</v>
      </c>
      <c r="N109" s="16" t="s">
        <v>49</v>
      </c>
      <c r="O109" s="16" t="b">
        <f t="shared" si="1"/>
        <v>1</v>
      </c>
    </row>
    <row r="110" spans="1:15">
      <c r="A110" s="1" t="s">
        <v>139</v>
      </c>
      <c r="B110" s="1" t="s">
        <v>13</v>
      </c>
      <c r="C110" s="5">
        <v>45617</v>
      </c>
      <c r="D110" s="16" t="s">
        <v>14</v>
      </c>
      <c r="E110" s="17" t="s">
        <v>363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16" t="s">
        <v>37</v>
      </c>
      <c r="M110" s="16" t="s">
        <v>34</v>
      </c>
      <c r="N110" s="16" t="s">
        <v>16</v>
      </c>
      <c r="O110" s="16" t="b">
        <f t="shared" si="1"/>
        <v>1</v>
      </c>
    </row>
    <row r="111" spans="1:15">
      <c r="A111" s="1" t="s">
        <v>140</v>
      </c>
      <c r="B111" s="1" t="s">
        <v>13</v>
      </c>
      <c r="C111" s="5">
        <v>45469</v>
      </c>
      <c r="D111" s="16" t="s">
        <v>14</v>
      </c>
      <c r="E111" s="17" t="s">
        <v>24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16" t="s">
        <v>19</v>
      </c>
      <c r="M111" s="16"/>
      <c r="N111" s="16" t="s">
        <v>20</v>
      </c>
      <c r="O111" s="16" t="b">
        <f t="shared" si="1"/>
        <v>1</v>
      </c>
    </row>
    <row r="112" spans="1:15">
      <c r="A112" s="1" t="s">
        <v>141</v>
      </c>
      <c r="B112" s="1" t="s">
        <v>27</v>
      </c>
      <c r="C112" s="5">
        <v>45493</v>
      </c>
      <c r="D112" s="16" t="s">
        <v>48</v>
      </c>
      <c r="E112" s="17" t="s">
        <v>363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16" t="s">
        <v>19</v>
      </c>
      <c r="M112" s="16" t="s">
        <v>37</v>
      </c>
      <c r="N112" s="16" t="s">
        <v>49</v>
      </c>
      <c r="O112" s="16" t="b">
        <f t="shared" si="1"/>
        <v>1</v>
      </c>
    </row>
    <row r="113" spans="1:15">
      <c r="A113" s="1" t="s">
        <v>142</v>
      </c>
      <c r="B113" s="1" t="s">
        <v>13</v>
      </c>
      <c r="C113" s="5">
        <v>45704</v>
      </c>
      <c r="D113" s="16" t="s">
        <v>14</v>
      </c>
      <c r="E113" s="17" t="s">
        <v>42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16" t="s">
        <v>37</v>
      </c>
      <c r="M113" s="16" t="s">
        <v>34</v>
      </c>
      <c r="N113" s="16" t="s">
        <v>16</v>
      </c>
      <c r="O113" s="16" t="b">
        <f t="shared" si="1"/>
        <v>1</v>
      </c>
    </row>
    <row r="114" spans="1:15">
      <c r="A114" s="1" t="s">
        <v>143</v>
      </c>
      <c r="B114" s="1" t="s">
        <v>13</v>
      </c>
      <c r="C114" s="5">
        <v>45544</v>
      </c>
      <c r="D114" s="16" t="s">
        <v>14</v>
      </c>
      <c r="E114" s="17" t="s">
        <v>24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16" t="s">
        <v>37</v>
      </c>
      <c r="M114" s="16" t="s">
        <v>34</v>
      </c>
      <c r="N114" s="16" t="s">
        <v>16</v>
      </c>
      <c r="O114" s="16" t="b">
        <f t="shared" si="1"/>
        <v>1</v>
      </c>
    </row>
    <row r="115" spans="1:15">
      <c r="A115" s="1" t="s">
        <v>144</v>
      </c>
      <c r="B115" s="1" t="s">
        <v>22</v>
      </c>
      <c r="C115" s="5">
        <v>45489</v>
      </c>
      <c r="D115" s="16" t="s">
        <v>14</v>
      </c>
      <c r="E115" s="17" t="s">
        <v>33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16" t="s">
        <v>34</v>
      </c>
      <c r="M115" s="16"/>
      <c r="N115" s="16" t="s">
        <v>16</v>
      </c>
      <c r="O115" s="16" t="b">
        <f t="shared" si="1"/>
        <v>1</v>
      </c>
    </row>
    <row r="116" spans="1:15">
      <c r="A116" s="1" t="s">
        <v>145</v>
      </c>
      <c r="B116" s="1" t="s">
        <v>13</v>
      </c>
      <c r="C116" s="5">
        <v>45762</v>
      </c>
      <c r="D116" s="16" t="s">
        <v>14</v>
      </c>
      <c r="E116" s="17" t="s">
        <v>18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16" t="s">
        <v>19</v>
      </c>
      <c r="M116" s="16"/>
      <c r="N116" s="16" t="s">
        <v>20</v>
      </c>
      <c r="O116" s="16" t="b">
        <f t="shared" si="1"/>
        <v>1</v>
      </c>
    </row>
    <row r="117" spans="1:15">
      <c r="A117" s="1" t="s">
        <v>146</v>
      </c>
      <c r="B117" s="1" t="s">
        <v>13</v>
      </c>
      <c r="C117" s="5">
        <v>45781</v>
      </c>
      <c r="D117" s="16" t="s">
        <v>23</v>
      </c>
      <c r="E117" s="17" t="s">
        <v>24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16" t="s">
        <v>34</v>
      </c>
      <c r="M117" s="16"/>
      <c r="N117" s="16" t="s">
        <v>46</v>
      </c>
      <c r="O117" s="16" t="b">
        <f t="shared" si="1"/>
        <v>1</v>
      </c>
    </row>
    <row r="118" spans="1:15">
      <c r="A118" s="1" t="s">
        <v>147</v>
      </c>
      <c r="B118" s="1" t="s">
        <v>13</v>
      </c>
      <c r="C118" s="5">
        <v>45340</v>
      </c>
      <c r="D118" s="16" t="s">
        <v>23</v>
      </c>
      <c r="E118" s="17" t="s">
        <v>365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16" t="s">
        <v>34</v>
      </c>
      <c r="M118" s="16"/>
      <c r="N118" s="16" t="s">
        <v>46</v>
      </c>
      <c r="O118" s="16" t="b">
        <f t="shared" si="1"/>
        <v>1</v>
      </c>
    </row>
    <row r="119" spans="1:15">
      <c r="A119" s="1" t="s">
        <v>148</v>
      </c>
      <c r="B119" s="1" t="s">
        <v>22</v>
      </c>
      <c r="C119" s="5">
        <v>45428</v>
      </c>
      <c r="D119" s="16" t="s">
        <v>23</v>
      </c>
      <c r="E119" s="17" t="s">
        <v>363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16" t="s">
        <v>19</v>
      </c>
      <c r="M119" s="16" t="s">
        <v>366</v>
      </c>
      <c r="N119" s="16" t="s">
        <v>16</v>
      </c>
      <c r="O119" s="16" t="b">
        <f t="shared" si="1"/>
        <v>1</v>
      </c>
    </row>
    <row r="120" spans="1:15">
      <c r="A120" s="1" t="s">
        <v>149</v>
      </c>
      <c r="B120" s="1" t="s">
        <v>22</v>
      </c>
      <c r="C120" s="5">
        <v>45806</v>
      </c>
      <c r="D120" s="16" t="s">
        <v>23</v>
      </c>
      <c r="E120" s="17" t="s">
        <v>363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16" t="s">
        <v>366</v>
      </c>
      <c r="M120" s="16" t="s">
        <v>34</v>
      </c>
      <c r="N120" s="16" t="s">
        <v>16</v>
      </c>
      <c r="O120" s="16" t="b">
        <f t="shared" si="1"/>
        <v>1</v>
      </c>
    </row>
    <row r="121" spans="1:15">
      <c r="A121" s="1" t="s">
        <v>150</v>
      </c>
      <c r="B121" s="1" t="s">
        <v>13</v>
      </c>
      <c r="C121" s="5">
        <v>45674</v>
      </c>
      <c r="D121" s="16" t="s">
        <v>14</v>
      </c>
      <c r="E121" s="17" t="s">
        <v>33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16" t="s">
        <v>19</v>
      </c>
      <c r="M121" s="16"/>
      <c r="N121" s="16" t="s">
        <v>20</v>
      </c>
      <c r="O121" s="16" t="b">
        <f t="shared" si="1"/>
        <v>1</v>
      </c>
    </row>
    <row r="122" spans="1:15">
      <c r="A122" s="1" t="s">
        <v>151</v>
      </c>
      <c r="B122" s="1" t="s">
        <v>13</v>
      </c>
      <c r="C122" s="5">
        <v>45777</v>
      </c>
      <c r="D122" s="16" t="s">
        <v>23</v>
      </c>
      <c r="E122" s="17" t="s">
        <v>24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16" t="s">
        <v>34</v>
      </c>
      <c r="M122" s="16"/>
      <c r="N122" s="16" t="s">
        <v>46</v>
      </c>
      <c r="O122" s="16" t="b">
        <f t="shared" si="1"/>
        <v>1</v>
      </c>
    </row>
    <row r="123" spans="1:15">
      <c r="A123" s="1" t="s">
        <v>152</v>
      </c>
      <c r="B123" s="1" t="s">
        <v>22</v>
      </c>
      <c r="C123" s="5">
        <v>45346</v>
      </c>
      <c r="D123" s="16" t="s">
        <v>23</v>
      </c>
      <c r="E123" s="17" t="s">
        <v>363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16" t="s">
        <v>19</v>
      </c>
      <c r="M123" s="16" t="s">
        <v>366</v>
      </c>
      <c r="N123" s="16" t="s">
        <v>16</v>
      </c>
      <c r="O123" s="16" t="b">
        <f t="shared" si="1"/>
        <v>1</v>
      </c>
    </row>
    <row r="124" spans="1:15">
      <c r="A124" s="1" t="s">
        <v>153</v>
      </c>
      <c r="B124" s="1" t="s">
        <v>27</v>
      </c>
      <c r="C124" s="5">
        <v>45424</v>
      </c>
      <c r="D124" s="16" t="s">
        <v>14</v>
      </c>
      <c r="E124" s="17" t="s">
        <v>365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16" t="s">
        <v>19</v>
      </c>
      <c r="M124" s="16" t="s">
        <v>367</v>
      </c>
      <c r="N124" s="16" t="s">
        <v>20</v>
      </c>
      <c r="O124" s="16" t="b">
        <f t="shared" si="1"/>
        <v>1</v>
      </c>
    </row>
    <row r="125" spans="1:15">
      <c r="A125" s="1" t="s">
        <v>154</v>
      </c>
      <c r="B125" s="1" t="s">
        <v>22</v>
      </c>
      <c r="C125" s="5">
        <v>45421</v>
      </c>
      <c r="D125" s="16" t="s">
        <v>23</v>
      </c>
      <c r="E125" s="17" t="s">
        <v>24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16" t="s">
        <v>37</v>
      </c>
      <c r="M125" s="16" t="s">
        <v>34</v>
      </c>
      <c r="N125" s="16" t="s">
        <v>16</v>
      </c>
      <c r="O125" s="16" t="b">
        <f t="shared" si="1"/>
        <v>1</v>
      </c>
    </row>
    <row r="126" spans="1:15">
      <c r="A126" s="1" t="s">
        <v>155</v>
      </c>
      <c r="B126" s="1" t="s">
        <v>22</v>
      </c>
      <c r="C126" s="5">
        <v>45602</v>
      </c>
      <c r="D126" s="16" t="s">
        <v>14</v>
      </c>
      <c r="E126" s="17" t="s">
        <v>365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16" t="s">
        <v>34</v>
      </c>
      <c r="M126" s="16"/>
      <c r="N126" s="16" t="s">
        <v>16</v>
      </c>
      <c r="O126" s="16" t="b">
        <f t="shared" si="1"/>
        <v>1</v>
      </c>
    </row>
    <row r="127" spans="1:15">
      <c r="A127" s="1" t="s">
        <v>156</v>
      </c>
      <c r="B127" s="1" t="s">
        <v>22</v>
      </c>
      <c r="C127" s="5">
        <v>45295</v>
      </c>
      <c r="D127" s="16" t="s">
        <v>23</v>
      </c>
      <c r="E127" s="17" t="s">
        <v>364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16" t="s">
        <v>366</v>
      </c>
      <c r="M127" s="16" t="s">
        <v>34</v>
      </c>
      <c r="N127" s="16" t="s">
        <v>16</v>
      </c>
      <c r="O127" s="16" t="b">
        <f t="shared" si="1"/>
        <v>1</v>
      </c>
    </row>
    <row r="128" spans="1:15">
      <c r="A128" s="1" t="s">
        <v>157</v>
      </c>
      <c r="B128" s="1" t="s">
        <v>22</v>
      </c>
      <c r="C128" s="5">
        <v>45319</v>
      </c>
      <c r="D128" s="16" t="s">
        <v>14</v>
      </c>
      <c r="E128" s="17" t="s">
        <v>363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16" t="s">
        <v>37</v>
      </c>
      <c r="M128" s="16"/>
      <c r="N128" s="16" t="s">
        <v>20</v>
      </c>
      <c r="O128" s="16" t="b">
        <f t="shared" si="1"/>
        <v>1</v>
      </c>
    </row>
    <row r="129" spans="1:15">
      <c r="A129" s="1" t="s">
        <v>158</v>
      </c>
      <c r="B129" s="1" t="s">
        <v>13</v>
      </c>
      <c r="C129" s="5">
        <v>45344</v>
      </c>
      <c r="D129" s="16" t="s">
        <v>14</v>
      </c>
      <c r="E129" s="17" t="s">
        <v>24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16" t="s">
        <v>37</v>
      </c>
      <c r="M129" s="16" t="s">
        <v>34</v>
      </c>
      <c r="N129" s="16" t="s">
        <v>16</v>
      </c>
      <c r="O129" s="16" t="b">
        <f t="shared" si="1"/>
        <v>1</v>
      </c>
    </row>
    <row r="130" spans="1:15">
      <c r="A130" s="1" t="s">
        <v>159</v>
      </c>
      <c r="B130" s="1" t="s">
        <v>22</v>
      </c>
      <c r="C130" s="5">
        <v>45839</v>
      </c>
      <c r="D130" s="16" t="s">
        <v>23</v>
      </c>
      <c r="E130" s="17" t="s">
        <v>18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16" t="s">
        <v>19</v>
      </c>
      <c r="M130" s="16" t="s">
        <v>366</v>
      </c>
      <c r="N130" s="16" t="s">
        <v>16</v>
      </c>
      <c r="O130" s="16" t="b">
        <f t="shared" ref="O130:O193" si="2">ISNUMBER(C130)</f>
        <v>1</v>
      </c>
    </row>
    <row r="131" spans="1:15">
      <c r="A131" s="1" t="s">
        <v>160</v>
      </c>
      <c r="B131" s="1" t="s">
        <v>27</v>
      </c>
      <c r="C131" s="5">
        <v>45301</v>
      </c>
      <c r="D131" s="16" t="s">
        <v>14</v>
      </c>
      <c r="E131" s="17" t="s">
        <v>18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16" t="s">
        <v>19</v>
      </c>
      <c r="M131" s="16" t="s">
        <v>367</v>
      </c>
      <c r="N131" s="16" t="s">
        <v>20</v>
      </c>
      <c r="O131" s="16" t="b">
        <f t="shared" si="2"/>
        <v>1</v>
      </c>
    </row>
    <row r="132" spans="1:15">
      <c r="A132" s="1" t="s">
        <v>161</v>
      </c>
      <c r="B132" s="1" t="s">
        <v>22</v>
      </c>
      <c r="C132" s="5">
        <v>45736</v>
      </c>
      <c r="D132" s="16" t="s">
        <v>14</v>
      </c>
      <c r="E132" s="17" t="s">
        <v>42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16" t="s">
        <v>37</v>
      </c>
      <c r="M132" s="16"/>
      <c r="N132" s="16" t="s">
        <v>20</v>
      </c>
      <c r="O132" s="16" t="b">
        <f t="shared" si="2"/>
        <v>1</v>
      </c>
    </row>
    <row r="133" spans="1:15">
      <c r="A133" s="1" t="s">
        <v>162</v>
      </c>
      <c r="B133" s="1" t="s">
        <v>22</v>
      </c>
      <c r="C133" s="5">
        <v>45563</v>
      </c>
      <c r="D133" s="16" t="s">
        <v>14</v>
      </c>
      <c r="E133" s="17" t="s">
        <v>364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16" t="s">
        <v>34</v>
      </c>
      <c r="M133" s="16"/>
      <c r="N133" s="16" t="s">
        <v>16</v>
      </c>
      <c r="O133" s="16" t="b">
        <f t="shared" si="2"/>
        <v>1</v>
      </c>
    </row>
    <row r="134" spans="1:15">
      <c r="A134" s="1" t="s">
        <v>163</v>
      </c>
      <c r="B134" s="1" t="s">
        <v>27</v>
      </c>
      <c r="C134" s="5">
        <v>45318</v>
      </c>
      <c r="D134" s="16" t="s">
        <v>14</v>
      </c>
      <c r="E134" s="17" t="s">
        <v>42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16" t="s">
        <v>19</v>
      </c>
      <c r="M134" s="16" t="s">
        <v>367</v>
      </c>
      <c r="N134" s="16" t="s">
        <v>20</v>
      </c>
      <c r="O134" s="16" t="b">
        <f t="shared" si="2"/>
        <v>1</v>
      </c>
    </row>
    <row r="135" spans="1:15">
      <c r="A135" s="1" t="s">
        <v>164</v>
      </c>
      <c r="B135" s="1" t="s">
        <v>22</v>
      </c>
      <c r="C135" s="5">
        <v>45792</v>
      </c>
      <c r="D135" s="16" t="s">
        <v>14</v>
      </c>
      <c r="E135" s="17" t="s">
        <v>24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16" t="s">
        <v>34</v>
      </c>
      <c r="M135" s="16"/>
      <c r="N135" s="16" t="s">
        <v>16</v>
      </c>
      <c r="O135" s="16" t="b">
        <f t="shared" si="2"/>
        <v>1</v>
      </c>
    </row>
    <row r="136" spans="1:15">
      <c r="A136" s="1" t="s">
        <v>165</v>
      </c>
      <c r="B136" s="1" t="s">
        <v>22</v>
      </c>
      <c r="C136" s="5">
        <v>45569</v>
      </c>
      <c r="D136" s="16" t="s">
        <v>23</v>
      </c>
      <c r="E136" s="17" t="s">
        <v>18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16" t="s">
        <v>366</v>
      </c>
      <c r="M136" s="16" t="s">
        <v>34</v>
      </c>
      <c r="N136" s="16" t="s">
        <v>16</v>
      </c>
      <c r="O136" s="16" t="b">
        <f t="shared" si="2"/>
        <v>1</v>
      </c>
    </row>
    <row r="137" spans="1:15">
      <c r="A137" s="1" t="s">
        <v>166</v>
      </c>
      <c r="B137" s="1" t="s">
        <v>22</v>
      </c>
      <c r="C137" s="5">
        <v>45615</v>
      </c>
      <c r="D137" s="16" t="s">
        <v>14</v>
      </c>
      <c r="E137" s="17" t="s">
        <v>33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16" t="s">
        <v>34</v>
      </c>
      <c r="M137" s="16"/>
      <c r="N137" s="16" t="s">
        <v>16</v>
      </c>
      <c r="O137" s="16" t="b">
        <f t="shared" si="2"/>
        <v>1</v>
      </c>
    </row>
    <row r="138" spans="1:15">
      <c r="A138" s="1" t="s">
        <v>167</v>
      </c>
      <c r="B138" s="1" t="s">
        <v>22</v>
      </c>
      <c r="C138" s="5">
        <v>45387</v>
      </c>
      <c r="D138" s="16" t="s">
        <v>23</v>
      </c>
      <c r="E138" s="17" t="s">
        <v>24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16" t="s">
        <v>37</v>
      </c>
      <c r="M138" s="16" t="s">
        <v>34</v>
      </c>
      <c r="N138" s="16" t="s">
        <v>16</v>
      </c>
      <c r="O138" s="16" t="b">
        <f t="shared" si="2"/>
        <v>1</v>
      </c>
    </row>
    <row r="139" spans="1:15">
      <c r="A139" s="1" t="s">
        <v>168</v>
      </c>
      <c r="B139" s="1" t="s">
        <v>22</v>
      </c>
      <c r="C139" s="5">
        <v>45624</v>
      </c>
      <c r="D139" s="16" t="s">
        <v>23</v>
      </c>
      <c r="E139" s="17" t="s">
        <v>24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16" t="s">
        <v>19</v>
      </c>
      <c r="M139" s="16" t="s">
        <v>366</v>
      </c>
      <c r="N139" s="16" t="s">
        <v>16</v>
      </c>
      <c r="O139" s="16" t="b">
        <f t="shared" si="2"/>
        <v>1</v>
      </c>
    </row>
    <row r="140" spans="1:15">
      <c r="A140" s="1" t="s">
        <v>169</v>
      </c>
      <c r="B140" s="1" t="s">
        <v>22</v>
      </c>
      <c r="C140" s="5">
        <v>45725</v>
      </c>
      <c r="D140" s="16" t="s">
        <v>14</v>
      </c>
      <c r="E140" s="17" t="s">
        <v>42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16" t="s">
        <v>34</v>
      </c>
      <c r="M140" s="16"/>
      <c r="N140" s="16" t="s">
        <v>16</v>
      </c>
      <c r="O140" s="16" t="b">
        <f t="shared" si="2"/>
        <v>1</v>
      </c>
    </row>
    <row r="141" spans="1:15">
      <c r="A141" s="1" t="s">
        <v>170</v>
      </c>
      <c r="B141" s="1" t="s">
        <v>22</v>
      </c>
      <c r="C141" s="5">
        <v>45531</v>
      </c>
      <c r="D141" s="16" t="s">
        <v>23</v>
      </c>
      <c r="E141" s="17" t="s">
        <v>24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16" t="s">
        <v>366</v>
      </c>
      <c r="M141" s="16" t="s">
        <v>34</v>
      </c>
      <c r="N141" s="16" t="s">
        <v>16</v>
      </c>
      <c r="O141" s="16" t="b">
        <f t="shared" si="2"/>
        <v>1</v>
      </c>
    </row>
    <row r="142" spans="1:15">
      <c r="A142" s="1" t="s">
        <v>171</v>
      </c>
      <c r="B142" s="1" t="s">
        <v>27</v>
      </c>
      <c r="C142" s="5">
        <v>45566</v>
      </c>
      <c r="D142" s="16" t="s">
        <v>48</v>
      </c>
      <c r="E142" s="17" t="s">
        <v>18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16" t="s">
        <v>19</v>
      </c>
      <c r="M142" s="16" t="s">
        <v>37</v>
      </c>
      <c r="N142" s="16" t="s">
        <v>49</v>
      </c>
      <c r="O142" s="16" t="b">
        <f t="shared" si="2"/>
        <v>1</v>
      </c>
    </row>
    <row r="143" spans="1:15">
      <c r="A143" s="1" t="s">
        <v>172</v>
      </c>
      <c r="B143" s="1" t="s">
        <v>13</v>
      </c>
      <c r="C143" s="5">
        <v>45647</v>
      </c>
      <c r="D143" s="16" t="s">
        <v>23</v>
      </c>
      <c r="E143" s="17" t="s">
        <v>24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16" t="s">
        <v>34</v>
      </c>
      <c r="M143" s="16"/>
      <c r="N143" s="16" t="s">
        <v>46</v>
      </c>
      <c r="O143" s="16" t="b">
        <f t="shared" si="2"/>
        <v>1</v>
      </c>
    </row>
    <row r="144" spans="1:15">
      <c r="A144" s="1" t="s">
        <v>173</v>
      </c>
      <c r="B144" s="1" t="s">
        <v>13</v>
      </c>
      <c r="C144" s="5">
        <v>45460</v>
      </c>
      <c r="D144" s="16" t="s">
        <v>14</v>
      </c>
      <c r="E144" s="17" t="s">
        <v>15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16" t="s">
        <v>19</v>
      </c>
      <c r="M144" s="16"/>
      <c r="N144" s="16" t="s">
        <v>20</v>
      </c>
      <c r="O144" s="16" t="b">
        <f t="shared" si="2"/>
        <v>1</v>
      </c>
    </row>
    <row r="145" spans="1:15">
      <c r="A145" s="1" t="s">
        <v>174</v>
      </c>
      <c r="B145" s="1" t="s">
        <v>13</v>
      </c>
      <c r="C145" s="5">
        <v>45702</v>
      </c>
      <c r="D145" s="16" t="s">
        <v>14</v>
      </c>
      <c r="E145" s="17" t="s">
        <v>15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16" t="s">
        <v>37</v>
      </c>
      <c r="M145" s="16" t="s">
        <v>34</v>
      </c>
      <c r="N145" s="16" t="s">
        <v>16</v>
      </c>
      <c r="O145" s="16" t="b">
        <f t="shared" si="2"/>
        <v>1</v>
      </c>
    </row>
    <row r="146" spans="1:15">
      <c r="A146" s="1" t="s">
        <v>175</v>
      </c>
      <c r="B146" s="1" t="s">
        <v>22</v>
      </c>
      <c r="C146" s="5">
        <v>45805</v>
      </c>
      <c r="D146" s="16" t="s">
        <v>23</v>
      </c>
      <c r="E146" s="17" t="s">
        <v>33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16" t="s">
        <v>366</v>
      </c>
      <c r="M146" s="16" t="s">
        <v>34</v>
      </c>
      <c r="N146" s="16" t="s">
        <v>16</v>
      </c>
      <c r="O146" s="16" t="b">
        <f t="shared" si="2"/>
        <v>1</v>
      </c>
    </row>
    <row r="147" spans="1:15">
      <c r="A147" s="1" t="s">
        <v>176</v>
      </c>
      <c r="B147" s="1" t="s">
        <v>13</v>
      </c>
      <c r="C147" s="5">
        <v>45799</v>
      </c>
      <c r="D147" s="16" t="s">
        <v>14</v>
      </c>
      <c r="E147" s="17" t="s">
        <v>15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16" t="s">
        <v>19</v>
      </c>
      <c r="M147" s="16"/>
      <c r="N147" s="16" t="s">
        <v>20</v>
      </c>
      <c r="O147" s="16" t="b">
        <f t="shared" si="2"/>
        <v>1</v>
      </c>
    </row>
    <row r="148" spans="1:15">
      <c r="A148" s="1" t="s">
        <v>177</v>
      </c>
      <c r="B148" s="1" t="s">
        <v>22</v>
      </c>
      <c r="C148" s="5">
        <v>45312</v>
      </c>
      <c r="D148" s="16" t="s">
        <v>23</v>
      </c>
      <c r="E148" s="17" t="s">
        <v>15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16" t="s">
        <v>366</v>
      </c>
      <c r="M148" s="16" t="s">
        <v>34</v>
      </c>
      <c r="N148" s="16" t="s">
        <v>16</v>
      </c>
      <c r="O148" s="16" t="b">
        <f t="shared" si="2"/>
        <v>1</v>
      </c>
    </row>
    <row r="149" spans="1:15">
      <c r="A149" s="1" t="s">
        <v>178</v>
      </c>
      <c r="B149" s="1" t="s">
        <v>22</v>
      </c>
      <c r="C149" s="5">
        <v>45696</v>
      </c>
      <c r="D149" s="16" t="s">
        <v>23</v>
      </c>
      <c r="E149" s="17" t="s">
        <v>42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16" t="s">
        <v>19</v>
      </c>
      <c r="M149" s="16" t="s">
        <v>366</v>
      </c>
      <c r="N149" s="16" t="s">
        <v>16</v>
      </c>
      <c r="O149" s="16" t="b">
        <f t="shared" si="2"/>
        <v>1</v>
      </c>
    </row>
    <row r="150" spans="1:15">
      <c r="A150" s="1" t="s">
        <v>179</v>
      </c>
      <c r="B150" s="1" t="s">
        <v>22</v>
      </c>
      <c r="C150" s="5">
        <v>45760</v>
      </c>
      <c r="D150" s="16" t="s">
        <v>14</v>
      </c>
      <c r="E150" s="17" t="s">
        <v>365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16" t="s">
        <v>37</v>
      </c>
      <c r="M150" s="16"/>
      <c r="N150" s="16" t="s">
        <v>20</v>
      </c>
      <c r="O150" s="16" t="b">
        <f t="shared" si="2"/>
        <v>1</v>
      </c>
    </row>
    <row r="151" spans="1:15">
      <c r="A151" s="1" t="s">
        <v>180</v>
      </c>
      <c r="B151" s="1" t="s">
        <v>22</v>
      </c>
      <c r="C151" s="5">
        <v>45442</v>
      </c>
      <c r="D151" s="16" t="s">
        <v>23</v>
      </c>
      <c r="E151" s="17" t="s">
        <v>42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16" t="s">
        <v>366</v>
      </c>
      <c r="M151" s="16" t="s">
        <v>34</v>
      </c>
      <c r="N151" s="16" t="s">
        <v>16</v>
      </c>
      <c r="O151" s="16" t="b">
        <f t="shared" si="2"/>
        <v>1</v>
      </c>
    </row>
    <row r="152" spans="1:15">
      <c r="A152" s="1" t="s">
        <v>181</v>
      </c>
      <c r="B152" s="1" t="s">
        <v>13</v>
      </c>
      <c r="C152" s="5">
        <v>45516</v>
      </c>
      <c r="D152" s="16" t="s">
        <v>23</v>
      </c>
      <c r="E152" s="17" t="s">
        <v>15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16" t="s">
        <v>34</v>
      </c>
      <c r="M152" s="16"/>
      <c r="N152" s="16" t="s">
        <v>46</v>
      </c>
      <c r="O152" s="16" t="b">
        <f t="shared" si="2"/>
        <v>1</v>
      </c>
    </row>
    <row r="153" spans="1:15">
      <c r="A153" s="1" t="s">
        <v>182</v>
      </c>
      <c r="B153" s="1" t="s">
        <v>13</v>
      </c>
      <c r="C153" s="5">
        <v>45562</v>
      </c>
      <c r="D153" s="16" t="s">
        <v>14</v>
      </c>
      <c r="E153" s="17" t="s">
        <v>15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16" t="s">
        <v>19</v>
      </c>
      <c r="M153" s="16"/>
      <c r="N153" s="16" t="s">
        <v>20</v>
      </c>
      <c r="O153" s="16" t="b">
        <f t="shared" si="2"/>
        <v>1</v>
      </c>
    </row>
    <row r="154" spans="1:15">
      <c r="A154" s="1" t="s">
        <v>183</v>
      </c>
      <c r="B154" s="1" t="s">
        <v>22</v>
      </c>
      <c r="C154" s="5">
        <v>45819</v>
      </c>
      <c r="D154" s="16" t="s">
        <v>23</v>
      </c>
      <c r="E154" s="17" t="s">
        <v>18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16" t="s">
        <v>19</v>
      </c>
      <c r="M154" s="16" t="s">
        <v>366</v>
      </c>
      <c r="N154" s="16" t="s">
        <v>16</v>
      </c>
      <c r="O154" s="16" t="b">
        <f t="shared" si="2"/>
        <v>1</v>
      </c>
    </row>
    <row r="155" spans="1:15">
      <c r="A155" s="1" t="s">
        <v>184</v>
      </c>
      <c r="B155" s="1" t="s">
        <v>13</v>
      </c>
      <c r="C155" s="5">
        <v>45615</v>
      </c>
      <c r="D155" s="16" t="s">
        <v>14</v>
      </c>
      <c r="E155" s="17" t="s">
        <v>364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16" t="s">
        <v>19</v>
      </c>
      <c r="M155" s="16"/>
      <c r="N155" s="16" t="s">
        <v>20</v>
      </c>
      <c r="O155" s="16" t="b">
        <f t="shared" si="2"/>
        <v>1</v>
      </c>
    </row>
    <row r="156" spans="1:15">
      <c r="A156" s="1" t="s">
        <v>185</v>
      </c>
      <c r="B156" s="1" t="s">
        <v>13</v>
      </c>
      <c r="C156" s="5">
        <v>45407</v>
      </c>
      <c r="D156" s="16" t="s">
        <v>14</v>
      </c>
      <c r="E156" s="17" t="s">
        <v>363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16" t="s">
        <v>37</v>
      </c>
      <c r="M156" s="16" t="s">
        <v>34</v>
      </c>
      <c r="N156" s="16" t="s">
        <v>16</v>
      </c>
      <c r="O156" s="16" t="b">
        <f t="shared" si="2"/>
        <v>1</v>
      </c>
    </row>
    <row r="157" spans="1:15">
      <c r="A157" s="1" t="s">
        <v>186</v>
      </c>
      <c r="B157" s="1" t="s">
        <v>27</v>
      </c>
      <c r="C157" s="5">
        <v>45538</v>
      </c>
      <c r="D157" s="16" t="s">
        <v>48</v>
      </c>
      <c r="E157" s="17" t="s">
        <v>364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16" t="s">
        <v>19</v>
      </c>
      <c r="M157" s="16" t="s">
        <v>37</v>
      </c>
      <c r="N157" s="16" t="s">
        <v>49</v>
      </c>
      <c r="O157" s="16" t="b">
        <f t="shared" si="2"/>
        <v>1</v>
      </c>
    </row>
    <row r="158" spans="1:15">
      <c r="A158" s="1" t="s">
        <v>187</v>
      </c>
      <c r="B158" s="1" t="s">
        <v>27</v>
      </c>
      <c r="C158" s="5">
        <v>45718</v>
      </c>
      <c r="D158" s="16" t="s">
        <v>14</v>
      </c>
      <c r="E158" s="17" t="s">
        <v>365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16" t="s">
        <v>19</v>
      </c>
      <c r="M158" s="16" t="s">
        <v>367</v>
      </c>
      <c r="N158" s="16" t="s">
        <v>20</v>
      </c>
      <c r="O158" s="16" t="b">
        <f t="shared" si="2"/>
        <v>1</v>
      </c>
    </row>
    <row r="159" spans="1:15">
      <c r="A159" s="1" t="s">
        <v>188</v>
      </c>
      <c r="B159" s="1" t="s">
        <v>22</v>
      </c>
      <c r="C159" s="5">
        <v>45737</v>
      </c>
      <c r="D159" s="16" t="s">
        <v>23</v>
      </c>
      <c r="E159" s="17" t="s">
        <v>24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16" t="s">
        <v>19</v>
      </c>
      <c r="M159" s="16" t="s">
        <v>366</v>
      </c>
      <c r="N159" s="16" t="s">
        <v>16</v>
      </c>
      <c r="O159" s="16" t="b">
        <f t="shared" si="2"/>
        <v>1</v>
      </c>
    </row>
    <row r="160" spans="1:15">
      <c r="A160" s="1" t="s">
        <v>189</v>
      </c>
      <c r="B160" s="1" t="s">
        <v>13</v>
      </c>
      <c r="C160" s="5">
        <v>45394</v>
      </c>
      <c r="D160" s="16" t="s">
        <v>23</v>
      </c>
      <c r="E160" s="17" t="s">
        <v>30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16" t="s">
        <v>34</v>
      </c>
      <c r="M160" s="16"/>
      <c r="N160" s="16" t="s">
        <v>46</v>
      </c>
      <c r="O160" s="16" t="b">
        <f t="shared" si="2"/>
        <v>1</v>
      </c>
    </row>
    <row r="161" spans="1:15">
      <c r="A161" s="1" t="s">
        <v>190</v>
      </c>
      <c r="B161" s="1" t="s">
        <v>27</v>
      </c>
      <c r="C161" s="5">
        <v>45330</v>
      </c>
      <c r="D161" s="16" t="s">
        <v>48</v>
      </c>
      <c r="E161" s="17" t="s">
        <v>33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16" t="s">
        <v>19</v>
      </c>
      <c r="M161" s="16" t="s">
        <v>37</v>
      </c>
      <c r="N161" s="16" t="s">
        <v>49</v>
      </c>
      <c r="O161" s="16" t="b">
        <f t="shared" si="2"/>
        <v>1</v>
      </c>
    </row>
    <row r="162" spans="1:15">
      <c r="A162" s="1" t="s">
        <v>191</v>
      </c>
      <c r="B162" s="1" t="s">
        <v>13</v>
      </c>
      <c r="C162" s="5">
        <v>45803</v>
      </c>
      <c r="D162" s="16" t="s">
        <v>14</v>
      </c>
      <c r="E162" s="17" t="s">
        <v>15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16" t="s">
        <v>19</v>
      </c>
      <c r="M162" s="16"/>
      <c r="N162" s="16" t="s">
        <v>20</v>
      </c>
      <c r="O162" s="16" t="b">
        <f t="shared" si="2"/>
        <v>1</v>
      </c>
    </row>
    <row r="163" spans="1:15">
      <c r="A163" s="1" t="s">
        <v>192</v>
      </c>
      <c r="B163" s="1" t="s">
        <v>13</v>
      </c>
      <c r="C163" s="5">
        <v>45610</v>
      </c>
      <c r="D163" s="16" t="s">
        <v>14</v>
      </c>
      <c r="E163" s="17" t="s">
        <v>363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16" t="s">
        <v>37</v>
      </c>
      <c r="M163" s="16" t="s">
        <v>34</v>
      </c>
      <c r="N163" s="16" t="s">
        <v>16</v>
      </c>
      <c r="O163" s="16" t="b">
        <f t="shared" si="2"/>
        <v>1</v>
      </c>
    </row>
    <row r="164" spans="1:15">
      <c r="A164" s="1" t="s">
        <v>193</v>
      </c>
      <c r="B164" s="1" t="s">
        <v>27</v>
      </c>
      <c r="C164" s="5">
        <v>45513</v>
      </c>
      <c r="D164" s="16" t="s">
        <v>48</v>
      </c>
      <c r="E164" s="17" t="s">
        <v>365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16" t="s">
        <v>19</v>
      </c>
      <c r="M164" s="16" t="s">
        <v>37</v>
      </c>
      <c r="N164" s="16" t="s">
        <v>49</v>
      </c>
      <c r="O164" s="16" t="b">
        <f t="shared" si="2"/>
        <v>1</v>
      </c>
    </row>
    <row r="165" spans="1:15">
      <c r="A165" s="1" t="s">
        <v>194</v>
      </c>
      <c r="B165" s="1" t="s">
        <v>13</v>
      </c>
      <c r="C165" s="5">
        <v>45835</v>
      </c>
      <c r="D165" s="16" t="s">
        <v>23</v>
      </c>
      <c r="E165" s="17" t="s">
        <v>364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16" t="s">
        <v>34</v>
      </c>
      <c r="M165" s="16"/>
      <c r="N165" s="16" t="s">
        <v>46</v>
      </c>
      <c r="O165" s="16" t="b">
        <f t="shared" si="2"/>
        <v>1</v>
      </c>
    </row>
    <row r="166" spans="1:15">
      <c r="A166" s="1" t="s">
        <v>195</v>
      </c>
      <c r="B166" s="1" t="s">
        <v>13</v>
      </c>
      <c r="C166" s="5">
        <v>45420</v>
      </c>
      <c r="D166" s="16" t="s">
        <v>23</v>
      </c>
      <c r="E166" s="17" t="s">
        <v>363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16" t="s">
        <v>34</v>
      </c>
      <c r="M166" s="16"/>
      <c r="N166" s="16" t="s">
        <v>46</v>
      </c>
      <c r="O166" s="16" t="b">
        <f t="shared" si="2"/>
        <v>1</v>
      </c>
    </row>
    <row r="167" spans="1:15">
      <c r="A167" s="1" t="s">
        <v>196</v>
      </c>
      <c r="B167" s="1" t="s">
        <v>13</v>
      </c>
      <c r="C167" s="5">
        <v>45387</v>
      </c>
      <c r="D167" s="16" t="s">
        <v>14</v>
      </c>
      <c r="E167" s="17" t="s">
        <v>24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16" t="s">
        <v>19</v>
      </c>
      <c r="M167" s="16"/>
      <c r="N167" s="16" t="s">
        <v>20</v>
      </c>
      <c r="O167" s="16" t="b">
        <f t="shared" si="2"/>
        <v>1</v>
      </c>
    </row>
    <row r="168" spans="1:15">
      <c r="A168" s="1" t="s">
        <v>197</v>
      </c>
      <c r="B168" s="1" t="s">
        <v>27</v>
      </c>
      <c r="C168" s="5">
        <v>45684</v>
      </c>
      <c r="D168" s="16" t="s">
        <v>14</v>
      </c>
      <c r="E168" s="17" t="s">
        <v>362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16" t="s">
        <v>19</v>
      </c>
      <c r="M168" s="16" t="s">
        <v>367</v>
      </c>
      <c r="N168" s="16" t="s">
        <v>20</v>
      </c>
      <c r="O168" s="16" t="b">
        <f t="shared" si="2"/>
        <v>1</v>
      </c>
    </row>
    <row r="169" spans="1:15">
      <c r="A169" s="1" t="s">
        <v>198</v>
      </c>
      <c r="B169" s="1" t="s">
        <v>13</v>
      </c>
      <c r="C169" s="5">
        <v>45385</v>
      </c>
      <c r="D169" s="16" t="s">
        <v>14</v>
      </c>
      <c r="E169" s="17" t="s">
        <v>33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16" t="s">
        <v>37</v>
      </c>
      <c r="M169" s="16" t="s">
        <v>34</v>
      </c>
      <c r="N169" s="16" t="s">
        <v>16</v>
      </c>
      <c r="O169" s="16" t="b">
        <f t="shared" si="2"/>
        <v>1</v>
      </c>
    </row>
    <row r="170" spans="1:15">
      <c r="A170" s="1" t="s">
        <v>199</v>
      </c>
      <c r="B170" s="1" t="s">
        <v>27</v>
      </c>
      <c r="C170" s="5">
        <v>45660</v>
      </c>
      <c r="D170" s="16" t="s">
        <v>14</v>
      </c>
      <c r="E170" s="17" t="s">
        <v>24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16" t="s">
        <v>19</v>
      </c>
      <c r="M170" s="16" t="s">
        <v>367</v>
      </c>
      <c r="N170" s="16" t="s">
        <v>20</v>
      </c>
      <c r="O170" s="16" t="b">
        <f t="shared" si="2"/>
        <v>1</v>
      </c>
    </row>
    <row r="171" spans="1:15">
      <c r="A171" s="1" t="s">
        <v>200</v>
      </c>
      <c r="B171" s="1" t="s">
        <v>22</v>
      </c>
      <c r="C171" s="5">
        <v>45619</v>
      </c>
      <c r="D171" s="16" t="s">
        <v>14</v>
      </c>
      <c r="E171" s="17" t="s">
        <v>24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16" t="s">
        <v>37</v>
      </c>
      <c r="M171" s="16"/>
      <c r="N171" s="16" t="s">
        <v>20</v>
      </c>
      <c r="O171" s="16" t="b">
        <f t="shared" si="2"/>
        <v>1</v>
      </c>
    </row>
    <row r="172" spans="1:15">
      <c r="A172" s="1" t="s">
        <v>201</v>
      </c>
      <c r="B172" s="1" t="s">
        <v>13</v>
      </c>
      <c r="C172" s="5">
        <v>45536</v>
      </c>
      <c r="D172" s="16" t="s">
        <v>23</v>
      </c>
      <c r="E172" s="17" t="s">
        <v>362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16" t="s">
        <v>34</v>
      </c>
      <c r="M172" s="16"/>
      <c r="N172" s="16" t="s">
        <v>46</v>
      </c>
      <c r="O172" s="16" t="b">
        <f t="shared" si="2"/>
        <v>1</v>
      </c>
    </row>
    <row r="173" spans="1:15">
      <c r="A173" s="1" t="s">
        <v>202</v>
      </c>
      <c r="B173" s="1" t="s">
        <v>27</v>
      </c>
      <c r="C173" s="5">
        <v>45400</v>
      </c>
      <c r="D173" s="16" t="s">
        <v>14</v>
      </c>
      <c r="E173" s="17" t="s">
        <v>18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16" t="s">
        <v>19</v>
      </c>
      <c r="M173" s="16" t="s">
        <v>367</v>
      </c>
      <c r="N173" s="16" t="s">
        <v>20</v>
      </c>
      <c r="O173" s="16" t="b">
        <f t="shared" si="2"/>
        <v>1</v>
      </c>
    </row>
    <row r="174" spans="1:15">
      <c r="A174" s="1" t="s">
        <v>203</v>
      </c>
      <c r="B174" s="1" t="s">
        <v>13</v>
      </c>
      <c r="C174" s="5">
        <v>45447</v>
      </c>
      <c r="D174" s="16" t="s">
        <v>14</v>
      </c>
      <c r="E174" s="17" t="s">
        <v>30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16" t="s">
        <v>19</v>
      </c>
      <c r="M174" s="16"/>
      <c r="N174" s="16" t="s">
        <v>20</v>
      </c>
      <c r="O174" s="16" t="b">
        <f t="shared" si="2"/>
        <v>1</v>
      </c>
    </row>
    <row r="175" spans="1:15">
      <c r="A175" s="1" t="s">
        <v>204</v>
      </c>
      <c r="B175" s="1" t="s">
        <v>27</v>
      </c>
      <c r="C175" s="5">
        <v>45749</v>
      </c>
      <c r="D175" s="16" t="s">
        <v>14</v>
      </c>
      <c r="E175" s="17" t="s">
        <v>362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16" t="s">
        <v>19</v>
      </c>
      <c r="M175" s="16" t="s">
        <v>367</v>
      </c>
      <c r="N175" s="16" t="s">
        <v>20</v>
      </c>
      <c r="O175" s="16" t="b">
        <f t="shared" si="2"/>
        <v>1</v>
      </c>
    </row>
    <row r="176" spans="1:15">
      <c r="A176" s="1" t="s">
        <v>205</v>
      </c>
      <c r="B176" s="1" t="s">
        <v>22</v>
      </c>
      <c r="C176" s="5">
        <v>45748</v>
      </c>
      <c r="D176" s="16" t="s">
        <v>23</v>
      </c>
      <c r="E176" s="17" t="s">
        <v>363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16" t="s">
        <v>19</v>
      </c>
      <c r="M176" s="16" t="s">
        <v>366</v>
      </c>
      <c r="N176" s="16" t="s">
        <v>16</v>
      </c>
      <c r="O176" s="16" t="b">
        <f t="shared" si="2"/>
        <v>1</v>
      </c>
    </row>
    <row r="177" spans="1:15">
      <c r="A177" s="1" t="s">
        <v>206</v>
      </c>
      <c r="B177" s="1" t="s">
        <v>13</v>
      </c>
      <c r="C177" s="5">
        <v>45475</v>
      </c>
      <c r="D177" s="16" t="s">
        <v>14</v>
      </c>
      <c r="E177" s="17" t="s">
        <v>33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16" t="s">
        <v>37</v>
      </c>
      <c r="M177" s="16" t="s">
        <v>34</v>
      </c>
      <c r="N177" s="16" t="s">
        <v>16</v>
      </c>
      <c r="O177" s="16" t="b">
        <f t="shared" si="2"/>
        <v>1</v>
      </c>
    </row>
    <row r="178" spans="1:15">
      <c r="A178" s="1" t="s">
        <v>207</v>
      </c>
      <c r="B178" s="1" t="s">
        <v>22</v>
      </c>
      <c r="C178" s="5">
        <v>45606</v>
      </c>
      <c r="D178" s="16" t="s">
        <v>14</v>
      </c>
      <c r="E178" s="17" t="s">
        <v>18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16" t="s">
        <v>37</v>
      </c>
      <c r="M178" s="16"/>
      <c r="N178" s="16" t="s">
        <v>20</v>
      </c>
      <c r="O178" s="16" t="b">
        <f t="shared" si="2"/>
        <v>1</v>
      </c>
    </row>
    <row r="179" spans="1:15">
      <c r="A179" s="1" t="s">
        <v>208</v>
      </c>
      <c r="B179" s="1" t="s">
        <v>13</v>
      </c>
      <c r="C179" s="5">
        <v>45640</v>
      </c>
      <c r="D179" s="16" t="s">
        <v>23</v>
      </c>
      <c r="E179" s="17" t="s">
        <v>365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16" t="s">
        <v>34</v>
      </c>
      <c r="M179" s="16"/>
      <c r="N179" s="16" t="s">
        <v>46</v>
      </c>
      <c r="O179" s="16" t="b">
        <f t="shared" si="2"/>
        <v>1</v>
      </c>
    </row>
    <row r="180" spans="1:15">
      <c r="A180" s="1" t="s">
        <v>209</v>
      </c>
      <c r="B180" s="1" t="s">
        <v>22</v>
      </c>
      <c r="C180" s="5">
        <v>45615</v>
      </c>
      <c r="D180" s="16" t="s">
        <v>14</v>
      </c>
      <c r="E180" s="17" t="s">
        <v>18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16" t="s">
        <v>37</v>
      </c>
      <c r="M180" s="16"/>
      <c r="N180" s="16" t="s">
        <v>20</v>
      </c>
      <c r="O180" s="16" t="b">
        <f t="shared" si="2"/>
        <v>1</v>
      </c>
    </row>
    <row r="181" spans="1:15">
      <c r="A181" s="1" t="s">
        <v>210</v>
      </c>
      <c r="B181" s="1" t="s">
        <v>22</v>
      </c>
      <c r="C181" s="5">
        <v>45777</v>
      </c>
      <c r="D181" s="16" t="s">
        <v>23</v>
      </c>
      <c r="E181" s="17" t="s">
        <v>362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16" t="s">
        <v>366</v>
      </c>
      <c r="M181" s="16" t="s">
        <v>34</v>
      </c>
      <c r="N181" s="16" t="s">
        <v>16</v>
      </c>
      <c r="O181" s="16" t="b">
        <f t="shared" si="2"/>
        <v>1</v>
      </c>
    </row>
    <row r="182" spans="1:15">
      <c r="A182" s="1" t="s">
        <v>211</v>
      </c>
      <c r="B182" s="1" t="s">
        <v>22</v>
      </c>
      <c r="C182" s="5">
        <v>45370</v>
      </c>
      <c r="D182" s="16" t="s">
        <v>14</v>
      </c>
      <c r="E182" s="17" t="s">
        <v>365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16" t="s">
        <v>37</v>
      </c>
      <c r="M182" s="16"/>
      <c r="N182" s="16" t="s">
        <v>20</v>
      </c>
      <c r="O182" s="16" t="b">
        <f t="shared" si="2"/>
        <v>1</v>
      </c>
    </row>
    <row r="183" spans="1:15">
      <c r="A183" s="1" t="s">
        <v>212</v>
      </c>
      <c r="B183" s="1" t="s">
        <v>13</v>
      </c>
      <c r="C183" s="5">
        <v>45370</v>
      </c>
      <c r="D183" s="16" t="s">
        <v>14</v>
      </c>
      <c r="E183" s="17" t="s">
        <v>365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16" t="s">
        <v>37</v>
      </c>
      <c r="M183" s="16" t="s">
        <v>34</v>
      </c>
      <c r="N183" s="16" t="s">
        <v>16</v>
      </c>
      <c r="O183" s="16" t="b">
        <f t="shared" si="2"/>
        <v>1</v>
      </c>
    </row>
    <row r="184" spans="1:15">
      <c r="A184" s="1" t="s">
        <v>213</v>
      </c>
      <c r="B184" s="1" t="s">
        <v>22</v>
      </c>
      <c r="C184" s="5">
        <v>45496</v>
      </c>
      <c r="D184" s="16" t="s">
        <v>14</v>
      </c>
      <c r="E184" s="17" t="s">
        <v>33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16" t="s">
        <v>37</v>
      </c>
      <c r="M184" s="16"/>
      <c r="N184" s="16" t="s">
        <v>20</v>
      </c>
      <c r="O184" s="16" t="b">
        <f t="shared" si="2"/>
        <v>1</v>
      </c>
    </row>
    <row r="185" spans="1:15">
      <c r="A185" s="1" t="s">
        <v>214</v>
      </c>
      <c r="B185" s="1" t="s">
        <v>22</v>
      </c>
      <c r="C185" s="5">
        <v>45486</v>
      </c>
      <c r="D185" s="16" t="s">
        <v>23</v>
      </c>
      <c r="E185" s="17" t="s">
        <v>30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16" t="s">
        <v>366</v>
      </c>
      <c r="M185" s="16" t="s">
        <v>34</v>
      </c>
      <c r="N185" s="16" t="s">
        <v>16</v>
      </c>
      <c r="O185" s="16" t="b">
        <f t="shared" si="2"/>
        <v>1</v>
      </c>
    </row>
    <row r="186" spans="1:15">
      <c r="A186" s="1" t="s">
        <v>215</v>
      </c>
      <c r="B186" s="1" t="s">
        <v>27</v>
      </c>
      <c r="C186" s="5">
        <v>45769</v>
      </c>
      <c r="D186" s="16" t="s">
        <v>48</v>
      </c>
      <c r="E186" s="17" t="s">
        <v>24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16" t="s">
        <v>19</v>
      </c>
      <c r="M186" s="16" t="s">
        <v>37</v>
      </c>
      <c r="N186" s="16" t="s">
        <v>49</v>
      </c>
      <c r="O186" s="16" t="b">
        <f t="shared" si="2"/>
        <v>1</v>
      </c>
    </row>
    <row r="187" spans="1:15">
      <c r="A187" s="1" t="s">
        <v>216</v>
      </c>
      <c r="B187" s="1" t="s">
        <v>22</v>
      </c>
      <c r="C187" s="5">
        <v>45459</v>
      </c>
      <c r="D187" s="16" t="s">
        <v>23</v>
      </c>
      <c r="E187" s="17" t="s">
        <v>18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16" t="s">
        <v>366</v>
      </c>
      <c r="M187" s="16" t="s">
        <v>34</v>
      </c>
      <c r="N187" s="16" t="s">
        <v>16</v>
      </c>
      <c r="O187" s="16" t="b">
        <f t="shared" si="2"/>
        <v>1</v>
      </c>
    </row>
    <row r="188" spans="1:15">
      <c r="A188" s="1" t="s">
        <v>217</v>
      </c>
      <c r="B188" s="1" t="s">
        <v>27</v>
      </c>
      <c r="C188" s="5">
        <v>45795</v>
      </c>
      <c r="D188" s="16" t="s">
        <v>48</v>
      </c>
      <c r="E188" s="17" t="s">
        <v>362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16" t="s">
        <v>19</v>
      </c>
      <c r="M188" s="16" t="s">
        <v>37</v>
      </c>
      <c r="N188" s="16" t="s">
        <v>49</v>
      </c>
      <c r="O188" s="16" t="b">
        <f t="shared" si="2"/>
        <v>1</v>
      </c>
    </row>
    <row r="189" spans="1:15">
      <c r="A189" s="1" t="s">
        <v>218</v>
      </c>
      <c r="B189" s="1" t="s">
        <v>13</v>
      </c>
      <c r="C189" s="5">
        <v>45814</v>
      </c>
      <c r="D189" s="16" t="s">
        <v>14</v>
      </c>
      <c r="E189" s="17" t="s">
        <v>362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16" t="s">
        <v>19</v>
      </c>
      <c r="M189" s="16"/>
      <c r="N189" s="16" t="s">
        <v>20</v>
      </c>
      <c r="O189" s="16" t="b">
        <f t="shared" si="2"/>
        <v>1</v>
      </c>
    </row>
    <row r="190" spans="1:15">
      <c r="A190" s="1" t="s">
        <v>219</v>
      </c>
      <c r="B190" s="1" t="s">
        <v>27</v>
      </c>
      <c r="C190" s="5">
        <v>45708</v>
      </c>
      <c r="D190" s="16" t="s">
        <v>48</v>
      </c>
      <c r="E190" s="17" t="s">
        <v>30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16" t="s">
        <v>19</v>
      </c>
      <c r="M190" s="16" t="s">
        <v>37</v>
      </c>
      <c r="N190" s="16" t="s">
        <v>49</v>
      </c>
      <c r="O190" s="16" t="b">
        <f t="shared" si="2"/>
        <v>1</v>
      </c>
    </row>
    <row r="191" spans="1:15">
      <c r="A191" s="1" t="s">
        <v>220</v>
      </c>
      <c r="B191" s="1" t="s">
        <v>13</v>
      </c>
      <c r="C191" s="5">
        <v>45673</v>
      </c>
      <c r="D191" s="16" t="s">
        <v>14</v>
      </c>
      <c r="E191" s="17" t="s">
        <v>363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16" t="s">
        <v>37</v>
      </c>
      <c r="M191" s="16" t="s">
        <v>34</v>
      </c>
      <c r="N191" s="16" t="s">
        <v>16</v>
      </c>
      <c r="O191" s="16" t="b">
        <f t="shared" si="2"/>
        <v>1</v>
      </c>
    </row>
    <row r="192" spans="1:15">
      <c r="A192" s="1" t="s">
        <v>221</v>
      </c>
      <c r="B192" s="1" t="s">
        <v>27</v>
      </c>
      <c r="C192" s="5">
        <v>45346</v>
      </c>
      <c r="D192" s="16" t="s">
        <v>48</v>
      </c>
      <c r="E192" s="17" t="s">
        <v>15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16" t="s">
        <v>19</v>
      </c>
      <c r="M192" s="16" t="s">
        <v>37</v>
      </c>
      <c r="N192" s="16" t="s">
        <v>49</v>
      </c>
      <c r="O192" s="16" t="b">
        <f t="shared" si="2"/>
        <v>1</v>
      </c>
    </row>
    <row r="193" spans="1:15">
      <c r="A193" s="1" t="s">
        <v>222</v>
      </c>
      <c r="B193" s="1" t="s">
        <v>22</v>
      </c>
      <c r="C193" s="5">
        <v>45551</v>
      </c>
      <c r="D193" s="16" t="s">
        <v>23</v>
      </c>
      <c r="E193" s="17" t="s">
        <v>364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16" t="s">
        <v>19</v>
      </c>
      <c r="M193" s="16" t="s">
        <v>366</v>
      </c>
      <c r="N193" s="16" t="s">
        <v>16</v>
      </c>
      <c r="O193" s="16" t="b">
        <f t="shared" si="2"/>
        <v>1</v>
      </c>
    </row>
    <row r="194" spans="1:15">
      <c r="A194" s="1" t="s">
        <v>223</v>
      </c>
      <c r="B194" s="1" t="s">
        <v>27</v>
      </c>
      <c r="C194" s="5">
        <v>45447</v>
      </c>
      <c r="D194" s="16" t="s">
        <v>48</v>
      </c>
      <c r="E194" s="17" t="s">
        <v>362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16" t="s">
        <v>19</v>
      </c>
      <c r="M194" s="16" t="s">
        <v>37</v>
      </c>
      <c r="N194" s="16" t="s">
        <v>49</v>
      </c>
      <c r="O194" s="16" t="b">
        <f t="shared" ref="O194:O257" si="3">ISNUMBER(C194)</f>
        <v>1</v>
      </c>
    </row>
    <row r="195" spans="1:15">
      <c r="A195" s="1" t="s">
        <v>224</v>
      </c>
      <c r="B195" s="1" t="s">
        <v>22</v>
      </c>
      <c r="C195" s="5">
        <v>45422</v>
      </c>
      <c r="D195" s="16" t="s">
        <v>23</v>
      </c>
      <c r="E195" s="17" t="s">
        <v>18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16" t="s">
        <v>366</v>
      </c>
      <c r="M195" s="16" t="s">
        <v>34</v>
      </c>
      <c r="N195" s="16" t="s">
        <v>16</v>
      </c>
      <c r="O195" s="16" t="b">
        <f t="shared" si="3"/>
        <v>1</v>
      </c>
    </row>
    <row r="196" spans="1:15">
      <c r="A196" s="1" t="s">
        <v>225</v>
      </c>
      <c r="B196" s="1" t="s">
        <v>27</v>
      </c>
      <c r="C196" s="5">
        <v>45305</v>
      </c>
      <c r="D196" s="16" t="s">
        <v>14</v>
      </c>
      <c r="E196" s="17" t="s">
        <v>24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16" t="s">
        <v>19</v>
      </c>
      <c r="M196" s="16" t="s">
        <v>367</v>
      </c>
      <c r="N196" s="16" t="s">
        <v>20</v>
      </c>
      <c r="O196" s="16" t="b">
        <f t="shared" si="3"/>
        <v>1</v>
      </c>
    </row>
    <row r="197" spans="1:15">
      <c r="A197" s="1" t="s">
        <v>226</v>
      </c>
      <c r="B197" s="1" t="s">
        <v>13</v>
      </c>
      <c r="C197" s="5">
        <v>45669</v>
      </c>
      <c r="D197" s="16" t="s">
        <v>14</v>
      </c>
      <c r="E197" s="17" t="s">
        <v>365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16" t="s">
        <v>37</v>
      </c>
      <c r="M197" s="16" t="s">
        <v>34</v>
      </c>
      <c r="N197" s="16" t="s">
        <v>16</v>
      </c>
      <c r="O197" s="16" t="b">
        <f t="shared" si="3"/>
        <v>1</v>
      </c>
    </row>
    <row r="198" spans="1:15">
      <c r="A198" s="1" t="s">
        <v>227</v>
      </c>
      <c r="B198" s="1" t="s">
        <v>27</v>
      </c>
      <c r="C198" s="5">
        <v>45634</v>
      </c>
      <c r="D198" s="16" t="s">
        <v>14</v>
      </c>
      <c r="E198" s="17" t="s">
        <v>33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16" t="s">
        <v>19</v>
      </c>
      <c r="M198" s="16" t="s">
        <v>367</v>
      </c>
      <c r="N198" s="16" t="s">
        <v>20</v>
      </c>
      <c r="O198" s="16" t="b">
        <f t="shared" si="3"/>
        <v>1</v>
      </c>
    </row>
    <row r="199" spans="1:15">
      <c r="A199" s="1" t="s">
        <v>228</v>
      </c>
      <c r="B199" s="1" t="s">
        <v>22</v>
      </c>
      <c r="C199" s="5">
        <v>45689</v>
      </c>
      <c r="D199" s="16" t="s">
        <v>23</v>
      </c>
      <c r="E199" s="17" t="s">
        <v>33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16" t="s">
        <v>37</v>
      </c>
      <c r="M199" s="16" t="s">
        <v>34</v>
      </c>
      <c r="N199" s="16" t="s">
        <v>16</v>
      </c>
      <c r="O199" s="16" t="b">
        <f t="shared" si="3"/>
        <v>1</v>
      </c>
    </row>
    <row r="200" spans="1:15">
      <c r="A200" s="1" t="s">
        <v>229</v>
      </c>
      <c r="B200" s="1" t="s">
        <v>22</v>
      </c>
      <c r="C200" s="5">
        <v>45484</v>
      </c>
      <c r="D200" s="16" t="s">
        <v>23</v>
      </c>
      <c r="E200" s="17" t="s">
        <v>30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16" t="s">
        <v>37</v>
      </c>
      <c r="M200" s="16" t="s">
        <v>34</v>
      </c>
      <c r="N200" s="16" t="s">
        <v>16</v>
      </c>
      <c r="O200" s="16" t="b">
        <f t="shared" si="3"/>
        <v>1</v>
      </c>
    </row>
    <row r="201" spans="1:15">
      <c r="A201" s="1" t="s">
        <v>230</v>
      </c>
      <c r="B201" s="1" t="s">
        <v>22</v>
      </c>
      <c r="C201" s="5">
        <v>45369</v>
      </c>
      <c r="D201" s="16" t="s">
        <v>14</v>
      </c>
      <c r="E201" s="17" t="s">
        <v>24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16" t="s">
        <v>34</v>
      </c>
      <c r="M201" s="16"/>
      <c r="N201" s="16" t="s">
        <v>16</v>
      </c>
      <c r="O201" s="16" t="b">
        <f t="shared" si="3"/>
        <v>1</v>
      </c>
    </row>
    <row r="202" spans="1:15">
      <c r="A202" s="1" t="s">
        <v>231</v>
      </c>
      <c r="B202" s="1" t="s">
        <v>22</v>
      </c>
      <c r="C202" s="5">
        <v>45547</v>
      </c>
      <c r="D202" s="16" t="s">
        <v>23</v>
      </c>
      <c r="E202" s="17" t="s">
        <v>362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16" t="s">
        <v>366</v>
      </c>
      <c r="M202" s="16" t="s">
        <v>34</v>
      </c>
      <c r="N202" s="16" t="s">
        <v>16</v>
      </c>
      <c r="O202" s="16" t="b">
        <f t="shared" si="3"/>
        <v>1</v>
      </c>
    </row>
    <row r="203" spans="1:15">
      <c r="A203" s="1" t="s">
        <v>232</v>
      </c>
      <c r="B203" s="1" t="s">
        <v>22</v>
      </c>
      <c r="C203" s="5">
        <v>45302</v>
      </c>
      <c r="D203" s="16" t="s">
        <v>23</v>
      </c>
      <c r="E203" s="17" t="s">
        <v>362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16" t="s">
        <v>37</v>
      </c>
      <c r="M203" s="16" t="s">
        <v>34</v>
      </c>
      <c r="N203" s="16" t="s">
        <v>16</v>
      </c>
      <c r="O203" s="16" t="b">
        <f t="shared" si="3"/>
        <v>1</v>
      </c>
    </row>
    <row r="204" spans="1:15">
      <c r="A204" s="1" t="s">
        <v>233</v>
      </c>
      <c r="B204" s="1" t="s">
        <v>13</v>
      </c>
      <c r="C204" s="5">
        <v>45571</v>
      </c>
      <c r="D204" s="16" t="s">
        <v>14</v>
      </c>
      <c r="E204" s="17" t="s">
        <v>33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16" t="s">
        <v>19</v>
      </c>
      <c r="M204" s="16"/>
      <c r="N204" s="16" t="s">
        <v>20</v>
      </c>
      <c r="O204" s="16" t="b">
        <f t="shared" si="3"/>
        <v>1</v>
      </c>
    </row>
    <row r="205" spans="1:15">
      <c r="A205" s="1" t="s">
        <v>234</v>
      </c>
      <c r="B205" s="1" t="s">
        <v>22</v>
      </c>
      <c r="C205" s="5">
        <v>45656</v>
      </c>
      <c r="D205" s="16" t="s">
        <v>14</v>
      </c>
      <c r="E205" s="17" t="s">
        <v>30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16" t="s">
        <v>34</v>
      </c>
      <c r="M205" s="16"/>
      <c r="N205" s="16" t="s">
        <v>16</v>
      </c>
      <c r="O205" s="16" t="b">
        <f t="shared" si="3"/>
        <v>1</v>
      </c>
    </row>
    <row r="206" spans="1:15">
      <c r="A206" s="1" t="s">
        <v>235</v>
      </c>
      <c r="B206" s="1" t="s">
        <v>22</v>
      </c>
      <c r="C206" s="5">
        <v>45763</v>
      </c>
      <c r="D206" s="16" t="s">
        <v>14</v>
      </c>
      <c r="E206" s="17" t="s">
        <v>362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16" t="s">
        <v>37</v>
      </c>
      <c r="M206" s="16"/>
      <c r="N206" s="16" t="s">
        <v>20</v>
      </c>
      <c r="O206" s="16" t="b">
        <f t="shared" si="3"/>
        <v>1</v>
      </c>
    </row>
    <row r="207" spans="1:15">
      <c r="A207" s="1" t="s">
        <v>236</v>
      </c>
      <c r="B207" s="1" t="s">
        <v>22</v>
      </c>
      <c r="C207" s="5">
        <v>45525</v>
      </c>
      <c r="D207" s="16" t="s">
        <v>23</v>
      </c>
      <c r="E207" s="17" t="s">
        <v>18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16" t="s">
        <v>19</v>
      </c>
      <c r="M207" s="16" t="s">
        <v>366</v>
      </c>
      <c r="N207" s="16" t="s">
        <v>16</v>
      </c>
      <c r="O207" s="16" t="b">
        <f t="shared" si="3"/>
        <v>1</v>
      </c>
    </row>
    <row r="208" spans="1:15">
      <c r="A208" s="1" t="s">
        <v>237</v>
      </c>
      <c r="B208" s="1" t="s">
        <v>22</v>
      </c>
      <c r="C208" s="5">
        <v>45387</v>
      </c>
      <c r="D208" s="16" t="s">
        <v>23</v>
      </c>
      <c r="E208" s="17" t="s">
        <v>362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16" t="s">
        <v>37</v>
      </c>
      <c r="M208" s="16" t="s">
        <v>34</v>
      </c>
      <c r="N208" s="16" t="s">
        <v>16</v>
      </c>
      <c r="O208" s="16" t="b">
        <f t="shared" si="3"/>
        <v>1</v>
      </c>
    </row>
    <row r="209" spans="1:15">
      <c r="A209" s="1" t="s">
        <v>238</v>
      </c>
      <c r="B209" s="1" t="s">
        <v>22</v>
      </c>
      <c r="C209" s="5">
        <v>45754</v>
      </c>
      <c r="D209" s="16" t="s">
        <v>14</v>
      </c>
      <c r="E209" s="17" t="s">
        <v>365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16" t="s">
        <v>37</v>
      </c>
      <c r="M209" s="16"/>
      <c r="N209" s="16" t="s">
        <v>20</v>
      </c>
      <c r="O209" s="16" t="b">
        <f t="shared" si="3"/>
        <v>1</v>
      </c>
    </row>
    <row r="210" spans="1:15">
      <c r="A210" s="1" t="s">
        <v>239</v>
      </c>
      <c r="B210" s="1" t="s">
        <v>22</v>
      </c>
      <c r="C210" s="5">
        <v>45492</v>
      </c>
      <c r="D210" s="16" t="s">
        <v>23</v>
      </c>
      <c r="E210" s="17" t="s">
        <v>364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16" t="s">
        <v>19</v>
      </c>
      <c r="M210" s="16" t="s">
        <v>366</v>
      </c>
      <c r="N210" s="16" t="s">
        <v>16</v>
      </c>
      <c r="O210" s="16" t="b">
        <f t="shared" si="3"/>
        <v>1</v>
      </c>
    </row>
    <row r="211" spans="1:15">
      <c r="A211" s="1" t="s">
        <v>240</v>
      </c>
      <c r="B211" s="1" t="s">
        <v>22</v>
      </c>
      <c r="C211" s="5">
        <v>45780</v>
      </c>
      <c r="D211" s="16" t="s">
        <v>23</v>
      </c>
      <c r="E211" s="17" t="s">
        <v>33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16" t="s">
        <v>37</v>
      </c>
      <c r="M211" s="16" t="s">
        <v>34</v>
      </c>
      <c r="N211" s="16" t="s">
        <v>16</v>
      </c>
      <c r="O211" s="16" t="b">
        <f t="shared" si="3"/>
        <v>1</v>
      </c>
    </row>
    <row r="212" spans="1:15">
      <c r="A212" s="1" t="s">
        <v>241</v>
      </c>
      <c r="B212" s="1" t="s">
        <v>22</v>
      </c>
      <c r="C212" s="5">
        <v>45396</v>
      </c>
      <c r="D212" s="16" t="s">
        <v>23</v>
      </c>
      <c r="E212" s="17" t="s">
        <v>15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16" t="s">
        <v>19</v>
      </c>
      <c r="M212" s="16" t="s">
        <v>366</v>
      </c>
      <c r="N212" s="16" t="s">
        <v>16</v>
      </c>
      <c r="O212" s="16" t="b">
        <f t="shared" si="3"/>
        <v>1</v>
      </c>
    </row>
    <row r="213" spans="1:15">
      <c r="A213" s="1" t="s">
        <v>242</v>
      </c>
      <c r="B213" s="1" t="s">
        <v>22</v>
      </c>
      <c r="C213" s="5">
        <v>45827</v>
      </c>
      <c r="D213" s="16" t="s">
        <v>23</v>
      </c>
      <c r="E213" s="17" t="s">
        <v>364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16" t="s">
        <v>19</v>
      </c>
      <c r="M213" s="16" t="s">
        <v>366</v>
      </c>
      <c r="N213" s="16" t="s">
        <v>16</v>
      </c>
      <c r="O213" s="16" t="b">
        <f t="shared" si="3"/>
        <v>1</v>
      </c>
    </row>
    <row r="214" spans="1:15">
      <c r="A214" s="1" t="s">
        <v>243</v>
      </c>
      <c r="B214" s="1" t="s">
        <v>13</v>
      </c>
      <c r="C214" s="5">
        <v>45832</v>
      </c>
      <c r="D214" s="16" t="s">
        <v>23</v>
      </c>
      <c r="E214" s="17" t="s">
        <v>30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16" t="s">
        <v>34</v>
      </c>
      <c r="M214" s="16"/>
      <c r="N214" s="16" t="s">
        <v>46</v>
      </c>
      <c r="O214" s="16" t="b">
        <f t="shared" si="3"/>
        <v>1</v>
      </c>
    </row>
    <row r="215" spans="1:15">
      <c r="A215" s="1" t="s">
        <v>244</v>
      </c>
      <c r="B215" s="1" t="s">
        <v>22</v>
      </c>
      <c r="C215" s="5">
        <v>45574</v>
      </c>
      <c r="D215" s="16" t="s">
        <v>14</v>
      </c>
      <c r="E215" s="17" t="s">
        <v>362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16" t="s">
        <v>37</v>
      </c>
      <c r="M215" s="16"/>
      <c r="N215" s="16" t="s">
        <v>20</v>
      </c>
      <c r="O215" s="16" t="b">
        <f t="shared" si="3"/>
        <v>1</v>
      </c>
    </row>
    <row r="216" spans="1:15">
      <c r="A216" s="1" t="s">
        <v>245</v>
      </c>
      <c r="B216" s="1" t="s">
        <v>27</v>
      </c>
      <c r="C216" s="5">
        <v>45672</v>
      </c>
      <c r="D216" s="16" t="s">
        <v>14</v>
      </c>
      <c r="E216" s="17" t="s">
        <v>42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16" t="s">
        <v>19</v>
      </c>
      <c r="M216" s="16" t="s">
        <v>367</v>
      </c>
      <c r="N216" s="16" t="s">
        <v>20</v>
      </c>
      <c r="O216" s="16" t="b">
        <f t="shared" si="3"/>
        <v>1</v>
      </c>
    </row>
    <row r="217" spans="1:15">
      <c r="A217" s="1" t="s">
        <v>246</v>
      </c>
      <c r="B217" s="1" t="s">
        <v>22</v>
      </c>
      <c r="C217" s="5">
        <v>45669</v>
      </c>
      <c r="D217" s="16" t="s">
        <v>14</v>
      </c>
      <c r="E217" s="17" t="s">
        <v>363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16" t="s">
        <v>37</v>
      </c>
      <c r="M217" s="16"/>
      <c r="N217" s="16" t="s">
        <v>20</v>
      </c>
      <c r="O217" s="16" t="b">
        <f t="shared" si="3"/>
        <v>1</v>
      </c>
    </row>
    <row r="218" spans="1:15">
      <c r="A218" s="1" t="s">
        <v>247</v>
      </c>
      <c r="B218" s="1" t="s">
        <v>13</v>
      </c>
      <c r="C218" s="5">
        <v>45808</v>
      </c>
      <c r="D218" s="16" t="s">
        <v>14</v>
      </c>
      <c r="E218" s="17" t="s">
        <v>364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16" t="s">
        <v>37</v>
      </c>
      <c r="M218" s="16" t="s">
        <v>34</v>
      </c>
      <c r="N218" s="16" t="s">
        <v>16</v>
      </c>
      <c r="O218" s="16" t="b">
        <f t="shared" si="3"/>
        <v>1</v>
      </c>
    </row>
    <row r="219" spans="1:15">
      <c r="A219" s="1" t="s">
        <v>248</v>
      </c>
      <c r="B219" s="1" t="s">
        <v>22</v>
      </c>
      <c r="C219" s="5">
        <v>45579</v>
      </c>
      <c r="D219" s="16" t="s">
        <v>23</v>
      </c>
      <c r="E219" s="17" t="s">
        <v>18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16" t="s">
        <v>19</v>
      </c>
      <c r="M219" s="16" t="s">
        <v>366</v>
      </c>
      <c r="N219" s="16" t="s">
        <v>16</v>
      </c>
      <c r="O219" s="16" t="b">
        <f t="shared" si="3"/>
        <v>1</v>
      </c>
    </row>
    <row r="220" spans="1:15">
      <c r="A220" s="1" t="s">
        <v>249</v>
      </c>
      <c r="B220" s="1" t="s">
        <v>22</v>
      </c>
      <c r="C220" s="5">
        <v>45332</v>
      </c>
      <c r="D220" s="16" t="s">
        <v>14</v>
      </c>
      <c r="E220" s="17" t="s">
        <v>365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16" t="s">
        <v>37</v>
      </c>
      <c r="M220" s="16"/>
      <c r="N220" s="16" t="s">
        <v>20</v>
      </c>
      <c r="O220" s="16" t="b">
        <f t="shared" si="3"/>
        <v>1</v>
      </c>
    </row>
    <row r="221" spans="1:15">
      <c r="A221" s="1" t="s">
        <v>250</v>
      </c>
      <c r="B221" s="1" t="s">
        <v>27</v>
      </c>
      <c r="C221" s="5">
        <v>45636</v>
      </c>
      <c r="D221" s="16" t="s">
        <v>14</v>
      </c>
      <c r="E221" s="17" t="s">
        <v>364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16" t="s">
        <v>19</v>
      </c>
      <c r="M221" s="16" t="s">
        <v>367</v>
      </c>
      <c r="N221" s="16" t="s">
        <v>20</v>
      </c>
      <c r="O221" s="16" t="b">
        <f t="shared" si="3"/>
        <v>1</v>
      </c>
    </row>
    <row r="222" spans="1:15">
      <c r="A222" s="1" t="s">
        <v>251</v>
      </c>
      <c r="B222" s="1" t="s">
        <v>22</v>
      </c>
      <c r="C222" s="5">
        <v>45786</v>
      </c>
      <c r="D222" s="16" t="s">
        <v>23</v>
      </c>
      <c r="E222" s="17" t="s">
        <v>363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16" t="s">
        <v>366</v>
      </c>
      <c r="M222" s="16" t="s">
        <v>34</v>
      </c>
      <c r="N222" s="16" t="s">
        <v>16</v>
      </c>
      <c r="O222" s="16" t="b">
        <f t="shared" si="3"/>
        <v>1</v>
      </c>
    </row>
    <row r="223" spans="1:15">
      <c r="A223" s="1" t="s">
        <v>252</v>
      </c>
      <c r="B223" s="1" t="s">
        <v>22</v>
      </c>
      <c r="C223" s="5">
        <v>45829</v>
      </c>
      <c r="D223" s="16" t="s">
        <v>14</v>
      </c>
      <c r="E223" s="17" t="s">
        <v>18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16" t="s">
        <v>34</v>
      </c>
      <c r="M223" s="16"/>
      <c r="N223" s="16" t="s">
        <v>16</v>
      </c>
      <c r="O223" s="16" t="b">
        <f t="shared" si="3"/>
        <v>1</v>
      </c>
    </row>
    <row r="224" spans="1:15">
      <c r="A224" s="1" t="s">
        <v>253</v>
      </c>
      <c r="B224" s="1" t="s">
        <v>22</v>
      </c>
      <c r="C224" s="5">
        <v>45462</v>
      </c>
      <c r="D224" s="16" t="s">
        <v>14</v>
      </c>
      <c r="E224" s="17" t="s">
        <v>364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16" t="s">
        <v>37</v>
      </c>
      <c r="M224" s="16"/>
      <c r="N224" s="16" t="s">
        <v>20</v>
      </c>
      <c r="O224" s="16" t="b">
        <f t="shared" si="3"/>
        <v>1</v>
      </c>
    </row>
    <row r="225" spans="1:15">
      <c r="A225" s="1" t="s">
        <v>254</v>
      </c>
      <c r="B225" s="1" t="s">
        <v>22</v>
      </c>
      <c r="C225" s="5">
        <v>45636</v>
      </c>
      <c r="D225" s="16" t="s">
        <v>14</v>
      </c>
      <c r="E225" s="17" t="s">
        <v>365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16" t="s">
        <v>34</v>
      </c>
      <c r="M225" s="16"/>
      <c r="N225" s="16" t="s">
        <v>16</v>
      </c>
      <c r="O225" s="16" t="b">
        <f t="shared" si="3"/>
        <v>1</v>
      </c>
    </row>
    <row r="226" spans="1:15">
      <c r="A226" s="1" t="s">
        <v>255</v>
      </c>
      <c r="B226" s="1" t="s">
        <v>27</v>
      </c>
      <c r="C226" s="5">
        <v>45323</v>
      </c>
      <c r="D226" s="16" t="s">
        <v>14</v>
      </c>
      <c r="E226" s="17" t="s">
        <v>362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16" t="s">
        <v>19</v>
      </c>
      <c r="M226" s="16" t="s">
        <v>367</v>
      </c>
      <c r="N226" s="16" t="s">
        <v>20</v>
      </c>
      <c r="O226" s="16" t="b">
        <f t="shared" si="3"/>
        <v>1</v>
      </c>
    </row>
    <row r="227" spans="1:15">
      <c r="A227" s="1" t="s">
        <v>256</v>
      </c>
      <c r="B227" s="1" t="s">
        <v>22</v>
      </c>
      <c r="C227" s="5">
        <v>45308</v>
      </c>
      <c r="D227" s="16" t="s">
        <v>23</v>
      </c>
      <c r="E227" s="17" t="s">
        <v>24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16" t="s">
        <v>366</v>
      </c>
      <c r="M227" s="16" t="s">
        <v>34</v>
      </c>
      <c r="N227" s="16" t="s">
        <v>16</v>
      </c>
      <c r="O227" s="16" t="b">
        <f t="shared" si="3"/>
        <v>1</v>
      </c>
    </row>
    <row r="228" spans="1:15">
      <c r="A228" s="1" t="s">
        <v>257</v>
      </c>
      <c r="B228" s="1" t="s">
        <v>27</v>
      </c>
      <c r="C228" s="5">
        <v>45738</v>
      </c>
      <c r="D228" s="16" t="s">
        <v>14</v>
      </c>
      <c r="E228" s="17" t="s">
        <v>363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16" t="s">
        <v>19</v>
      </c>
      <c r="M228" s="16" t="s">
        <v>367</v>
      </c>
      <c r="N228" s="16" t="s">
        <v>20</v>
      </c>
      <c r="O228" s="16" t="b">
        <f t="shared" si="3"/>
        <v>1</v>
      </c>
    </row>
    <row r="229" spans="1:15">
      <c r="A229" s="1" t="s">
        <v>258</v>
      </c>
      <c r="B229" s="1" t="s">
        <v>27</v>
      </c>
      <c r="C229" s="5">
        <v>45442</v>
      </c>
      <c r="D229" s="16" t="s">
        <v>48</v>
      </c>
      <c r="E229" s="17" t="s">
        <v>364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16" t="s">
        <v>19</v>
      </c>
      <c r="M229" s="16" t="s">
        <v>37</v>
      </c>
      <c r="N229" s="16" t="s">
        <v>49</v>
      </c>
      <c r="O229" s="16" t="b">
        <f t="shared" si="3"/>
        <v>1</v>
      </c>
    </row>
    <row r="230" spans="1:15">
      <c r="A230" s="1" t="s">
        <v>259</v>
      </c>
      <c r="B230" s="1" t="s">
        <v>27</v>
      </c>
      <c r="C230" s="5">
        <v>45346</v>
      </c>
      <c r="D230" s="16" t="s">
        <v>14</v>
      </c>
      <c r="E230" s="17" t="s">
        <v>363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16" t="s">
        <v>19</v>
      </c>
      <c r="M230" s="16" t="s">
        <v>367</v>
      </c>
      <c r="N230" s="16" t="s">
        <v>20</v>
      </c>
      <c r="O230" s="16" t="b">
        <f t="shared" si="3"/>
        <v>1</v>
      </c>
    </row>
    <row r="231" spans="1:15">
      <c r="A231" s="1" t="s">
        <v>260</v>
      </c>
      <c r="B231" s="1" t="s">
        <v>27</v>
      </c>
      <c r="C231" s="5">
        <v>45791</v>
      </c>
      <c r="D231" s="16" t="s">
        <v>14</v>
      </c>
      <c r="E231" s="17" t="s">
        <v>15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16" t="s">
        <v>19</v>
      </c>
      <c r="M231" s="16" t="s">
        <v>367</v>
      </c>
      <c r="N231" s="16" t="s">
        <v>20</v>
      </c>
      <c r="O231" s="16" t="b">
        <f t="shared" si="3"/>
        <v>1</v>
      </c>
    </row>
    <row r="232" spans="1:15">
      <c r="A232" s="1" t="s">
        <v>261</v>
      </c>
      <c r="B232" s="1" t="s">
        <v>13</v>
      </c>
      <c r="C232" s="5">
        <v>45379</v>
      </c>
      <c r="D232" s="16" t="s">
        <v>14</v>
      </c>
      <c r="E232" s="17" t="s">
        <v>364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16" t="s">
        <v>37</v>
      </c>
      <c r="M232" s="16" t="s">
        <v>34</v>
      </c>
      <c r="N232" s="16" t="s">
        <v>16</v>
      </c>
      <c r="O232" s="16" t="b">
        <f t="shared" si="3"/>
        <v>1</v>
      </c>
    </row>
    <row r="233" spans="1:15">
      <c r="A233" s="1" t="s">
        <v>262</v>
      </c>
      <c r="B233" s="1" t="s">
        <v>27</v>
      </c>
      <c r="C233" s="5">
        <v>45723</v>
      </c>
      <c r="D233" s="16" t="s">
        <v>14</v>
      </c>
      <c r="E233" s="17" t="s">
        <v>33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16" t="s">
        <v>19</v>
      </c>
      <c r="M233" s="16" t="s">
        <v>367</v>
      </c>
      <c r="N233" s="16" t="s">
        <v>20</v>
      </c>
      <c r="O233" s="16" t="b">
        <f t="shared" si="3"/>
        <v>1</v>
      </c>
    </row>
    <row r="234" spans="1:15">
      <c r="A234" s="1" t="s">
        <v>263</v>
      </c>
      <c r="B234" s="1" t="s">
        <v>22</v>
      </c>
      <c r="C234" s="5">
        <v>45585</v>
      </c>
      <c r="D234" s="16" t="s">
        <v>14</v>
      </c>
      <c r="E234" s="17" t="s">
        <v>365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16" t="s">
        <v>34</v>
      </c>
      <c r="M234" s="16"/>
      <c r="N234" s="16" t="s">
        <v>16</v>
      </c>
      <c r="O234" s="16" t="b">
        <f t="shared" si="3"/>
        <v>1</v>
      </c>
    </row>
    <row r="235" spans="1:15">
      <c r="A235" s="1" t="s">
        <v>264</v>
      </c>
      <c r="B235" s="1" t="s">
        <v>22</v>
      </c>
      <c r="C235" s="5">
        <v>45324</v>
      </c>
      <c r="D235" s="16" t="s">
        <v>14</v>
      </c>
      <c r="E235" s="17" t="s">
        <v>365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16" t="s">
        <v>34</v>
      </c>
      <c r="M235" s="16"/>
      <c r="N235" s="16" t="s">
        <v>16</v>
      </c>
      <c r="O235" s="16" t="b">
        <f t="shared" si="3"/>
        <v>1</v>
      </c>
    </row>
    <row r="236" spans="1:15">
      <c r="A236" s="1" t="s">
        <v>265</v>
      </c>
      <c r="B236" s="1" t="s">
        <v>27</v>
      </c>
      <c r="C236" s="5">
        <v>45542</v>
      </c>
      <c r="D236" s="16" t="s">
        <v>14</v>
      </c>
      <c r="E236" s="17" t="s">
        <v>42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16" t="s">
        <v>19</v>
      </c>
      <c r="M236" s="16" t="s">
        <v>367</v>
      </c>
      <c r="N236" s="16" t="s">
        <v>20</v>
      </c>
      <c r="O236" s="16" t="b">
        <f t="shared" si="3"/>
        <v>1</v>
      </c>
    </row>
    <row r="237" spans="1:15">
      <c r="A237" s="1" t="s">
        <v>266</v>
      </c>
      <c r="B237" s="1" t="s">
        <v>13</v>
      </c>
      <c r="C237" s="5">
        <v>45646</v>
      </c>
      <c r="D237" s="16" t="s">
        <v>14</v>
      </c>
      <c r="E237" s="17" t="s">
        <v>15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16" t="s">
        <v>19</v>
      </c>
      <c r="M237" s="16"/>
      <c r="N237" s="16" t="s">
        <v>20</v>
      </c>
      <c r="O237" s="16" t="b">
        <f t="shared" si="3"/>
        <v>1</v>
      </c>
    </row>
    <row r="238" spans="1:15">
      <c r="A238" s="1" t="s">
        <v>267</v>
      </c>
      <c r="B238" s="1" t="s">
        <v>27</v>
      </c>
      <c r="C238" s="5">
        <v>45305</v>
      </c>
      <c r="D238" s="16" t="s">
        <v>14</v>
      </c>
      <c r="E238" s="17" t="s">
        <v>364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16" t="s">
        <v>19</v>
      </c>
      <c r="M238" s="16" t="s">
        <v>367</v>
      </c>
      <c r="N238" s="16" t="s">
        <v>20</v>
      </c>
      <c r="O238" s="16" t="b">
        <f t="shared" si="3"/>
        <v>1</v>
      </c>
    </row>
    <row r="239" spans="1:15">
      <c r="A239" s="1" t="s">
        <v>268</v>
      </c>
      <c r="B239" s="1" t="s">
        <v>13</v>
      </c>
      <c r="C239" s="5">
        <v>45823</v>
      </c>
      <c r="D239" s="16" t="s">
        <v>14</v>
      </c>
      <c r="E239" s="17" t="s">
        <v>18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16" t="s">
        <v>37</v>
      </c>
      <c r="M239" s="16" t="s">
        <v>34</v>
      </c>
      <c r="N239" s="16" t="s">
        <v>16</v>
      </c>
      <c r="O239" s="16" t="b">
        <f t="shared" si="3"/>
        <v>1</v>
      </c>
    </row>
    <row r="240" spans="1:15">
      <c r="A240" s="1" t="s">
        <v>269</v>
      </c>
      <c r="B240" s="1" t="s">
        <v>22</v>
      </c>
      <c r="C240" s="5">
        <v>45639</v>
      </c>
      <c r="D240" s="16" t="s">
        <v>23</v>
      </c>
      <c r="E240" s="17" t="s">
        <v>24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16" t="s">
        <v>366</v>
      </c>
      <c r="M240" s="16" t="s">
        <v>34</v>
      </c>
      <c r="N240" s="16" t="s">
        <v>16</v>
      </c>
      <c r="O240" s="16" t="b">
        <f t="shared" si="3"/>
        <v>1</v>
      </c>
    </row>
    <row r="241" spans="1:15">
      <c r="A241" s="1" t="s">
        <v>270</v>
      </c>
      <c r="B241" s="1" t="s">
        <v>27</v>
      </c>
      <c r="C241" s="5">
        <v>45533</v>
      </c>
      <c r="D241" s="16" t="s">
        <v>14</v>
      </c>
      <c r="E241" s="17" t="s">
        <v>362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16" t="s">
        <v>19</v>
      </c>
      <c r="M241" s="16" t="s">
        <v>367</v>
      </c>
      <c r="N241" s="16" t="s">
        <v>20</v>
      </c>
      <c r="O241" s="16" t="b">
        <f t="shared" si="3"/>
        <v>1</v>
      </c>
    </row>
    <row r="242" spans="1:15">
      <c r="A242" s="1" t="s">
        <v>271</v>
      </c>
      <c r="B242" s="1" t="s">
        <v>22</v>
      </c>
      <c r="C242" s="5">
        <v>45550</v>
      </c>
      <c r="D242" s="16" t="s">
        <v>14</v>
      </c>
      <c r="E242" s="17" t="s">
        <v>30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16" t="s">
        <v>34</v>
      </c>
      <c r="M242" s="16"/>
      <c r="N242" s="16" t="s">
        <v>16</v>
      </c>
      <c r="O242" s="16" t="b">
        <f t="shared" si="3"/>
        <v>1</v>
      </c>
    </row>
    <row r="243" spans="1:15">
      <c r="A243" s="1" t="s">
        <v>272</v>
      </c>
      <c r="B243" s="1" t="s">
        <v>22</v>
      </c>
      <c r="C243" s="5">
        <v>45759</v>
      </c>
      <c r="D243" s="16" t="s">
        <v>23</v>
      </c>
      <c r="E243" s="17" t="s">
        <v>365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16" t="s">
        <v>19</v>
      </c>
      <c r="M243" s="16" t="s">
        <v>366</v>
      </c>
      <c r="N243" s="16" t="s">
        <v>16</v>
      </c>
      <c r="O243" s="16" t="b">
        <f t="shared" si="3"/>
        <v>1</v>
      </c>
    </row>
    <row r="244" spans="1:15">
      <c r="A244" s="1" t="s">
        <v>273</v>
      </c>
      <c r="B244" s="1" t="s">
        <v>22</v>
      </c>
      <c r="C244" s="5">
        <v>45636</v>
      </c>
      <c r="D244" s="16" t="s">
        <v>23</v>
      </c>
      <c r="E244" s="17" t="s">
        <v>362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16" t="s">
        <v>19</v>
      </c>
      <c r="M244" s="16" t="s">
        <v>366</v>
      </c>
      <c r="N244" s="16" t="s">
        <v>16</v>
      </c>
      <c r="O244" s="16" t="b">
        <f t="shared" si="3"/>
        <v>1</v>
      </c>
    </row>
    <row r="245" spans="1:15">
      <c r="A245" s="1" t="s">
        <v>274</v>
      </c>
      <c r="B245" s="1" t="s">
        <v>27</v>
      </c>
      <c r="C245" s="5">
        <v>45816</v>
      </c>
      <c r="D245" s="16" t="s">
        <v>14</v>
      </c>
      <c r="E245" s="17" t="s">
        <v>363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16" t="s">
        <v>19</v>
      </c>
      <c r="M245" s="16" t="s">
        <v>367</v>
      </c>
      <c r="N245" s="16" t="s">
        <v>20</v>
      </c>
      <c r="O245" s="16" t="b">
        <f t="shared" si="3"/>
        <v>1</v>
      </c>
    </row>
    <row r="246" spans="1:15">
      <c r="A246" s="1" t="s">
        <v>275</v>
      </c>
      <c r="B246" s="1" t="s">
        <v>22</v>
      </c>
      <c r="C246" s="5">
        <v>45666</v>
      </c>
      <c r="D246" s="16" t="s">
        <v>23</v>
      </c>
      <c r="E246" s="17" t="s">
        <v>42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16" t="s">
        <v>366</v>
      </c>
      <c r="M246" s="16" t="s">
        <v>34</v>
      </c>
      <c r="N246" s="16" t="s">
        <v>16</v>
      </c>
      <c r="O246" s="16" t="b">
        <f t="shared" si="3"/>
        <v>1</v>
      </c>
    </row>
    <row r="247" spans="1:15">
      <c r="A247" s="1" t="s">
        <v>276</v>
      </c>
      <c r="B247" s="1" t="s">
        <v>22</v>
      </c>
      <c r="C247" s="5">
        <v>45481</v>
      </c>
      <c r="D247" s="16" t="s">
        <v>23</v>
      </c>
      <c r="E247" s="17" t="s">
        <v>33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16" t="s">
        <v>37</v>
      </c>
      <c r="M247" s="16" t="s">
        <v>34</v>
      </c>
      <c r="N247" s="16" t="s">
        <v>16</v>
      </c>
      <c r="O247" s="16" t="b">
        <f t="shared" si="3"/>
        <v>1</v>
      </c>
    </row>
    <row r="248" spans="1:15">
      <c r="A248" s="1" t="s">
        <v>277</v>
      </c>
      <c r="B248" s="1" t="s">
        <v>22</v>
      </c>
      <c r="C248" s="5">
        <v>45551</v>
      </c>
      <c r="D248" s="16" t="s">
        <v>23</v>
      </c>
      <c r="E248" s="17" t="s">
        <v>42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16" t="s">
        <v>19</v>
      </c>
      <c r="M248" s="16" t="s">
        <v>366</v>
      </c>
      <c r="N248" s="16" t="s">
        <v>16</v>
      </c>
      <c r="O248" s="16" t="b">
        <f t="shared" si="3"/>
        <v>1</v>
      </c>
    </row>
    <row r="249" spans="1:15">
      <c r="A249" s="1" t="s">
        <v>278</v>
      </c>
      <c r="B249" s="1" t="s">
        <v>27</v>
      </c>
      <c r="C249" s="5">
        <v>45457</v>
      </c>
      <c r="D249" s="16" t="s">
        <v>48</v>
      </c>
      <c r="E249" s="17" t="s">
        <v>362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16" t="s">
        <v>19</v>
      </c>
      <c r="M249" s="16" t="s">
        <v>37</v>
      </c>
      <c r="N249" s="16" t="s">
        <v>49</v>
      </c>
      <c r="O249" s="16" t="b">
        <f t="shared" si="3"/>
        <v>1</v>
      </c>
    </row>
    <row r="250" spans="1:15">
      <c r="A250" s="1" t="s">
        <v>279</v>
      </c>
      <c r="B250" s="1" t="s">
        <v>13</v>
      </c>
      <c r="C250" s="5">
        <v>45357</v>
      </c>
      <c r="D250" s="16" t="s">
        <v>14</v>
      </c>
      <c r="E250" s="17" t="s">
        <v>364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16" t="s">
        <v>19</v>
      </c>
      <c r="M250" s="16"/>
      <c r="N250" s="16" t="s">
        <v>20</v>
      </c>
      <c r="O250" s="16" t="b">
        <f t="shared" si="3"/>
        <v>1</v>
      </c>
    </row>
    <row r="251" spans="1:15">
      <c r="A251" s="1" t="s">
        <v>280</v>
      </c>
      <c r="B251" s="1" t="s">
        <v>22</v>
      </c>
      <c r="C251" s="5">
        <v>45792</v>
      </c>
      <c r="D251" s="16" t="s">
        <v>14</v>
      </c>
      <c r="E251" s="17" t="s">
        <v>42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16" t="s">
        <v>34</v>
      </c>
      <c r="M251" s="16"/>
      <c r="N251" s="16" t="s">
        <v>16</v>
      </c>
      <c r="O251" s="16" t="b">
        <f t="shared" si="3"/>
        <v>1</v>
      </c>
    </row>
    <row r="252" spans="1:15">
      <c r="A252" s="1" t="s">
        <v>281</v>
      </c>
      <c r="B252" s="1" t="s">
        <v>22</v>
      </c>
      <c r="C252" s="5">
        <v>45480</v>
      </c>
      <c r="D252" s="16" t="s">
        <v>14</v>
      </c>
      <c r="E252" s="17" t="s">
        <v>364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16" t="s">
        <v>37</v>
      </c>
      <c r="M252" s="16"/>
      <c r="N252" s="16" t="s">
        <v>20</v>
      </c>
      <c r="O252" s="16" t="b">
        <f t="shared" si="3"/>
        <v>1</v>
      </c>
    </row>
    <row r="253" spans="1:15">
      <c r="A253" s="1" t="s">
        <v>282</v>
      </c>
      <c r="B253" s="1" t="s">
        <v>27</v>
      </c>
      <c r="C253" s="5">
        <v>45591</v>
      </c>
      <c r="D253" s="16" t="s">
        <v>14</v>
      </c>
      <c r="E253" s="17" t="s">
        <v>24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16" t="s">
        <v>19</v>
      </c>
      <c r="M253" s="16" t="s">
        <v>367</v>
      </c>
      <c r="N253" s="16" t="s">
        <v>20</v>
      </c>
      <c r="O253" s="16" t="b">
        <f t="shared" si="3"/>
        <v>1</v>
      </c>
    </row>
    <row r="254" spans="1:15">
      <c r="A254" s="1" t="s">
        <v>283</v>
      </c>
      <c r="B254" s="1" t="s">
        <v>27</v>
      </c>
      <c r="C254" s="5">
        <v>45512</v>
      </c>
      <c r="D254" s="16" t="s">
        <v>14</v>
      </c>
      <c r="E254" s="17" t="s">
        <v>365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16" t="s">
        <v>19</v>
      </c>
      <c r="M254" s="16" t="s">
        <v>367</v>
      </c>
      <c r="N254" s="16" t="s">
        <v>20</v>
      </c>
      <c r="O254" s="16" t="b">
        <f t="shared" si="3"/>
        <v>1</v>
      </c>
    </row>
    <row r="255" spans="1:15">
      <c r="A255" s="1" t="s">
        <v>284</v>
      </c>
      <c r="B255" s="1" t="s">
        <v>22</v>
      </c>
      <c r="C255" s="5">
        <v>45691</v>
      </c>
      <c r="D255" s="16" t="s">
        <v>14</v>
      </c>
      <c r="E255" s="17" t="s">
        <v>364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16" t="s">
        <v>34</v>
      </c>
      <c r="M255" s="16"/>
      <c r="N255" s="16" t="s">
        <v>16</v>
      </c>
      <c r="O255" s="16" t="b">
        <f t="shared" si="3"/>
        <v>1</v>
      </c>
    </row>
    <row r="256" spans="1:15">
      <c r="A256" s="1" t="s">
        <v>285</v>
      </c>
      <c r="B256" s="1" t="s">
        <v>22</v>
      </c>
      <c r="C256" s="5">
        <v>45385</v>
      </c>
      <c r="D256" s="16" t="s">
        <v>23</v>
      </c>
      <c r="E256" s="17" t="s">
        <v>33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16" t="s">
        <v>19</v>
      </c>
      <c r="M256" s="16" t="s">
        <v>366</v>
      </c>
      <c r="N256" s="16" t="s">
        <v>16</v>
      </c>
      <c r="O256" s="16" t="b">
        <f t="shared" si="3"/>
        <v>1</v>
      </c>
    </row>
    <row r="257" spans="1:15">
      <c r="A257" s="1" t="s">
        <v>286</v>
      </c>
      <c r="B257" s="1" t="s">
        <v>22</v>
      </c>
      <c r="C257" s="5">
        <v>45481</v>
      </c>
      <c r="D257" s="16" t="s">
        <v>23</v>
      </c>
      <c r="E257" s="17" t="s">
        <v>362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16" t="s">
        <v>366</v>
      </c>
      <c r="M257" s="16" t="s">
        <v>34</v>
      </c>
      <c r="N257" s="16" t="s">
        <v>16</v>
      </c>
      <c r="O257" s="16" t="b">
        <f t="shared" si="3"/>
        <v>1</v>
      </c>
    </row>
    <row r="258" spans="1:15">
      <c r="A258" s="1" t="s">
        <v>287</v>
      </c>
      <c r="B258" s="1" t="s">
        <v>22</v>
      </c>
      <c r="C258" s="5">
        <v>45451</v>
      </c>
      <c r="D258" s="16" t="s">
        <v>23</v>
      </c>
      <c r="E258" s="17" t="s">
        <v>33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16" t="s">
        <v>19</v>
      </c>
      <c r="M258" s="16" t="s">
        <v>366</v>
      </c>
      <c r="N258" s="16" t="s">
        <v>16</v>
      </c>
      <c r="O258" s="16" t="b">
        <f t="shared" ref="O258:O301" si="4">ISNUMBER(C258)</f>
        <v>1</v>
      </c>
    </row>
    <row r="259" spans="1:15">
      <c r="A259" s="1" t="s">
        <v>288</v>
      </c>
      <c r="B259" s="1" t="s">
        <v>27</v>
      </c>
      <c r="C259" s="5">
        <v>45736</v>
      </c>
      <c r="D259" s="16" t="s">
        <v>48</v>
      </c>
      <c r="E259" s="17" t="s">
        <v>365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16" t="s">
        <v>19</v>
      </c>
      <c r="M259" s="16" t="s">
        <v>37</v>
      </c>
      <c r="N259" s="16" t="s">
        <v>49</v>
      </c>
      <c r="O259" s="16" t="b">
        <f t="shared" si="4"/>
        <v>1</v>
      </c>
    </row>
    <row r="260" spans="1:15">
      <c r="A260" s="1" t="s">
        <v>289</v>
      </c>
      <c r="B260" s="1" t="s">
        <v>22</v>
      </c>
      <c r="C260" s="5">
        <v>45676</v>
      </c>
      <c r="D260" s="16" t="s">
        <v>23</v>
      </c>
      <c r="E260" s="17" t="s">
        <v>363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16" t="s">
        <v>37</v>
      </c>
      <c r="M260" s="16" t="s">
        <v>34</v>
      </c>
      <c r="N260" s="16" t="s">
        <v>16</v>
      </c>
      <c r="O260" s="16" t="b">
        <f t="shared" si="4"/>
        <v>1</v>
      </c>
    </row>
    <row r="261" spans="1:15">
      <c r="A261" s="1" t="s">
        <v>290</v>
      </c>
      <c r="B261" s="1" t="s">
        <v>22</v>
      </c>
      <c r="C261" s="5">
        <v>45662</v>
      </c>
      <c r="D261" s="16" t="s">
        <v>23</v>
      </c>
      <c r="E261" s="17" t="s">
        <v>18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16" t="s">
        <v>366</v>
      </c>
      <c r="M261" s="16" t="s">
        <v>34</v>
      </c>
      <c r="N261" s="16" t="s">
        <v>16</v>
      </c>
      <c r="O261" s="16" t="b">
        <f t="shared" si="4"/>
        <v>1</v>
      </c>
    </row>
    <row r="262" spans="1:15">
      <c r="A262" s="1" t="s">
        <v>291</v>
      </c>
      <c r="B262" s="1" t="s">
        <v>22</v>
      </c>
      <c r="C262" s="5">
        <v>45612</v>
      </c>
      <c r="D262" s="16" t="s">
        <v>14</v>
      </c>
      <c r="E262" s="17" t="s">
        <v>365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16" t="s">
        <v>37</v>
      </c>
      <c r="M262" s="16"/>
      <c r="N262" s="16" t="s">
        <v>20</v>
      </c>
      <c r="O262" s="16" t="b">
        <f t="shared" si="4"/>
        <v>1</v>
      </c>
    </row>
    <row r="263" spans="1:15">
      <c r="A263" s="1" t="s">
        <v>292</v>
      </c>
      <c r="B263" s="1" t="s">
        <v>22</v>
      </c>
      <c r="C263" s="5">
        <v>45626</v>
      </c>
      <c r="D263" s="16" t="s">
        <v>23</v>
      </c>
      <c r="E263" s="17" t="s">
        <v>18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16" t="s">
        <v>366</v>
      </c>
      <c r="M263" s="16" t="s">
        <v>34</v>
      </c>
      <c r="N263" s="16" t="s">
        <v>16</v>
      </c>
      <c r="O263" s="16" t="b">
        <f t="shared" si="4"/>
        <v>1</v>
      </c>
    </row>
    <row r="264" spans="1:15">
      <c r="A264" s="1" t="s">
        <v>293</v>
      </c>
      <c r="B264" s="1" t="s">
        <v>27</v>
      </c>
      <c r="C264" s="5">
        <v>45378</v>
      </c>
      <c r="D264" s="16" t="s">
        <v>14</v>
      </c>
      <c r="E264" s="17" t="s">
        <v>363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16" t="s">
        <v>19</v>
      </c>
      <c r="M264" s="16" t="s">
        <v>367</v>
      </c>
      <c r="N264" s="16" t="s">
        <v>20</v>
      </c>
      <c r="O264" s="16" t="b">
        <f t="shared" si="4"/>
        <v>1</v>
      </c>
    </row>
    <row r="265" spans="1:15">
      <c r="A265" s="1" t="s">
        <v>294</v>
      </c>
      <c r="B265" s="1" t="s">
        <v>27</v>
      </c>
      <c r="C265" s="5">
        <v>45808</v>
      </c>
      <c r="D265" s="16" t="s">
        <v>48</v>
      </c>
      <c r="E265" s="17" t="s">
        <v>30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16" t="s">
        <v>19</v>
      </c>
      <c r="M265" s="16" t="s">
        <v>37</v>
      </c>
      <c r="N265" s="16" t="s">
        <v>49</v>
      </c>
      <c r="O265" s="16" t="b">
        <f t="shared" si="4"/>
        <v>1</v>
      </c>
    </row>
    <row r="266" spans="1:15">
      <c r="A266" s="1" t="s">
        <v>295</v>
      </c>
      <c r="B266" s="1" t="s">
        <v>22</v>
      </c>
      <c r="C266" s="5">
        <v>45825</v>
      </c>
      <c r="D266" s="16" t="s">
        <v>23</v>
      </c>
      <c r="E266" s="17" t="s">
        <v>18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16" t="s">
        <v>19</v>
      </c>
      <c r="M266" s="16" t="s">
        <v>366</v>
      </c>
      <c r="N266" s="16" t="s">
        <v>16</v>
      </c>
      <c r="O266" s="16" t="b">
        <f t="shared" si="4"/>
        <v>1</v>
      </c>
    </row>
    <row r="267" spans="1:15">
      <c r="A267" s="1" t="s">
        <v>296</v>
      </c>
      <c r="B267" s="1" t="s">
        <v>13</v>
      </c>
      <c r="C267" s="5">
        <v>45442</v>
      </c>
      <c r="D267" s="16" t="s">
        <v>23</v>
      </c>
      <c r="E267" s="17" t="s">
        <v>30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16" t="s">
        <v>34</v>
      </c>
      <c r="M267" s="16"/>
      <c r="N267" s="16" t="s">
        <v>46</v>
      </c>
      <c r="O267" s="16" t="b">
        <f t="shared" si="4"/>
        <v>1</v>
      </c>
    </row>
    <row r="268" spans="1:15">
      <c r="A268" s="1" t="s">
        <v>297</v>
      </c>
      <c r="B268" s="1" t="s">
        <v>27</v>
      </c>
      <c r="C268" s="5">
        <v>45604</v>
      </c>
      <c r="D268" s="16" t="s">
        <v>14</v>
      </c>
      <c r="E268" s="17" t="s">
        <v>33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16" t="s">
        <v>19</v>
      </c>
      <c r="M268" s="16" t="s">
        <v>367</v>
      </c>
      <c r="N268" s="16" t="s">
        <v>20</v>
      </c>
      <c r="O268" s="16" t="b">
        <f t="shared" si="4"/>
        <v>1</v>
      </c>
    </row>
    <row r="269" spans="1:15">
      <c r="A269" s="1" t="s">
        <v>298</v>
      </c>
      <c r="B269" s="1" t="s">
        <v>27</v>
      </c>
      <c r="C269" s="5">
        <v>45368</v>
      </c>
      <c r="D269" s="16" t="s">
        <v>48</v>
      </c>
      <c r="E269" s="17" t="s">
        <v>18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16" t="s">
        <v>19</v>
      </c>
      <c r="M269" s="16" t="s">
        <v>37</v>
      </c>
      <c r="N269" s="16" t="s">
        <v>49</v>
      </c>
      <c r="O269" s="16" t="b">
        <f t="shared" si="4"/>
        <v>1</v>
      </c>
    </row>
    <row r="270" spans="1:15">
      <c r="A270" s="1" t="s">
        <v>299</v>
      </c>
      <c r="B270" s="1" t="s">
        <v>27</v>
      </c>
      <c r="C270" s="5">
        <v>45464</v>
      </c>
      <c r="D270" s="16" t="s">
        <v>48</v>
      </c>
      <c r="E270" s="17" t="s">
        <v>363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16" t="s">
        <v>19</v>
      </c>
      <c r="M270" s="16" t="s">
        <v>37</v>
      </c>
      <c r="N270" s="16" t="s">
        <v>49</v>
      </c>
      <c r="O270" s="16" t="b">
        <f t="shared" si="4"/>
        <v>1</v>
      </c>
    </row>
    <row r="271" spans="1:15">
      <c r="A271" s="1" t="s">
        <v>300</v>
      </c>
      <c r="B271" s="1" t="s">
        <v>22</v>
      </c>
      <c r="C271" s="5">
        <v>45609</v>
      </c>
      <c r="D271" s="16" t="s">
        <v>23</v>
      </c>
      <c r="E271" s="17" t="s">
        <v>24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16" t="s">
        <v>19</v>
      </c>
      <c r="M271" s="16" t="s">
        <v>366</v>
      </c>
      <c r="N271" s="16" t="s">
        <v>16</v>
      </c>
      <c r="O271" s="16" t="b">
        <f t="shared" si="4"/>
        <v>1</v>
      </c>
    </row>
    <row r="272" spans="1:15">
      <c r="A272" s="1" t="s">
        <v>301</v>
      </c>
      <c r="B272" s="1" t="s">
        <v>22</v>
      </c>
      <c r="C272" s="5">
        <v>45693</v>
      </c>
      <c r="D272" s="16" t="s">
        <v>23</v>
      </c>
      <c r="E272" s="17" t="s">
        <v>15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16" t="s">
        <v>19</v>
      </c>
      <c r="M272" s="16" t="s">
        <v>366</v>
      </c>
      <c r="N272" s="16" t="s">
        <v>16</v>
      </c>
      <c r="O272" s="16" t="b">
        <f t="shared" si="4"/>
        <v>1</v>
      </c>
    </row>
    <row r="273" spans="1:15">
      <c r="A273" s="1" t="s">
        <v>302</v>
      </c>
      <c r="B273" s="1" t="s">
        <v>22</v>
      </c>
      <c r="C273" s="5">
        <v>45603</v>
      </c>
      <c r="D273" s="16" t="s">
        <v>14</v>
      </c>
      <c r="E273" s="17" t="s">
        <v>18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16" t="s">
        <v>37</v>
      </c>
      <c r="M273" s="16"/>
      <c r="N273" s="16" t="s">
        <v>20</v>
      </c>
      <c r="O273" s="16" t="b">
        <f t="shared" si="4"/>
        <v>1</v>
      </c>
    </row>
    <row r="274" spans="1:15">
      <c r="A274" s="1" t="s">
        <v>303</v>
      </c>
      <c r="B274" s="1" t="s">
        <v>22</v>
      </c>
      <c r="C274" s="5">
        <v>45334</v>
      </c>
      <c r="D274" s="16" t="s">
        <v>14</v>
      </c>
      <c r="E274" s="17" t="s">
        <v>18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16" t="s">
        <v>34</v>
      </c>
      <c r="M274" s="16"/>
      <c r="N274" s="16" t="s">
        <v>16</v>
      </c>
      <c r="O274" s="16" t="b">
        <f t="shared" si="4"/>
        <v>1</v>
      </c>
    </row>
    <row r="275" spans="1:15">
      <c r="A275" s="1" t="s">
        <v>304</v>
      </c>
      <c r="B275" s="1" t="s">
        <v>13</v>
      </c>
      <c r="C275" s="5">
        <v>45573</v>
      </c>
      <c r="D275" s="16" t="s">
        <v>14</v>
      </c>
      <c r="E275" s="17" t="s">
        <v>18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16" t="s">
        <v>19</v>
      </c>
      <c r="M275" s="16"/>
      <c r="N275" s="16" t="s">
        <v>20</v>
      </c>
      <c r="O275" s="16" t="b">
        <f t="shared" si="4"/>
        <v>1</v>
      </c>
    </row>
    <row r="276" spans="1:15">
      <c r="A276" s="1" t="s">
        <v>305</v>
      </c>
      <c r="B276" s="1" t="s">
        <v>13</v>
      </c>
      <c r="C276" s="5">
        <v>45341</v>
      </c>
      <c r="D276" s="16" t="s">
        <v>14</v>
      </c>
      <c r="E276" s="17" t="s">
        <v>362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16" t="s">
        <v>19</v>
      </c>
      <c r="M276" s="16"/>
      <c r="N276" s="16" t="s">
        <v>20</v>
      </c>
      <c r="O276" s="16" t="b">
        <f t="shared" si="4"/>
        <v>1</v>
      </c>
    </row>
    <row r="277" spans="1:15">
      <c r="A277" s="1" t="s">
        <v>306</v>
      </c>
      <c r="B277" s="1" t="s">
        <v>22</v>
      </c>
      <c r="C277" s="5">
        <v>45720</v>
      </c>
      <c r="D277" s="16" t="s">
        <v>14</v>
      </c>
      <c r="E277" s="17" t="s">
        <v>15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16" t="s">
        <v>34</v>
      </c>
      <c r="M277" s="16"/>
      <c r="N277" s="16" t="s">
        <v>16</v>
      </c>
      <c r="O277" s="16" t="b">
        <f t="shared" si="4"/>
        <v>1</v>
      </c>
    </row>
    <row r="278" spans="1:15">
      <c r="A278" s="1" t="s">
        <v>307</v>
      </c>
      <c r="B278" s="1" t="s">
        <v>13</v>
      </c>
      <c r="C278" s="5">
        <v>45691</v>
      </c>
      <c r="D278" s="16" t="s">
        <v>23</v>
      </c>
      <c r="E278" s="17" t="s">
        <v>24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16" t="s">
        <v>34</v>
      </c>
      <c r="M278" s="16"/>
      <c r="N278" s="16" t="s">
        <v>46</v>
      </c>
      <c r="O278" s="16" t="b">
        <f t="shared" si="4"/>
        <v>1</v>
      </c>
    </row>
    <row r="279" spans="1:15">
      <c r="A279" s="1" t="s">
        <v>308</v>
      </c>
      <c r="B279" s="1" t="s">
        <v>13</v>
      </c>
      <c r="C279" s="5">
        <v>45628</v>
      </c>
      <c r="D279" s="16" t="s">
        <v>14</v>
      </c>
      <c r="E279" s="17" t="s">
        <v>33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16" t="s">
        <v>37</v>
      </c>
      <c r="M279" s="16" t="s">
        <v>34</v>
      </c>
      <c r="N279" s="16" t="s">
        <v>16</v>
      </c>
      <c r="O279" s="16" t="b">
        <f t="shared" si="4"/>
        <v>1</v>
      </c>
    </row>
    <row r="280" spans="1:15">
      <c r="A280" s="1" t="s">
        <v>309</v>
      </c>
      <c r="B280" s="1" t="s">
        <v>22</v>
      </c>
      <c r="C280" s="5">
        <v>45676</v>
      </c>
      <c r="D280" s="16" t="s">
        <v>23</v>
      </c>
      <c r="E280" s="17" t="s">
        <v>24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16" t="s">
        <v>37</v>
      </c>
      <c r="M280" s="16" t="s">
        <v>34</v>
      </c>
      <c r="N280" s="16" t="s">
        <v>16</v>
      </c>
      <c r="O280" s="16" t="b">
        <f t="shared" si="4"/>
        <v>1</v>
      </c>
    </row>
    <row r="281" spans="1:15">
      <c r="A281" s="1" t="s">
        <v>310</v>
      </c>
      <c r="B281" s="1" t="s">
        <v>22</v>
      </c>
      <c r="C281" s="5">
        <v>45563</v>
      </c>
      <c r="D281" s="16" t="s">
        <v>23</v>
      </c>
      <c r="E281" s="17" t="s">
        <v>362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16" t="s">
        <v>19</v>
      </c>
      <c r="M281" s="16" t="s">
        <v>366</v>
      </c>
      <c r="N281" s="16" t="s">
        <v>16</v>
      </c>
      <c r="O281" s="16" t="b">
        <f t="shared" si="4"/>
        <v>1</v>
      </c>
    </row>
    <row r="282" spans="1:15">
      <c r="A282" s="1" t="s">
        <v>311</v>
      </c>
      <c r="B282" s="1" t="s">
        <v>13</v>
      </c>
      <c r="C282" s="5">
        <v>45298</v>
      </c>
      <c r="D282" s="16" t="s">
        <v>14</v>
      </c>
      <c r="E282" s="17" t="s">
        <v>33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16" t="s">
        <v>37</v>
      </c>
      <c r="M282" s="16" t="s">
        <v>34</v>
      </c>
      <c r="N282" s="16" t="s">
        <v>16</v>
      </c>
      <c r="O282" s="16" t="b">
        <f t="shared" si="4"/>
        <v>1</v>
      </c>
    </row>
    <row r="283" spans="1:15">
      <c r="A283" s="1" t="s">
        <v>312</v>
      </c>
      <c r="B283" s="1" t="s">
        <v>22</v>
      </c>
      <c r="C283" s="5">
        <v>45343</v>
      </c>
      <c r="D283" s="16" t="s">
        <v>23</v>
      </c>
      <c r="E283" s="17" t="s">
        <v>30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16" t="s">
        <v>366</v>
      </c>
      <c r="M283" s="16" t="s">
        <v>34</v>
      </c>
      <c r="N283" s="16" t="s">
        <v>16</v>
      </c>
      <c r="O283" s="16" t="b">
        <f t="shared" si="4"/>
        <v>1</v>
      </c>
    </row>
    <row r="284" spans="1:15">
      <c r="A284" s="1" t="s">
        <v>313</v>
      </c>
      <c r="B284" s="1" t="s">
        <v>13</v>
      </c>
      <c r="C284" s="5">
        <v>45531</v>
      </c>
      <c r="D284" s="16" t="s">
        <v>14</v>
      </c>
      <c r="E284" s="17" t="s">
        <v>363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16" t="s">
        <v>19</v>
      </c>
      <c r="M284" s="16"/>
      <c r="N284" s="16" t="s">
        <v>20</v>
      </c>
      <c r="O284" s="16" t="b">
        <f t="shared" si="4"/>
        <v>1</v>
      </c>
    </row>
    <row r="285" spans="1:15">
      <c r="A285" s="1" t="s">
        <v>314</v>
      </c>
      <c r="B285" s="1" t="s">
        <v>13</v>
      </c>
      <c r="C285" s="5">
        <v>45589</v>
      </c>
      <c r="D285" s="16" t="s">
        <v>23</v>
      </c>
      <c r="E285" s="17" t="s">
        <v>33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16" t="s">
        <v>34</v>
      </c>
      <c r="M285" s="16"/>
      <c r="N285" s="16" t="s">
        <v>46</v>
      </c>
      <c r="O285" s="16" t="b">
        <f t="shared" si="4"/>
        <v>1</v>
      </c>
    </row>
    <row r="286" spans="1:15">
      <c r="A286" s="1" t="s">
        <v>315</v>
      </c>
      <c r="B286" s="1" t="s">
        <v>27</v>
      </c>
      <c r="C286" s="5">
        <v>45686</v>
      </c>
      <c r="D286" s="16" t="s">
        <v>14</v>
      </c>
      <c r="E286" s="17" t="s">
        <v>24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16" t="s">
        <v>19</v>
      </c>
      <c r="M286" s="16" t="s">
        <v>367</v>
      </c>
      <c r="N286" s="16" t="s">
        <v>20</v>
      </c>
      <c r="O286" s="16" t="b">
        <f t="shared" si="4"/>
        <v>1</v>
      </c>
    </row>
    <row r="287" spans="1:15">
      <c r="A287" s="1" t="s">
        <v>316</v>
      </c>
      <c r="B287" s="1" t="s">
        <v>13</v>
      </c>
      <c r="C287" s="5">
        <v>45413</v>
      </c>
      <c r="D287" s="16" t="s">
        <v>14</v>
      </c>
      <c r="E287" s="17" t="s">
        <v>30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16" t="s">
        <v>19</v>
      </c>
      <c r="M287" s="16"/>
      <c r="N287" s="16" t="s">
        <v>20</v>
      </c>
      <c r="O287" s="16" t="b">
        <f t="shared" si="4"/>
        <v>1</v>
      </c>
    </row>
    <row r="288" spans="1:15">
      <c r="A288" s="1" t="s">
        <v>317</v>
      </c>
      <c r="B288" s="1" t="s">
        <v>27</v>
      </c>
      <c r="C288" s="5">
        <v>45468</v>
      </c>
      <c r="D288" s="16" t="s">
        <v>14</v>
      </c>
      <c r="E288" s="17" t="s">
        <v>42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16" t="s">
        <v>19</v>
      </c>
      <c r="M288" s="16" t="s">
        <v>367</v>
      </c>
      <c r="N288" s="16" t="s">
        <v>20</v>
      </c>
      <c r="O288" s="16" t="b">
        <f t="shared" si="4"/>
        <v>1</v>
      </c>
    </row>
    <row r="289" spans="1:15">
      <c r="A289" s="1" t="s">
        <v>318</v>
      </c>
      <c r="B289" s="1" t="s">
        <v>22</v>
      </c>
      <c r="C289" s="5">
        <v>45513</v>
      </c>
      <c r="D289" s="16" t="s">
        <v>23</v>
      </c>
      <c r="E289" s="17" t="s">
        <v>365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16" t="s">
        <v>19</v>
      </c>
      <c r="M289" s="16" t="s">
        <v>366</v>
      </c>
      <c r="N289" s="16" t="s">
        <v>16</v>
      </c>
      <c r="O289" s="16" t="b">
        <f t="shared" si="4"/>
        <v>1</v>
      </c>
    </row>
    <row r="290" spans="1:15">
      <c r="A290" s="1" t="s">
        <v>319</v>
      </c>
      <c r="B290" s="1" t="s">
        <v>13</v>
      </c>
      <c r="C290" s="5">
        <v>45678</v>
      </c>
      <c r="D290" s="16" t="s">
        <v>23</v>
      </c>
      <c r="E290" s="17" t="s">
        <v>24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16" t="s">
        <v>34</v>
      </c>
      <c r="M290" s="16"/>
      <c r="N290" s="16" t="s">
        <v>46</v>
      </c>
      <c r="O290" s="16" t="b">
        <f t="shared" si="4"/>
        <v>1</v>
      </c>
    </row>
    <row r="291" spans="1:15">
      <c r="A291" s="1" t="s">
        <v>320</v>
      </c>
      <c r="B291" s="1" t="s">
        <v>22</v>
      </c>
      <c r="C291" s="5">
        <v>45517</v>
      </c>
      <c r="D291" s="16" t="s">
        <v>14</v>
      </c>
      <c r="E291" s="17" t="s">
        <v>18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16" t="s">
        <v>37</v>
      </c>
      <c r="M291" s="16"/>
      <c r="N291" s="16" t="s">
        <v>20</v>
      </c>
      <c r="O291" s="16" t="b">
        <f t="shared" si="4"/>
        <v>1</v>
      </c>
    </row>
    <row r="292" spans="1:15">
      <c r="A292" s="1" t="s">
        <v>321</v>
      </c>
      <c r="B292" s="1" t="s">
        <v>13</v>
      </c>
      <c r="C292" s="5">
        <v>45472</v>
      </c>
      <c r="D292" s="16" t="s">
        <v>14</v>
      </c>
      <c r="E292" s="17" t="s">
        <v>42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16" t="s">
        <v>37</v>
      </c>
      <c r="M292" s="16" t="s">
        <v>34</v>
      </c>
      <c r="N292" s="16" t="s">
        <v>16</v>
      </c>
      <c r="O292" s="16" t="b">
        <f t="shared" si="4"/>
        <v>1</v>
      </c>
    </row>
    <row r="293" spans="1:15">
      <c r="A293" s="1" t="s">
        <v>322</v>
      </c>
      <c r="B293" s="1" t="s">
        <v>22</v>
      </c>
      <c r="C293" s="5">
        <v>45599</v>
      </c>
      <c r="D293" s="16" t="s">
        <v>23</v>
      </c>
      <c r="E293" s="17" t="s">
        <v>18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16" t="s">
        <v>366</v>
      </c>
      <c r="M293" s="16" t="s">
        <v>34</v>
      </c>
      <c r="N293" s="16" t="s">
        <v>16</v>
      </c>
      <c r="O293" s="16" t="b">
        <f t="shared" si="4"/>
        <v>1</v>
      </c>
    </row>
    <row r="294" spans="1:15">
      <c r="A294" s="1" t="s">
        <v>323</v>
      </c>
      <c r="B294" s="1" t="s">
        <v>27</v>
      </c>
      <c r="C294" s="5">
        <v>45765</v>
      </c>
      <c r="D294" s="16" t="s">
        <v>48</v>
      </c>
      <c r="E294" s="17" t="s">
        <v>42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16" t="s">
        <v>19</v>
      </c>
      <c r="M294" s="16" t="s">
        <v>37</v>
      </c>
      <c r="N294" s="16" t="s">
        <v>49</v>
      </c>
      <c r="O294" s="16" t="b">
        <f t="shared" si="4"/>
        <v>1</v>
      </c>
    </row>
    <row r="295" spans="1:15">
      <c r="A295" s="1" t="s">
        <v>324</v>
      </c>
      <c r="B295" s="1" t="s">
        <v>13</v>
      </c>
      <c r="C295" s="5">
        <v>45653</v>
      </c>
      <c r="D295" s="16" t="s">
        <v>14</v>
      </c>
      <c r="E295" s="17" t="s">
        <v>365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16" t="s">
        <v>19</v>
      </c>
      <c r="M295" s="16"/>
      <c r="N295" s="16" t="s">
        <v>20</v>
      </c>
      <c r="O295" s="16" t="b">
        <f t="shared" si="4"/>
        <v>1</v>
      </c>
    </row>
    <row r="296" spans="1:15">
      <c r="A296" s="1" t="s">
        <v>325</v>
      </c>
      <c r="B296" s="1" t="s">
        <v>13</v>
      </c>
      <c r="C296" s="5">
        <v>45724</v>
      </c>
      <c r="D296" s="16" t="s">
        <v>23</v>
      </c>
      <c r="E296" s="17" t="s">
        <v>33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16" t="s">
        <v>34</v>
      </c>
      <c r="M296" s="16"/>
      <c r="N296" s="16" t="s">
        <v>46</v>
      </c>
      <c r="O296" s="16" t="b">
        <f t="shared" si="4"/>
        <v>1</v>
      </c>
    </row>
    <row r="297" spans="1:15">
      <c r="A297" s="1" t="s">
        <v>326</v>
      </c>
      <c r="B297" s="1" t="s">
        <v>22</v>
      </c>
      <c r="C297" s="5">
        <v>45736</v>
      </c>
      <c r="D297" s="16" t="s">
        <v>23</v>
      </c>
      <c r="E297" s="17" t="s">
        <v>42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16" t="s">
        <v>366</v>
      </c>
      <c r="M297" s="16" t="s">
        <v>34</v>
      </c>
      <c r="N297" s="16" t="s">
        <v>16</v>
      </c>
      <c r="O297" s="16" t="b">
        <f t="shared" si="4"/>
        <v>1</v>
      </c>
    </row>
    <row r="298" spans="1:15">
      <c r="A298" s="1" t="s">
        <v>327</v>
      </c>
      <c r="B298" s="1" t="s">
        <v>22</v>
      </c>
      <c r="C298" s="5">
        <v>45612</v>
      </c>
      <c r="D298" s="16" t="s">
        <v>14</v>
      </c>
      <c r="E298" s="17" t="s">
        <v>18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16" t="s">
        <v>37</v>
      </c>
      <c r="M298" s="16"/>
      <c r="N298" s="16" t="s">
        <v>20</v>
      </c>
      <c r="O298" s="16" t="b">
        <f t="shared" si="4"/>
        <v>1</v>
      </c>
    </row>
    <row r="299" spans="1:15">
      <c r="A299" s="1" t="s">
        <v>328</v>
      </c>
      <c r="B299" s="1" t="s">
        <v>22</v>
      </c>
      <c r="C299" s="5">
        <v>45838</v>
      </c>
      <c r="D299" s="16" t="s">
        <v>14</v>
      </c>
      <c r="E299" s="17" t="s">
        <v>364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16" t="s">
        <v>34</v>
      </c>
      <c r="M299" s="16"/>
      <c r="N299" s="16" t="s">
        <v>16</v>
      </c>
      <c r="O299" s="16" t="b">
        <f t="shared" si="4"/>
        <v>1</v>
      </c>
    </row>
    <row r="300" spans="1:15">
      <c r="A300" s="1" t="s">
        <v>329</v>
      </c>
      <c r="B300" s="1" t="s">
        <v>22</v>
      </c>
      <c r="C300" s="5">
        <v>45303</v>
      </c>
      <c r="D300" s="16" t="s">
        <v>23</v>
      </c>
      <c r="E300" s="17" t="s">
        <v>362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16" t="s">
        <v>19</v>
      </c>
      <c r="M300" s="16" t="s">
        <v>366</v>
      </c>
      <c r="N300" s="16" t="s">
        <v>16</v>
      </c>
      <c r="O300" s="16" t="b">
        <f t="shared" si="4"/>
        <v>1</v>
      </c>
    </row>
    <row r="301" spans="1:15">
      <c r="A301" s="1" t="s">
        <v>330</v>
      </c>
      <c r="B301" s="1" t="s">
        <v>13</v>
      </c>
      <c r="C301" s="5">
        <v>45329</v>
      </c>
      <c r="D301" s="16" t="s">
        <v>14</v>
      </c>
      <c r="E301" s="17" t="s">
        <v>363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16" t="s">
        <v>37</v>
      </c>
      <c r="M301" s="16" t="s">
        <v>34</v>
      </c>
      <c r="N301" s="16" t="s">
        <v>16</v>
      </c>
      <c r="O301" s="16" t="b">
        <f t="shared" si="4"/>
        <v>1</v>
      </c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E1" workbookViewId="0">
      <selection activeCell="N13" sqref="N13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bestFit="1" customWidth="1"/>
    <col min="5" max="5" width="22" style="10" bestFit="1" customWidth="1"/>
    <col min="6" max="6" width="24.42578125" style="8" bestFit="1" customWidth="1"/>
    <col min="7" max="7" width="15.85546875" style="10" bestFit="1" customWidth="1"/>
    <col min="8" max="8" width="17.42578125" style="2" bestFit="1" customWidth="1"/>
    <col min="9" max="9" width="8.7109375" style="2" customWidth="1"/>
    <col min="10" max="10" width="11.85546875" style="2" customWidth="1"/>
    <col min="11" max="26" width="8.7109375" style="2" customWidth="1"/>
    <col min="27" max="16384" width="14.42578125" style="2"/>
  </cols>
  <sheetData>
    <row r="1" spans="1:10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  <c r="H1" s="9" t="s">
        <v>376</v>
      </c>
    </row>
    <row r="2" spans="1:10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H2" s="9" t="b">
        <f>ISNUMBER(Table2[[#This Row],[Week_Start_Date]])</f>
        <v>1</v>
      </c>
      <c r="I2" s="26"/>
      <c r="J2" s="26"/>
    </row>
    <row r="3" spans="1:10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H3" s="9" t="b">
        <f>ISNUMBER(Table2[[#This Row],[Week_Start_Date]])</f>
        <v>1</v>
      </c>
      <c r="I3" s="26"/>
      <c r="J3" s="26"/>
    </row>
    <row r="4" spans="1:10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H4" s="9" t="b">
        <f>ISNUMBER(Table2[[#This Row],[Week_Start_Date]])</f>
        <v>1</v>
      </c>
      <c r="I4" s="26"/>
      <c r="J4" s="26"/>
    </row>
    <row r="5" spans="1:10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  <c r="H5" s="9" t="b">
        <f>ISNUMBER(Table2[[#This Row],[Week_Start_Date]])</f>
        <v>1</v>
      </c>
    </row>
    <row r="6" spans="1:10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  <c r="H6" s="9" t="b">
        <f>ISNUMBER(Table2[[#This Row],[Week_Start_Date]])</f>
        <v>1</v>
      </c>
    </row>
    <row r="7" spans="1:10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  <c r="H7" s="9" t="b">
        <f>ISNUMBER(Table2[[#This Row],[Week_Start_Date]])</f>
        <v>1</v>
      </c>
    </row>
    <row r="8" spans="1:10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  <c r="H8" s="9" t="b">
        <f>ISNUMBER(Table2[[#This Row],[Week_Start_Date]])</f>
        <v>1</v>
      </c>
    </row>
    <row r="9" spans="1:10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  <c r="H9" s="9" t="b">
        <f>ISNUMBER(Table2[[#This Row],[Week_Start_Date]])</f>
        <v>1</v>
      </c>
    </row>
    <row r="10" spans="1:10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  <c r="H10" s="9" t="b">
        <f>ISNUMBER(Table2[[#This Row],[Week_Start_Date]])</f>
        <v>1</v>
      </c>
    </row>
    <row r="11" spans="1:10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  <c r="H11" s="9" t="b">
        <f>ISNUMBER(Table2[[#This Row],[Week_Start_Date]])</f>
        <v>1</v>
      </c>
    </row>
    <row r="12" spans="1:10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  <c r="H12" s="9" t="b">
        <f>ISNUMBER(Table2[[#This Row],[Week_Start_Date]])</f>
        <v>1</v>
      </c>
    </row>
    <row r="13" spans="1:10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  <c r="H13" s="9" t="b">
        <f>ISNUMBER(Table2[[#This Row],[Week_Start_Date]])</f>
        <v>1</v>
      </c>
    </row>
    <row r="14" spans="1:10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  <c r="H14" s="9" t="b">
        <f>ISNUMBER(Table2[[#This Row],[Week_Start_Date]])</f>
        <v>1</v>
      </c>
    </row>
    <row r="15" spans="1:10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  <c r="H15" s="9" t="b">
        <f>ISNUMBER(Table2[[#This Row],[Week_Start_Date]])</f>
        <v>1</v>
      </c>
    </row>
    <row r="16" spans="1:10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  <c r="H16" s="9" t="b">
        <f>ISNUMBER(Table2[[#This Row],[Week_Start_Date]])</f>
        <v>1</v>
      </c>
    </row>
    <row r="17" spans="1:8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  <c r="H17" s="9" t="b">
        <f>ISNUMBER(Table2[[#This Row],[Week_Start_Date]])</f>
        <v>1</v>
      </c>
    </row>
    <row r="18" spans="1:8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  <c r="H18" s="9" t="b">
        <f>ISNUMBER(Table2[[#This Row],[Week_Start_Date]])</f>
        <v>1</v>
      </c>
    </row>
    <row r="19" spans="1:8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  <c r="H19" s="9" t="b">
        <f>ISNUMBER(Table2[[#This Row],[Week_Start_Date]])</f>
        <v>1</v>
      </c>
    </row>
    <row r="20" spans="1:8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H20" s="9" t="b">
        <f>ISNUMBER(Table2[[#This Row],[Week_Start_Date]])</f>
        <v>1</v>
      </c>
    </row>
    <row r="21" spans="1:8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  <c r="H21" s="9" t="b">
        <f>ISNUMBER(Table2[[#This Row],[Week_Start_Date]])</f>
        <v>1</v>
      </c>
    </row>
    <row r="22" spans="1:8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  <c r="H22" s="9" t="b">
        <f>ISNUMBER(Table2[[#This Row],[Week_Start_Date]])</f>
        <v>1</v>
      </c>
    </row>
    <row r="23" spans="1:8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  <c r="H23" s="9" t="b">
        <f>ISNUMBER(Table2[[#This Row],[Week_Start_Date]])</f>
        <v>1</v>
      </c>
    </row>
    <row r="24" spans="1:8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  <c r="H24" s="9" t="b">
        <f>ISNUMBER(Table2[[#This Row],[Week_Start_Date]])</f>
        <v>1</v>
      </c>
    </row>
    <row r="25" spans="1:8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  <c r="H25" s="9" t="b">
        <f>ISNUMBER(Table2[[#This Row],[Week_Start_Date]])</f>
        <v>1</v>
      </c>
    </row>
    <row r="26" spans="1:8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  <c r="H26" s="9" t="b">
        <f>ISNUMBER(Table2[[#This Row],[Week_Start_Date]])</f>
        <v>1</v>
      </c>
    </row>
    <row r="27" spans="1:8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  <c r="H27" s="9" t="b">
        <f>ISNUMBER(Table2[[#This Row],[Week_Start_Date]])</f>
        <v>1</v>
      </c>
    </row>
    <row r="28" spans="1:8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  <c r="H28" s="9" t="b">
        <f>ISNUMBER(Table2[[#This Row],[Week_Start_Date]])</f>
        <v>1</v>
      </c>
    </row>
    <row r="29" spans="1:8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  <c r="H29" s="9" t="b">
        <f>ISNUMBER(Table2[[#This Row],[Week_Start_Date]])</f>
        <v>1</v>
      </c>
    </row>
    <row r="30" spans="1:8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  <c r="H30" s="9" t="b">
        <f>ISNUMBER(Table2[[#This Row],[Week_Start_Date]])</f>
        <v>1</v>
      </c>
    </row>
    <row r="31" spans="1:8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  <c r="H31" s="9" t="b">
        <f>ISNUMBER(Table2[[#This Row],[Week_Start_Date]])</f>
        <v>1</v>
      </c>
    </row>
    <row r="32" spans="1:8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  <c r="H32" s="9" t="b">
        <f>ISNUMBER(Table2[[#This Row],[Week_Start_Date]])</f>
        <v>1</v>
      </c>
    </row>
    <row r="33" spans="1:8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  <c r="H33" s="9" t="b">
        <f>ISNUMBER(Table2[[#This Row],[Week_Start_Date]])</f>
        <v>1</v>
      </c>
    </row>
    <row r="34" spans="1:8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  <c r="H34" s="9" t="b">
        <f>ISNUMBER(Table2[[#This Row],[Week_Start_Date]])</f>
        <v>1</v>
      </c>
    </row>
    <row r="35" spans="1:8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  <c r="H35" s="9" t="b">
        <f>ISNUMBER(Table2[[#This Row],[Week_Start_Date]])</f>
        <v>1</v>
      </c>
    </row>
    <row r="36" spans="1:8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  <c r="H36" s="9" t="b">
        <f>ISNUMBER(Table2[[#This Row],[Week_Start_Date]])</f>
        <v>1</v>
      </c>
    </row>
    <row r="37" spans="1:8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  <c r="H37" s="9" t="b">
        <f>ISNUMBER(Table2[[#This Row],[Week_Start_Date]])</f>
        <v>1</v>
      </c>
    </row>
    <row r="38" spans="1:8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  <c r="H38" s="9" t="b">
        <f>ISNUMBER(Table2[[#This Row],[Week_Start_Date]])</f>
        <v>1</v>
      </c>
    </row>
    <row r="39" spans="1:8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  <c r="H39" s="9" t="b">
        <f>ISNUMBER(Table2[[#This Row],[Week_Start_Date]])</f>
        <v>1</v>
      </c>
    </row>
    <row r="40" spans="1:8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  <c r="H40" s="9" t="b">
        <f>ISNUMBER(Table2[[#This Row],[Week_Start_Date]])</f>
        <v>1</v>
      </c>
    </row>
    <row r="41" spans="1:8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  <c r="H41" s="9" t="b">
        <f>ISNUMBER(Table2[[#This Row],[Week_Start_Date]])</f>
        <v>1</v>
      </c>
    </row>
    <row r="42" spans="1:8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  <c r="H42" s="9" t="b">
        <f>ISNUMBER(Table2[[#This Row],[Week_Start_Date]])</f>
        <v>1</v>
      </c>
    </row>
    <row r="43" spans="1:8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  <c r="H43" s="9" t="b">
        <f>ISNUMBER(Table2[[#This Row],[Week_Start_Date]])</f>
        <v>1</v>
      </c>
    </row>
    <row r="44" spans="1:8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  <c r="H44" s="9" t="b">
        <f>ISNUMBER(Table2[[#This Row],[Week_Start_Date]])</f>
        <v>1</v>
      </c>
    </row>
    <row r="45" spans="1:8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  <c r="H45" s="9" t="b">
        <f>ISNUMBER(Table2[[#This Row],[Week_Start_Date]])</f>
        <v>1</v>
      </c>
    </row>
    <row r="46" spans="1:8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  <c r="H46" s="9" t="b">
        <f>ISNUMBER(Table2[[#This Row],[Week_Start_Date]])</f>
        <v>1</v>
      </c>
    </row>
    <row r="47" spans="1:8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  <c r="H47" s="9" t="b">
        <f>ISNUMBER(Table2[[#This Row],[Week_Start_Date]])</f>
        <v>1</v>
      </c>
    </row>
    <row r="48" spans="1:8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  <c r="H48" s="9" t="b">
        <f>ISNUMBER(Table2[[#This Row],[Week_Start_Date]])</f>
        <v>1</v>
      </c>
    </row>
    <row r="49" spans="1:8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  <c r="H49" s="9" t="b">
        <f>ISNUMBER(Table2[[#This Row],[Week_Start_Date]])</f>
        <v>1</v>
      </c>
    </row>
    <row r="50" spans="1:8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  <c r="H50" s="9" t="b">
        <f>ISNUMBER(Table2[[#This Row],[Week_Start_Date]])</f>
        <v>1</v>
      </c>
    </row>
    <row r="51" spans="1:8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  <c r="H51" s="9" t="b">
        <f>ISNUMBER(Table2[[#This Row],[Week_Start_Date]])</f>
        <v>1</v>
      </c>
    </row>
    <row r="52" spans="1:8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  <c r="H52" s="9" t="b">
        <f>ISNUMBER(Table2[[#This Row],[Week_Start_Date]])</f>
        <v>1</v>
      </c>
    </row>
    <row r="53" spans="1:8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  <c r="H53" s="9" t="b">
        <f>ISNUMBER(Table2[[#This Row],[Week_Start_Date]])</f>
        <v>1</v>
      </c>
    </row>
    <row r="54" spans="1:8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  <c r="H54" s="9" t="b">
        <f>ISNUMBER(Table2[[#This Row],[Week_Start_Date]])</f>
        <v>1</v>
      </c>
    </row>
    <row r="55" spans="1:8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  <c r="H55" s="9" t="b">
        <f>ISNUMBER(Table2[[#This Row],[Week_Start_Date]])</f>
        <v>1</v>
      </c>
    </row>
    <row r="56" spans="1:8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  <c r="H56" s="9" t="b">
        <f>ISNUMBER(Table2[[#This Row],[Week_Start_Date]])</f>
        <v>1</v>
      </c>
    </row>
    <row r="57" spans="1:8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  <c r="H57" s="9" t="b">
        <f>ISNUMBER(Table2[[#This Row],[Week_Start_Date]])</f>
        <v>1</v>
      </c>
    </row>
    <row r="58" spans="1:8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  <c r="H58" s="9" t="b">
        <f>ISNUMBER(Table2[[#This Row],[Week_Start_Date]])</f>
        <v>1</v>
      </c>
    </row>
    <row r="59" spans="1:8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  <c r="H59" s="9" t="b">
        <f>ISNUMBER(Table2[[#This Row],[Week_Start_Date]])</f>
        <v>1</v>
      </c>
    </row>
    <row r="60" spans="1:8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  <c r="H60" s="9" t="b">
        <f>ISNUMBER(Table2[[#This Row],[Week_Start_Date]])</f>
        <v>1</v>
      </c>
    </row>
    <row r="61" spans="1:8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  <c r="H61" s="9" t="b">
        <f>ISNUMBER(Table2[[#This Row],[Week_Start_Date]])</f>
        <v>1</v>
      </c>
    </row>
    <row r="62" spans="1:8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  <c r="H62" s="9" t="b">
        <f>ISNUMBER(Table2[[#This Row],[Week_Start_Date]])</f>
        <v>1</v>
      </c>
    </row>
    <row r="63" spans="1:8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  <c r="H63" s="9" t="b">
        <f>ISNUMBER(Table2[[#This Row],[Week_Start_Date]])</f>
        <v>1</v>
      </c>
    </row>
    <row r="64" spans="1:8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  <c r="H64" s="9" t="b">
        <f>ISNUMBER(Table2[[#This Row],[Week_Start_Date]])</f>
        <v>1</v>
      </c>
    </row>
    <row r="65" spans="1:8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  <c r="H65" s="9" t="b">
        <f>ISNUMBER(Table2[[#This Row],[Week_Start_Date]])</f>
        <v>1</v>
      </c>
    </row>
    <row r="66" spans="1:8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  <c r="H66" s="9" t="b">
        <f>ISNUMBER(Table2[[#This Row],[Week_Start_Date]])</f>
        <v>1</v>
      </c>
    </row>
    <row r="67" spans="1:8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  <c r="H67" s="9" t="b">
        <f>ISNUMBER(Table2[[#This Row],[Week_Start_Date]])</f>
        <v>1</v>
      </c>
    </row>
    <row r="68" spans="1:8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  <c r="H68" s="9" t="b">
        <f>ISNUMBER(Table2[[#This Row],[Week_Start_Date]])</f>
        <v>1</v>
      </c>
    </row>
    <row r="69" spans="1:8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  <c r="H69" s="9" t="b">
        <f>ISNUMBER(Table2[[#This Row],[Week_Start_Date]])</f>
        <v>1</v>
      </c>
    </row>
    <row r="70" spans="1:8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  <c r="H70" s="9" t="b">
        <f>ISNUMBER(Table2[[#This Row],[Week_Start_Date]])</f>
        <v>1</v>
      </c>
    </row>
    <row r="71" spans="1:8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  <c r="H71" s="9" t="b">
        <f>ISNUMBER(Table2[[#This Row],[Week_Start_Date]])</f>
        <v>1</v>
      </c>
    </row>
    <row r="72" spans="1:8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  <c r="H72" s="9" t="b">
        <f>ISNUMBER(Table2[[#This Row],[Week_Start_Date]])</f>
        <v>1</v>
      </c>
    </row>
    <row r="73" spans="1:8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  <c r="H73" s="9" t="b">
        <f>ISNUMBER(Table2[[#This Row],[Week_Start_Date]])</f>
        <v>1</v>
      </c>
    </row>
    <row r="74" spans="1:8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  <c r="H74" s="9" t="b">
        <f>ISNUMBER(Table2[[#This Row],[Week_Start_Date]])</f>
        <v>1</v>
      </c>
    </row>
    <row r="75" spans="1:8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  <c r="H75" s="9" t="b">
        <f>ISNUMBER(Table2[[#This Row],[Week_Start_Date]])</f>
        <v>1</v>
      </c>
    </row>
    <row r="76" spans="1:8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  <c r="H76" s="9" t="b">
        <f>ISNUMBER(Table2[[#This Row],[Week_Start_Date]])</f>
        <v>1</v>
      </c>
    </row>
    <row r="77" spans="1:8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  <c r="H77" s="9" t="b">
        <f>ISNUMBER(Table2[[#This Row],[Week_Start_Date]])</f>
        <v>1</v>
      </c>
    </row>
    <row r="78" spans="1:8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  <c r="H78" s="9" t="b">
        <f>ISNUMBER(Table2[[#This Row],[Week_Start_Date]])</f>
        <v>1</v>
      </c>
    </row>
    <row r="79" spans="1:8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  <c r="H79" s="9" t="b">
        <f>ISNUMBER(Table2[[#This Row],[Week_Start_Date]])</f>
        <v>1</v>
      </c>
    </row>
    <row r="80" spans="1:8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  <c r="H80" s="9" t="b">
        <f>ISNUMBER(Table2[[#This Row],[Week_Start_Date]])</f>
        <v>1</v>
      </c>
    </row>
    <row r="81" spans="1:8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  <c r="H81" s="9" t="b">
        <f>ISNUMBER(Table2[[#This Row],[Week_Start_Date]])</f>
        <v>1</v>
      </c>
    </row>
    <row r="82" spans="1:8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  <c r="H82" s="9" t="b">
        <f>ISNUMBER(Table2[[#This Row],[Week_Start_Date]])</f>
        <v>1</v>
      </c>
    </row>
    <row r="83" spans="1:8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  <c r="H83" s="9" t="b">
        <f>ISNUMBER(Table2[[#This Row],[Week_Start_Date]])</f>
        <v>1</v>
      </c>
    </row>
    <row r="84" spans="1:8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  <c r="H84" s="9" t="b">
        <f>ISNUMBER(Table2[[#This Row],[Week_Start_Date]])</f>
        <v>1</v>
      </c>
    </row>
    <row r="85" spans="1:8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  <c r="H85" s="9" t="b">
        <f>ISNUMBER(Table2[[#This Row],[Week_Start_Date]])</f>
        <v>1</v>
      </c>
    </row>
    <row r="86" spans="1:8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  <c r="H86" s="9" t="b">
        <f>ISNUMBER(Table2[[#This Row],[Week_Start_Date]])</f>
        <v>1</v>
      </c>
    </row>
    <row r="87" spans="1:8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  <c r="H87" s="9" t="b">
        <f>ISNUMBER(Table2[[#This Row],[Week_Start_Date]])</f>
        <v>1</v>
      </c>
    </row>
    <row r="88" spans="1:8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  <c r="H88" s="9" t="b">
        <f>ISNUMBER(Table2[[#This Row],[Week_Start_Date]])</f>
        <v>1</v>
      </c>
    </row>
    <row r="89" spans="1:8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  <c r="H89" s="9" t="b">
        <f>ISNUMBER(Table2[[#This Row],[Week_Start_Date]])</f>
        <v>1</v>
      </c>
    </row>
    <row r="90" spans="1:8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  <c r="H90" s="9" t="b">
        <f>ISNUMBER(Table2[[#This Row],[Week_Start_Date]])</f>
        <v>1</v>
      </c>
    </row>
    <row r="91" spans="1:8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  <c r="H91" s="9" t="b">
        <f>ISNUMBER(Table2[[#This Row],[Week_Start_Date]])</f>
        <v>1</v>
      </c>
    </row>
    <row r="92" spans="1:8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  <c r="H92" s="9" t="b">
        <f>ISNUMBER(Table2[[#This Row],[Week_Start_Date]])</f>
        <v>1</v>
      </c>
    </row>
    <row r="93" spans="1:8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  <c r="H93" s="9" t="b">
        <f>ISNUMBER(Table2[[#This Row],[Week_Start_Date]])</f>
        <v>1</v>
      </c>
    </row>
    <row r="94" spans="1:8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  <c r="H94" s="9" t="b">
        <f>ISNUMBER(Table2[[#This Row],[Week_Start_Date]])</f>
        <v>1</v>
      </c>
    </row>
    <row r="95" spans="1:8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  <c r="H95" s="9" t="b">
        <f>ISNUMBER(Table2[[#This Row],[Week_Start_Date]])</f>
        <v>1</v>
      </c>
    </row>
    <row r="96" spans="1:8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  <c r="H96" s="9" t="b">
        <f>ISNUMBER(Table2[[#This Row],[Week_Start_Date]])</f>
        <v>1</v>
      </c>
    </row>
    <row r="97" spans="1:8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  <c r="H97" s="9" t="b">
        <f>ISNUMBER(Table2[[#This Row],[Week_Start_Date]])</f>
        <v>1</v>
      </c>
    </row>
    <row r="98" spans="1:8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  <c r="H98" s="9" t="b">
        <f>ISNUMBER(Table2[[#This Row],[Week_Start_Date]])</f>
        <v>1</v>
      </c>
    </row>
    <row r="99" spans="1:8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  <c r="H99" s="9" t="b">
        <f>ISNUMBER(Table2[[#This Row],[Week_Start_Date]])</f>
        <v>1</v>
      </c>
    </row>
    <row r="100" spans="1:8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  <c r="H100" s="9" t="b">
        <f>ISNUMBER(Table2[[#This Row],[Week_Start_Date]])</f>
        <v>1</v>
      </c>
    </row>
    <row r="101" spans="1:8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  <c r="H101" s="9" t="b">
        <f>ISNUMBER(Table2[[#This Row],[Week_Start_Date]])</f>
        <v>1</v>
      </c>
    </row>
    <row r="102" spans="1:8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  <c r="H102" s="9" t="b">
        <f>ISNUMBER(Table2[[#This Row],[Week_Start_Date]])</f>
        <v>1</v>
      </c>
    </row>
    <row r="103" spans="1:8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  <c r="H103" s="9" t="b">
        <f>ISNUMBER(Table2[[#This Row],[Week_Start_Date]])</f>
        <v>1</v>
      </c>
    </row>
    <row r="104" spans="1:8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  <c r="H104" s="9" t="b">
        <f>ISNUMBER(Table2[[#This Row],[Week_Start_Date]])</f>
        <v>1</v>
      </c>
    </row>
    <row r="105" spans="1:8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  <c r="H105" s="9" t="b">
        <f>ISNUMBER(Table2[[#This Row],[Week_Start_Date]])</f>
        <v>1</v>
      </c>
    </row>
    <row r="106" spans="1:8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  <c r="H106" s="9" t="b">
        <f>ISNUMBER(Table2[[#This Row],[Week_Start_Date]])</f>
        <v>1</v>
      </c>
    </row>
    <row r="107" spans="1:8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  <c r="H107" s="9" t="b">
        <f>ISNUMBER(Table2[[#This Row],[Week_Start_Date]])</f>
        <v>1</v>
      </c>
    </row>
    <row r="108" spans="1:8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  <c r="H108" s="9" t="b">
        <f>ISNUMBER(Table2[[#This Row],[Week_Start_Date]])</f>
        <v>1</v>
      </c>
    </row>
    <row r="109" spans="1:8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  <c r="H109" s="9" t="b">
        <f>ISNUMBER(Table2[[#This Row],[Week_Start_Date]])</f>
        <v>1</v>
      </c>
    </row>
    <row r="110" spans="1:8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  <c r="H110" s="9" t="b">
        <f>ISNUMBER(Table2[[#This Row],[Week_Start_Date]])</f>
        <v>1</v>
      </c>
    </row>
    <row r="111" spans="1:8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  <c r="H111" s="9" t="b">
        <f>ISNUMBER(Table2[[#This Row],[Week_Start_Date]])</f>
        <v>1</v>
      </c>
    </row>
    <row r="112" spans="1:8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  <c r="H112" s="9" t="b">
        <f>ISNUMBER(Table2[[#This Row],[Week_Start_Date]])</f>
        <v>1</v>
      </c>
    </row>
    <row r="113" spans="1:8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  <c r="H113" s="9" t="b">
        <f>ISNUMBER(Table2[[#This Row],[Week_Start_Date]])</f>
        <v>1</v>
      </c>
    </row>
    <row r="114" spans="1:8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  <c r="H114" s="9" t="b">
        <f>ISNUMBER(Table2[[#This Row],[Week_Start_Date]])</f>
        <v>1</v>
      </c>
    </row>
    <row r="115" spans="1:8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  <c r="H115" s="9" t="b">
        <f>ISNUMBER(Table2[[#This Row],[Week_Start_Date]])</f>
        <v>1</v>
      </c>
    </row>
    <row r="116" spans="1:8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  <c r="H116" s="9" t="b">
        <f>ISNUMBER(Table2[[#This Row],[Week_Start_Date]])</f>
        <v>1</v>
      </c>
    </row>
    <row r="117" spans="1:8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  <c r="H117" s="9" t="b">
        <f>ISNUMBER(Table2[[#This Row],[Week_Start_Date]])</f>
        <v>1</v>
      </c>
    </row>
    <row r="118" spans="1:8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  <c r="H118" s="9" t="b">
        <f>ISNUMBER(Table2[[#This Row],[Week_Start_Date]])</f>
        <v>1</v>
      </c>
    </row>
    <row r="119" spans="1:8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  <c r="H119" s="9" t="b">
        <f>ISNUMBER(Table2[[#This Row],[Week_Start_Date]])</f>
        <v>1</v>
      </c>
    </row>
    <row r="120" spans="1:8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  <c r="H120" s="9" t="b">
        <f>ISNUMBER(Table2[[#This Row],[Week_Start_Date]])</f>
        <v>1</v>
      </c>
    </row>
    <row r="121" spans="1:8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  <c r="H121" s="9" t="b">
        <f>ISNUMBER(Table2[[#This Row],[Week_Start_Date]])</f>
        <v>1</v>
      </c>
    </row>
    <row r="122" spans="1:8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  <c r="H122" s="9" t="b">
        <f>ISNUMBER(Table2[[#This Row],[Week_Start_Date]])</f>
        <v>1</v>
      </c>
    </row>
    <row r="123" spans="1:8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  <c r="H123" s="9" t="b">
        <f>ISNUMBER(Table2[[#This Row],[Week_Start_Date]])</f>
        <v>1</v>
      </c>
    </row>
    <row r="124" spans="1:8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  <c r="H124" s="9" t="b">
        <f>ISNUMBER(Table2[[#This Row],[Week_Start_Date]])</f>
        <v>1</v>
      </c>
    </row>
    <row r="125" spans="1:8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  <c r="H125" s="9" t="b">
        <f>ISNUMBER(Table2[[#This Row],[Week_Start_Date]])</f>
        <v>1</v>
      </c>
    </row>
    <row r="126" spans="1:8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  <c r="H126" s="9" t="b">
        <f>ISNUMBER(Table2[[#This Row],[Week_Start_Date]])</f>
        <v>1</v>
      </c>
    </row>
    <row r="127" spans="1:8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  <c r="H127" s="9" t="b">
        <f>ISNUMBER(Table2[[#This Row],[Week_Start_Date]])</f>
        <v>1</v>
      </c>
    </row>
    <row r="128" spans="1:8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  <c r="H128" s="9" t="b">
        <f>ISNUMBER(Table2[[#This Row],[Week_Start_Date]])</f>
        <v>1</v>
      </c>
    </row>
    <row r="129" spans="1:8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  <c r="H129" s="9" t="b">
        <f>ISNUMBER(Table2[[#This Row],[Week_Start_Date]])</f>
        <v>1</v>
      </c>
    </row>
    <row r="130" spans="1:8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  <c r="H130" s="9" t="b">
        <f>ISNUMBER(Table2[[#This Row],[Week_Start_Date]])</f>
        <v>1</v>
      </c>
    </row>
    <row r="131" spans="1:8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  <c r="H131" s="9" t="b">
        <f>ISNUMBER(Table2[[#This Row],[Week_Start_Date]])</f>
        <v>1</v>
      </c>
    </row>
    <row r="132" spans="1:8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  <c r="H132" s="9" t="b">
        <f>ISNUMBER(Table2[[#This Row],[Week_Start_Date]])</f>
        <v>1</v>
      </c>
    </row>
    <row r="133" spans="1:8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  <c r="H133" s="9" t="b">
        <f>ISNUMBER(Table2[[#This Row],[Week_Start_Date]])</f>
        <v>1</v>
      </c>
    </row>
    <row r="134" spans="1:8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  <c r="H134" s="9" t="b">
        <f>ISNUMBER(Table2[[#This Row],[Week_Start_Date]])</f>
        <v>1</v>
      </c>
    </row>
    <row r="135" spans="1:8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  <c r="H135" s="9" t="b">
        <f>ISNUMBER(Table2[[#This Row],[Week_Start_Date]])</f>
        <v>1</v>
      </c>
    </row>
    <row r="136" spans="1:8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  <c r="H136" s="9" t="b">
        <f>ISNUMBER(Table2[[#This Row],[Week_Start_Date]])</f>
        <v>1</v>
      </c>
    </row>
    <row r="137" spans="1:8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  <c r="H137" s="9" t="b">
        <f>ISNUMBER(Table2[[#This Row],[Week_Start_Date]])</f>
        <v>1</v>
      </c>
    </row>
    <row r="138" spans="1:8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  <c r="H138" s="9" t="b">
        <f>ISNUMBER(Table2[[#This Row],[Week_Start_Date]])</f>
        <v>1</v>
      </c>
    </row>
    <row r="139" spans="1:8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  <c r="H139" s="9" t="b">
        <f>ISNUMBER(Table2[[#This Row],[Week_Start_Date]])</f>
        <v>1</v>
      </c>
    </row>
    <row r="140" spans="1:8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  <c r="H140" s="9" t="b">
        <f>ISNUMBER(Table2[[#This Row],[Week_Start_Date]])</f>
        <v>1</v>
      </c>
    </row>
    <row r="141" spans="1:8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  <c r="H141" s="9" t="b">
        <f>ISNUMBER(Table2[[#This Row],[Week_Start_Date]])</f>
        <v>1</v>
      </c>
    </row>
    <row r="142" spans="1:8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  <c r="H142" s="9" t="b">
        <f>ISNUMBER(Table2[[#This Row],[Week_Start_Date]])</f>
        <v>1</v>
      </c>
    </row>
    <row r="143" spans="1:8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  <c r="H143" s="9" t="b">
        <f>ISNUMBER(Table2[[#This Row],[Week_Start_Date]])</f>
        <v>1</v>
      </c>
    </row>
    <row r="144" spans="1:8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  <c r="H144" s="9" t="b">
        <f>ISNUMBER(Table2[[#This Row],[Week_Start_Date]])</f>
        <v>1</v>
      </c>
    </row>
    <row r="145" spans="1:8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  <c r="H145" s="9" t="b">
        <f>ISNUMBER(Table2[[#This Row],[Week_Start_Date]])</f>
        <v>1</v>
      </c>
    </row>
    <row r="146" spans="1:8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  <c r="H146" s="9" t="b">
        <f>ISNUMBER(Table2[[#This Row],[Week_Start_Date]])</f>
        <v>1</v>
      </c>
    </row>
    <row r="147" spans="1:8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  <c r="H147" s="9" t="b">
        <f>ISNUMBER(Table2[[#This Row],[Week_Start_Date]])</f>
        <v>1</v>
      </c>
    </row>
    <row r="148" spans="1:8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  <c r="H148" s="9" t="b">
        <f>ISNUMBER(Table2[[#This Row],[Week_Start_Date]])</f>
        <v>1</v>
      </c>
    </row>
    <row r="149" spans="1:8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  <c r="H149" s="9" t="b">
        <f>ISNUMBER(Table2[[#This Row],[Week_Start_Date]])</f>
        <v>1</v>
      </c>
    </row>
    <row r="150" spans="1:8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  <c r="H150" s="9" t="b">
        <f>ISNUMBER(Table2[[#This Row],[Week_Start_Date]])</f>
        <v>1</v>
      </c>
    </row>
    <row r="151" spans="1:8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  <c r="H151" s="9" t="b">
        <f>ISNUMBER(Table2[[#This Row],[Week_Start_Date]])</f>
        <v>1</v>
      </c>
    </row>
    <row r="152" spans="1:8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  <c r="H152" s="9" t="b">
        <f>ISNUMBER(Table2[[#This Row],[Week_Start_Date]])</f>
        <v>1</v>
      </c>
    </row>
    <row r="153" spans="1:8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  <c r="H153" s="9" t="b">
        <f>ISNUMBER(Table2[[#This Row],[Week_Start_Date]])</f>
        <v>1</v>
      </c>
    </row>
    <row r="154" spans="1:8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  <c r="H154" s="9" t="b">
        <f>ISNUMBER(Table2[[#This Row],[Week_Start_Date]])</f>
        <v>1</v>
      </c>
    </row>
    <row r="155" spans="1:8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  <c r="H155" s="9" t="b">
        <f>ISNUMBER(Table2[[#This Row],[Week_Start_Date]])</f>
        <v>1</v>
      </c>
    </row>
    <row r="156" spans="1:8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  <c r="H156" s="9" t="b">
        <f>ISNUMBER(Table2[[#This Row],[Week_Start_Date]])</f>
        <v>1</v>
      </c>
    </row>
    <row r="157" spans="1:8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  <c r="H157" s="9" t="b">
        <f>ISNUMBER(Table2[[#This Row],[Week_Start_Date]])</f>
        <v>1</v>
      </c>
    </row>
    <row r="158" spans="1:8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  <c r="H158" s="9" t="b">
        <f>ISNUMBER(Table2[[#This Row],[Week_Start_Date]])</f>
        <v>1</v>
      </c>
    </row>
    <row r="159" spans="1:8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  <c r="H159" s="9" t="b">
        <f>ISNUMBER(Table2[[#This Row],[Week_Start_Date]])</f>
        <v>1</v>
      </c>
    </row>
    <row r="160" spans="1:8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  <c r="H160" s="9" t="b">
        <f>ISNUMBER(Table2[[#This Row],[Week_Start_Date]])</f>
        <v>1</v>
      </c>
    </row>
    <row r="161" spans="1:8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  <c r="H161" s="9" t="b">
        <f>ISNUMBER(Table2[[#This Row],[Week_Start_Date]])</f>
        <v>1</v>
      </c>
    </row>
    <row r="162" spans="1:8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  <c r="H162" s="9" t="b">
        <f>ISNUMBER(Table2[[#This Row],[Week_Start_Date]])</f>
        <v>1</v>
      </c>
    </row>
    <row r="163" spans="1:8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  <c r="H163" s="9" t="b">
        <f>ISNUMBER(Table2[[#This Row],[Week_Start_Date]])</f>
        <v>1</v>
      </c>
    </row>
    <row r="164" spans="1:8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  <c r="H164" s="9" t="b">
        <f>ISNUMBER(Table2[[#This Row],[Week_Start_Date]])</f>
        <v>1</v>
      </c>
    </row>
    <row r="165" spans="1:8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  <c r="H165" s="9" t="b">
        <f>ISNUMBER(Table2[[#This Row],[Week_Start_Date]])</f>
        <v>1</v>
      </c>
    </row>
    <row r="166" spans="1:8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  <c r="H166" s="9" t="b">
        <f>ISNUMBER(Table2[[#This Row],[Week_Start_Date]])</f>
        <v>1</v>
      </c>
    </row>
    <row r="167" spans="1:8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  <c r="H167" s="9" t="b">
        <f>ISNUMBER(Table2[[#This Row],[Week_Start_Date]])</f>
        <v>1</v>
      </c>
    </row>
    <row r="168" spans="1:8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  <c r="H168" s="9" t="b">
        <f>ISNUMBER(Table2[[#This Row],[Week_Start_Date]])</f>
        <v>1</v>
      </c>
    </row>
    <row r="169" spans="1:8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  <c r="H169" s="9" t="b">
        <f>ISNUMBER(Table2[[#This Row],[Week_Start_Date]])</f>
        <v>1</v>
      </c>
    </row>
    <row r="170" spans="1:8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  <c r="H170" s="9" t="b">
        <f>ISNUMBER(Table2[[#This Row],[Week_Start_Date]])</f>
        <v>1</v>
      </c>
    </row>
    <row r="171" spans="1:8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  <c r="H171" s="9" t="b">
        <f>ISNUMBER(Table2[[#This Row],[Week_Start_Date]])</f>
        <v>1</v>
      </c>
    </row>
    <row r="172" spans="1:8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  <c r="H172" s="9" t="b">
        <f>ISNUMBER(Table2[[#This Row],[Week_Start_Date]])</f>
        <v>1</v>
      </c>
    </row>
    <row r="173" spans="1:8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  <c r="H173" s="9" t="b">
        <f>ISNUMBER(Table2[[#This Row],[Week_Start_Date]])</f>
        <v>1</v>
      </c>
    </row>
    <row r="174" spans="1:8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  <c r="H174" s="9" t="b">
        <f>ISNUMBER(Table2[[#This Row],[Week_Start_Date]])</f>
        <v>1</v>
      </c>
    </row>
    <row r="175" spans="1:8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  <c r="H175" s="9" t="b">
        <f>ISNUMBER(Table2[[#This Row],[Week_Start_Date]])</f>
        <v>1</v>
      </c>
    </row>
    <row r="176" spans="1:8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  <c r="H176" s="9" t="b">
        <f>ISNUMBER(Table2[[#This Row],[Week_Start_Date]])</f>
        <v>1</v>
      </c>
    </row>
    <row r="177" spans="1:8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  <c r="H177" s="9" t="b">
        <f>ISNUMBER(Table2[[#This Row],[Week_Start_Date]])</f>
        <v>1</v>
      </c>
    </row>
    <row r="178" spans="1:8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  <c r="H178" s="9" t="b">
        <f>ISNUMBER(Table2[[#This Row],[Week_Start_Date]])</f>
        <v>1</v>
      </c>
    </row>
    <row r="179" spans="1:8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  <c r="H179" s="9" t="b">
        <f>ISNUMBER(Table2[[#This Row],[Week_Start_Date]])</f>
        <v>1</v>
      </c>
    </row>
    <row r="180" spans="1:8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  <c r="H180" s="9" t="b">
        <f>ISNUMBER(Table2[[#This Row],[Week_Start_Date]])</f>
        <v>1</v>
      </c>
    </row>
    <row r="181" spans="1:8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  <c r="H181" s="9" t="b">
        <f>ISNUMBER(Table2[[#This Row],[Week_Start_Date]])</f>
        <v>1</v>
      </c>
    </row>
    <row r="182" spans="1:8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  <c r="H182" s="9" t="b">
        <f>ISNUMBER(Table2[[#This Row],[Week_Start_Date]])</f>
        <v>1</v>
      </c>
    </row>
    <row r="183" spans="1:8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  <c r="H183" s="9" t="b">
        <f>ISNUMBER(Table2[[#This Row],[Week_Start_Date]])</f>
        <v>1</v>
      </c>
    </row>
    <row r="184" spans="1:8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  <c r="H184" s="9" t="b">
        <f>ISNUMBER(Table2[[#This Row],[Week_Start_Date]])</f>
        <v>1</v>
      </c>
    </row>
    <row r="185" spans="1:8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  <c r="H185" s="9" t="b">
        <f>ISNUMBER(Table2[[#This Row],[Week_Start_Date]])</f>
        <v>1</v>
      </c>
    </row>
    <row r="186" spans="1:8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  <c r="H186" s="9" t="b">
        <f>ISNUMBER(Table2[[#This Row],[Week_Start_Date]])</f>
        <v>1</v>
      </c>
    </row>
    <row r="187" spans="1:8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  <c r="H187" s="9" t="b">
        <f>ISNUMBER(Table2[[#This Row],[Week_Start_Date]])</f>
        <v>1</v>
      </c>
    </row>
    <row r="188" spans="1:8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  <c r="H188" s="9" t="b">
        <f>ISNUMBER(Table2[[#This Row],[Week_Start_Date]])</f>
        <v>1</v>
      </c>
    </row>
    <row r="189" spans="1:8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  <c r="H189" s="9" t="b">
        <f>ISNUMBER(Table2[[#This Row],[Week_Start_Date]])</f>
        <v>1</v>
      </c>
    </row>
    <row r="190" spans="1:8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  <c r="H190" s="9" t="b">
        <f>ISNUMBER(Table2[[#This Row],[Week_Start_Date]])</f>
        <v>1</v>
      </c>
    </row>
    <row r="191" spans="1:8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  <c r="H191" s="9" t="b">
        <f>ISNUMBER(Table2[[#This Row],[Week_Start_Date]])</f>
        <v>1</v>
      </c>
    </row>
    <row r="192" spans="1:8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  <c r="H192" s="9" t="b">
        <f>ISNUMBER(Table2[[#This Row],[Week_Start_Date]])</f>
        <v>1</v>
      </c>
    </row>
    <row r="193" spans="1:8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  <c r="H193" s="9" t="b">
        <f>ISNUMBER(Table2[[#This Row],[Week_Start_Date]])</f>
        <v>1</v>
      </c>
    </row>
    <row r="194" spans="1:8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  <c r="H194" s="9" t="b">
        <f>ISNUMBER(Table2[[#This Row],[Week_Start_Date]])</f>
        <v>1</v>
      </c>
    </row>
    <row r="195" spans="1:8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  <c r="H195" s="9" t="b">
        <f>ISNUMBER(Table2[[#This Row],[Week_Start_Date]])</f>
        <v>1</v>
      </c>
    </row>
    <row r="196" spans="1:8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  <c r="H196" s="9" t="b">
        <f>ISNUMBER(Table2[[#This Row],[Week_Start_Date]])</f>
        <v>1</v>
      </c>
    </row>
    <row r="197" spans="1:8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  <c r="H197" s="9" t="b">
        <f>ISNUMBER(Table2[[#This Row],[Week_Start_Date]])</f>
        <v>1</v>
      </c>
    </row>
    <row r="198" spans="1:8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  <c r="H198" s="9" t="b">
        <f>ISNUMBER(Table2[[#This Row],[Week_Start_Date]])</f>
        <v>1</v>
      </c>
    </row>
    <row r="199" spans="1:8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  <c r="H199" s="9" t="b">
        <f>ISNUMBER(Table2[[#This Row],[Week_Start_Date]])</f>
        <v>1</v>
      </c>
    </row>
    <row r="200" spans="1:8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  <c r="H200" s="9" t="b">
        <f>ISNUMBER(Table2[[#This Row],[Week_Start_Date]])</f>
        <v>1</v>
      </c>
    </row>
    <row r="201" spans="1:8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  <c r="H201" s="9" t="b">
        <f>ISNUMBER(Table2[[#This Row],[Week_Start_Date]])</f>
        <v>1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selection activeCell="J13" sqref="J13"/>
    </sheetView>
  </sheetViews>
  <sheetFormatPr defaultColWidth="14.42578125" defaultRowHeight="15" customHeight="1"/>
  <cols>
    <col min="1" max="1" width="18.140625" style="2" customWidth="1"/>
    <col min="2" max="2" width="12.42578125" style="2" customWidth="1"/>
    <col min="3" max="5" width="11.5703125" style="2" customWidth="1"/>
    <col min="6" max="6" width="16.42578125" style="2" bestFit="1" customWidth="1"/>
    <col min="7" max="7" width="14.85546875" style="10" customWidth="1"/>
    <col min="8" max="8" width="19" style="2" bestFit="1" customWidth="1"/>
    <col min="9" max="10" width="18.5703125" style="2" customWidth="1"/>
    <col min="11" max="11" width="21.85546875" style="2" bestFit="1" customWidth="1"/>
    <col min="12" max="12" width="22.85546875" style="2" bestFit="1" customWidth="1"/>
    <col min="13" max="13" width="8.7109375" style="2" customWidth="1"/>
    <col min="14" max="14" width="16" style="2" bestFit="1" customWidth="1"/>
    <col min="15" max="27" width="8.7109375" style="2" customWidth="1"/>
    <col min="28" max="16384" width="14.42578125" style="2"/>
  </cols>
  <sheetData>
    <row r="1" spans="1:17">
      <c r="A1" s="3" t="s">
        <v>11</v>
      </c>
      <c r="B1" s="3" t="s">
        <v>337</v>
      </c>
      <c r="C1" s="3" t="s">
        <v>338</v>
      </c>
      <c r="D1" s="3" t="s">
        <v>374</v>
      </c>
      <c r="E1" s="3" t="s">
        <v>375</v>
      </c>
      <c r="F1" s="3" t="s">
        <v>339</v>
      </c>
      <c r="G1" s="11" t="s">
        <v>340</v>
      </c>
      <c r="H1" s="3" t="s">
        <v>341</v>
      </c>
      <c r="I1" s="13" t="s">
        <v>358</v>
      </c>
      <c r="J1" s="13" t="s">
        <v>359</v>
      </c>
      <c r="K1" s="2" t="s">
        <v>372</v>
      </c>
      <c r="L1" s="2" t="s">
        <v>373</v>
      </c>
    </row>
    <row r="2" spans="1:17">
      <c r="A2" s="4" t="s">
        <v>49</v>
      </c>
      <c r="B2" s="29" t="s">
        <v>342</v>
      </c>
      <c r="C2" s="4" t="s">
        <v>343</v>
      </c>
      <c r="D2" s="28">
        <f>DATEVALUE(Table5[[#This Row],[Start_Date]])</f>
        <v>45458</v>
      </c>
      <c r="E2" s="28">
        <f>DATEVALUE(Table5[[#This Row],[End_Date]])</f>
        <v>45488</v>
      </c>
      <c r="F2" s="4" t="s">
        <v>344</v>
      </c>
      <c r="G2" s="12">
        <v>175000</v>
      </c>
      <c r="H2" s="4" t="s">
        <v>345</v>
      </c>
      <c r="I2" s="2" t="s">
        <v>367</v>
      </c>
      <c r="J2" s="2" t="s">
        <v>366</v>
      </c>
      <c r="K2" s="2" t="b">
        <f>ISNUMBER(Table5[[#This Row],[Start_date2]])</f>
        <v>1</v>
      </c>
      <c r="L2" s="2" t="b">
        <f>ISNUMBER(Table5[[#This Row],[End_date2]])</f>
        <v>1</v>
      </c>
    </row>
    <row r="3" spans="1:17">
      <c r="A3" s="4" t="s">
        <v>46</v>
      </c>
      <c r="B3" s="4" t="s">
        <v>346</v>
      </c>
      <c r="C3" s="4" t="s">
        <v>347</v>
      </c>
      <c r="D3" s="28">
        <f>DATEVALUE(Table5[[#This Row],[Start_Date]])</f>
        <v>45627</v>
      </c>
      <c r="E3" s="28">
        <f>DATEVALUE(Table5[[#This Row],[End_Date]])</f>
        <v>45657</v>
      </c>
      <c r="F3" s="4" t="s">
        <v>348</v>
      </c>
      <c r="G3" s="12">
        <v>225000</v>
      </c>
      <c r="H3" s="4" t="s">
        <v>349</v>
      </c>
      <c r="I3" s="2" t="s">
        <v>367</v>
      </c>
      <c r="J3" s="2" t="s">
        <v>34</v>
      </c>
      <c r="K3" s="2" t="b">
        <f>ISNUMBER(Table5[[#This Row],[Start_date2]])</f>
        <v>1</v>
      </c>
      <c r="L3" s="2" t="b">
        <f>ISNUMBER(Table5[[#This Row],[End_date2]])</f>
        <v>1</v>
      </c>
    </row>
    <row r="4" spans="1:17">
      <c r="A4" s="4" t="s">
        <v>16</v>
      </c>
      <c r="B4" s="4" t="s">
        <v>350</v>
      </c>
      <c r="C4" s="4" t="s">
        <v>351</v>
      </c>
      <c r="D4" s="28">
        <f>DATEVALUE(Table5[[#This Row],[Start_Date]])</f>
        <v>45667</v>
      </c>
      <c r="E4" s="28">
        <f>DATEVALUE(Table5[[#This Row],[End_Date]])</f>
        <v>45698</v>
      </c>
      <c r="F4" s="4" t="s">
        <v>352</v>
      </c>
      <c r="G4" s="12">
        <v>200000</v>
      </c>
      <c r="H4" s="4" t="s">
        <v>353</v>
      </c>
      <c r="I4" s="2" t="s">
        <v>368</v>
      </c>
      <c r="J4" s="2" t="s">
        <v>37</v>
      </c>
      <c r="K4" s="2" t="b">
        <f>ISNUMBER(Table5[[#This Row],[Start_date2]])</f>
        <v>1</v>
      </c>
      <c r="L4" s="2" t="b">
        <f>ISNUMBER(Table5[[#This Row],[End_date2]])</f>
        <v>1</v>
      </c>
    </row>
    <row r="5" spans="1:17">
      <c r="A5" s="4" t="s">
        <v>20</v>
      </c>
      <c r="B5" s="4" t="s">
        <v>354</v>
      </c>
      <c r="C5" s="4" t="s">
        <v>355</v>
      </c>
      <c r="D5" s="28">
        <f>DATEVALUE(Table5[[#This Row],[Start_Date]])</f>
        <v>45717</v>
      </c>
      <c r="E5" s="28">
        <f>DATEVALUE(Table5[[#This Row],[End_Date]])</f>
        <v>45747</v>
      </c>
      <c r="F5" s="4" t="s">
        <v>356</v>
      </c>
      <c r="G5" s="12">
        <v>160000</v>
      </c>
      <c r="H5" s="4" t="s">
        <v>357</v>
      </c>
      <c r="I5" s="2" t="s">
        <v>19</v>
      </c>
      <c r="J5" s="2" t="s">
        <v>369</v>
      </c>
      <c r="K5" s="2" t="b">
        <f>ISNUMBER(Table5[[#This Row],[Start_date2]])</f>
        <v>1</v>
      </c>
      <c r="L5" s="2" t="b">
        <f>ISNUMBER(Table5[[#This Row],[End_date2]])</f>
        <v>1</v>
      </c>
    </row>
    <row r="12" spans="1:17" ht="15" customHeight="1">
      <c r="O12" s="32" t="s">
        <v>361</v>
      </c>
      <c r="P12" s="32"/>
      <c r="Q12" s="13" t="s">
        <v>360</v>
      </c>
    </row>
    <row r="13" spans="1:17" ht="15" customHeight="1">
      <c r="O13" s="32" t="s">
        <v>370</v>
      </c>
      <c r="P13" s="32"/>
    </row>
    <row r="14" spans="1:17" ht="15" customHeight="1">
      <c r="O14" s="32" t="s">
        <v>371</v>
      </c>
      <c r="P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12:P12"/>
    <mergeCell ref="O13:P13"/>
    <mergeCell ref="O14:P14"/>
  </mergeCells>
  <phoneticPr fontId="10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2619-17BF-41D0-8B66-6DC3DE39FB82}">
  <dimension ref="A1:B1"/>
  <sheetViews>
    <sheetView tabSelected="1" workbookViewId="0">
      <selection activeCell="H10" sqref="H10"/>
    </sheetView>
  </sheetViews>
  <sheetFormatPr defaultRowHeight="15"/>
  <cols>
    <col min="1" max="1" width="10.28515625" bestFit="1" customWidth="1"/>
  </cols>
  <sheetData>
    <row r="1" spans="1:2">
      <c r="A1" s="30" t="s">
        <v>377</v>
      </c>
      <c r="B1" s="31" t="s">
        <v>378</v>
      </c>
    </row>
  </sheetData>
  <hyperlinks>
    <hyperlink ref="B1" r:id="rId1" xr:uid="{002EF2EB-0904-4EA4-AC84-D73DDBB85B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Engagement Summary</vt:lpstr>
      <vt:lpstr>Campaign Metadata</vt:lpstr>
      <vt:lpstr>Video_Link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2025-08-26T05:40:30Z</dcterms:created>
  <dcterms:modified xsi:type="dcterms:W3CDTF">2025-09-03T07:14:27Z</dcterms:modified>
</cp:coreProperties>
</file>
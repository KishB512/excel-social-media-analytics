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Project_Spotify\"/>
    </mc:Choice>
  </mc:AlternateContent>
  <xr:revisionPtr revIDLastSave="0" documentId="13_ncr:1_{3FED0B6D-9140-4228-9416-21D28F5842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.1EngagementRate" sheetId="1" r:id="rId1"/>
    <sheet name="2.1DashboardEngagement_Rate" sheetId="4" r:id="rId2"/>
    <sheet name="2.2Top10_Posts" sheetId="5" r:id="rId3"/>
    <sheet name="2.3.1EngagementAnalysis" sheetId="6" r:id="rId4"/>
    <sheet name="2.3.1ClicksPerHashtags" sheetId="7" r:id="rId5"/>
    <sheet name="2.4HashtagsRankingUsingFormula" sheetId="8" r:id="rId6"/>
    <sheet name="Engagement Summary" sheetId="2" state="hidden" r:id="rId7"/>
    <sheet name="Campaign Metadata" sheetId="3" state="hidden" r:id="rId8"/>
  </sheets>
  <definedNames>
    <definedName name="ExternalData_1" localSheetId="4" hidden="1">'2.3.1ClicksPerHashtags'!$A$1:$N$484</definedName>
    <definedName name="ExternalData_1" localSheetId="5" hidden="1">'2.4HashtagsRankingUsingFormula'!$A$1:$N$484</definedName>
  </definedNames>
  <calcPr calcId="191029"/>
  <pivotCaches>
    <pivotCache cacheId="3" r:id="rId9"/>
    <pivotCache cacheId="4" r:id="rId10"/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1" l="1"/>
  <c r="R6" i="8"/>
  <c r="R7" i="8"/>
  <c r="R8" i="8"/>
  <c r="R9" i="8"/>
  <c r="R5" i="8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124" i="5"/>
  <c r="O236" i="5"/>
  <c r="O222" i="5"/>
  <c r="O225" i="5"/>
  <c r="O66" i="5"/>
  <c r="O81" i="5"/>
  <c r="O295" i="5"/>
  <c r="O267" i="5"/>
  <c r="O58" i="5"/>
  <c r="O230" i="5"/>
  <c r="O32" i="5"/>
  <c r="O103" i="5"/>
  <c r="O99" i="5"/>
  <c r="O157" i="5"/>
  <c r="O73" i="5"/>
  <c r="O291" i="5"/>
  <c r="O161" i="5"/>
  <c r="O152" i="5"/>
  <c r="O240" i="5"/>
  <c r="O111" i="5"/>
  <c r="O78" i="5"/>
  <c r="O5" i="5"/>
  <c r="O210" i="5"/>
  <c r="O162" i="5"/>
  <c r="O232" i="5"/>
  <c r="O126" i="5"/>
  <c r="O238" i="5"/>
  <c r="O211" i="5"/>
  <c r="O250" i="5"/>
  <c r="O38" i="5"/>
  <c r="O294" i="5"/>
  <c r="O130" i="5"/>
  <c r="O194" i="5"/>
  <c r="O220" i="5"/>
  <c r="O69" i="5"/>
  <c r="O138" i="5"/>
  <c r="O237" i="5"/>
  <c r="O241" i="5"/>
  <c r="O64" i="5"/>
  <c r="O207" i="5"/>
  <c r="O164" i="5"/>
  <c r="O189" i="5"/>
  <c r="O293" i="5"/>
  <c r="O154" i="5"/>
  <c r="O247" i="5"/>
  <c r="O233" i="5"/>
  <c r="O35" i="5"/>
  <c r="O255" i="5"/>
  <c r="O91" i="5"/>
  <c r="O270" i="5"/>
  <c r="O14" i="5"/>
  <c r="O40" i="5"/>
  <c r="O9" i="5"/>
  <c r="O198" i="5"/>
  <c r="O23" i="5"/>
  <c r="O131" i="5"/>
  <c r="O151" i="5"/>
  <c r="O113" i="5"/>
  <c r="O53" i="5"/>
  <c r="O259" i="5"/>
  <c r="O98" i="5"/>
  <c r="O18" i="5"/>
  <c r="O243" i="5"/>
  <c r="O56" i="5"/>
  <c r="O171" i="5"/>
  <c r="O213" i="5"/>
  <c r="O19" i="5"/>
  <c r="O176" i="5"/>
  <c r="O85" i="5"/>
  <c r="O208" i="5"/>
  <c r="O258" i="5"/>
  <c r="O137" i="5"/>
  <c r="O296" i="5"/>
  <c r="O63" i="5"/>
  <c r="O246" i="5"/>
  <c r="O245" i="5"/>
  <c r="O79" i="5"/>
  <c r="O298" i="5"/>
  <c r="O149" i="5"/>
  <c r="O60" i="5"/>
  <c r="O178" i="5"/>
  <c r="O265" i="5"/>
  <c r="O62" i="5"/>
  <c r="O123" i="5"/>
  <c r="O249" i="5"/>
  <c r="O167" i="5"/>
  <c r="O61" i="5"/>
  <c r="O13" i="5"/>
  <c r="O276" i="5"/>
  <c r="O297" i="5"/>
  <c r="O292" i="5"/>
  <c r="O186" i="5"/>
  <c r="O280" i="5"/>
  <c r="O199" i="5"/>
  <c r="O181" i="5"/>
  <c r="O185" i="5"/>
  <c r="O116" i="5"/>
  <c r="O168" i="5"/>
  <c r="O89" i="5"/>
  <c r="O217" i="5"/>
  <c r="O266" i="5"/>
  <c r="O48" i="5"/>
  <c r="O288" i="5"/>
  <c r="O285" i="5"/>
  <c r="O251" i="5"/>
  <c r="O92" i="5"/>
  <c r="O235" i="5"/>
  <c r="O212" i="5"/>
  <c r="O140" i="5"/>
  <c r="O106" i="5"/>
  <c r="O125" i="5"/>
  <c r="O75" i="5"/>
  <c r="O112" i="5"/>
  <c r="O59" i="5"/>
  <c r="O4" i="5"/>
  <c r="O153" i="5"/>
  <c r="O218" i="5"/>
  <c r="O20" i="5"/>
  <c r="O196" i="5"/>
  <c r="O273" i="5"/>
  <c r="O184" i="5"/>
  <c r="O200" i="5"/>
  <c r="O193" i="5"/>
  <c r="O17" i="5"/>
  <c r="O160" i="5"/>
  <c r="O234" i="5"/>
  <c r="O104" i="5"/>
  <c r="O109" i="5"/>
  <c r="O24" i="5"/>
  <c r="O115" i="5"/>
  <c r="O34" i="5"/>
  <c r="O158" i="5"/>
  <c r="O107" i="5"/>
  <c r="O27" i="5"/>
  <c r="O135" i="5"/>
  <c r="O95" i="5"/>
  <c r="O287" i="5"/>
  <c r="O82" i="5"/>
  <c r="O77" i="5"/>
  <c r="O33" i="5"/>
  <c r="O256" i="5"/>
  <c r="O165" i="5"/>
  <c r="O28" i="5"/>
  <c r="O8" i="5"/>
  <c r="O282" i="5"/>
  <c r="O101" i="5"/>
  <c r="O226" i="5"/>
  <c r="O169" i="5"/>
  <c r="O134" i="5"/>
  <c r="O205" i="5"/>
  <c r="O121" i="5"/>
  <c r="O174" i="5"/>
  <c r="O93" i="5"/>
  <c r="O197" i="5"/>
  <c r="O173" i="5"/>
  <c r="O72" i="5"/>
  <c r="O223" i="5"/>
  <c r="O132" i="5"/>
  <c r="O68" i="5"/>
  <c r="O202" i="5"/>
  <c r="O147" i="5"/>
  <c r="O70" i="5"/>
  <c r="O300" i="5"/>
  <c r="O22" i="5"/>
  <c r="O10" i="5"/>
  <c r="O118" i="5"/>
  <c r="O190" i="5"/>
  <c r="O261" i="5"/>
  <c r="O133" i="5"/>
  <c r="O239" i="5"/>
  <c r="O299" i="5"/>
  <c r="O180" i="5"/>
  <c r="O100" i="5"/>
  <c r="O290" i="5"/>
  <c r="O201" i="5"/>
  <c r="O83" i="5"/>
  <c r="O155" i="5"/>
  <c r="O228" i="5"/>
  <c r="O284" i="5"/>
  <c r="O127" i="5"/>
  <c r="O263" i="5"/>
  <c r="O231" i="5"/>
  <c r="O274" i="5"/>
  <c r="O289" i="5"/>
  <c r="O257" i="5"/>
  <c r="O148" i="5"/>
  <c r="O254" i="5"/>
  <c r="O279" i="5"/>
  <c r="O244" i="5"/>
  <c r="O21" i="5"/>
  <c r="O30" i="5"/>
  <c r="O50" i="5"/>
  <c r="O86" i="5"/>
  <c r="O150" i="5"/>
  <c r="O3" i="5"/>
  <c r="O219" i="5"/>
  <c r="O141" i="5"/>
  <c r="O209" i="5"/>
  <c r="O42" i="5"/>
  <c r="O166" i="5"/>
  <c r="O108" i="5"/>
  <c r="O206" i="5"/>
  <c r="O122" i="5"/>
  <c r="O97" i="5"/>
  <c r="O51" i="5"/>
  <c r="O46" i="5"/>
  <c r="O44" i="5"/>
  <c r="O215" i="5"/>
  <c r="O182" i="5"/>
  <c r="O183" i="5"/>
  <c r="O16" i="5"/>
  <c r="O110" i="5"/>
  <c r="O12" i="5"/>
  <c r="O221" i="5"/>
  <c r="O268" i="5"/>
  <c r="O224" i="5"/>
  <c r="O25" i="5"/>
  <c r="O39" i="5"/>
  <c r="O227" i="5"/>
  <c r="O143" i="5"/>
  <c r="O195" i="5"/>
  <c r="O45" i="5"/>
  <c r="O52" i="5"/>
  <c r="O119" i="5"/>
  <c r="O187" i="5"/>
  <c r="O253" i="5"/>
  <c r="O275" i="5"/>
  <c r="O248" i="5"/>
  <c r="O172" i="5"/>
  <c r="O29" i="5"/>
  <c r="O94" i="5"/>
  <c r="O264" i="5"/>
  <c r="O11" i="5"/>
  <c r="O15" i="5"/>
  <c r="O139" i="5"/>
  <c r="O286" i="5"/>
  <c r="O136" i="5"/>
  <c r="O283" i="5"/>
  <c r="O271" i="5"/>
  <c r="O144" i="5"/>
  <c r="O80" i="5"/>
  <c r="O301" i="5"/>
  <c r="O142" i="5"/>
  <c r="O96" i="5"/>
  <c r="O49" i="5"/>
  <c r="O260" i="5"/>
  <c r="O120" i="5"/>
  <c r="O229" i="5"/>
  <c r="O37" i="5"/>
  <c r="O105" i="5"/>
  <c r="O6" i="5"/>
  <c r="O87" i="5"/>
  <c r="O31" i="5"/>
  <c r="O114" i="5"/>
  <c r="O41" i="5"/>
  <c r="O71" i="5"/>
  <c r="O277" i="5"/>
  <c r="O67" i="5"/>
  <c r="O129" i="5"/>
  <c r="O88" i="5"/>
  <c r="O43" i="5"/>
  <c r="O278" i="5"/>
  <c r="O281" i="5"/>
  <c r="O90" i="5"/>
  <c r="O216" i="5"/>
  <c r="O117" i="5"/>
  <c r="O269" i="5"/>
  <c r="O26" i="5"/>
  <c r="O188" i="5"/>
  <c r="O177" i="5"/>
  <c r="O102" i="5"/>
  <c r="O204" i="5"/>
  <c r="O170" i="5"/>
  <c r="O74" i="5"/>
  <c r="O252" i="5"/>
  <c r="O175" i="5"/>
  <c r="O84" i="5"/>
  <c r="O179" i="5"/>
  <c r="O7" i="5"/>
  <c r="O272" i="5"/>
  <c r="O36" i="5"/>
  <c r="O214" i="5"/>
  <c r="O47" i="5"/>
  <c r="O262" i="5"/>
  <c r="O128" i="5"/>
  <c r="O76" i="5"/>
  <c r="O156" i="5"/>
  <c r="O192" i="5"/>
  <c r="O242" i="5"/>
  <c r="O159" i="5"/>
  <c r="O57" i="5"/>
  <c r="O163" i="5"/>
  <c r="O145" i="5"/>
  <c r="O2" i="5"/>
  <c r="O191" i="5"/>
  <c r="O55" i="5"/>
  <c r="O65" i="5"/>
  <c r="O203" i="5"/>
  <c r="O146" i="5"/>
  <c r="O54" i="5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146" i="1"/>
  <c r="O203" i="1"/>
  <c r="O65" i="1"/>
  <c r="O55" i="1"/>
  <c r="O191" i="1"/>
  <c r="O2" i="1"/>
  <c r="O145" i="1"/>
  <c r="O163" i="1"/>
  <c r="O57" i="1"/>
  <c r="O159" i="1"/>
  <c r="O242" i="1"/>
  <c r="O192" i="1"/>
  <c r="O156" i="1"/>
  <c r="O76" i="1"/>
  <c r="O128" i="1"/>
  <c r="O262" i="1"/>
  <c r="O47" i="1"/>
  <c r="O214" i="1"/>
  <c r="O36" i="1"/>
  <c r="O272" i="1"/>
  <c r="O7" i="1"/>
  <c r="O179" i="1"/>
  <c r="O84" i="1"/>
  <c r="O175" i="1"/>
  <c r="O252" i="1"/>
  <c r="O74" i="1"/>
  <c r="O170" i="1"/>
  <c r="O204" i="1"/>
  <c r="O102" i="1"/>
  <c r="O177" i="1"/>
  <c r="O188" i="1"/>
  <c r="O26" i="1"/>
  <c r="O269" i="1"/>
  <c r="O117" i="1"/>
  <c r="O216" i="1"/>
  <c r="O90" i="1"/>
  <c r="O281" i="1"/>
  <c r="O278" i="1"/>
  <c r="O43" i="1"/>
  <c r="O88" i="1"/>
  <c r="O129" i="1"/>
  <c r="O67" i="1"/>
  <c r="O277" i="1"/>
  <c r="O71" i="1"/>
  <c r="O41" i="1"/>
  <c r="O114" i="1"/>
  <c r="O31" i="1"/>
  <c r="O87" i="1"/>
  <c r="O6" i="1"/>
  <c r="O105" i="1"/>
  <c r="O37" i="1"/>
  <c r="O229" i="1"/>
  <c r="O120" i="1"/>
  <c r="O260" i="1"/>
  <c r="O49" i="1"/>
  <c r="O96" i="1"/>
  <c r="O142" i="1"/>
  <c r="O301" i="1"/>
  <c r="O80" i="1"/>
  <c r="O144" i="1"/>
  <c r="O271" i="1"/>
  <c r="O283" i="1"/>
  <c r="O136" i="1"/>
  <c r="O286" i="1"/>
  <c r="O139" i="1"/>
  <c r="O15" i="1"/>
  <c r="O11" i="1"/>
  <c r="O264" i="1"/>
  <c r="O94" i="1"/>
  <c r="O29" i="1"/>
  <c r="O172" i="1"/>
  <c r="O248" i="1"/>
  <c r="O275" i="1"/>
  <c r="O253" i="1"/>
  <c r="O187" i="1"/>
  <c r="O119" i="1"/>
  <c r="O52" i="1"/>
  <c r="O45" i="1"/>
  <c r="O195" i="1"/>
  <c r="O143" i="1"/>
  <c r="O227" i="1"/>
  <c r="O39" i="1"/>
  <c r="O25" i="1"/>
  <c r="O224" i="1"/>
  <c r="O268" i="1"/>
  <c r="O221" i="1"/>
  <c r="O12" i="1"/>
  <c r="O110" i="1"/>
  <c r="O16" i="1"/>
  <c r="O183" i="1"/>
  <c r="O182" i="1"/>
  <c r="O215" i="1"/>
  <c r="O44" i="1"/>
  <c r="O46" i="1"/>
  <c r="O51" i="1"/>
  <c r="O97" i="1"/>
  <c r="O122" i="1"/>
  <c r="O206" i="1"/>
  <c r="O108" i="1"/>
  <c r="O166" i="1"/>
  <c r="O42" i="1"/>
  <c r="O209" i="1"/>
  <c r="O141" i="1"/>
  <c r="O219" i="1"/>
  <c r="O3" i="1"/>
  <c r="O150" i="1"/>
  <c r="O86" i="1"/>
  <c r="O50" i="1"/>
  <c r="O30" i="1"/>
  <c r="O21" i="1"/>
  <c r="O244" i="1"/>
  <c r="O279" i="1"/>
  <c r="O254" i="1"/>
  <c r="O148" i="1"/>
  <c r="O257" i="1"/>
  <c r="O289" i="1"/>
  <c r="O274" i="1"/>
  <c r="O231" i="1"/>
  <c r="O263" i="1"/>
  <c r="O127" i="1"/>
  <c r="O284" i="1"/>
  <c r="O228" i="1"/>
  <c r="O155" i="1"/>
  <c r="O83" i="1"/>
  <c r="O201" i="1"/>
  <c r="O290" i="1"/>
  <c r="O100" i="1"/>
  <c r="O180" i="1"/>
  <c r="O299" i="1"/>
  <c r="O239" i="1"/>
  <c r="O133" i="1"/>
  <c r="O261" i="1"/>
  <c r="O190" i="1"/>
  <c r="O118" i="1"/>
  <c r="O10" i="1"/>
  <c r="O22" i="1"/>
  <c r="O300" i="1"/>
  <c r="O70" i="1"/>
  <c r="O147" i="1"/>
  <c r="O202" i="1"/>
  <c r="O68" i="1"/>
  <c r="O132" i="1"/>
  <c r="O223" i="1"/>
  <c r="O72" i="1"/>
  <c r="O173" i="1"/>
  <c r="O197" i="1"/>
  <c r="O93" i="1"/>
  <c r="O174" i="1"/>
  <c r="O121" i="1"/>
  <c r="O205" i="1"/>
  <c r="O134" i="1"/>
  <c r="O169" i="1"/>
  <c r="O226" i="1"/>
  <c r="O101" i="1"/>
  <c r="O282" i="1"/>
  <c r="O8" i="1"/>
  <c r="O28" i="1"/>
  <c r="O165" i="1"/>
  <c r="O256" i="1"/>
  <c r="O33" i="1"/>
  <c r="O77" i="1"/>
  <c r="O82" i="1"/>
  <c r="O287" i="1"/>
  <c r="O95" i="1"/>
  <c r="O135" i="1"/>
  <c r="O27" i="1"/>
  <c r="O107" i="1"/>
  <c r="O158" i="1"/>
  <c r="O34" i="1"/>
  <c r="O115" i="1"/>
  <c r="O24" i="1"/>
  <c r="O109" i="1"/>
  <c r="O104" i="1"/>
  <c r="O234" i="1"/>
  <c r="O160" i="1"/>
  <c r="O17" i="1"/>
  <c r="O193" i="1"/>
  <c r="O200" i="1"/>
  <c r="O184" i="1"/>
  <c r="O273" i="1"/>
  <c r="O196" i="1"/>
  <c r="O20" i="1"/>
  <c r="O218" i="1"/>
  <c r="O153" i="1"/>
  <c r="O4" i="1"/>
  <c r="O59" i="1"/>
  <c r="O112" i="1"/>
  <c r="O75" i="1"/>
  <c r="O125" i="1"/>
  <c r="O106" i="1"/>
  <c r="O140" i="1"/>
  <c r="O212" i="1"/>
  <c r="O235" i="1"/>
  <c r="O92" i="1"/>
  <c r="O251" i="1"/>
  <c r="O285" i="1"/>
  <c r="O288" i="1"/>
  <c r="O48" i="1"/>
  <c r="O266" i="1"/>
  <c r="O217" i="1"/>
  <c r="O89" i="1"/>
  <c r="O168" i="1"/>
  <c r="O116" i="1"/>
  <c r="O185" i="1"/>
  <c r="O181" i="1"/>
  <c r="O199" i="1"/>
  <c r="O280" i="1"/>
  <c r="O186" i="1"/>
  <c r="O292" i="1"/>
  <c r="O297" i="1"/>
  <c r="O276" i="1"/>
  <c r="O13" i="1"/>
  <c r="O61" i="1"/>
  <c r="O167" i="1"/>
  <c r="O249" i="1"/>
  <c r="O123" i="1"/>
  <c r="O62" i="1"/>
  <c r="O265" i="1"/>
  <c r="O178" i="1"/>
  <c r="O60" i="1"/>
  <c r="O149" i="1"/>
  <c r="O298" i="1"/>
  <c r="O79" i="1"/>
  <c r="O245" i="1"/>
  <c r="O246" i="1"/>
  <c r="O63" i="1"/>
  <c r="O296" i="1"/>
  <c r="O137" i="1"/>
  <c r="O258" i="1"/>
  <c r="O208" i="1"/>
  <c r="O85" i="1"/>
  <c r="O176" i="1"/>
  <c r="O19" i="1"/>
  <c r="O213" i="1"/>
  <c r="O171" i="1"/>
  <c r="O56" i="1"/>
  <c r="O243" i="1"/>
  <c r="O18" i="1"/>
  <c r="O98" i="1"/>
  <c r="O259" i="1"/>
  <c r="O53" i="1"/>
  <c r="O113" i="1"/>
  <c r="O151" i="1"/>
  <c r="O131" i="1"/>
  <c r="O23" i="1"/>
  <c r="O198" i="1"/>
  <c r="O9" i="1"/>
  <c r="O40" i="1"/>
  <c r="O14" i="1"/>
  <c r="O270" i="1"/>
  <c r="O91" i="1"/>
  <c r="O255" i="1"/>
  <c r="O35" i="1"/>
  <c r="O233" i="1"/>
  <c r="O247" i="1"/>
  <c r="O154" i="1"/>
  <c r="O293" i="1"/>
  <c r="O189" i="1"/>
  <c r="O164" i="1"/>
  <c r="O207" i="1"/>
  <c r="O64" i="1"/>
  <c r="O241" i="1"/>
  <c r="O237" i="1"/>
  <c r="O138" i="1"/>
  <c r="O69" i="1"/>
  <c r="O220" i="1"/>
  <c r="O194" i="1"/>
  <c r="O130" i="1"/>
  <c r="O294" i="1"/>
  <c r="O38" i="1"/>
  <c r="O250" i="1"/>
  <c r="O211" i="1"/>
  <c r="O238" i="1"/>
  <c r="O126" i="1"/>
  <c r="O232" i="1"/>
  <c r="O162" i="1"/>
  <c r="O210" i="1"/>
  <c r="O5" i="1"/>
  <c r="O78" i="1"/>
  <c r="O111" i="1"/>
  <c r="O240" i="1"/>
  <c r="O152" i="1"/>
  <c r="O161" i="1"/>
  <c r="O291" i="1"/>
  <c r="O73" i="1"/>
  <c r="O157" i="1"/>
  <c r="O99" i="1"/>
  <c r="O103" i="1"/>
  <c r="O32" i="1"/>
  <c r="O230" i="1"/>
  <c r="O58" i="1"/>
  <c r="O267" i="1"/>
  <c r="O295" i="1"/>
  <c r="O81" i="1"/>
  <c r="O66" i="1"/>
  <c r="O225" i="1"/>
  <c r="O222" i="1"/>
  <c r="O236" i="1"/>
  <c r="O1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25298-CCCF-4353-8487-BCDA78058604}" keepAlive="1" name="Query - Table19" description="Connection to the 'Table19' query in the workbook." type="5" refreshedVersion="8" background="1" saveData="1">
    <dbPr connection="Provider=Microsoft.Mashup.OleDb.1;Data Source=$Workbook$;Location=Table19;Extended Properties=&quot;&quot;" command="SELECT * FROM [Table19]"/>
  </connection>
  <connection id="2" xr16:uid="{90DA3FE1-B936-4550-8565-D77C2939F850}" keepAlive="1" name="Query - Table19 (2)" description="Connection to the 'Table19 (2)' query in the workbook." type="5" refreshedVersion="8" background="1" saveData="1">
    <dbPr connection="Provider=Microsoft.Mashup.OleDb.1;Data Source=$Workbook$;Location=&quot;Table19 (2)&quot;;Extended Properties=&quot;&quot;" command="SELECT * FROM [Table19 (2)]"/>
  </connection>
</connections>
</file>

<file path=xl/sharedStrings.xml><?xml version="1.0" encoding="utf-8"?>
<sst xmlns="http://schemas.openxmlformats.org/spreadsheetml/2006/main" count="14092" uniqueCount="378">
  <si>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</si>
  <si>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</si>
  <si>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</si>
  <si>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</si>
  <si>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</si>
  <si>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</si>
  <si>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</si>
  <si>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</si>
  <si>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</si>
  <si>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</si>
  <si>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</si>
  <si>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</si>
  <si>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</si>
  <si>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</si>
  <si>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</si>
  <si>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</si>
  <si>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</si>
  <si>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</si>
  <si>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</si>
  <si>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</si>
  <si>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</si>
  <si>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</si>
  <si>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</si>
  <si>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</si>
  <si>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</si>
  <si>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</si>
  <si>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</si>
  <si>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</si>
  <si>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</si>
  <si>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</si>
  <si>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</si>
  <si>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</si>
  <si>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</si>
  <si>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</si>
  <si>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</si>
  <si>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</si>
  <si>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</si>
  <si>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</si>
  <si>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</si>
  <si>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</si>
  <si>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</si>
  <si>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</si>
  <si>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</si>
  <si>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</si>
  <si>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</si>
  <si>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</si>
  <si>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</si>
  <si>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</si>
  <si>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</si>
  <si>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</si>
  <si>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</si>
  <si>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</si>
  <si>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</si>
  <si>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</si>
  <si>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</si>
  <si>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</si>
  <si>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</si>
  <si>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</si>
  <si>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</si>
  <si>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</si>
  <si>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</si>
  <si>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</si>
  <si>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</si>
  <si>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</si>
  <si>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</si>
  <si>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</si>
  <si>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</si>
  <si>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</si>
  <si>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</si>
  <si>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</si>
  <si>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</si>
  <si>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</si>
  <si>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</si>
  <si>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</si>
  <si>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</si>
  <si>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</si>
  <si>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</si>
  <si>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</si>
  <si>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</si>
  <si>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</si>
  <si>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</si>
  <si>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</si>
  <si>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</si>
  <si>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</si>
  <si>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</si>
  <si>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</si>
  <si>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</si>
  <si>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</si>
  <si>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</si>
  <si>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</si>
  <si>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</si>
  <si>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</si>
  <si>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</si>
  <si>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</si>
  <si>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</si>
  <si>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</si>
  <si>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</si>
  <si>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</si>
  <si>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</si>
  <si>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</si>
  <si>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</si>
  <si>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</si>
  <si>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</si>
  <si>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</si>
  <si>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</si>
  <si>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</si>
  <si>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</si>
  <si>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</si>
  <si>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</si>
  <si>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</si>
  <si>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</si>
  <si>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</si>
  <si>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</si>
  <si>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</si>
  <si>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</si>
  <si>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</si>
  <si>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</si>
  <si>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</si>
  <si>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</si>
  <si>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</si>
  <si>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</si>
  <si>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</si>
  <si>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</si>
  <si>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</si>
  <si>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</si>
  <si>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</si>
  <si>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</si>
  <si>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</si>
  <si>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</si>
  <si>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</si>
  <si>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</si>
  <si>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</si>
  <si>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</si>
  <si>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</si>
  <si>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</si>
  <si>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</si>
  <si>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</si>
  <si>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</si>
  <si>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</si>
  <si>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</si>
  <si>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</si>
  <si>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</si>
  <si>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</si>
  <si>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</si>
  <si>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</si>
  <si>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</si>
  <si>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</si>
  <si>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</si>
  <si>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</si>
  <si>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</si>
  <si>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</si>
  <si>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</si>
  <si>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</si>
  <si>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</si>
  <si>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</si>
  <si>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</si>
  <si>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</si>
  <si>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</si>
  <si>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</si>
  <si>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</si>
  <si>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</si>
  <si>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</si>
  <si>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</si>
  <si>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</si>
  <si>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</si>
  <si>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</si>
  <si>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</si>
  <si>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</si>
  <si>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</si>
  <si>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</si>
  <si>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</si>
  <si>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</si>
  <si>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</si>
  <si>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</si>
  <si>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</si>
  <si>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</si>
  <si>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</si>
  <si>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</si>
  <si>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</si>
  <si>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</si>
  <si>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</si>
  <si>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</si>
  <si>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</si>
  <si>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</si>
  <si>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</si>
  <si>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</si>
  <si>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</si>
  <si>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</si>
  <si>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</si>
  <si>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</si>
  <si>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</si>
  <si>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</si>
  <si>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</si>
  <si>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</si>
  <si>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</si>
  <si>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</si>
  <si>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</si>
  <si>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</si>
  <si>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</si>
  <si>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</si>
  <si>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</si>
  <si>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</si>
  <si>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</si>
  <si>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</si>
  <si>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</si>
  <si>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</si>
  <si>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</si>
  <si>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</si>
  <si>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</si>
  <si>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</si>
  <si>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</si>
  <si>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</si>
  <si>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</si>
  <si>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</si>
  <si>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</si>
  <si>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</si>
  <si>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</si>
  <si>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</si>
  <si>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</si>
  <si>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</si>
  <si>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</si>
  <si>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</si>
  <si>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</si>
  <si>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</si>
  <si>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</si>
  <si>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</si>
  <si>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</si>
  <si>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</si>
  <si>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</si>
  <si>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</si>
  <si>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</si>
  <si>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</si>
  <si>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</si>
  <si>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</si>
  <si>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</si>
  <si>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</si>
  <si>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</si>
  <si>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</si>
  <si>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</si>
  <si>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</si>
  <si>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</si>
  <si>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</si>
  <si>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</si>
  <si>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</si>
  <si>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</si>
  <si>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</si>
  <si>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</si>
  <si>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</si>
  <si>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</si>
  <si>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</si>
  <si>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</si>
  <si>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</si>
  <si>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</si>
  <si>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</si>
  <si>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</si>
  <si>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</si>
  <si>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</si>
  <si>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</si>
  <si>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</si>
  <si>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</si>
  <si>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</si>
  <si>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</si>
  <si>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</si>
  <si>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</si>
  <si>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</si>
  <si>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</si>
  <si>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</si>
  <si>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</si>
  <si>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</si>
  <si>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</si>
  <si>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</si>
  <si>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</si>
  <si>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</si>
  <si>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</si>
  <si>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</si>
  <si>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</si>
  <si>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</si>
  <si>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</si>
  <si>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</si>
  <si>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</si>
  <si>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</si>
  <si>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</si>
  <si>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</si>
  <si>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</si>
  <si>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</si>
  <si>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</si>
  <si>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</si>
  <si>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</si>
  <si>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</si>
  <si>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</si>
  <si>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</si>
  <si>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</si>
  <si>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</si>
  <si>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</si>
  <si>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</si>
  <si>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</si>
  <si>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</si>
  <si>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</si>
  <si>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</si>
  <si>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</si>
  <si>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</si>
  <si>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</si>
  <si>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</si>
  <si>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</si>
  <si>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</si>
  <si>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</si>
  <si>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</si>
  <si>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</si>
  <si>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</si>
  <si>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</si>
  <si>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</si>
  <si>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</si>
  <si>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</si>
  <si>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</si>
  <si>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</si>
  <si>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</si>
  <si>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</si>
  <si>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</si>
  <si>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</si>
  <si>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</si>
  <si>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</si>
  <si>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</si>
  <si>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</si>
  <si>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</si>
  <si>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</si>
  <si>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</si>
  <si>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</si>
  <si>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</si>
  <si>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</si>
  <si>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</si>
  <si>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</si>
  <si>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</si>
  <si>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</si>
  <si>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</si>
  <si>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</si>
  <si>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</si>
  <si>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</si>
  <si>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</si>
  <si>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</si>
  <si>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</si>
  <si>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</si>
  <si>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</si>
  <si>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2024-06-15</t>
  </si>
  <si>
    <t>2024-07-15</t>
  </si>
  <si>
    <t>Brand Awareness</t>
  </si>
  <si>
    <t>Instagram,YouTube</t>
  </si>
  <si>
    <t>2024-12-01</t>
  </si>
  <si>
    <t>2024-12-31</t>
  </si>
  <si>
    <t>Engagement</t>
  </si>
  <si>
    <t>Twitter,YouTube</t>
  </si>
  <si>
    <t>2025-01-10</t>
  </si>
  <si>
    <t>2025-02-10</t>
  </si>
  <si>
    <t>Product Launch</t>
  </si>
  <si>
    <t>Instagram,Twitter</t>
  </si>
  <si>
    <t>2025-03-01</t>
  </si>
  <si>
    <t>2025-03-31</t>
  </si>
  <si>
    <t>Traffic</t>
  </si>
  <si>
    <t>Facebook,Instagram</t>
  </si>
  <si>
    <t>Hastag_1</t>
  </si>
  <si>
    <t>Hastag_2</t>
  </si>
  <si>
    <t>Wrapped is here! Relive your top tracks</t>
  </si>
  <si>
    <t>Music that moves you only on Spotify.</t>
  </si>
  <si>
    <t>Whats your vibe today?</t>
  </si>
  <si>
    <t>From pop to podcasts, its all here.</t>
  </si>
  <si>
    <t>#MusicForEveryone</t>
  </si>
  <si>
    <t>#SpotifyWrapped</t>
  </si>
  <si>
    <t>#ChillVibes</t>
  </si>
  <si>
    <t>#IndieWave</t>
  </si>
  <si>
    <t>Engagement Rate</t>
  </si>
  <si>
    <t>Sum of Likes</t>
  </si>
  <si>
    <t>Sum of Shares</t>
  </si>
  <si>
    <t>Sum of Comments</t>
  </si>
  <si>
    <t>Average of Clicks</t>
  </si>
  <si>
    <t>Hastag</t>
  </si>
  <si>
    <t>Ranking</t>
  </si>
  <si>
    <t>Avg_Engagement Rate</t>
  </si>
  <si>
    <t>HashTags</t>
  </si>
  <si>
    <t>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</si>
</sst>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9" fontId="13" fillId="0" borderId="0" xfId="1" applyFont="1" applyAlignment="1">
      <alignment horizontal="center" vertical="center"/>
    </xf>
    <xf numFmtId="9" fontId="11" fillId="0" borderId="0" xfId="1" applyFont="1" applyAlignment="1">
      <alignment horizontal="right" vertical="center"/>
    </xf>
    <xf numFmtId="9" fontId="7" fillId="0" borderId="0" xfId="1" applyFont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1" fontId="11" fillId="2" borderId="0" xfId="0" applyNumberFormat="1" applyFont="1" applyFill="1" applyAlignment="1">
      <alignment horizontal="center" vertical="center"/>
    </xf>
    <xf numFmtId="9" fontId="11" fillId="2" borderId="0" xfId="1" applyFont="1" applyFill="1" applyAlignment="1">
      <alignment horizontal="right" vertical="center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0" fontId="7" fillId="0" borderId="0" xfId="0" applyFont="1" applyAlignment="1">
      <alignment vertical="center"/>
    </xf>
    <xf numFmtId="49" fontId="0" fillId="0" borderId="0" xfId="0" applyNumberFormat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164" fontId="7" fillId="0" borderId="3" xfId="0" applyNumberFormat="1" applyFont="1" applyBorder="1"/>
    <xf numFmtId="164" fontId="7" fillId="0" borderId="5" xfId="0" applyNumberFormat="1" applyFont="1" applyBorder="1"/>
    <xf numFmtId="164" fontId="7" fillId="0" borderId="4" xfId="0" applyNumberFormat="1" applyFont="1" applyBorder="1"/>
    <xf numFmtId="0" fontId="12" fillId="0" borderId="0" xfId="0" applyFont="1" applyAlignment="1">
      <alignment vertical="center" wrapText="1"/>
    </xf>
    <xf numFmtId="1" fontId="6" fillId="0" borderId="0" xfId="0" applyNumberFormat="1" applyFont="1"/>
    <xf numFmtId="0" fontId="6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2" fillId="3" borderId="2" xfId="0" applyFont="1" applyFill="1" applyBorder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27"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64" formatCode="0.000"/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3" formatCode="0%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[Spotify social media performace data_task2.xlsx]2.1DashboardEngagement_Rate!PivotTable1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Rate across</a:t>
            </a:r>
          </a:p>
          <a:p>
            <a:pPr>
              <a:defRPr/>
            </a:pPr>
            <a:r>
              <a:rPr lang="en-US"/>
              <a:t> various platforms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801988002875117"/>
          <c:y val="4.7493891623207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29744420977627"/>
          <c:y val="0.28074928057338744"/>
          <c:w val="0.75481714785651799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'2.1DashboardEngagement_Rate'!$S$3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'2.1DashboardEngagement_Rate'!$R$4:$R$6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'2.1DashboardEngagement_Rate'!$S$4:$S$6</c:f>
              <c:numCache>
                <c:formatCode>0.000</c:formatCode>
                <c:ptCount val="3"/>
                <c:pt idx="0">
                  <c:v>9.0794830422286865E-2</c:v>
                </c:pt>
                <c:pt idx="1">
                  <c:v>9.6034606364774039E-2</c:v>
                </c:pt>
                <c:pt idx="2">
                  <c:v>8.8108118547634104E-2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0-46B1-871C-9367DE988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68480200"/>
        <c:axId val="568480920"/>
      </c:barChart>
      <c:catAx>
        <c:axId val="568480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Social Platforms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80920"/>
        <c:crosses val="autoZero"/>
        <c:auto val="1"/>
        <c:lblAlgn val="ctr"/>
        <c:lblOffset val="100"/>
        <c:noMultiLvlLbl val="0"/>
      </c:catAx>
      <c:valAx>
        <c:axId val="568480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 Rate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80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558054</xdr:colOff>
      <xdr:row>14</xdr:row>
      <xdr:rowOff>33620</xdr:rowOff>
    </xdr:from>
    <xdr:ext cx="3087577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4E2C9D-5BB7-40C6-BE7D-DBF3AD9D6B4C}"/>
            </a:ext>
          </a:extLst>
        </xdr:cNvPr>
        <xdr:cNvSpPr txBox="1"/>
      </xdr:nvSpPr>
      <xdr:spPr>
        <a:xfrm>
          <a:off x="7741025" y="2857502"/>
          <a:ext cx="3087577" cy="43678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Purpose/Formula</a:t>
          </a:r>
          <a:r>
            <a:rPr lang="en-IN" sz="1100" b="1" baseline="0"/>
            <a:t> used:</a:t>
          </a:r>
          <a:endParaRPr lang="en-IN" sz="1100" b="1"/>
        </a:p>
        <a:p>
          <a:r>
            <a:rPr lang="en-IN" sz="1100"/>
            <a:t>To calculate Engagement Rate -   (F2+ G2 + H2) / I2</a:t>
          </a:r>
        </a:p>
      </xdr:txBody>
    </xdr:sp>
    <xdr:clientData/>
  </xdr:oneCellAnchor>
  <xdr:oneCellAnchor>
    <xdr:from>
      <xdr:col>16</xdr:col>
      <xdr:colOff>0</xdr:colOff>
      <xdr:row>1</xdr:row>
      <xdr:rowOff>0</xdr:rowOff>
    </xdr:from>
    <xdr:ext cx="3272118" cy="82923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596795-240B-4B2D-8500-2550526F1E6B}"/>
            </a:ext>
          </a:extLst>
        </xdr:cNvPr>
        <xdr:cNvSpPr txBox="1"/>
      </xdr:nvSpPr>
      <xdr:spPr>
        <a:xfrm>
          <a:off x="7765676" y="201706"/>
          <a:ext cx="3272118" cy="8292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Criteria</a:t>
          </a:r>
          <a:r>
            <a:rPr lang="en-IN" sz="1100">
              <a:solidFill>
                <a:sysClr val="windowText" lastClr="000000"/>
              </a:solidFill>
            </a:rPr>
            <a:t>:</a:t>
          </a:r>
          <a:endParaRPr lang="en-IN" sz="11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</a:t>
          </a:r>
          <a:r>
            <a:rPr lang="en-IN" sz="1100" b="0" i="0" u="none" strike="noStrike" baseline="0">
              <a:latin typeface="Arial" panose="020B0604020202020204" pitchFamily="34" charset="0"/>
            </a:rPr>
            <a:t>Calculate Engagement Rate per platform: </a:t>
          </a:r>
        </a:p>
        <a:p>
          <a:r>
            <a:rPr lang="en-IN" sz="1050" b="0" i="0" u="none" strike="noStrike" baseline="0">
              <a:latin typeface="Arial" panose="020B0604020202020204" pitchFamily="34" charset="0"/>
            </a:rPr>
            <a:t>    (Likes + Comments + Shares) / Impressions 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16</xdr:col>
      <xdr:colOff>8965</xdr:colOff>
      <xdr:row>7</xdr:row>
      <xdr:rowOff>11207</xdr:rowOff>
    </xdr:from>
    <xdr:ext cx="8145243" cy="100852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913BFB-B792-470B-8DC9-FFB6514F7068}"/>
            </a:ext>
          </a:extLst>
        </xdr:cNvPr>
        <xdr:cNvSpPr txBox="1"/>
      </xdr:nvSpPr>
      <xdr:spPr>
        <a:xfrm>
          <a:off x="7774641" y="1423148"/>
          <a:ext cx="8145243" cy="100852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Steps</a:t>
          </a:r>
          <a:r>
            <a:rPr lang="en-IN" sz="1600" baseline="0">
              <a:solidFill>
                <a:sysClr val="windowText" lastClr="000000"/>
              </a:solidFill>
            </a:rPr>
            <a:t> Taken</a:t>
          </a:r>
          <a:r>
            <a:rPr lang="en-IN" sz="1100">
              <a:solidFill>
                <a:sysClr val="windowText" lastClr="000000"/>
              </a:solidFill>
            </a:rPr>
            <a:t>:</a:t>
          </a:r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Engagement Column is added and calculated engagement rate using Sum function which calculates rate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using given formula.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</a:p>
        <a:p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16</xdr:col>
      <xdr:colOff>0</xdr:colOff>
      <xdr:row>17</xdr:row>
      <xdr:rowOff>0</xdr:rowOff>
    </xdr:from>
    <xdr:ext cx="8145243" cy="108697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8E263D-34D1-44EA-AA1B-FAFDC0175C17}"/>
            </a:ext>
          </a:extLst>
        </xdr:cNvPr>
        <xdr:cNvSpPr txBox="1"/>
      </xdr:nvSpPr>
      <xdr:spPr>
        <a:xfrm>
          <a:off x="7765676" y="3429000"/>
          <a:ext cx="8145243" cy="1086971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After calculating Engagement rate we can calculate or identify the post or platform through which we have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gain the most engagement from the users.</a:t>
          </a:r>
          <a:endParaRPr kumimoji="0" lang="en-IN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5601</xdr:colOff>
      <xdr:row>1</xdr:row>
      <xdr:rowOff>191619</xdr:rowOff>
    </xdr:from>
    <xdr:to>
      <xdr:col>29</xdr:col>
      <xdr:colOff>336175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5EC22-7ECE-4CFC-82BA-60D2687C1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571500</xdr:colOff>
      <xdr:row>23</xdr:row>
      <xdr:rowOff>179294</xdr:rowOff>
    </xdr:from>
    <xdr:ext cx="8145243" cy="62752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B230A7-AE8B-41F6-8433-E5000DC8BB14}"/>
            </a:ext>
          </a:extLst>
        </xdr:cNvPr>
        <xdr:cNvSpPr txBox="1"/>
      </xdr:nvSpPr>
      <xdr:spPr>
        <a:xfrm>
          <a:off x="7776882" y="4818529"/>
          <a:ext cx="8145243" cy="62752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Conclusion:</a:t>
          </a:r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 Engagement rate in Twitter is higher compared to Instagram then followed by YouTube</a:t>
          </a:r>
        </a:p>
        <a:p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17</xdr:col>
      <xdr:colOff>11206</xdr:colOff>
      <xdr:row>17</xdr:row>
      <xdr:rowOff>11207</xdr:rowOff>
    </xdr:from>
    <xdr:ext cx="8145243" cy="99732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58DB0E-321C-42EE-9681-2524C9A221E2}"/>
            </a:ext>
          </a:extLst>
        </xdr:cNvPr>
        <xdr:cNvSpPr txBox="1"/>
      </xdr:nvSpPr>
      <xdr:spPr>
        <a:xfrm>
          <a:off x="7799294" y="3440207"/>
          <a:ext cx="8145243" cy="9973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Steps</a:t>
          </a:r>
          <a:r>
            <a:rPr lang="en-IN" sz="1600" baseline="0">
              <a:solidFill>
                <a:sysClr val="windowText" lastClr="000000"/>
              </a:solidFill>
            </a:rPr>
            <a:t> Taken</a:t>
          </a:r>
          <a:r>
            <a:rPr lang="en-IN" sz="1100">
              <a:solidFill>
                <a:sysClr val="windowText" lastClr="000000"/>
              </a:solidFill>
            </a:rPr>
            <a:t>: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Created Pivot table and Pivot Chart for Dashboard for better visualisation.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314</xdr:row>
      <xdr:rowOff>3201</xdr:rowOff>
    </xdr:from>
    <xdr:ext cx="8145243" cy="8484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86B017-AF84-4609-B446-803F33F7BBB5}"/>
            </a:ext>
          </a:extLst>
        </xdr:cNvPr>
        <xdr:cNvSpPr txBox="1"/>
      </xdr:nvSpPr>
      <xdr:spPr>
        <a:xfrm>
          <a:off x="885265" y="4844142"/>
          <a:ext cx="8145243" cy="84844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Conclusion:</a:t>
          </a:r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 We can post that generated maximum engagement rate and we can know under which content type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and hashtag. </a:t>
          </a:r>
        </a:p>
        <a:p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0</xdr:col>
      <xdr:colOff>876461</xdr:colOff>
      <xdr:row>308</xdr:row>
      <xdr:rowOff>11206</xdr:rowOff>
    </xdr:from>
    <xdr:ext cx="8145243" cy="99732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70D9F5-698C-4DCC-90B5-60B77DE44F97}"/>
            </a:ext>
          </a:extLst>
        </xdr:cNvPr>
        <xdr:cNvSpPr txBox="1"/>
      </xdr:nvSpPr>
      <xdr:spPr>
        <a:xfrm>
          <a:off x="876461" y="3641912"/>
          <a:ext cx="8145243" cy="9973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Steps</a:t>
          </a:r>
          <a:r>
            <a:rPr lang="en-IN" sz="1600" baseline="0">
              <a:solidFill>
                <a:sysClr val="windowText" lastClr="000000"/>
              </a:solidFill>
            </a:rPr>
            <a:t> Taken</a:t>
          </a:r>
          <a:r>
            <a:rPr lang="en-IN" sz="1100">
              <a:solidFill>
                <a:sysClr val="windowText" lastClr="000000"/>
              </a:solidFill>
            </a:rPr>
            <a:t>: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Using Data Validation filtered out the top 10 Post by Engagement Rate and also sorted in Descending order.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Also converted engagement ratio into percentage type format.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885264</xdr:colOff>
      <xdr:row>303</xdr:row>
      <xdr:rowOff>0</xdr:rowOff>
    </xdr:from>
    <xdr:ext cx="4471147" cy="82923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9F5D747-86EA-4BEB-B623-0A6927FBF16C}"/>
            </a:ext>
          </a:extLst>
        </xdr:cNvPr>
        <xdr:cNvSpPr txBox="1"/>
      </xdr:nvSpPr>
      <xdr:spPr>
        <a:xfrm>
          <a:off x="885264" y="2622176"/>
          <a:ext cx="4471147" cy="8292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Criteria</a:t>
          </a:r>
          <a:r>
            <a:rPr lang="en-IN" sz="1100">
              <a:solidFill>
                <a:sysClr val="windowText" lastClr="000000"/>
              </a:solidFill>
            </a:rPr>
            <a:t>:</a:t>
          </a:r>
          <a:endParaRPr lang="en-IN" sz="11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</a:t>
          </a:r>
          <a:r>
            <a:rPr lang="en-IN" sz="1400" b="0" i="0" u="none" strike="noStrike" baseline="0">
              <a:latin typeface="+mn-lt"/>
            </a:rPr>
            <a:t>Identify Top 10 posts by engagement rate 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8804</xdr:colOff>
      <xdr:row>24</xdr:row>
      <xdr:rowOff>180894</xdr:rowOff>
    </xdr:from>
    <xdr:ext cx="8145243" cy="1411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79C124-F1BF-4B72-A72D-984272BC32EC}"/>
            </a:ext>
          </a:extLst>
        </xdr:cNvPr>
        <xdr:cNvSpPr txBox="1"/>
      </xdr:nvSpPr>
      <xdr:spPr>
        <a:xfrm>
          <a:off x="12853947" y="5079465"/>
          <a:ext cx="8145243" cy="141114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Conclusion:</a:t>
          </a:r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 We can see from Pivot table that for different content type all three platform is highly engaging the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users through like,share and comment. 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</a:t>
          </a:r>
          <a:r>
            <a:rPr lang="en-IN" sz="1400" b="1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For Reel-YouTube, Story- Twitter, Text-Instagram.</a:t>
          </a:r>
        </a:p>
      </xdr:txBody>
    </xdr:sp>
    <xdr:clientData/>
  </xdr:oneCellAnchor>
  <xdr:oneCellAnchor>
    <xdr:from>
      <xdr:col>17</xdr:col>
      <xdr:colOff>0</xdr:colOff>
      <xdr:row>18</xdr:row>
      <xdr:rowOff>203307</xdr:rowOff>
    </xdr:from>
    <xdr:ext cx="8145243" cy="99732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54F278-5795-42FF-B14D-252E2E5ECC53}"/>
            </a:ext>
          </a:extLst>
        </xdr:cNvPr>
        <xdr:cNvSpPr txBox="1"/>
      </xdr:nvSpPr>
      <xdr:spPr>
        <a:xfrm>
          <a:off x="12845143" y="3877236"/>
          <a:ext cx="8145243" cy="9973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Steps</a:t>
          </a:r>
          <a:r>
            <a:rPr lang="en-IN" sz="1600" baseline="0">
              <a:solidFill>
                <a:sysClr val="windowText" lastClr="000000"/>
              </a:solidFill>
            </a:rPr>
            <a:t> Taken</a:t>
          </a:r>
          <a:r>
            <a:rPr lang="en-IN" sz="1100">
              <a:solidFill>
                <a:sysClr val="windowText" lastClr="000000"/>
              </a:solidFill>
            </a:rPr>
            <a:t>:</a:t>
          </a:r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Created Pivot table Under Content type and Platform column is set into Rows and Column of likes,shares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and comments is kept under values column and field values is set to Total.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8803</xdr:colOff>
      <xdr:row>14</xdr:row>
      <xdr:rowOff>0</xdr:rowOff>
    </xdr:from>
    <xdr:ext cx="5229947" cy="82923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322ED8-F4D3-4683-8201-037A3555ADF7}"/>
            </a:ext>
          </a:extLst>
        </xdr:cNvPr>
        <xdr:cNvSpPr txBox="1"/>
      </xdr:nvSpPr>
      <xdr:spPr>
        <a:xfrm>
          <a:off x="12853946" y="2857500"/>
          <a:ext cx="5229947" cy="8292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Criteria</a:t>
          </a:r>
          <a:r>
            <a:rPr lang="en-IN" sz="1100">
              <a:solidFill>
                <a:sysClr val="windowText" lastClr="000000"/>
              </a:solidFill>
            </a:rPr>
            <a:t>:</a:t>
          </a:r>
          <a:endParaRPr lang="en-IN" sz="11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</a:t>
          </a:r>
          <a:r>
            <a:rPr lang="en-IN" sz="1400" b="0" i="0" u="none" strike="noStrike" baseline="0">
              <a:latin typeface="+mn-lt"/>
            </a:rPr>
            <a:t>Create Pivot table showing total of Likes,shares and comments.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8804</xdr:colOff>
      <xdr:row>21</xdr:row>
      <xdr:rowOff>140072</xdr:rowOff>
    </xdr:from>
    <xdr:ext cx="8145243" cy="85324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115D697-B5DB-431C-80F6-499F120A6866}"/>
            </a:ext>
          </a:extLst>
        </xdr:cNvPr>
        <xdr:cNvSpPr txBox="1"/>
      </xdr:nvSpPr>
      <xdr:spPr>
        <a:xfrm>
          <a:off x="2417268" y="4140572"/>
          <a:ext cx="8145243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</a:t>
          </a:r>
          <a:r>
            <a:rPr lang="en-IN" sz="1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#SpotifyWrapped being the most engaged hastag by users across Social Media</a:t>
          </a:r>
          <a:r>
            <a:rPr lang="en-IN" sz="1400" b="0" i="0" u="none" strike="noStrike">
              <a:solidFill>
                <a:sysClr val="windowText" lastClr="000000"/>
              </a:solidFill>
              <a:effectLst/>
              <a:latin typeface="+mn-lt"/>
            </a:rPr>
            <a:t>.</a:t>
          </a:r>
          <a:endParaRPr kumimoji="0" lang="en-IN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15</xdr:col>
      <xdr:colOff>0</xdr:colOff>
      <xdr:row>15</xdr:row>
      <xdr:rowOff>80843</xdr:rowOff>
    </xdr:from>
    <xdr:ext cx="8145243" cy="99732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AF70C7E-80B2-479F-9B95-2FA97CC3FFCA}"/>
            </a:ext>
          </a:extLst>
        </xdr:cNvPr>
        <xdr:cNvSpPr txBox="1"/>
      </xdr:nvSpPr>
      <xdr:spPr>
        <a:xfrm>
          <a:off x="2408464" y="2938343"/>
          <a:ext cx="8145243" cy="997322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</a:t>
          </a: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lang="en-IN" sz="1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Unified the column into Power Query for each separate columns of Hastags into single column</a:t>
          </a:r>
          <a:r>
            <a:rPr lang="en-IN" sz="1400" b="0" i="0" u="none" strike="noStrike">
              <a:solidFill>
                <a:sysClr val="windowText" lastClr="000000"/>
              </a:solidFill>
              <a:effectLst/>
              <a:latin typeface="+mn-lt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</a:t>
          </a: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cs typeface="+mn-cs"/>
            </a:rPr>
            <a:t>Created Pivot Table from the table loaded from the Power Query.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15</xdr:col>
      <xdr:colOff>8803</xdr:colOff>
      <xdr:row>10</xdr:row>
      <xdr:rowOff>13607</xdr:rowOff>
    </xdr:from>
    <xdr:ext cx="5229947" cy="82923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CCED66E-C11F-41B7-A6A3-1CF5389262B4}"/>
            </a:ext>
          </a:extLst>
        </xdr:cNvPr>
        <xdr:cNvSpPr txBox="1"/>
      </xdr:nvSpPr>
      <xdr:spPr>
        <a:xfrm>
          <a:off x="2417267" y="1918607"/>
          <a:ext cx="5229947" cy="829235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</a:t>
          </a: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:</a:t>
          </a: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Create Pivot table showing total of Likes,shares and comments.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1228004</xdr:colOff>
      <xdr:row>22</xdr:row>
      <xdr:rowOff>104613</xdr:rowOff>
    </xdr:from>
    <xdr:ext cx="8401771" cy="8532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CF5A5-A774-4CF9-B07C-1DAE1051EF76}"/>
            </a:ext>
          </a:extLst>
        </xdr:cNvPr>
        <xdr:cNvSpPr txBox="1"/>
      </xdr:nvSpPr>
      <xdr:spPr>
        <a:xfrm>
          <a:off x="3020945" y="4295613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</a:t>
          </a:r>
          <a:r>
            <a:rPr lang="en-IN" sz="1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#SpotifyWrapped being the most engaged hastag by users across Social Media according to ranking</a:t>
          </a:r>
          <a:r>
            <a:rPr lang="en-IN" sz="1400" b="0" i="0" u="none" strike="noStrike" baseline="0">
              <a:solidFill>
                <a:srgbClr val="000000"/>
              </a:solidFill>
              <a:effectLst/>
              <a:latin typeface="Calibri" panose="020F0502020204030204" pitchFamily="34" charset="0"/>
            </a:rPr>
            <a:t> formula.</a:t>
          </a:r>
          <a:endParaRPr kumimoji="0" lang="en-IN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14</xdr:col>
      <xdr:colOff>1241612</xdr:colOff>
      <xdr:row>14</xdr:row>
      <xdr:rowOff>20732</xdr:rowOff>
    </xdr:from>
    <xdr:ext cx="8145243" cy="80850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9AAD84-E0F5-4C71-BD54-E8E2073A7C19}"/>
            </a:ext>
          </a:extLst>
        </xdr:cNvPr>
        <xdr:cNvSpPr txBox="1"/>
      </xdr:nvSpPr>
      <xdr:spPr>
        <a:xfrm>
          <a:off x="3034553" y="2687732"/>
          <a:ext cx="8145243" cy="808504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lang="en-IN" sz="1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Used Ranking formula to rank the hastags among</a:t>
          </a:r>
          <a:r>
            <a:rPr lang="en-IN" sz="1400" b="0" i="0" u="none" strike="noStrike" baseline="0">
              <a:solidFill>
                <a:srgbClr val="000000"/>
              </a:solidFill>
              <a:effectLst/>
              <a:latin typeface="Calibri" panose="020F0502020204030204" pitchFamily="34" charset="0"/>
            </a:rPr>
            <a:t> other Hashtags to know it's ranking. Also Highlighted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 u="none" strike="noStrike" baseline="0">
              <a:solidFill>
                <a:srgbClr val="000000"/>
              </a:solidFill>
              <a:effectLst/>
              <a:latin typeface="Calibri" panose="020F0502020204030204" pitchFamily="34" charset="0"/>
            </a:rPr>
            <a:t>hashtags using conditional formatting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14</xdr:col>
      <xdr:colOff>1228003</xdr:colOff>
      <xdr:row>10</xdr:row>
      <xdr:rowOff>9526</xdr:rowOff>
    </xdr:from>
    <xdr:ext cx="5229947" cy="64041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26EA84-468C-46C3-98FE-708A3679966E}"/>
            </a:ext>
          </a:extLst>
        </xdr:cNvPr>
        <xdr:cNvSpPr txBox="1"/>
      </xdr:nvSpPr>
      <xdr:spPr>
        <a:xfrm>
          <a:off x="3020944" y="1914526"/>
          <a:ext cx="5229947" cy="640416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</a:t>
          </a: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Top Performing hashtags using ranking formulas</a:t>
          </a:r>
        </a:p>
      </xdr:txBody>
    </xdr:sp>
    <xdr:clientData/>
  </xdr:oneCellAnchor>
  <xdr:oneCellAnchor>
    <xdr:from>
      <xdr:col>14</xdr:col>
      <xdr:colOff>1240492</xdr:colOff>
      <xdr:row>19</xdr:row>
      <xdr:rowOff>35298</xdr:rowOff>
    </xdr:from>
    <xdr:ext cx="3843937" cy="4993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D3D405-2C46-45B2-9DEE-24F490BF1605}"/>
            </a:ext>
          </a:extLst>
        </xdr:cNvPr>
        <xdr:cNvSpPr txBox="1"/>
      </xdr:nvSpPr>
      <xdr:spPr>
        <a:xfrm>
          <a:off x="3033433" y="3654798"/>
          <a:ext cx="3843937" cy="499367"/>
        </a:xfrm>
        <a:prstGeom prst="rect">
          <a:avLst/>
        </a:prstGeom>
        <a:solidFill>
          <a:srgbClr val="8064A2">
            <a:lumMod val="40000"/>
            <a:lumOff val="6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Purpose/Formula used: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+mn-cs"/>
            </a:rPr>
            <a:t>To know the ranking of Hashtags - RANK(Q5,$Q$5:$Q$9,0)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6.474798263887" createdVersion="8" refreshedVersion="8" minRefreshableVersion="3" recordCount="300" xr:uid="{B6EB5FB7-C649-459C-9B91-245E0E7FC8C7}">
  <cacheSource type="worksheet">
    <worksheetSource name="Table1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tag_1" numFmtId="0">
      <sharedItems/>
    </cacheField>
    <cacheField name="Hastag_2" numFmtId="0">
      <sharedItems containsBlank="1"/>
    </cacheField>
    <cacheField name="Campaign_Name" numFmtId="0">
      <sharedItems/>
    </cacheField>
    <cacheField name="Engagement Rate" numFmtId="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6.496662500002" createdVersion="8" refreshedVersion="8" minRefreshableVersion="3" recordCount="300" xr:uid="{65ADED93-0824-41A0-873B-2A32ADF14F05}">
  <cacheSource type="worksheet">
    <worksheetSource name="Table19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tag_1" numFmtId="0">
      <sharedItems count="4">
        <s v="#SoundtrackOfLife"/>
        <s v="#DiscoverWeekly"/>
        <s v="#MusicForEveryone"/>
        <s v="#NowPlaying"/>
      </sharedItems>
    </cacheField>
    <cacheField name="Hastag_2" numFmtId="0">
      <sharedItems containsBlank="1" count="5">
        <s v="#NowPlaying"/>
        <m/>
        <s v="#SpotifyWrapped"/>
        <s v="#MusicForEveryone"/>
        <s v="#SoundtrackOfLife"/>
      </sharedItems>
    </cacheField>
    <cacheField name="Campaign_Name" numFmtId="0">
      <sharedItems/>
    </cacheField>
    <cacheField name="Engagement Rate" numFmtId="2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6.522364699071" createdVersion="8" refreshedVersion="8" minRefreshableVersion="3" recordCount="483" xr:uid="{A685588F-C66E-4787-A34E-3336B33CE3D1}">
  <cacheSource type="worksheet">
    <worksheetSource name="Table19_1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Campaign_Name" numFmtId="0">
      <sharedItems/>
    </cacheField>
    <cacheField name="Engagement Rate" numFmtId="0">
      <sharedItems containsSemiMixedTypes="0" containsString="0" containsNumber="1" minValue="2.50275284149232E-2" maxValue="0.26064752360763155"/>
    </cacheField>
    <cacheField name="Hastag" numFmtId="0">
      <sharedItems count="5">
        <s v="#SoundtrackOfLife"/>
        <s v="#NowPlaying"/>
        <s v="#DiscoverWeekly"/>
        <s v="#MusicForEveryone"/>
        <s v="#SpotifyWrap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s v="Text"/>
    <s v="Discover fresh beats on Spotify!"/>
    <n v="2414"/>
    <n v="245"/>
    <n v="137"/>
    <n v="21181"/>
    <n v="45292"/>
    <n v="133"/>
    <s v="#SoundtrackOfLife"/>
    <s v="#NowPlaying"/>
    <s v="ChillVibes"/>
    <n v="0.13200509890939993"/>
  </r>
  <r>
    <s v="SP002"/>
    <x v="0"/>
    <d v="2025-02-01T00:00:00"/>
    <s v="Text"/>
    <s v="Explore the latest podcasts now."/>
    <n v="1934"/>
    <n v="210"/>
    <n v="393"/>
    <n v="29129"/>
    <n v="73287"/>
    <n v="273"/>
    <s v="#DiscoverWeekly"/>
    <m/>
    <s v="IndieWave"/>
    <n v="8.7095334546328396E-2"/>
  </r>
  <r>
    <s v="SP003"/>
    <x v="1"/>
    <d v="2024-12-03T00:00:00"/>
    <s v="Story"/>
    <s v="New music just dropped. Hit play!"/>
    <n v="3092"/>
    <n v="177"/>
    <n v="81"/>
    <n v="47533"/>
    <n v="29220"/>
    <n v="121"/>
    <s v="#MusicForEveryone"/>
    <s v="#NowPlaying"/>
    <s v="ChillVibes"/>
    <n v="7.0477352576105018E-2"/>
  </r>
  <r>
    <s v="SP004"/>
    <x v="0"/>
    <d v="2024-12-03T00:00:00"/>
    <s v="Text"/>
    <s v="Wrapped is here! Relive your top tracks"/>
    <n v="3173"/>
    <n v="229"/>
    <n v="197"/>
    <n v="29604"/>
    <n v="21809"/>
    <n v="272"/>
    <s v="#SoundtrackOfLife"/>
    <s v="#NowPlaying"/>
    <s v="ChillVibes"/>
    <n v="0.1215714092690177"/>
  </r>
  <r>
    <s v="SP005"/>
    <x v="2"/>
    <d v="2024-04-06T00:00:00"/>
    <s v="Text"/>
    <s v="Music that moves you only on Spotify."/>
    <n v="2748"/>
    <n v="145"/>
    <n v="315"/>
    <n v="24401"/>
    <n v="61182"/>
    <n v="200"/>
    <s v="#DiscoverWeekly"/>
    <s v="#SpotifyWrapped"/>
    <s v="IndieWave"/>
    <n v="0.1314700217204213"/>
  </r>
  <r>
    <s v="SP006"/>
    <x v="2"/>
    <d v="2024-06-13T00:00:00"/>
    <s v="Text"/>
    <s v="Whats your vibe today?"/>
    <n v="3882"/>
    <n v="239"/>
    <n v="275"/>
    <n v="58748"/>
    <n v="44646"/>
    <n v="149"/>
    <s v="#DiscoverWeekly"/>
    <s v="#SpotifyWrapped"/>
    <s v="IndieWave"/>
    <n v="7.4828079253761837E-2"/>
  </r>
  <r>
    <s v="SP007"/>
    <x v="1"/>
    <d v="2024-12-19T00:00:00"/>
    <s v="Story"/>
    <s v="Get into the groove with our new drop!"/>
    <n v="4674"/>
    <n v="409"/>
    <n v="327"/>
    <n v="20756"/>
    <n v="63599"/>
    <n v="212"/>
    <s v="#SoundtrackOfLife"/>
    <s v="#NowPlaying"/>
    <s v="ChillVibes"/>
    <n v="0.26064752360763155"/>
  </r>
  <r>
    <s v="SP008"/>
    <x v="1"/>
    <d v="2024-05-09T00:00:00"/>
    <s v="Story"/>
    <s v="Wrapped is here! Relive your top tracks"/>
    <n v="1428"/>
    <n v="347"/>
    <n v="67"/>
    <n v="21148"/>
    <n v="19712"/>
    <n v="120"/>
    <s v="#DiscoverWeekly"/>
    <s v="#MusicForEveryone"/>
    <s v="ChillVibes"/>
    <n v="8.7100435029317191E-2"/>
  </r>
  <r>
    <s v="SP009"/>
    <x v="1"/>
    <d v="2025-06-15T00:00:00"/>
    <s v="Text"/>
    <s v="Top trending tracks updated daily!"/>
    <n v="4432"/>
    <n v="223"/>
    <n v="299"/>
    <n v="59016"/>
    <n v="21742"/>
    <n v="171"/>
    <s v="#NowPlaying"/>
    <m/>
    <s v="ChillVibes"/>
    <n v="8.3943337400027115E-2"/>
  </r>
  <r>
    <s v="SP010"/>
    <x v="1"/>
    <d v="2024-12-04T00:00:00"/>
    <s v="Text"/>
    <s v="Wrapped is here! Relive your top tracks"/>
    <n v="2357"/>
    <n v="274"/>
    <n v="172"/>
    <n v="21566"/>
    <n v="66829"/>
    <n v="284"/>
    <s v="#NowPlaying"/>
    <m/>
    <s v="ChillVibes"/>
    <n v="0.12997310581470833"/>
  </r>
  <r>
    <s v="SP011"/>
    <x v="1"/>
    <d v="2024-03-06T00:00:00"/>
    <s v="Text"/>
    <s v="Discover fresh beats on Spotify!"/>
    <n v="1971"/>
    <n v="370"/>
    <n v="306"/>
    <n v="31316"/>
    <n v="27897"/>
    <n v="88"/>
    <s v="#SoundtrackOfLife"/>
    <m/>
    <s v="IndieWave"/>
    <n v="8.4525482181632389E-2"/>
  </r>
  <r>
    <s v="SP012"/>
    <x v="0"/>
    <d v="2024-05-14T00:00:00"/>
    <s v="Text"/>
    <s v="Discover fresh beats on Spotify!"/>
    <n v="1485"/>
    <n v="353"/>
    <n v="244"/>
    <n v="38419"/>
    <n v="38556"/>
    <n v="86"/>
    <s v="#SoundtrackOfLife"/>
    <s v="#NowPlaying"/>
    <s v="ChillVibes"/>
    <n v="5.4191936281527367E-2"/>
  </r>
  <r>
    <s v="SP013"/>
    <x v="1"/>
    <d v="2025-06-18T00:00:00"/>
    <s v="Story"/>
    <s v="Discover fresh beats on Spotify!"/>
    <n v="3956"/>
    <n v="319"/>
    <n v="61"/>
    <n v="58162"/>
    <n v="28720"/>
    <n v="213"/>
    <s v="#MusicForEveryone"/>
    <s v="#NowPlaying"/>
    <s v="ChillVibes"/>
    <n v="7.4550393727863554E-2"/>
  </r>
  <r>
    <s v="SP014"/>
    <x v="1"/>
    <d v="2024-10-08T00:00:00"/>
    <s v="Text"/>
    <s v="From pop to podcasts, its all here."/>
    <n v="2460"/>
    <n v="409"/>
    <n v="253"/>
    <n v="36702"/>
    <n v="46122"/>
    <n v="264"/>
    <s v="#NowPlaying"/>
    <m/>
    <s v="ChillVibes"/>
    <n v="8.5063484278785892E-2"/>
  </r>
  <r>
    <s v="SP015"/>
    <x v="1"/>
    <d v="2024-05-06T00:00:00"/>
    <s v="Text"/>
    <s v="Your weekend playlist is waiting."/>
    <n v="3476"/>
    <n v="355"/>
    <n v="396"/>
    <n v="37492"/>
    <n v="27285"/>
    <n v="179"/>
    <s v="#NowPlaying"/>
    <m/>
    <s v="ChillVibes"/>
    <n v="0.11274405206444041"/>
  </r>
  <r>
    <s v="SP016"/>
    <x v="1"/>
    <d v="2024-12-29T00:00:00"/>
    <s v="Story"/>
    <s v="New music just dropped. Hit play!"/>
    <n v="4049"/>
    <n v="377"/>
    <n v="94"/>
    <n v="48182"/>
    <n v="42875"/>
    <n v="172"/>
    <s v="#MusicForEveryone"/>
    <s v="#NowPlaying"/>
    <s v="ChillVibes"/>
    <n v="9.3810966751068869E-2"/>
  </r>
  <r>
    <s v="SP017"/>
    <x v="1"/>
    <d v="2024-06-10T00:00:00"/>
    <s v="Text"/>
    <s v="Whats your vibe today?"/>
    <n v="1514"/>
    <n v="164"/>
    <n v="275"/>
    <n v="41364"/>
    <n v="44389"/>
    <n v="83"/>
    <s v="#NowPlaying"/>
    <m/>
    <s v="ChillVibes"/>
    <n v="4.7214969538729328E-2"/>
  </r>
  <r>
    <s v="SP018"/>
    <x v="0"/>
    <d v="2024-02-03T00:00:00"/>
    <s v="Story"/>
    <s v="Music that moves you only on Spotify."/>
    <n v="4281"/>
    <n v="101"/>
    <n v="163"/>
    <n v="32278"/>
    <n v="53382"/>
    <n v="235"/>
    <s v="#NowPlaying"/>
    <m/>
    <s v="Wrapped2024"/>
    <n v="0.1408079806679472"/>
  </r>
  <r>
    <s v="SP019"/>
    <x v="2"/>
    <d v="2024-06-15T00:00:00"/>
    <s v="Reel"/>
    <s v="Get into the groove with our new drop!"/>
    <n v="1751"/>
    <n v="143"/>
    <n v="151"/>
    <n v="31826"/>
    <n v="47729"/>
    <n v="95"/>
    <s v="#DiscoverWeekly"/>
    <s v="#SoundtrackOfLife"/>
    <s v="SummerBeats"/>
    <n v="6.4255640042732362E-2"/>
  </r>
  <r>
    <s v="SP020"/>
    <x v="0"/>
    <d v="2024-07-05T00:00:00"/>
    <s v="Text"/>
    <s v="Your weekend playlist is waiting."/>
    <n v="3753"/>
    <n v="411"/>
    <n v="308"/>
    <n v="29138"/>
    <n v="27678"/>
    <n v="90"/>
    <s v="#DiscoverWeekly"/>
    <m/>
    <s v="IndieWave"/>
    <n v="0.15347655981879332"/>
  </r>
  <r>
    <s v="SP021"/>
    <x v="0"/>
    <d v="2024-11-07T00:00:00"/>
    <s v="Story"/>
    <s v="Wrapped is here! Relive your top tracks"/>
    <n v="1678"/>
    <n v="423"/>
    <n v="323"/>
    <n v="55668"/>
    <n v="37945"/>
    <n v="230"/>
    <s v="#NowPlaying"/>
    <m/>
    <s v="Wrapped2024"/>
    <n v="4.3543867212761371E-2"/>
  </r>
  <r>
    <s v="SP022"/>
    <x v="0"/>
    <d v="2025-06-15T00:00:00"/>
    <s v="Text"/>
    <s v="Whats your vibe today?"/>
    <n v="4896"/>
    <n v="466"/>
    <n v="233"/>
    <n v="28621"/>
    <n v="34270"/>
    <n v="84"/>
    <s v="#SoundtrackOfLife"/>
    <s v="#NowPlaying"/>
    <s v="ChillVibes"/>
    <n v="0.19548583208133888"/>
  </r>
  <r>
    <s v="SP023"/>
    <x v="2"/>
    <d v="2024-06-09T00:00:00"/>
    <s v="Reel"/>
    <s v="From pop to podcasts, its all here."/>
    <n v="2786"/>
    <n v="368"/>
    <n v="208"/>
    <n v="42000"/>
    <n v="39967"/>
    <n v="103"/>
    <s v="#DiscoverWeekly"/>
    <s v="#SoundtrackOfLife"/>
    <s v="SummerBeats"/>
    <n v="8.0047619047619048E-2"/>
  </r>
  <r>
    <s v="SP024"/>
    <x v="1"/>
    <d v="2024-10-18T00:00:00"/>
    <s v="Text"/>
    <s v="New music just dropped. Hit play!"/>
    <n v="2607"/>
    <n v="379"/>
    <n v="180"/>
    <n v="28712"/>
    <n v="61620"/>
    <n v="174"/>
    <s v="#SoundtrackOfLife"/>
    <m/>
    <s v="IndieWave"/>
    <n v="0.11026748397882419"/>
  </r>
  <r>
    <s v="SP025"/>
    <x v="2"/>
    <d v="2024-10-10T00:00:00"/>
    <s v="Reel"/>
    <s v="From pop to podcasts, its all here."/>
    <n v="4013"/>
    <n v="320"/>
    <n v="92"/>
    <n v="54605"/>
    <n v="60169"/>
    <n v="232"/>
    <s v="#DiscoverWeekly"/>
    <s v="#SoundtrackOfLife"/>
    <s v="SummerBeats"/>
    <n v="8.1036535115831879E-2"/>
  </r>
  <r>
    <s v="SP026"/>
    <x v="1"/>
    <d v="2025-05-14T00:00:00"/>
    <s v="Story"/>
    <s v="From pop to podcasts, its all here."/>
    <n v="2707"/>
    <n v="103"/>
    <n v="51"/>
    <n v="55302"/>
    <n v="18801"/>
    <n v="147"/>
    <s v="#DiscoverWeekly"/>
    <s v="#MusicForEveryone"/>
    <s v="ChillVibes"/>
    <n v="5.173411449857148E-2"/>
  </r>
  <r>
    <s v="SP027"/>
    <x v="0"/>
    <d v="2024-11-29T00:00:00"/>
    <s v="Text"/>
    <s v="Whats your vibe today?"/>
    <n v="2824"/>
    <n v="425"/>
    <n v="274"/>
    <n v="31004"/>
    <n v="53488"/>
    <n v="268"/>
    <s v="#SoundtrackOfLife"/>
    <s v="#NowPlaying"/>
    <s v="ChillVibes"/>
    <n v="0.11363049929041415"/>
  </r>
  <r>
    <s v="SP028"/>
    <x v="2"/>
    <d v="2024-03-05T00:00:00"/>
    <s v="Reel"/>
    <s v="Explore the latest podcasts now."/>
    <n v="3558"/>
    <n v="314"/>
    <n v="199"/>
    <n v="49612"/>
    <n v="53929"/>
    <n v="206"/>
    <s v="#DiscoverWeekly"/>
    <s v="#SoundtrackOfLife"/>
    <s v="SummerBeats"/>
    <n v="8.205676046117874E-2"/>
  </r>
  <r>
    <s v="SP029"/>
    <x v="1"/>
    <d v="2025-03-18T00:00:00"/>
    <s v="Story"/>
    <s v="Explore the latest podcasts now."/>
    <n v="3418"/>
    <n v="188"/>
    <n v="387"/>
    <n v="57431"/>
    <n v="36933"/>
    <n v="202"/>
    <s v="#MusicForEveryone"/>
    <s v="#NowPlaying"/>
    <s v="ChillVibes"/>
    <n v="6.9526910553533799E-2"/>
  </r>
  <r>
    <s v="SP030"/>
    <x v="1"/>
    <d v="2025-04-26T00:00:00"/>
    <s v="Text"/>
    <s v="Discover fresh beats on Spotify!"/>
    <n v="2411"/>
    <n v="194"/>
    <n v="168"/>
    <n v="26665"/>
    <n v="71699"/>
    <n v="197"/>
    <s v="#NowPlaying"/>
    <m/>
    <s v="ChillVibes"/>
    <n v="0.10399399962497656"/>
  </r>
  <r>
    <s v="SP031"/>
    <x v="0"/>
    <d v="2025-01-01T00:00:00"/>
    <s v="Text"/>
    <s v="New music just dropped. Hit play!"/>
    <n v="4036"/>
    <n v="112"/>
    <n v="382"/>
    <n v="56284"/>
    <n v="29440"/>
    <n v="279"/>
    <s v="#SoundtrackOfLife"/>
    <s v="#NowPlaying"/>
    <s v="ChillVibes"/>
    <n v="8.0484684812735408E-2"/>
  </r>
  <r>
    <s v="SP032"/>
    <x v="1"/>
    <d v="2024-05-07T00:00:00"/>
    <s v="Story"/>
    <s v="Explore the latest podcasts now."/>
    <n v="2776"/>
    <n v="307"/>
    <n v="178"/>
    <n v="43365"/>
    <n v="48408"/>
    <n v="138"/>
    <s v="#SoundtrackOfLife"/>
    <s v="#NowPlaying"/>
    <s v="ChillVibes"/>
    <n v="7.519889311656866E-2"/>
  </r>
  <r>
    <s v="SP033"/>
    <x v="1"/>
    <d v="2024-10-09T00:00:00"/>
    <s v="Story"/>
    <s v="Discover fresh beats on Spotify!"/>
    <n v="4929"/>
    <n v="182"/>
    <n v="95"/>
    <n v="32181"/>
    <n v="31084"/>
    <n v="289"/>
    <s v="#DiscoverWeekly"/>
    <s v="#MusicForEveryone"/>
    <s v="ChillVibes"/>
    <n v="0.16177247444144061"/>
  </r>
  <r>
    <s v="SP034"/>
    <x v="0"/>
    <d v="2025-01-09T00:00:00"/>
    <s v="Text"/>
    <s v="New music just dropped. Hit play!"/>
    <n v="1015"/>
    <n v="366"/>
    <n v="308"/>
    <n v="38127"/>
    <n v="63790"/>
    <n v="287"/>
    <s v="#SoundtrackOfLife"/>
    <s v="#NowPlaying"/>
    <s v="ChillVibes"/>
    <n v="4.4299315445747112E-2"/>
  </r>
  <r>
    <s v="SP035"/>
    <x v="1"/>
    <d v="2025-05-08T00:00:00"/>
    <s v="Story"/>
    <s v="Your weekend playlist is waiting."/>
    <n v="3316"/>
    <n v="332"/>
    <n v="268"/>
    <n v="40095"/>
    <n v="36913"/>
    <n v="265"/>
    <s v="#MusicForEveryone"/>
    <s v="#NowPlaying"/>
    <s v="ChillVibes"/>
    <n v="9.7668038408779148E-2"/>
  </r>
  <r>
    <s v="SP036"/>
    <x v="0"/>
    <d v="2024-05-04T00:00:00"/>
    <s v="Text"/>
    <s v="Wrapped is here! Relive your top tracks"/>
    <n v="2274"/>
    <n v="243"/>
    <n v="222"/>
    <n v="43066"/>
    <n v="59174"/>
    <n v="80"/>
    <s v="#DiscoverWeekly"/>
    <m/>
    <s v="IndieWave"/>
    <n v="6.3600055728416843E-2"/>
  </r>
  <r>
    <s v="SP037"/>
    <x v="1"/>
    <d v="2025-05-27T00:00:00"/>
    <s v="Story"/>
    <s v="Explore the latest podcasts now."/>
    <n v="4095"/>
    <n v="385"/>
    <n v="400"/>
    <n v="45300"/>
    <n v="31795"/>
    <n v="80"/>
    <s v="#MusicForEveryone"/>
    <s v="#NowPlaying"/>
    <s v="ChillVibes"/>
    <n v="0.10772626931567329"/>
  </r>
  <r>
    <s v="SP038"/>
    <x v="0"/>
    <d v="2024-09-10T00:00:00"/>
    <s v="Story"/>
    <s v="New music just dropped. Hit play!"/>
    <n v="1230"/>
    <n v="309"/>
    <n v="207"/>
    <n v="44629"/>
    <n v="40699"/>
    <n v="195"/>
    <s v="#NowPlaying"/>
    <m/>
    <s v="Wrapped2024"/>
    <n v="3.9122543637545096E-2"/>
  </r>
  <r>
    <s v="SP039"/>
    <x v="0"/>
    <d v="2024-11-25T00:00:00"/>
    <s v="Text"/>
    <s v="From pop to podcasts, its all here."/>
    <n v="1341"/>
    <n v="472"/>
    <n v="238"/>
    <n v="51386"/>
    <n v="51706"/>
    <n v="133"/>
    <s v="#DiscoverWeekly"/>
    <m/>
    <s v="IndieWave"/>
    <n v="3.9913595142645857E-2"/>
  </r>
  <r>
    <s v="SP040"/>
    <x v="1"/>
    <d v="2025-06-10T00:00:00"/>
    <s v="Text"/>
    <s v="Explore the latest podcasts now."/>
    <n v="3615"/>
    <n v="192"/>
    <n v="162"/>
    <n v="27492"/>
    <n v="35341"/>
    <n v="125"/>
    <s v="#NowPlaying"/>
    <m/>
    <s v="ChillVibes"/>
    <n v="0.14436927106067218"/>
  </r>
  <r>
    <s v="SP041"/>
    <x v="0"/>
    <d v="2024-04-19T00:00:00"/>
    <s v="Text"/>
    <s v="New music just dropped. Hit play!"/>
    <n v="4001"/>
    <n v="353"/>
    <n v="129"/>
    <n v="41265"/>
    <n v="37279"/>
    <n v="275"/>
    <s v="#SoundtrackOfLife"/>
    <s v="#NowPlaying"/>
    <s v="ChillVibes"/>
    <n v="0.10863928268508422"/>
  </r>
  <r>
    <s v="SP042"/>
    <x v="0"/>
    <d v="2025-01-26T00:00:00"/>
    <s v="Story"/>
    <s v="Whats your vibe today?"/>
    <n v="3451"/>
    <n v="363"/>
    <n v="393"/>
    <n v="44853"/>
    <n v="69032"/>
    <n v="211"/>
    <s v="#NowPlaying"/>
    <m/>
    <s v="Wrapped2024"/>
    <n v="9.379528682585335E-2"/>
  </r>
  <r>
    <s v="SP043"/>
    <x v="0"/>
    <d v="2025-02-14T00:00:00"/>
    <s v="Text"/>
    <s v="Top trending tracks updated daily!"/>
    <n v="4891"/>
    <n v="450"/>
    <n v="387"/>
    <n v="48746"/>
    <n v="37312"/>
    <n v="154"/>
    <s v="#SoundtrackOfLife"/>
    <s v="#NowPlaying"/>
    <s v="ChillVibes"/>
    <n v="0.11750707750379519"/>
  </r>
  <r>
    <s v="SP044"/>
    <x v="0"/>
    <d v="2024-09-06T00:00:00"/>
    <s v="Text"/>
    <s v="New music just dropped. Hit play!"/>
    <n v="1452"/>
    <n v="281"/>
    <n v="326"/>
    <n v="51556"/>
    <n v="62599"/>
    <n v="290"/>
    <s v="#DiscoverWeekly"/>
    <m/>
    <s v="IndieWave"/>
    <n v="3.9937155714174881E-2"/>
  </r>
  <r>
    <s v="SP045"/>
    <x v="2"/>
    <d v="2024-07-14T00:00:00"/>
    <s v="Text"/>
    <s v="Your weekend playlist is waiting."/>
    <n v="3806"/>
    <n v="114"/>
    <n v="278"/>
    <n v="36148"/>
    <n v="24209"/>
    <n v="201"/>
    <s v="#DiscoverWeekly"/>
    <s v="#SpotifyWrapped"/>
    <s v="IndieWave"/>
    <n v="0.11613367267898639"/>
  </r>
  <r>
    <s v="SP046"/>
    <x v="0"/>
    <d v="2024-02-12T00:00:00"/>
    <s v="Text"/>
    <s v="Explore the latest podcasts now."/>
    <n v="2923"/>
    <n v="330"/>
    <n v="250"/>
    <n v="23993"/>
    <n v="74590"/>
    <n v="92"/>
    <s v="#DiscoverWeekly"/>
    <m/>
    <s v="IndieWave"/>
    <n v="0.14600091693410577"/>
  </r>
  <r>
    <s v="SP047"/>
    <x v="2"/>
    <d v="2024-03-14T00:00:00"/>
    <s v="Reel"/>
    <s v="From pop to podcasts, its all here."/>
    <n v="3361"/>
    <n v="188"/>
    <n v="358"/>
    <n v="39838"/>
    <n v="24536"/>
    <n v="120"/>
    <s v="#DiscoverWeekly"/>
    <s v="#SoundtrackOfLife"/>
    <s v="SummerBeats"/>
    <n v="9.8072192379135503E-2"/>
  </r>
  <r>
    <s v="SP048"/>
    <x v="0"/>
    <d v="2025-02-05T00:00:00"/>
    <s v="Story"/>
    <s v="Music that moves you only on Spotify."/>
    <n v="3074"/>
    <n v="371"/>
    <n v="348"/>
    <n v="24104"/>
    <n v="57803"/>
    <n v="213"/>
    <s v="#NowPlaying"/>
    <m/>
    <s v="Wrapped2024"/>
    <n v="0.15735977431131762"/>
  </r>
  <r>
    <s v="SP049"/>
    <x v="1"/>
    <d v="2024-08-29T00:00:00"/>
    <s v="Story"/>
    <s v="Get into the groove with our new drop!"/>
    <n v="4276"/>
    <n v="227"/>
    <n v="223"/>
    <n v="43443"/>
    <n v="41005"/>
    <n v="191"/>
    <s v="#DiscoverWeekly"/>
    <s v="#MusicForEveryone"/>
    <s v="ChillVibes"/>
    <n v="0.1087862256289851"/>
  </r>
  <r>
    <s v="SP050"/>
    <x v="1"/>
    <d v="2025-04-22T00:00:00"/>
    <s v="Text"/>
    <s v="Discover fresh beats on Spotify!"/>
    <n v="4401"/>
    <n v="421"/>
    <n v="216"/>
    <n v="24890"/>
    <n v="54361"/>
    <n v="148"/>
    <s v="#NowPlaying"/>
    <m/>
    <s v="ChillVibes"/>
    <n v="0.20241060666934513"/>
  </r>
  <r>
    <s v="SP051"/>
    <x v="2"/>
    <d v="2024-05-13T00:00:00"/>
    <s v="Reel"/>
    <s v="Explore the latest podcasts now."/>
    <n v="4161"/>
    <n v="481"/>
    <n v="61"/>
    <n v="45884"/>
    <n v="48955"/>
    <n v="215"/>
    <s v="#DiscoverWeekly"/>
    <s v="#SoundtrackOfLife"/>
    <s v="SummerBeats"/>
    <n v="0.10249760265016128"/>
  </r>
  <r>
    <s v="SP052"/>
    <x v="1"/>
    <d v="2024-09-04T00:00:00"/>
    <s v="Story"/>
    <s v="New music just dropped. Hit play!"/>
    <n v="2613"/>
    <n v="455"/>
    <n v="228"/>
    <n v="21645"/>
    <n v="61334"/>
    <n v="261"/>
    <s v="#DiscoverWeekly"/>
    <s v="#MusicForEveryone"/>
    <s v="ChillVibes"/>
    <n v="0.15227535227535227"/>
  </r>
  <r>
    <s v="SP053"/>
    <x v="1"/>
    <d v="2024-08-12T00:00:00"/>
    <s v="Story"/>
    <s v="Whats your vibe today?"/>
    <n v="2842"/>
    <n v="213"/>
    <n v="331"/>
    <n v="57660"/>
    <n v="68606"/>
    <n v="87"/>
    <s v="#MusicForEveryone"/>
    <s v="#NowPlaying"/>
    <s v="ChillVibes"/>
    <n v="5.8723551855705859E-2"/>
  </r>
  <r>
    <s v="SP054"/>
    <x v="0"/>
    <d v="2025-03-06T00:00:00"/>
    <s v="Text"/>
    <s v="Get into the groove with our new drop!"/>
    <n v="4851"/>
    <n v="460"/>
    <n v="212"/>
    <n v="58075"/>
    <n v="59574"/>
    <n v="239"/>
    <s v="#DiscoverWeekly"/>
    <m/>
    <s v="IndieWave"/>
    <n v="9.5101162290142052E-2"/>
  </r>
  <r>
    <s v="SP055"/>
    <x v="1"/>
    <d v="2024-05-08T00:00:00"/>
    <s v="Text"/>
    <s v="Explore the latest podcasts now."/>
    <n v="1828"/>
    <n v="450"/>
    <n v="214"/>
    <n v="52115"/>
    <n v="19166"/>
    <n v="190"/>
    <s v="#NowPlaying"/>
    <m/>
    <s v="ChillVibes"/>
    <n v="4.781732706514439E-2"/>
  </r>
  <r>
    <s v="SP056"/>
    <x v="0"/>
    <d v="2025-02-19T00:00:00"/>
    <s v="Story"/>
    <s v="From pop to podcasts, its all here."/>
    <n v="2422"/>
    <n v="455"/>
    <n v="376"/>
    <n v="23428"/>
    <n v="46775"/>
    <n v="259"/>
    <s v="#NowPlaying"/>
    <m/>
    <s v="Wrapped2024"/>
    <n v="0.13885094758408742"/>
  </r>
  <r>
    <s v="SP057"/>
    <x v="0"/>
    <d v="2024-01-08T00:00:00"/>
    <s v="Text"/>
    <s v="Top trending tracks updated daily!"/>
    <n v="2683"/>
    <n v="405"/>
    <n v="223"/>
    <n v="31233"/>
    <n v="58106"/>
    <n v="291"/>
    <s v="#DiscoverWeekly"/>
    <m/>
    <s v="IndieWave"/>
    <n v="0.10600966926007749"/>
  </r>
  <r>
    <s v="SP058"/>
    <x v="2"/>
    <d v="2024-07-17T00:00:00"/>
    <s v="Text"/>
    <s v="Top trending tracks updated daily!"/>
    <n v="3135"/>
    <n v="110"/>
    <n v="215"/>
    <n v="39192"/>
    <n v="24744"/>
    <n v="177"/>
    <s v="#DiscoverWeekly"/>
    <s v="#SpotifyWrapped"/>
    <s v="IndieWave"/>
    <n v="8.8283323127168814E-2"/>
  </r>
  <r>
    <s v="SP059"/>
    <x v="2"/>
    <d v="2024-08-10T00:00:00"/>
    <s v="Text"/>
    <s v="From pop to podcasts, its all here."/>
    <n v="1105"/>
    <n v="181"/>
    <n v="55"/>
    <n v="53581"/>
    <n v="74048"/>
    <n v="220"/>
    <s v="#DiscoverWeekly"/>
    <s v="#SpotifyWrapped"/>
    <s v="IndieWave"/>
    <n v="2.50275284149232E-2"/>
  </r>
  <r>
    <s v="SP060"/>
    <x v="2"/>
    <d v="2024-04-16T00:00:00"/>
    <s v="Text"/>
    <s v="Discover fresh beats on Spotify!"/>
    <n v="4674"/>
    <n v="326"/>
    <n v="62"/>
    <n v="45503"/>
    <n v="46814"/>
    <n v="116"/>
    <s v="#DiscoverWeekly"/>
    <s v="#SpotifyWrapped"/>
    <s v="IndieWave"/>
    <n v="0.11124541239039185"/>
  </r>
  <r>
    <s v="SP061"/>
    <x v="2"/>
    <d v="2024-01-01T00:00:00"/>
    <s v="Reel"/>
    <s v="Explore the latest podcasts now."/>
    <n v="3437"/>
    <n v="129"/>
    <n v="359"/>
    <n v="44558"/>
    <n v="30854"/>
    <n v="171"/>
    <s v="#DiscoverWeekly"/>
    <s v="#SoundtrackOfLife"/>
    <s v="SummerBeats"/>
    <n v="8.8087436599488311E-2"/>
  </r>
  <r>
    <s v="SP062"/>
    <x v="1"/>
    <d v="2024-11-03T00:00:00"/>
    <s v="Story"/>
    <s v="Wrapped is here! Relive your top tracks"/>
    <n v="1959"/>
    <n v="316"/>
    <n v="82"/>
    <n v="54036"/>
    <n v="69015"/>
    <n v="182"/>
    <s v="#MusicForEveryone"/>
    <s v="#NowPlaying"/>
    <s v="ChillVibes"/>
    <n v="4.3619068768968837E-2"/>
  </r>
  <r>
    <s v="SP063"/>
    <x v="1"/>
    <d v="2024-07-07T00:00:00"/>
    <s v="Text"/>
    <s v="New music just dropped. Hit play!"/>
    <n v="1035"/>
    <n v="137"/>
    <n v="184"/>
    <n v="37302"/>
    <n v="68953"/>
    <n v="237"/>
    <s v="#SoundtrackOfLife"/>
    <m/>
    <s v="IndieWave"/>
    <n v="3.6351938233874857E-2"/>
  </r>
  <r>
    <s v="SP064"/>
    <x v="1"/>
    <d v="2025-01-22T00:00:00"/>
    <s v="Story"/>
    <s v="New music just dropped. Hit play!"/>
    <n v="4478"/>
    <n v="101"/>
    <n v="121"/>
    <n v="51035"/>
    <n v="58207"/>
    <n v="205"/>
    <s v="#MusicForEveryone"/>
    <s v="#NowPlaying"/>
    <s v="ChillVibes"/>
    <n v="9.2093661212893113E-2"/>
  </r>
  <r>
    <s v="SP065"/>
    <x v="2"/>
    <d v="2024-05-26T00:00:00"/>
    <s v="Text"/>
    <s v="From pop to podcasts, its all here."/>
    <n v="1488"/>
    <n v="327"/>
    <n v="110"/>
    <n v="53805"/>
    <n v="30239"/>
    <n v="109"/>
    <s v="#DiscoverWeekly"/>
    <s v="#SpotifyWrapped"/>
    <s v="IndieWave"/>
    <n v="3.5777344113000653E-2"/>
  </r>
  <r>
    <s v="SP066"/>
    <x v="0"/>
    <d v="2025-04-16T00:00:00"/>
    <s v="Text"/>
    <s v="Wrapped is here! Relive your top tracks"/>
    <n v="4836"/>
    <n v="331"/>
    <n v="140"/>
    <n v="58792"/>
    <n v="47711"/>
    <n v="227"/>
    <s v="#SoundtrackOfLife"/>
    <s v="#NowPlaying"/>
    <s v="ChillVibes"/>
    <n v="9.0267383317458164E-2"/>
  </r>
  <r>
    <s v="SP067"/>
    <x v="2"/>
    <d v="2024-04-02T00:00:00"/>
    <s v="Reel"/>
    <s v="Your weekend playlist is waiting."/>
    <n v="4563"/>
    <n v="488"/>
    <n v="356"/>
    <n v="30619"/>
    <n v="23328"/>
    <n v="267"/>
    <s v="#DiscoverWeekly"/>
    <s v="#SoundtrackOfLife"/>
    <s v="SummerBeats"/>
    <n v="0.17658969920637513"/>
  </r>
  <r>
    <s v="SP068"/>
    <x v="1"/>
    <d v="2024-03-28T00:00:00"/>
    <s v="Text"/>
    <s v="Music that moves you only on Spotify."/>
    <n v="3276"/>
    <n v="421"/>
    <n v="114"/>
    <n v="20580"/>
    <n v="30324"/>
    <n v="221"/>
    <s v="#SoundtrackOfLife"/>
    <m/>
    <s v="IndieWave"/>
    <n v="0.18517978620019437"/>
  </r>
  <r>
    <s v="SP069"/>
    <x v="1"/>
    <d v="2024-12-17T00:00:00"/>
    <s v="Story"/>
    <s v="Music that moves you only on Spotify."/>
    <n v="1316"/>
    <n v="472"/>
    <n v="286"/>
    <n v="44692"/>
    <n v="53343"/>
    <n v="227"/>
    <s v="#DiscoverWeekly"/>
    <s v="#MusicForEveryone"/>
    <s v="ChillVibes"/>
    <n v="4.6406515707509172E-2"/>
  </r>
  <r>
    <s v="SP070"/>
    <x v="1"/>
    <d v="2025-01-05T00:00:00"/>
    <s v="Text"/>
    <s v="Wrapped is here! Relive your top tracks"/>
    <n v="4811"/>
    <n v="473"/>
    <n v="254"/>
    <n v="51964"/>
    <n v="68795"/>
    <n v="107"/>
    <s v="#NowPlaying"/>
    <m/>
    <s v="ChillVibes"/>
    <n v="0.10657378184897237"/>
  </r>
  <r>
    <s v="SP071"/>
    <x v="1"/>
    <d v="2024-01-11T00:00:00"/>
    <s v="Text"/>
    <s v="Whats your vibe today?"/>
    <n v="4218"/>
    <n v="247"/>
    <n v="183"/>
    <n v="28914"/>
    <n v="18310"/>
    <n v="135"/>
    <s v="#SoundtrackOfLife"/>
    <m/>
    <s v="IndieWave"/>
    <n v="0.1607525766064882"/>
  </r>
  <r>
    <s v="SP072"/>
    <x v="0"/>
    <d v="2024-10-11T00:00:00"/>
    <s v="Text"/>
    <s v="From pop to podcasts, its all here."/>
    <n v="1360"/>
    <n v="249"/>
    <n v="52"/>
    <n v="20368"/>
    <n v="42152"/>
    <n v="193"/>
    <s v="#DiscoverWeekly"/>
    <m/>
    <s v="IndieWave"/>
    <n v="8.1549489395129612E-2"/>
  </r>
  <r>
    <s v="SP073"/>
    <x v="2"/>
    <d v="2025-05-06T00:00:00"/>
    <s v="Reel"/>
    <s v="Discover fresh beats on Spotify!"/>
    <n v="1085"/>
    <n v="496"/>
    <n v="320"/>
    <n v="36528"/>
    <n v="38599"/>
    <n v="270"/>
    <s v="#DiscoverWeekly"/>
    <s v="#SoundtrackOfLife"/>
    <s v="SummerBeats"/>
    <n v="5.2042268944371438E-2"/>
  </r>
  <r>
    <s v="SP074"/>
    <x v="1"/>
    <d v="2024-05-19T00:00:00"/>
    <s v="Story"/>
    <s v="Get into the groove with our new drop!"/>
    <n v="1763"/>
    <n v="206"/>
    <n v="187"/>
    <n v="53342"/>
    <n v="25095"/>
    <n v="88"/>
    <s v="#DiscoverWeekly"/>
    <s v="#MusicForEveryone"/>
    <s v="ChillVibes"/>
    <n v="4.0418432004799221E-2"/>
  </r>
  <r>
    <s v="SP075"/>
    <x v="1"/>
    <d v="2024-01-22T00:00:00"/>
    <s v="Story"/>
    <s v="From pop to podcasts, its all here."/>
    <n v="1554"/>
    <n v="455"/>
    <n v="158"/>
    <n v="41947"/>
    <n v="48578"/>
    <n v="101"/>
    <s v="#SoundtrackOfLife"/>
    <s v="#NowPlaying"/>
    <s v="ChillVibes"/>
    <n v="5.1660428636136076E-2"/>
  </r>
  <r>
    <s v="SP076"/>
    <x v="0"/>
    <d v="2024-07-14T00:00:00"/>
    <s v="Text"/>
    <s v="Wrapped is here! Relive your top tracks"/>
    <n v="2464"/>
    <n v="401"/>
    <n v="78"/>
    <n v="38665"/>
    <n v="73593"/>
    <n v="207"/>
    <s v="#DiscoverWeekly"/>
    <m/>
    <s v="IndieWave"/>
    <n v="7.611534979956032E-2"/>
  </r>
  <r>
    <s v="SP077"/>
    <x v="1"/>
    <d v="2025-05-28T00:00:00"/>
    <s v="Text"/>
    <s v="From pop to podcasts, its all here."/>
    <n v="2418"/>
    <n v="161"/>
    <n v="360"/>
    <n v="30589"/>
    <n v="41383"/>
    <n v="88"/>
    <s v="#NowPlaying"/>
    <m/>
    <s v="ChillVibes"/>
    <n v="9.6080290300434801E-2"/>
  </r>
  <r>
    <s v="SP078"/>
    <x v="1"/>
    <d v="2025-01-21T00:00:00"/>
    <s v="Story"/>
    <s v="Discover fresh beats on Spotify!"/>
    <n v="2494"/>
    <n v="494"/>
    <n v="55"/>
    <n v="22580"/>
    <n v="22214"/>
    <n v="109"/>
    <s v="#MusicForEveryone"/>
    <s v="#NowPlaying"/>
    <s v="ChillVibes"/>
    <n v="0.13476527900797167"/>
  </r>
  <r>
    <s v="SP079"/>
    <x v="2"/>
    <d v="2024-01-13T00:00:00"/>
    <s v="Reel"/>
    <s v="New music just dropped. Hit play!"/>
    <n v="4781"/>
    <n v="191"/>
    <n v="122"/>
    <n v="35535"/>
    <n v="50777"/>
    <n v="128"/>
    <s v="#DiscoverWeekly"/>
    <s v="#SoundtrackOfLife"/>
    <s v="SummerBeats"/>
    <n v="0.14335162515829464"/>
  </r>
  <r>
    <s v="SP080"/>
    <x v="0"/>
    <d v="2025-06-17T00:00:00"/>
    <s v="Text"/>
    <s v="Music that moves you only on Spotify."/>
    <n v="2284"/>
    <n v="187"/>
    <n v="260"/>
    <n v="37400"/>
    <n v="65014"/>
    <n v="157"/>
    <s v="#SoundtrackOfLife"/>
    <s v="#NowPlaying"/>
    <s v="ChillVibes"/>
    <n v="7.3021390374331557E-2"/>
  </r>
  <r>
    <s v="SP081"/>
    <x v="1"/>
    <d v="2025-03-07T00:00:00"/>
    <s v="Text"/>
    <s v="Get into the groove with our new drop!"/>
    <n v="4234"/>
    <n v="486"/>
    <n v="276"/>
    <n v="56623"/>
    <n v="41343"/>
    <n v="184"/>
    <s v="#SoundtrackOfLife"/>
    <m/>
    <s v="IndieWave"/>
    <n v="8.8232696960599044E-2"/>
  </r>
  <r>
    <s v="SP082"/>
    <x v="0"/>
    <d v="2024-08-26T00:00:00"/>
    <s v="Text"/>
    <s v="Your weekend playlist is waiting."/>
    <n v="2102"/>
    <n v="181"/>
    <n v="306"/>
    <n v="43650"/>
    <n v="50079"/>
    <n v="182"/>
    <s v="#DiscoverWeekly"/>
    <m/>
    <s v="IndieWave"/>
    <n v="5.9312714776632303E-2"/>
  </r>
  <r>
    <s v="SP083"/>
    <x v="1"/>
    <d v="2025-01-03T00:00:00"/>
    <s v="Story"/>
    <s v="Get into the groove with our new drop!"/>
    <n v="4845"/>
    <n v="158"/>
    <n v="84"/>
    <n v="34578"/>
    <n v="51480"/>
    <n v="180"/>
    <s v="#SoundtrackOfLife"/>
    <s v="#NowPlaying"/>
    <s v="ChillVibes"/>
    <n v="0.1471166637746544"/>
  </r>
  <r>
    <s v="SP084"/>
    <x v="1"/>
    <d v="2024-08-03T00:00:00"/>
    <s v="Text"/>
    <s v="Your weekend playlist is waiting."/>
    <n v="4247"/>
    <n v="390"/>
    <n v="213"/>
    <n v="29785"/>
    <n v="57768"/>
    <n v="122"/>
    <s v="#NowPlaying"/>
    <m/>
    <s v="ChillVibes"/>
    <n v="0.16283364109451065"/>
  </r>
  <r>
    <s v="SP085"/>
    <x v="0"/>
    <d v="2024-08-18T00:00:00"/>
    <s v="Text"/>
    <s v="Explore the latest podcasts now."/>
    <n v="2965"/>
    <n v="328"/>
    <n v="171"/>
    <n v="57685"/>
    <n v="67536"/>
    <n v="264"/>
    <s v="#SoundtrackOfLife"/>
    <s v="#NowPlaying"/>
    <s v="ChillVibes"/>
    <n v="6.0050273034584378E-2"/>
  </r>
  <r>
    <s v="SP086"/>
    <x v="1"/>
    <d v="2025-05-14T00:00:00"/>
    <s v="Story"/>
    <s v="Wrapped is here! Relive your top tracks"/>
    <n v="1371"/>
    <n v="139"/>
    <n v="96"/>
    <n v="36140"/>
    <n v="39395"/>
    <n v="169"/>
    <s v="#SoundtrackOfLife"/>
    <s v="#NowPlaying"/>
    <s v="ChillVibes"/>
    <n v="4.4438295517432211E-2"/>
  </r>
  <r>
    <s v="SP087"/>
    <x v="1"/>
    <d v="2024-04-23T00:00:00"/>
    <s v="Story"/>
    <s v="Discover fresh beats on Spotify!"/>
    <n v="2683"/>
    <n v="496"/>
    <n v="89"/>
    <n v="53435"/>
    <n v="30334"/>
    <n v="160"/>
    <s v="#SoundtrackOfLife"/>
    <s v="#NowPlaying"/>
    <s v="ChillVibes"/>
    <n v="6.1158416768035934E-2"/>
  </r>
  <r>
    <s v="SP088"/>
    <x v="1"/>
    <d v="2025-02-17T00:00:00"/>
    <s v="Story"/>
    <s v="Whats your vibe today?"/>
    <n v="4796"/>
    <n v="427"/>
    <n v="339"/>
    <n v="30752"/>
    <n v="33870"/>
    <n v="298"/>
    <s v="#SoundtrackOfLife"/>
    <s v="#NowPlaying"/>
    <s v="ChillVibes"/>
    <n v="0.18086628511966701"/>
  </r>
  <r>
    <s v="SP089"/>
    <x v="0"/>
    <d v="2024-12-04T00:00:00"/>
    <s v="Text"/>
    <s v="Wrapped is here! Relive your top tracks"/>
    <n v="2601"/>
    <n v="336"/>
    <n v="260"/>
    <n v="32368"/>
    <n v="49028"/>
    <n v="120"/>
    <s v="#SoundtrackOfLife"/>
    <s v="#NowPlaying"/>
    <s v="ChillVibes"/>
    <n v="9.8770390509144837E-2"/>
  </r>
  <r>
    <s v="SP090"/>
    <x v="1"/>
    <d v="2024-07-22T00:00:00"/>
    <s v="Story"/>
    <s v="Wrapped is here! Relive your top tracks"/>
    <n v="3336"/>
    <n v="229"/>
    <n v="337"/>
    <n v="22117"/>
    <n v="26205"/>
    <n v="160"/>
    <s v="#MusicForEveryone"/>
    <s v="#NowPlaying"/>
    <s v="ChillVibes"/>
    <n v="0.17642537414658407"/>
  </r>
  <r>
    <s v="SP091"/>
    <x v="1"/>
    <d v="2025-04-27T00:00:00"/>
    <s v="Text"/>
    <s v="Explore the latest podcasts now."/>
    <n v="1165"/>
    <n v="294"/>
    <n v="163"/>
    <n v="20659"/>
    <n v="45926"/>
    <n v="111"/>
    <s v="#SoundtrackOfLife"/>
    <m/>
    <s v="IndieWave"/>
    <n v="7.8512996756861422E-2"/>
  </r>
  <r>
    <s v="SP092"/>
    <x v="2"/>
    <d v="2024-03-25T00:00:00"/>
    <s v="Reel"/>
    <s v="Explore the latest podcasts now."/>
    <n v="1948"/>
    <n v="155"/>
    <n v="315"/>
    <n v="30321"/>
    <n v="57121"/>
    <n v="82"/>
    <s v="#DiscoverWeekly"/>
    <s v="#SoundtrackOfLife"/>
    <s v="SummerBeats"/>
    <n v="7.974671020085089E-2"/>
  </r>
  <r>
    <s v="SP093"/>
    <x v="0"/>
    <d v="2024-02-29T00:00:00"/>
    <s v="Text"/>
    <s v="From pop to podcasts, its all here."/>
    <n v="1100"/>
    <n v="229"/>
    <n v="312"/>
    <n v="25641"/>
    <n v="34601"/>
    <n v="169"/>
    <s v="#DiscoverWeekly"/>
    <m/>
    <s v="IndieWave"/>
    <n v="6.3999063999063993E-2"/>
  </r>
  <r>
    <s v="SP094"/>
    <x v="1"/>
    <d v="2024-11-13T00:00:00"/>
    <s v="Story"/>
    <s v="Top trending tracks updated daily!"/>
    <n v="4628"/>
    <n v="257"/>
    <n v="397"/>
    <n v="36686"/>
    <n v="54683"/>
    <n v="98"/>
    <s v="#SoundtrackOfLife"/>
    <s v="#NowPlaying"/>
    <s v="ChillVibes"/>
    <n v="0.1439786294499264"/>
  </r>
  <r>
    <s v="SP095"/>
    <x v="0"/>
    <d v="2024-03-22T00:00:00"/>
    <s v="Story"/>
    <s v="Discover fresh beats on Spotify!"/>
    <n v="2319"/>
    <n v="484"/>
    <n v="193"/>
    <n v="21202"/>
    <n v="18091"/>
    <n v="241"/>
    <s v="#NowPlaying"/>
    <m/>
    <s v="Wrapped2024"/>
    <n v="0.14130742382794076"/>
  </r>
  <r>
    <s v="SP096"/>
    <x v="1"/>
    <d v="2024-03-16T00:00:00"/>
    <s v="Story"/>
    <s v="Wrapped is here! Relive your top tracks"/>
    <n v="2895"/>
    <n v="292"/>
    <n v="90"/>
    <n v="24223"/>
    <n v="54626"/>
    <n v="114"/>
    <s v="#SoundtrackOfLife"/>
    <s v="#NowPlaying"/>
    <s v="ChillVibes"/>
    <n v="0.13528464682326713"/>
  </r>
  <r>
    <s v="SP097"/>
    <x v="0"/>
    <d v="2024-01-26T00:00:00"/>
    <s v="Text"/>
    <s v="Whats your vibe today?"/>
    <n v="3878"/>
    <n v="431"/>
    <n v="97"/>
    <n v="41763"/>
    <n v="29729"/>
    <n v="191"/>
    <s v="#DiscoverWeekly"/>
    <m/>
    <s v="IndieWave"/>
    <n v="0.10550008380623997"/>
  </r>
  <r>
    <s v="SP098"/>
    <x v="1"/>
    <d v="2024-03-15T00:00:00"/>
    <s v="Story"/>
    <s v="Get into the groove with our new drop!"/>
    <n v="4969"/>
    <n v="433"/>
    <n v="237"/>
    <n v="59552"/>
    <n v="23885"/>
    <n v="157"/>
    <s v="#DiscoverWeekly"/>
    <s v="#MusicForEveryone"/>
    <s v="ChillVibes"/>
    <n v="9.4690354648038683E-2"/>
  </r>
  <r>
    <s v="SP099"/>
    <x v="1"/>
    <d v="2024-10-15T00:00:00"/>
    <s v="Text"/>
    <s v="Wrapped is here! Relive your top tracks"/>
    <n v="1984"/>
    <n v="481"/>
    <n v="356"/>
    <n v="40681"/>
    <n v="63111"/>
    <n v="258"/>
    <s v="#NowPlaying"/>
    <m/>
    <s v="ChillVibes"/>
    <n v="6.934441139598338E-2"/>
  </r>
  <r>
    <s v="SP100"/>
    <x v="0"/>
    <d v="2024-07-21T00:00:00"/>
    <s v="Text"/>
    <s v="Discover fresh beats on Spotify!"/>
    <n v="3004"/>
    <n v="415"/>
    <n v="218"/>
    <n v="36090"/>
    <n v="37073"/>
    <n v="181"/>
    <s v="#DiscoverWeekly"/>
    <m/>
    <s v="IndieWave"/>
    <n v="0.10077583818232197"/>
  </r>
  <r>
    <s v="SP101"/>
    <x v="1"/>
    <d v="2024-10-12T00:00:00"/>
    <s v="Text"/>
    <s v="Get into the groove with our new drop!"/>
    <n v="3169"/>
    <n v="386"/>
    <n v="175"/>
    <n v="45012"/>
    <n v="38508"/>
    <n v="218"/>
    <s v="#NowPlaying"/>
    <m/>
    <s v="ChillVibes"/>
    <n v="8.2866791077934779E-2"/>
  </r>
  <r>
    <s v="SP102"/>
    <x v="1"/>
    <d v="2024-10-26T00:00:00"/>
    <s v="Text"/>
    <s v="Discover fresh beats on Spotify!"/>
    <n v="3036"/>
    <n v="293"/>
    <n v="115"/>
    <n v="23776"/>
    <n v="46386"/>
    <n v="282"/>
    <s v="#NowPlaying"/>
    <m/>
    <s v="ChillVibes"/>
    <n v="0.14485195154777927"/>
  </r>
  <r>
    <s v="SP103"/>
    <x v="0"/>
    <d v="2024-02-14T00:00:00"/>
    <s v="Text"/>
    <s v="Music that moves you only on Spotify."/>
    <n v="1830"/>
    <n v="112"/>
    <n v="181"/>
    <n v="31870"/>
    <n v="55742"/>
    <n v="263"/>
    <s v="#SoundtrackOfLife"/>
    <s v="#NowPlaying"/>
    <s v="ChillVibes"/>
    <n v="6.6614370881706936E-2"/>
  </r>
  <r>
    <s v="SP104"/>
    <x v="1"/>
    <d v="2024-05-01T00:00:00"/>
    <s v="Story"/>
    <s v="Whats your vibe today?"/>
    <n v="2587"/>
    <n v="447"/>
    <n v="183"/>
    <n v="36266"/>
    <n v="32877"/>
    <n v="132"/>
    <s v="#DiscoverWeekly"/>
    <s v="#MusicForEveryone"/>
    <s v="ChillVibes"/>
    <n v="8.8705674736667947E-2"/>
  </r>
  <r>
    <s v="SP105"/>
    <x v="1"/>
    <d v="2024-09-18T00:00:00"/>
    <s v="Text"/>
    <s v="Discover fresh beats on Spotify!"/>
    <n v="2878"/>
    <n v="265"/>
    <n v="91"/>
    <n v="52090"/>
    <n v="28924"/>
    <n v="133"/>
    <s v="#NowPlaying"/>
    <m/>
    <s v="ChillVibes"/>
    <n v="6.2084853138798232E-2"/>
  </r>
  <r>
    <s v="SP106"/>
    <x v="1"/>
    <d v="2025-01-20T00:00:00"/>
    <s v="Story"/>
    <s v="New music just dropped. Hit play!"/>
    <n v="4619"/>
    <n v="272"/>
    <n v="57"/>
    <n v="21334"/>
    <n v="46292"/>
    <n v="91"/>
    <s v="#SoundtrackOfLife"/>
    <s v="#NowPlaying"/>
    <s v="ChillVibes"/>
    <n v="0.23193025217961938"/>
  </r>
  <r>
    <s v="SP107"/>
    <x v="1"/>
    <d v="2025-01-13T00:00:00"/>
    <s v="Text"/>
    <s v="Music that moves you only on Spotify."/>
    <n v="4090"/>
    <n v="209"/>
    <n v="278"/>
    <n v="52853"/>
    <n v="57084"/>
    <n v="102"/>
    <s v="#SoundtrackOfLife"/>
    <m/>
    <s v="IndieWave"/>
    <n v="8.6598679355949518E-2"/>
  </r>
  <r>
    <s v="SP108"/>
    <x v="2"/>
    <d v="2024-09-07T00:00:00"/>
    <s v="Reel"/>
    <s v="Music that moves you only on Spotify."/>
    <n v="3882"/>
    <n v="342"/>
    <n v="374"/>
    <n v="41991"/>
    <n v="48554"/>
    <n v="118"/>
    <s v="#DiscoverWeekly"/>
    <s v="#SoundtrackOfLife"/>
    <s v="SummerBeats"/>
    <n v="0.10949965468790931"/>
  </r>
  <r>
    <s v="SP109"/>
    <x v="0"/>
    <d v="2024-11-21T00:00:00"/>
    <s v="Text"/>
    <s v="Music that moves you only on Spotify."/>
    <n v="4581"/>
    <n v="181"/>
    <n v="112"/>
    <n v="35221"/>
    <n v="28797"/>
    <n v="164"/>
    <s v="#SoundtrackOfLife"/>
    <s v="#NowPlaying"/>
    <s v="ChillVibes"/>
    <n v="0.13838335084182732"/>
  </r>
  <r>
    <s v="SP110"/>
    <x v="0"/>
    <d v="2024-06-26T00:00:00"/>
    <s v="Text"/>
    <s v="New music just dropped. Hit play!"/>
    <n v="3253"/>
    <n v="483"/>
    <n v="336"/>
    <n v="25397"/>
    <n v="51485"/>
    <n v="131"/>
    <s v="#DiscoverWeekly"/>
    <m/>
    <s v="IndieWave"/>
    <n v="0.16033389770445328"/>
  </r>
  <r>
    <s v="SP111"/>
    <x v="2"/>
    <d v="2024-07-20T00:00:00"/>
    <s v="Reel"/>
    <s v="Music that moves you only on Spotify."/>
    <n v="4955"/>
    <n v="299"/>
    <n v="345"/>
    <n v="33644"/>
    <n v="43547"/>
    <n v="194"/>
    <s v="#DiscoverWeekly"/>
    <s v="#SoundtrackOfLife"/>
    <s v="SummerBeats"/>
    <n v="0.16641897515158721"/>
  </r>
  <r>
    <s v="SP112"/>
    <x v="0"/>
    <d v="2025-02-16T00:00:00"/>
    <s v="Text"/>
    <s v="Your weekend playlist is waiting."/>
    <n v="1333"/>
    <n v="286"/>
    <n v="298"/>
    <n v="36174"/>
    <n v="34517"/>
    <n v="170"/>
    <s v="#SoundtrackOfLife"/>
    <s v="#NowPlaying"/>
    <s v="ChillVibes"/>
    <n v="5.2993862995521647E-2"/>
  </r>
  <r>
    <s v="SP113"/>
    <x v="0"/>
    <d v="2024-09-09T00:00:00"/>
    <s v="Text"/>
    <s v="New music just dropped. Hit play!"/>
    <n v="1616"/>
    <n v="360"/>
    <n v="180"/>
    <n v="54342"/>
    <n v="18796"/>
    <n v="282"/>
    <s v="#SoundtrackOfLife"/>
    <s v="#NowPlaying"/>
    <s v="ChillVibes"/>
    <n v="3.9674653122814763E-2"/>
  </r>
  <r>
    <s v="SP114"/>
    <x v="1"/>
    <d v="2024-07-16T00:00:00"/>
    <s v="Text"/>
    <s v="Top trending tracks updated daily!"/>
    <n v="1803"/>
    <n v="273"/>
    <n v="287"/>
    <n v="46176"/>
    <n v="25488"/>
    <n v="141"/>
    <s v="#NowPlaying"/>
    <m/>
    <s v="ChillVibes"/>
    <n v="5.1173769923769923E-2"/>
  </r>
  <r>
    <s v="SP115"/>
    <x v="0"/>
    <d v="2025-04-15T00:00:00"/>
    <s v="Text"/>
    <s v="Explore the latest podcasts now."/>
    <n v="4177"/>
    <n v="489"/>
    <n v="331"/>
    <n v="57451"/>
    <n v="73793"/>
    <n v="251"/>
    <s v="#DiscoverWeekly"/>
    <m/>
    <s v="IndieWave"/>
    <n v="8.6978468608031198E-2"/>
  </r>
  <r>
    <s v="SP116"/>
    <x v="0"/>
    <d v="2025-05-04T00:00:00"/>
    <s v="Story"/>
    <s v="New music just dropped. Hit play!"/>
    <n v="1311"/>
    <n v="181"/>
    <n v="361"/>
    <n v="37148"/>
    <n v="44875"/>
    <n v="245"/>
    <s v="#NowPlaying"/>
    <m/>
    <s v="Wrapped2024"/>
    <n v="4.9881554861634543E-2"/>
  </r>
  <r>
    <s v="SP117"/>
    <x v="0"/>
    <d v="2024-02-18T00:00:00"/>
    <s v="Story"/>
    <s v="From pop to podcasts, its all here."/>
    <n v="1516"/>
    <n v="215"/>
    <n v="332"/>
    <n v="58981"/>
    <n v="36118"/>
    <n v="211"/>
    <s v="#NowPlaying"/>
    <m/>
    <s v="Wrapped2024"/>
    <n v="3.4977365592309385E-2"/>
  </r>
  <r>
    <s v="SP118"/>
    <x v="1"/>
    <d v="2024-05-16T00:00:00"/>
    <s v="Story"/>
    <s v="Music that moves you only on Spotify."/>
    <n v="2023"/>
    <n v="124"/>
    <n v="99"/>
    <n v="54524"/>
    <n v="34790"/>
    <n v="195"/>
    <s v="#DiscoverWeekly"/>
    <s v="#MusicForEveryone"/>
    <s v="ChillVibes"/>
    <n v="4.1192869195216787E-2"/>
  </r>
  <r>
    <s v="SP119"/>
    <x v="1"/>
    <d v="2025-05-29T00:00:00"/>
    <s v="Story"/>
    <s v="Music that moves you only on Spotify."/>
    <n v="2134"/>
    <n v="322"/>
    <n v="114"/>
    <n v="44338"/>
    <n v="52165"/>
    <n v="176"/>
    <s v="#MusicForEveryone"/>
    <s v="#NowPlaying"/>
    <s v="ChillVibes"/>
    <n v="5.7963823356939871E-2"/>
  </r>
  <r>
    <s v="SP120"/>
    <x v="0"/>
    <d v="2025-01-17T00:00:00"/>
    <s v="Text"/>
    <s v="Top trending tracks updated daily!"/>
    <n v="2266"/>
    <n v="126"/>
    <n v="140"/>
    <n v="53759"/>
    <n v="46834"/>
    <n v="277"/>
    <s v="#DiscoverWeekly"/>
    <m/>
    <s v="IndieWave"/>
    <n v="4.7099090384865788E-2"/>
  </r>
  <r>
    <s v="SP121"/>
    <x v="0"/>
    <d v="2025-04-30T00:00:00"/>
    <s v="Story"/>
    <s v="New music just dropped. Hit play!"/>
    <n v="3916"/>
    <n v="459"/>
    <n v="229"/>
    <n v="48989"/>
    <n v="39768"/>
    <n v="200"/>
    <s v="#NowPlaying"/>
    <m/>
    <s v="Wrapped2024"/>
    <n v="9.3980281287635997E-2"/>
  </r>
  <r>
    <s v="SP122"/>
    <x v="1"/>
    <d v="2024-02-24T00:00:00"/>
    <s v="Story"/>
    <s v="Music that moves you only on Spotify."/>
    <n v="1022"/>
    <n v="463"/>
    <n v="360"/>
    <n v="51468"/>
    <n v="24279"/>
    <n v="230"/>
    <s v="#DiscoverWeekly"/>
    <s v="#MusicForEveryone"/>
    <s v="ChillVibes"/>
    <n v="3.5847516903707161E-2"/>
  </r>
  <r>
    <s v="SP123"/>
    <x v="2"/>
    <d v="2024-05-12T00:00:00"/>
    <s v="Text"/>
    <s v="From pop to podcasts, its all here."/>
    <n v="2911"/>
    <n v="467"/>
    <n v="94"/>
    <n v="59083"/>
    <n v="49762"/>
    <n v="236"/>
    <s v="#DiscoverWeekly"/>
    <s v="#SpotifyWrapped"/>
    <s v="IndieWave"/>
    <n v="5.8764788517847777E-2"/>
  </r>
  <r>
    <s v="SP124"/>
    <x v="1"/>
    <d v="2024-05-09T00:00:00"/>
    <s v="Story"/>
    <s v="New music just dropped. Hit play!"/>
    <n v="3277"/>
    <n v="423"/>
    <n v="259"/>
    <n v="46328"/>
    <n v="44293"/>
    <n v="299"/>
    <s v="#SoundtrackOfLife"/>
    <s v="#NowPlaying"/>
    <s v="ChillVibes"/>
    <n v="8.5455879813503707E-2"/>
  </r>
  <r>
    <s v="SP125"/>
    <x v="1"/>
    <d v="2024-11-06T00:00:00"/>
    <s v="Text"/>
    <s v="From pop to podcasts, its all here."/>
    <n v="2956"/>
    <n v="381"/>
    <n v="345"/>
    <n v="33347"/>
    <n v="22558"/>
    <n v="173"/>
    <s v="#NowPlaying"/>
    <m/>
    <s v="ChillVibes"/>
    <n v="0.11041472996071611"/>
  </r>
  <r>
    <s v="SP126"/>
    <x v="1"/>
    <d v="2024-01-04T00:00:00"/>
    <s v="Story"/>
    <s v="Whats your vibe today?"/>
    <n v="3208"/>
    <n v="476"/>
    <n v="277"/>
    <n v="56072"/>
    <n v="21061"/>
    <n v="113"/>
    <s v="#MusicForEveryone"/>
    <s v="#NowPlaying"/>
    <s v="ChillVibes"/>
    <n v="7.064131830503638E-2"/>
  </r>
  <r>
    <s v="SP127"/>
    <x v="1"/>
    <d v="2024-01-28T00:00:00"/>
    <s v="Text"/>
    <s v="Music that moves you only on Spotify."/>
    <n v="1456"/>
    <n v="265"/>
    <n v="137"/>
    <n v="53485"/>
    <n v="59729"/>
    <n v="145"/>
    <s v="#SoundtrackOfLife"/>
    <m/>
    <s v="IndieWave"/>
    <n v="3.4738711788351875E-2"/>
  </r>
  <r>
    <s v="SP128"/>
    <x v="0"/>
    <d v="2024-02-22T00:00:00"/>
    <s v="Text"/>
    <s v="New music just dropped. Hit play!"/>
    <n v="1902"/>
    <n v="394"/>
    <n v="279"/>
    <n v="24615"/>
    <n v="51330"/>
    <n v="176"/>
    <s v="#SoundtrackOfLife"/>
    <s v="#NowPlaying"/>
    <s v="ChillVibes"/>
    <n v="0.10461100954702417"/>
  </r>
  <r>
    <s v="SP129"/>
    <x v="1"/>
    <d v="2025-07-01T00:00:00"/>
    <s v="Story"/>
    <s v="Explore the latest podcasts now."/>
    <n v="3219"/>
    <n v="424"/>
    <n v="267"/>
    <n v="48879"/>
    <n v="37691"/>
    <n v="224"/>
    <s v="#DiscoverWeekly"/>
    <s v="#MusicForEveryone"/>
    <s v="ChillVibes"/>
    <n v="7.9993453221219743E-2"/>
  </r>
  <r>
    <s v="SP130"/>
    <x v="2"/>
    <d v="2024-01-10T00:00:00"/>
    <s v="Text"/>
    <s v="Explore the latest podcasts now."/>
    <n v="1261"/>
    <n v="190"/>
    <n v="233"/>
    <n v="59888"/>
    <n v="51449"/>
    <n v="205"/>
    <s v="#DiscoverWeekly"/>
    <s v="#SpotifyWrapped"/>
    <s v="IndieWave"/>
    <n v="2.811915575741384E-2"/>
  </r>
  <r>
    <s v="SP131"/>
    <x v="1"/>
    <d v="2025-03-20T00:00:00"/>
    <s v="Text"/>
    <s v="Your weekend playlist is waiting."/>
    <n v="1564"/>
    <n v="362"/>
    <n v="371"/>
    <n v="42075"/>
    <n v="66659"/>
    <n v="205"/>
    <s v="#SoundtrackOfLife"/>
    <m/>
    <s v="IndieWave"/>
    <n v="5.4592988710635768E-2"/>
  </r>
  <r>
    <s v="SP132"/>
    <x v="1"/>
    <d v="2024-09-28T00:00:00"/>
    <s v="Text"/>
    <s v="Whats your vibe today?"/>
    <n v="4006"/>
    <n v="420"/>
    <n v="194"/>
    <n v="49964"/>
    <n v="20685"/>
    <n v="148"/>
    <s v="#NowPlaying"/>
    <m/>
    <s v="ChillVibes"/>
    <n v="9.2466575934672959E-2"/>
  </r>
  <r>
    <s v="SP133"/>
    <x v="2"/>
    <d v="2024-01-27T00:00:00"/>
    <s v="Text"/>
    <s v="Your weekend playlist is waiting."/>
    <n v="1976"/>
    <n v="262"/>
    <n v="218"/>
    <n v="51696"/>
    <n v="44846"/>
    <n v="139"/>
    <s v="#DiscoverWeekly"/>
    <s v="#SpotifyWrapped"/>
    <s v="IndieWave"/>
    <n v="4.7508511296812134E-2"/>
  </r>
  <r>
    <s v="SP134"/>
    <x v="1"/>
    <d v="2025-05-15T00:00:00"/>
    <s v="Text"/>
    <s v="New music just dropped. Hit play!"/>
    <n v="1583"/>
    <n v="433"/>
    <n v="249"/>
    <n v="30256"/>
    <n v="47066"/>
    <n v="196"/>
    <s v="#NowPlaying"/>
    <m/>
    <s v="ChillVibes"/>
    <n v="7.4861184558434685E-2"/>
  </r>
  <r>
    <s v="SP135"/>
    <x v="1"/>
    <d v="2024-10-04T00:00:00"/>
    <s v="Story"/>
    <s v="Explore the latest podcasts now."/>
    <n v="2870"/>
    <n v="380"/>
    <n v="393"/>
    <n v="37621"/>
    <n v="71794"/>
    <n v="127"/>
    <s v="#MusicForEveryone"/>
    <s v="#NowPlaying"/>
    <s v="ChillVibes"/>
    <n v="9.6834214933149046E-2"/>
  </r>
  <r>
    <s v="SP136"/>
    <x v="1"/>
    <d v="2024-11-19T00:00:00"/>
    <s v="Text"/>
    <s v="Top trending tracks updated daily!"/>
    <n v="3728"/>
    <n v="271"/>
    <n v="275"/>
    <n v="22827"/>
    <n v="37034"/>
    <n v="199"/>
    <s v="#NowPlaying"/>
    <m/>
    <s v="ChillVibes"/>
    <n v="0.18723441538528934"/>
  </r>
  <r>
    <s v="SP137"/>
    <x v="1"/>
    <d v="2024-04-05T00:00:00"/>
    <s v="Story"/>
    <s v="New music just dropped. Hit play!"/>
    <n v="4965"/>
    <n v="175"/>
    <n v="307"/>
    <n v="32793"/>
    <n v="43412"/>
    <n v="296"/>
    <s v="#SoundtrackOfLife"/>
    <s v="#NowPlaying"/>
    <s v="ChillVibes"/>
    <n v="0.16610252187966945"/>
  </r>
  <r>
    <s v="SP138"/>
    <x v="1"/>
    <d v="2024-11-28T00:00:00"/>
    <s v="Story"/>
    <s v="New music just dropped. Hit play!"/>
    <n v="1131"/>
    <n v="100"/>
    <n v="116"/>
    <n v="48437"/>
    <n v="72704"/>
    <n v="236"/>
    <s v="#DiscoverWeekly"/>
    <s v="#MusicForEveryone"/>
    <s v="ChillVibes"/>
    <n v="2.7809319322005904E-2"/>
  </r>
  <r>
    <s v="SP139"/>
    <x v="1"/>
    <d v="2025-03-09T00:00:00"/>
    <s v="Text"/>
    <s v="Your weekend playlist is waiting."/>
    <n v="2754"/>
    <n v="215"/>
    <n v="264"/>
    <n v="27762"/>
    <n v="70203"/>
    <n v="289"/>
    <s v="#NowPlaying"/>
    <m/>
    <s v="ChillVibes"/>
    <n v="0.11645414595490239"/>
  </r>
  <r>
    <s v="SP140"/>
    <x v="1"/>
    <d v="2024-08-27T00:00:00"/>
    <s v="Story"/>
    <s v="New music just dropped. Hit play!"/>
    <n v="1856"/>
    <n v="357"/>
    <n v="348"/>
    <n v="29428"/>
    <n v="70206"/>
    <n v="236"/>
    <s v="#MusicForEveryone"/>
    <s v="#NowPlaying"/>
    <s v="ChillVibes"/>
    <n v="8.702596166915863E-2"/>
  </r>
  <r>
    <s v="SP141"/>
    <x v="2"/>
    <d v="2024-10-01T00:00:00"/>
    <s v="Reel"/>
    <s v="Explore the latest podcasts now."/>
    <n v="3543"/>
    <n v="334"/>
    <n v="218"/>
    <n v="58007"/>
    <n v="24792"/>
    <n v="273"/>
    <s v="#DiscoverWeekly"/>
    <s v="#SoundtrackOfLife"/>
    <s v="SummerBeats"/>
    <n v="7.0594928198320889E-2"/>
  </r>
  <r>
    <s v="SP142"/>
    <x v="0"/>
    <d v="2024-12-21T00:00:00"/>
    <s v="Story"/>
    <s v="New music just dropped. Hit play!"/>
    <n v="4563"/>
    <n v="398"/>
    <n v="163"/>
    <n v="43679"/>
    <n v="48760"/>
    <n v="92"/>
    <s v="#NowPlaying"/>
    <m/>
    <s v="Wrapped2024"/>
    <n v="0.11731037798484398"/>
  </r>
  <r>
    <s v="SP143"/>
    <x v="0"/>
    <d v="2024-06-17T00:00:00"/>
    <s v="Text"/>
    <s v="Discover fresh beats on Spotify!"/>
    <n v="4283"/>
    <n v="471"/>
    <n v="156"/>
    <n v="53004"/>
    <n v="25678"/>
    <n v="105"/>
    <s v="#DiscoverWeekly"/>
    <m/>
    <s v="IndieWave"/>
    <n v="9.2634518149573616E-2"/>
  </r>
  <r>
    <s v="SP144"/>
    <x v="0"/>
    <d v="2025-02-14T00:00:00"/>
    <s v="Text"/>
    <s v="Discover fresh beats on Spotify!"/>
    <n v="2329"/>
    <n v="373"/>
    <n v="291"/>
    <n v="49577"/>
    <n v="28002"/>
    <n v="82"/>
    <s v="#SoundtrackOfLife"/>
    <s v="#NowPlaying"/>
    <s v="ChillVibes"/>
    <n v="6.0370736430199488E-2"/>
  </r>
  <r>
    <s v="SP145"/>
    <x v="1"/>
    <d v="2025-05-28T00:00:00"/>
    <s v="Story"/>
    <s v="Top trending tracks updated daily!"/>
    <n v="4287"/>
    <n v="273"/>
    <n v="122"/>
    <n v="40792"/>
    <n v="23878"/>
    <n v="277"/>
    <s v="#MusicForEveryone"/>
    <s v="#NowPlaying"/>
    <s v="ChillVibes"/>
    <n v="0.11477740733477153"/>
  </r>
  <r>
    <s v="SP146"/>
    <x v="0"/>
    <d v="2025-05-22T00:00:00"/>
    <s v="Text"/>
    <s v="Discover fresh beats on Spotify!"/>
    <n v="2633"/>
    <n v="318"/>
    <n v="380"/>
    <n v="40869"/>
    <n v="64474"/>
    <n v="245"/>
    <s v="#DiscoverWeekly"/>
    <m/>
    <s v="IndieWave"/>
    <n v="8.1504318676747664E-2"/>
  </r>
  <r>
    <s v="SP147"/>
    <x v="1"/>
    <d v="2024-01-21T00:00:00"/>
    <s v="Story"/>
    <s v="Discover fresh beats on Spotify!"/>
    <n v="2383"/>
    <n v="136"/>
    <n v="302"/>
    <n v="39187"/>
    <n v="22133"/>
    <n v="208"/>
    <s v="#MusicForEveryone"/>
    <s v="#NowPlaying"/>
    <s v="ChillVibes"/>
    <n v="7.1988159338556151E-2"/>
  </r>
  <r>
    <s v="SP148"/>
    <x v="1"/>
    <d v="2025-02-08T00:00:00"/>
    <s v="Story"/>
    <s v="Your weekend playlist is waiting."/>
    <n v="4752"/>
    <n v="334"/>
    <n v="56"/>
    <n v="48017"/>
    <n v="55534"/>
    <n v="270"/>
    <s v="#DiscoverWeekly"/>
    <s v="#MusicForEveryone"/>
    <s v="ChillVibes"/>
    <n v="0.10708707332819627"/>
  </r>
  <r>
    <s v="SP149"/>
    <x v="1"/>
    <d v="2025-04-13T00:00:00"/>
    <s v="Text"/>
    <s v="From pop to podcasts, its all here."/>
    <n v="3890"/>
    <n v="408"/>
    <n v="338"/>
    <n v="56994"/>
    <n v="32621"/>
    <n v="286"/>
    <s v="#SoundtrackOfLife"/>
    <m/>
    <s v="IndieWave"/>
    <n v="8.1341895638137346E-2"/>
  </r>
  <r>
    <s v="SP150"/>
    <x v="1"/>
    <d v="2024-05-30T00:00:00"/>
    <s v="Story"/>
    <s v="Your weekend playlist is waiting."/>
    <n v="2311"/>
    <n v="207"/>
    <n v="363"/>
    <n v="30349"/>
    <n v="32925"/>
    <n v="88"/>
    <s v="#MusicForEveryone"/>
    <s v="#NowPlaying"/>
    <s v="ChillVibes"/>
    <n v="9.4928992718046723E-2"/>
  </r>
  <r>
    <s v="SP151"/>
    <x v="0"/>
    <d v="2024-08-12T00:00:00"/>
    <s v="Story"/>
    <s v="Discover fresh beats on Spotify!"/>
    <n v="2962"/>
    <n v="400"/>
    <n v="280"/>
    <n v="52508"/>
    <n v="58329"/>
    <n v="219"/>
    <s v="#NowPlaying"/>
    <m/>
    <s v="Wrapped2024"/>
    <n v="6.9360859297630834E-2"/>
  </r>
  <r>
    <s v="SP152"/>
    <x v="0"/>
    <d v="2024-09-27T00:00:00"/>
    <s v="Text"/>
    <s v="Discover fresh beats on Spotify!"/>
    <n v="3118"/>
    <n v="116"/>
    <n v="195"/>
    <n v="37100"/>
    <n v="62629"/>
    <n v="272"/>
    <s v="#DiscoverWeekly"/>
    <m/>
    <s v="IndieWave"/>
    <n v="9.2425876010781671E-2"/>
  </r>
  <r>
    <s v="SP153"/>
    <x v="1"/>
    <d v="2025-06-11T00:00:00"/>
    <s v="Story"/>
    <s v="Explore the latest podcasts now."/>
    <n v="3805"/>
    <n v="453"/>
    <n v="63"/>
    <n v="52395"/>
    <n v="72934"/>
    <n v="87"/>
    <s v="#DiscoverWeekly"/>
    <s v="#MusicForEveryone"/>
    <s v="ChillVibes"/>
    <n v="8.2469701307376658E-2"/>
  </r>
  <r>
    <s v="SP154"/>
    <x v="0"/>
    <d v="2024-11-19T00:00:00"/>
    <s v="Text"/>
    <s v="Whats your vibe today?"/>
    <n v="2525"/>
    <n v="272"/>
    <n v="294"/>
    <n v="51875"/>
    <n v="24732"/>
    <n v="92"/>
    <s v="#DiscoverWeekly"/>
    <m/>
    <s v="IndieWave"/>
    <n v="5.9585542168674697E-2"/>
  </r>
  <r>
    <s v="SP155"/>
    <x v="0"/>
    <d v="2024-04-25T00:00:00"/>
    <s v="Text"/>
    <s v="Music that moves you only on Spotify."/>
    <n v="3563"/>
    <n v="483"/>
    <n v="227"/>
    <n v="41085"/>
    <n v="26393"/>
    <n v="236"/>
    <s v="#SoundtrackOfLife"/>
    <s v="#NowPlaying"/>
    <s v="ChillVibes"/>
    <n v="0.10400389436534015"/>
  </r>
  <r>
    <s v="SP156"/>
    <x v="2"/>
    <d v="2024-09-03T00:00:00"/>
    <s v="Reel"/>
    <s v="Whats your vibe today?"/>
    <n v="1437"/>
    <n v="494"/>
    <n v="129"/>
    <n v="53048"/>
    <n v="44090"/>
    <n v="230"/>
    <s v="#DiscoverWeekly"/>
    <s v="#SoundtrackOfLife"/>
    <s v="SummerBeats"/>
    <n v="3.8832755240536872E-2"/>
  </r>
  <r>
    <s v="SP157"/>
    <x v="2"/>
    <d v="2025-03-02T00:00:00"/>
    <s v="Text"/>
    <s v="From pop to podcasts, its all here."/>
    <n v="4425"/>
    <n v="185"/>
    <n v="162"/>
    <n v="24610"/>
    <n v="21342"/>
    <n v="158"/>
    <s v="#DiscoverWeekly"/>
    <s v="#SpotifyWrapped"/>
    <s v="IndieWave"/>
    <n v="0.19390491670052823"/>
  </r>
  <r>
    <s v="SP158"/>
    <x v="1"/>
    <d v="2025-03-21T00:00:00"/>
    <s v="Story"/>
    <s v="New music just dropped. Hit play!"/>
    <n v="4609"/>
    <n v="427"/>
    <n v="395"/>
    <n v="33698"/>
    <n v="29259"/>
    <n v="216"/>
    <s v="#DiscoverWeekly"/>
    <s v="#MusicForEveryone"/>
    <s v="ChillVibes"/>
    <n v="0.16116683482699271"/>
  </r>
  <r>
    <s v="SP159"/>
    <x v="0"/>
    <d v="2024-04-12T00:00:00"/>
    <s v="Story"/>
    <s v="Get into the groove with our new drop!"/>
    <n v="1558"/>
    <n v="352"/>
    <n v="202"/>
    <n v="25405"/>
    <n v="69941"/>
    <n v="219"/>
    <s v="#NowPlaying"/>
    <m/>
    <s v="Wrapped2024"/>
    <n v="8.3133241487896081E-2"/>
  </r>
  <r>
    <s v="SP160"/>
    <x v="2"/>
    <d v="2024-02-08T00:00:00"/>
    <s v="Reel"/>
    <s v="Top trending tracks updated daily!"/>
    <n v="1889"/>
    <n v="298"/>
    <n v="122"/>
    <n v="46225"/>
    <n v="74305"/>
    <n v="293"/>
    <s v="#DiscoverWeekly"/>
    <s v="#SoundtrackOfLife"/>
    <s v="SummerBeats"/>
    <n v="4.9951325040562468E-2"/>
  </r>
  <r>
    <s v="SP161"/>
    <x v="0"/>
    <d v="2025-05-26T00:00:00"/>
    <s v="Text"/>
    <s v="Discover fresh beats on Spotify!"/>
    <n v="3086"/>
    <n v="148"/>
    <n v="310"/>
    <n v="22824"/>
    <n v="58103"/>
    <n v="275"/>
    <s v="#DiscoverWeekly"/>
    <m/>
    <s v="IndieWave"/>
    <n v="0.1552751489660007"/>
  </r>
  <r>
    <s v="SP162"/>
    <x v="0"/>
    <d v="2024-11-14T00:00:00"/>
    <s v="Text"/>
    <s v="Music that moves you only on Spotify."/>
    <n v="2422"/>
    <n v="318"/>
    <n v="118"/>
    <n v="25386"/>
    <n v="20873"/>
    <n v="100"/>
    <s v="#SoundtrackOfLife"/>
    <s v="#NowPlaying"/>
    <s v="ChillVibes"/>
    <n v="0.11258173796580792"/>
  </r>
  <r>
    <s v="SP163"/>
    <x v="2"/>
    <d v="2024-08-09T00:00:00"/>
    <s v="Reel"/>
    <s v="From pop to podcasts, its all here."/>
    <n v="3414"/>
    <n v="154"/>
    <n v="204"/>
    <n v="34146"/>
    <n v="44633"/>
    <n v="256"/>
    <s v="#DiscoverWeekly"/>
    <s v="#SoundtrackOfLife"/>
    <s v="SummerBeats"/>
    <n v="0.11046681895390383"/>
  </r>
  <r>
    <s v="SP164"/>
    <x v="0"/>
    <d v="2025-06-27T00:00:00"/>
    <s v="Story"/>
    <s v="Whats your vibe today?"/>
    <n v="1342"/>
    <n v="332"/>
    <n v="163"/>
    <n v="51712"/>
    <n v="57922"/>
    <n v="168"/>
    <s v="#NowPlaying"/>
    <m/>
    <s v="Wrapped2024"/>
    <n v="3.5523669554455448E-2"/>
  </r>
  <r>
    <s v="SP165"/>
    <x v="0"/>
    <d v="2024-05-08T00:00:00"/>
    <s v="Story"/>
    <s v="Music that moves you only on Spotify."/>
    <n v="2414"/>
    <n v="220"/>
    <n v="280"/>
    <n v="27355"/>
    <n v="50562"/>
    <n v="258"/>
    <s v="#NowPlaying"/>
    <m/>
    <s v="Wrapped2024"/>
    <n v="0.10652531529884847"/>
  </r>
  <r>
    <s v="SP166"/>
    <x v="0"/>
    <d v="2024-04-05T00:00:00"/>
    <s v="Text"/>
    <s v="New music just dropped. Hit play!"/>
    <n v="4383"/>
    <n v="352"/>
    <n v="176"/>
    <n v="53239"/>
    <n v="34168"/>
    <n v="288"/>
    <s v="#DiscoverWeekly"/>
    <m/>
    <s v="IndieWave"/>
    <n v="9.2244407295403744E-2"/>
  </r>
  <r>
    <s v="SP167"/>
    <x v="2"/>
    <d v="2025-01-27T00:00:00"/>
    <s v="Text"/>
    <s v="Wrapped is here! Relive your top tracks"/>
    <n v="4294"/>
    <n v="423"/>
    <n v="93"/>
    <n v="29828"/>
    <n v="73144"/>
    <n v="298"/>
    <s v="#DiscoverWeekly"/>
    <s v="#SpotifyWrapped"/>
    <s v="IndieWave"/>
    <n v="0.1612578785034196"/>
  </r>
  <r>
    <s v="SP168"/>
    <x v="0"/>
    <d v="2024-04-03T00:00:00"/>
    <s v="Text"/>
    <s v="Top trending tracks updated daily!"/>
    <n v="2762"/>
    <n v="339"/>
    <n v="323"/>
    <n v="33757"/>
    <n v="68511"/>
    <n v="121"/>
    <s v="#SoundtrackOfLife"/>
    <s v="#NowPlaying"/>
    <s v="ChillVibes"/>
    <n v="0.10143081434961637"/>
  </r>
  <r>
    <s v="SP169"/>
    <x v="2"/>
    <d v="2025-01-03T00:00:00"/>
    <s v="Text"/>
    <s v="New music just dropped. Hit play!"/>
    <n v="3782"/>
    <n v="484"/>
    <n v="144"/>
    <n v="52172"/>
    <n v="59386"/>
    <n v="175"/>
    <s v="#DiscoverWeekly"/>
    <s v="#SpotifyWrapped"/>
    <s v="IndieWave"/>
    <n v="8.4528099363643333E-2"/>
  </r>
  <r>
    <s v="SP170"/>
    <x v="1"/>
    <d v="2024-11-23T00:00:00"/>
    <s v="Text"/>
    <s v="New music just dropped. Hit play!"/>
    <n v="4318"/>
    <n v="371"/>
    <n v="329"/>
    <n v="32347"/>
    <n v="68956"/>
    <n v="259"/>
    <s v="#SoundtrackOfLife"/>
    <m/>
    <s v="IndieWave"/>
    <n v="0.15513030574705536"/>
  </r>
  <r>
    <s v="SP171"/>
    <x v="0"/>
    <d v="2024-09-01T00:00:00"/>
    <s v="Story"/>
    <s v="Wrapped is here! Relive your top tracks"/>
    <n v="2335"/>
    <n v="150"/>
    <n v="75"/>
    <n v="26114"/>
    <n v="57549"/>
    <n v="135"/>
    <s v="#NowPlaying"/>
    <m/>
    <s v="Wrapped2024"/>
    <n v="9.8031707130274953E-2"/>
  </r>
  <r>
    <s v="SP172"/>
    <x v="2"/>
    <d v="2024-04-18T00:00:00"/>
    <s v="Text"/>
    <s v="Explore the latest podcasts now."/>
    <n v="4023"/>
    <n v="293"/>
    <n v="91"/>
    <n v="26795"/>
    <n v="28924"/>
    <n v="278"/>
    <s v="#DiscoverWeekly"/>
    <s v="#SpotifyWrapped"/>
    <s v="IndieWave"/>
    <n v="0.16447098339242397"/>
  </r>
  <r>
    <s v="SP173"/>
    <x v="0"/>
    <d v="2024-06-04T00:00:00"/>
    <s v="Text"/>
    <s v="Get into the groove with our new drop!"/>
    <n v="3948"/>
    <n v="151"/>
    <n v="249"/>
    <n v="43147"/>
    <n v="63136"/>
    <n v="230"/>
    <s v="#DiscoverWeekly"/>
    <m/>
    <s v="IndieWave"/>
    <n v="0.10077178019329269"/>
  </r>
  <r>
    <s v="SP174"/>
    <x v="2"/>
    <d v="2025-04-02T00:00:00"/>
    <s v="Text"/>
    <s v="Wrapped is here! Relive your top tracks"/>
    <n v="4598"/>
    <n v="455"/>
    <n v="378"/>
    <n v="52952"/>
    <n v="58504"/>
    <n v="269"/>
    <s v="#DiscoverWeekly"/>
    <s v="#SpotifyWrapped"/>
    <s v="IndieWave"/>
    <n v="0.10256458679558846"/>
  </r>
  <r>
    <s v="SP175"/>
    <x v="1"/>
    <d v="2025-04-01T00:00:00"/>
    <s v="Story"/>
    <s v="Music that moves you only on Spotify."/>
    <n v="2665"/>
    <n v="143"/>
    <n v="315"/>
    <n v="54808"/>
    <n v="29818"/>
    <n v="98"/>
    <s v="#DiscoverWeekly"/>
    <s v="#MusicForEveryone"/>
    <s v="ChillVibes"/>
    <n v="5.6980732739746021E-2"/>
  </r>
  <r>
    <s v="SP176"/>
    <x v="0"/>
    <d v="2024-07-02T00:00:00"/>
    <s v="Text"/>
    <s v="Top trending tracks updated daily!"/>
    <n v="3469"/>
    <n v="371"/>
    <n v="76"/>
    <n v="46493"/>
    <n v="26906"/>
    <n v="150"/>
    <s v="#SoundtrackOfLife"/>
    <s v="#NowPlaying"/>
    <s v="ChillVibes"/>
    <n v="8.4227733207149463E-2"/>
  </r>
  <r>
    <s v="SP177"/>
    <x v="1"/>
    <d v="2024-11-10T00:00:00"/>
    <s v="Text"/>
    <s v="Explore the latest podcasts now."/>
    <n v="4823"/>
    <n v="489"/>
    <n v="302"/>
    <n v="32470"/>
    <n v="31861"/>
    <n v="178"/>
    <s v="#SoundtrackOfLife"/>
    <m/>
    <s v="IndieWave"/>
    <n v="0.1728980597474592"/>
  </r>
  <r>
    <s v="SP178"/>
    <x v="0"/>
    <d v="2024-12-14T00:00:00"/>
    <s v="Story"/>
    <s v="From pop to podcasts, its all here."/>
    <n v="3812"/>
    <n v="321"/>
    <n v="289"/>
    <n v="59838"/>
    <n v="36337"/>
    <n v="161"/>
    <s v="#NowPlaying"/>
    <m/>
    <s v="Wrapped2024"/>
    <n v="7.3899528727564417E-2"/>
  </r>
  <r>
    <s v="SP179"/>
    <x v="1"/>
    <d v="2024-11-19T00:00:00"/>
    <s v="Text"/>
    <s v="Explore the latest podcasts now."/>
    <n v="2387"/>
    <n v="353"/>
    <n v="78"/>
    <n v="39745"/>
    <n v="69226"/>
    <n v="208"/>
    <s v="#SoundtrackOfLife"/>
    <m/>
    <s v="IndieWave"/>
    <n v="7.090200025160398E-2"/>
  </r>
  <r>
    <s v="SP180"/>
    <x v="1"/>
    <d v="2025-04-30T00:00:00"/>
    <s v="Story"/>
    <s v="Wrapped is here! Relive your top tracks"/>
    <n v="3929"/>
    <n v="275"/>
    <n v="330"/>
    <n v="58329"/>
    <n v="33196"/>
    <n v="85"/>
    <s v="#MusicForEveryone"/>
    <s v="#NowPlaying"/>
    <s v="ChillVibes"/>
    <n v="7.7731488624869283E-2"/>
  </r>
  <r>
    <s v="SP181"/>
    <x v="1"/>
    <d v="2024-03-19T00:00:00"/>
    <s v="Text"/>
    <s v="From pop to podcasts, its all here."/>
    <n v="2191"/>
    <n v="288"/>
    <n v="83"/>
    <n v="59606"/>
    <n v="24765"/>
    <n v="281"/>
    <s v="#SoundtrackOfLife"/>
    <m/>
    <s v="IndieWave"/>
    <n v="4.2982250109049422E-2"/>
  </r>
  <r>
    <s v="SP182"/>
    <x v="0"/>
    <d v="2024-03-19T00:00:00"/>
    <s v="Text"/>
    <s v="From pop to podcasts, its all here."/>
    <n v="2878"/>
    <n v="278"/>
    <n v="255"/>
    <n v="47235"/>
    <n v="57922"/>
    <n v="112"/>
    <s v="#SoundtrackOfLife"/>
    <s v="#NowPlaying"/>
    <s v="ChillVibes"/>
    <n v="7.2213401079707848E-2"/>
  </r>
  <r>
    <s v="SP183"/>
    <x v="1"/>
    <d v="2024-07-23T00:00:00"/>
    <s v="Text"/>
    <s v="Top trending tracks updated daily!"/>
    <n v="3204"/>
    <n v="398"/>
    <n v="85"/>
    <n v="22020"/>
    <n v="58353"/>
    <n v="286"/>
    <s v="#SoundtrackOfLife"/>
    <m/>
    <s v="IndieWave"/>
    <n v="0.16743869209809265"/>
  </r>
  <r>
    <s v="SP184"/>
    <x v="1"/>
    <d v="2024-07-13T00:00:00"/>
    <s v="Story"/>
    <s v="Get into the groove with our new drop!"/>
    <n v="2408"/>
    <n v="323"/>
    <n v="251"/>
    <n v="47599"/>
    <n v="35543"/>
    <n v="287"/>
    <s v="#MusicForEveryone"/>
    <s v="#NowPlaying"/>
    <s v="ChillVibes"/>
    <n v="6.2648374965860634E-2"/>
  </r>
  <r>
    <s v="SP185"/>
    <x v="2"/>
    <d v="2025-04-22T00:00:00"/>
    <s v="Reel"/>
    <s v="New music just dropped. Hit play!"/>
    <n v="2733"/>
    <n v="297"/>
    <n v="235"/>
    <n v="37980"/>
    <n v="33058"/>
    <n v="219"/>
    <s v="#DiscoverWeekly"/>
    <s v="#SoundtrackOfLife"/>
    <s v="SummerBeats"/>
    <n v="8.5966298051606105E-2"/>
  </r>
  <r>
    <s v="SP186"/>
    <x v="1"/>
    <d v="2024-06-16T00:00:00"/>
    <s v="Story"/>
    <s v="Explore the latest podcasts now."/>
    <n v="4618"/>
    <n v="312"/>
    <n v="254"/>
    <n v="22571"/>
    <n v="29453"/>
    <n v="197"/>
    <s v="#MusicForEveryone"/>
    <s v="#NowPlaying"/>
    <s v="ChillVibes"/>
    <n v="0.22967524699836073"/>
  </r>
  <r>
    <s v="SP187"/>
    <x v="2"/>
    <d v="2025-05-18T00:00:00"/>
    <s v="Reel"/>
    <s v="Wrapped is here! Relive your top tracks"/>
    <n v="4210"/>
    <n v="319"/>
    <n v="350"/>
    <n v="37762"/>
    <n v="55162"/>
    <n v="204"/>
    <s v="#DiscoverWeekly"/>
    <s v="#SoundtrackOfLife"/>
    <s v="SummerBeats"/>
    <n v="0.12920396165457337"/>
  </r>
  <r>
    <s v="SP188"/>
    <x v="0"/>
    <d v="2025-06-06T00:00:00"/>
    <s v="Text"/>
    <s v="Wrapped is here! Relive your top tracks"/>
    <n v="3987"/>
    <n v="171"/>
    <n v="274"/>
    <n v="45122"/>
    <n v="65431"/>
    <n v="168"/>
    <s v="#DiscoverWeekly"/>
    <m/>
    <s v="IndieWave"/>
    <n v="9.8222596516111871E-2"/>
  </r>
  <r>
    <s v="SP189"/>
    <x v="2"/>
    <d v="2025-02-20T00:00:00"/>
    <s v="Reel"/>
    <s v="Get into the groove with our new drop!"/>
    <n v="4957"/>
    <n v="262"/>
    <n v="365"/>
    <n v="49199"/>
    <n v="40314"/>
    <n v="216"/>
    <s v="#DiscoverWeekly"/>
    <s v="#SoundtrackOfLife"/>
    <s v="SummerBeats"/>
    <n v="0.11349824183418362"/>
  </r>
  <r>
    <s v="SP190"/>
    <x v="0"/>
    <d v="2025-01-16T00:00:00"/>
    <s v="Text"/>
    <s v="Music that moves you only on Spotify."/>
    <n v="2605"/>
    <n v="282"/>
    <n v="148"/>
    <n v="32201"/>
    <n v="49583"/>
    <n v="241"/>
    <s v="#SoundtrackOfLife"/>
    <s v="#NowPlaying"/>
    <s v="ChillVibes"/>
    <n v="9.4251731312692155E-2"/>
  </r>
  <r>
    <s v="SP191"/>
    <x v="2"/>
    <d v="2024-02-24T00:00:00"/>
    <s v="Reel"/>
    <s v="Discover fresh beats on Spotify!"/>
    <n v="4221"/>
    <n v="307"/>
    <n v="58"/>
    <n v="45080"/>
    <n v="37214"/>
    <n v="240"/>
    <s v="#DiscoverWeekly"/>
    <s v="#SoundtrackOfLife"/>
    <s v="SummerBeats"/>
    <n v="0.10173025732031943"/>
  </r>
  <r>
    <s v="SP192"/>
    <x v="1"/>
    <d v="2024-09-16T00:00:00"/>
    <s v="Story"/>
    <s v="Whats your vibe today?"/>
    <n v="4422"/>
    <n v="434"/>
    <n v="156"/>
    <n v="56165"/>
    <n v="52431"/>
    <n v="173"/>
    <s v="#DiscoverWeekly"/>
    <s v="#MusicForEveryone"/>
    <s v="ChillVibes"/>
    <n v="8.9237069349238848E-2"/>
  </r>
  <r>
    <s v="SP193"/>
    <x v="2"/>
    <d v="2024-06-04T00:00:00"/>
    <s v="Reel"/>
    <s v="Wrapped is here! Relive your top tracks"/>
    <n v="1211"/>
    <n v="431"/>
    <n v="83"/>
    <n v="26532"/>
    <n v="47305"/>
    <n v="232"/>
    <s v="#DiscoverWeekly"/>
    <s v="#SoundtrackOfLife"/>
    <s v="SummerBeats"/>
    <n v="6.5015829941203071E-2"/>
  </r>
  <r>
    <s v="SP194"/>
    <x v="1"/>
    <d v="2024-05-10T00:00:00"/>
    <s v="Story"/>
    <s v="Explore the latest podcasts now."/>
    <n v="2784"/>
    <n v="111"/>
    <n v="399"/>
    <n v="58366"/>
    <n v="69512"/>
    <n v="269"/>
    <s v="#MusicForEveryone"/>
    <s v="#NowPlaying"/>
    <s v="ChillVibes"/>
    <n v="5.6436966727204191E-2"/>
  </r>
  <r>
    <s v="SP195"/>
    <x v="2"/>
    <d v="2024-01-14T00:00:00"/>
    <s v="Text"/>
    <s v="New music just dropped. Hit play!"/>
    <n v="3634"/>
    <n v="280"/>
    <n v="399"/>
    <n v="40256"/>
    <n v="52605"/>
    <n v="213"/>
    <s v="#DiscoverWeekly"/>
    <s v="#SpotifyWrapped"/>
    <s v="IndieWave"/>
    <n v="0.10713930842607314"/>
  </r>
  <r>
    <s v="SP196"/>
    <x v="0"/>
    <d v="2025-01-12T00:00:00"/>
    <s v="Text"/>
    <s v="From pop to podcasts, its all here."/>
    <n v="1771"/>
    <n v="487"/>
    <n v="272"/>
    <n v="48810"/>
    <n v="48084"/>
    <n v="272"/>
    <s v="#SoundtrackOfLife"/>
    <s v="#NowPlaying"/>
    <s v="ChillVibes"/>
    <n v="5.1833640647408315E-2"/>
  </r>
  <r>
    <s v="SP197"/>
    <x v="2"/>
    <d v="2024-12-08T00:00:00"/>
    <s v="Text"/>
    <s v="Top trending tracks updated daily!"/>
    <n v="1424"/>
    <n v="396"/>
    <n v="312"/>
    <n v="59517"/>
    <n v="46102"/>
    <n v="239"/>
    <s v="#DiscoverWeekly"/>
    <s v="#SpotifyWrapped"/>
    <s v="IndieWave"/>
    <n v="3.5821698002251455E-2"/>
  </r>
  <r>
    <s v="SP198"/>
    <x v="1"/>
    <d v="2025-02-01T00:00:00"/>
    <s v="Story"/>
    <s v="Top trending tracks updated daily!"/>
    <n v="1079"/>
    <n v="265"/>
    <n v="190"/>
    <n v="43786"/>
    <n v="72428"/>
    <n v="222"/>
    <s v="#SoundtrackOfLife"/>
    <s v="#NowPlaying"/>
    <s v="ChillVibes"/>
    <n v="3.5034029141734799E-2"/>
  </r>
  <r>
    <s v="SP199"/>
    <x v="1"/>
    <d v="2024-07-11T00:00:00"/>
    <s v="Story"/>
    <s v="Get into the groove with our new drop!"/>
    <n v="4247"/>
    <n v="179"/>
    <n v="175"/>
    <n v="32991"/>
    <n v="70120"/>
    <n v="276"/>
    <s v="#SoundtrackOfLife"/>
    <s v="#NowPlaying"/>
    <s v="ChillVibes"/>
    <n v="0.13946227759085811"/>
  </r>
  <r>
    <s v="SP200"/>
    <x v="1"/>
    <d v="2024-03-18T00:00:00"/>
    <s v="Text"/>
    <s v="New music just dropped. Hit play!"/>
    <n v="2033"/>
    <n v="420"/>
    <n v="94"/>
    <n v="56290"/>
    <n v="57391"/>
    <n v="196"/>
    <s v="#NowPlaying"/>
    <m/>
    <s v="ChillVibes"/>
    <n v="4.5247823769763724E-2"/>
  </r>
  <r>
    <s v="SP201"/>
    <x v="1"/>
    <d v="2024-09-12T00:00:00"/>
    <s v="Story"/>
    <s v="Wrapped is here! Relive your top tracks"/>
    <n v="1839"/>
    <n v="223"/>
    <n v="171"/>
    <n v="35459"/>
    <n v="69988"/>
    <n v="114"/>
    <s v="#MusicForEveryone"/>
    <s v="#NowPlaying"/>
    <s v="ChillVibes"/>
    <n v="6.2974139146620034E-2"/>
  </r>
  <r>
    <s v="SP202"/>
    <x v="1"/>
    <d v="2024-01-11T00:00:00"/>
    <s v="Story"/>
    <s v="Wrapped is here! Relive your top tracks"/>
    <n v="2340"/>
    <n v="141"/>
    <n v="206"/>
    <n v="24916"/>
    <n v="30582"/>
    <n v="157"/>
    <s v="#SoundtrackOfLife"/>
    <s v="#NowPlaying"/>
    <s v="ChillVibes"/>
    <n v="0.10784235029699792"/>
  </r>
  <r>
    <s v="SP203"/>
    <x v="0"/>
    <d v="2024-10-06T00:00:00"/>
    <s v="Text"/>
    <s v="Top trending tracks updated daily!"/>
    <n v="2080"/>
    <n v="389"/>
    <n v="92"/>
    <n v="30971"/>
    <n v="25347"/>
    <n v="111"/>
    <s v="#DiscoverWeekly"/>
    <m/>
    <s v="IndieWave"/>
    <n v="8.2690258629040073E-2"/>
  </r>
  <r>
    <s v="SP204"/>
    <x v="1"/>
    <d v="2024-12-30T00:00:00"/>
    <s v="Text"/>
    <s v="Get into the groove with our new drop!"/>
    <n v="4214"/>
    <n v="286"/>
    <n v="127"/>
    <n v="47293"/>
    <n v="27184"/>
    <n v="232"/>
    <s v="#NowPlaying"/>
    <m/>
    <s v="ChillVibes"/>
    <n v="9.7836889180216949E-2"/>
  </r>
  <r>
    <s v="SP205"/>
    <x v="1"/>
    <d v="2025-04-16T00:00:00"/>
    <s v="Text"/>
    <s v="Wrapped is here! Relive your top tracks"/>
    <n v="3792"/>
    <n v="315"/>
    <n v="120"/>
    <n v="54592"/>
    <n v="67886"/>
    <n v="117"/>
    <s v="#SoundtrackOfLife"/>
    <m/>
    <s v="IndieWave"/>
    <n v="7.7428927315357568E-2"/>
  </r>
  <r>
    <s v="SP206"/>
    <x v="1"/>
    <d v="2024-08-21T00:00:00"/>
    <s v="Story"/>
    <s v="Explore the latest podcasts now."/>
    <n v="3989"/>
    <n v="476"/>
    <n v="128"/>
    <n v="57569"/>
    <n v="40193"/>
    <n v="222"/>
    <s v="#DiscoverWeekly"/>
    <s v="#MusicForEveryone"/>
    <s v="ChillVibes"/>
    <n v="7.9782521843353188E-2"/>
  </r>
  <r>
    <s v="SP207"/>
    <x v="1"/>
    <d v="2024-04-05T00:00:00"/>
    <s v="Story"/>
    <s v="Wrapped is here! Relive your top tracks"/>
    <n v="2857"/>
    <n v="443"/>
    <n v="359"/>
    <n v="51519"/>
    <n v="28256"/>
    <n v="155"/>
    <s v="#SoundtrackOfLife"/>
    <s v="#NowPlaying"/>
    <s v="ChillVibes"/>
    <n v="7.1022341272152026E-2"/>
  </r>
  <r>
    <s v="SP208"/>
    <x v="1"/>
    <d v="2025-04-07T00:00:00"/>
    <s v="Text"/>
    <s v="From pop to podcasts, its all here."/>
    <n v="1403"/>
    <n v="385"/>
    <n v="344"/>
    <n v="54223"/>
    <n v="72595"/>
    <n v="239"/>
    <s v="#SoundtrackOfLife"/>
    <m/>
    <s v="IndieWave"/>
    <n v="3.9319108127547353E-2"/>
  </r>
  <r>
    <s v="SP209"/>
    <x v="1"/>
    <d v="2024-07-19T00:00:00"/>
    <s v="Story"/>
    <s v="Whats your vibe today?"/>
    <n v="3071"/>
    <n v="126"/>
    <n v="200"/>
    <n v="44013"/>
    <n v="44679"/>
    <n v="118"/>
    <s v="#DiscoverWeekly"/>
    <s v="#MusicForEveryone"/>
    <s v="ChillVibes"/>
    <n v="7.7181741758116915E-2"/>
  </r>
  <r>
    <s v="SP210"/>
    <x v="1"/>
    <d v="2025-05-03T00:00:00"/>
    <s v="Story"/>
    <s v="Top trending tracks updated daily!"/>
    <n v="1010"/>
    <n v="361"/>
    <n v="240"/>
    <n v="47229"/>
    <n v="72573"/>
    <n v="275"/>
    <s v="#SoundtrackOfLife"/>
    <s v="#NowPlaying"/>
    <s v="ChillVibes"/>
    <n v="3.4110398272247981E-2"/>
  </r>
  <r>
    <s v="SP211"/>
    <x v="1"/>
    <d v="2024-04-14T00:00:00"/>
    <s v="Story"/>
    <s v="Discover fresh beats on Spotify!"/>
    <n v="1295"/>
    <n v="153"/>
    <n v="81"/>
    <n v="48350"/>
    <n v="61033"/>
    <n v="232"/>
    <s v="#DiscoverWeekly"/>
    <s v="#MusicForEveryone"/>
    <s v="ChillVibes"/>
    <n v="3.1623578076525334E-2"/>
  </r>
  <r>
    <s v="SP212"/>
    <x v="1"/>
    <d v="2025-06-19T00:00:00"/>
    <s v="Story"/>
    <s v="Whats your vibe today?"/>
    <n v="1433"/>
    <n v="452"/>
    <n v="305"/>
    <n v="54541"/>
    <n v="63700"/>
    <n v="296"/>
    <s v="#DiscoverWeekly"/>
    <s v="#MusicForEveryone"/>
    <s v="ChillVibes"/>
    <n v="4.0153279184466734E-2"/>
  </r>
  <r>
    <s v="SP213"/>
    <x v="0"/>
    <d v="2025-06-24T00:00:00"/>
    <s v="Story"/>
    <s v="Get into the groove with our new drop!"/>
    <n v="4902"/>
    <n v="422"/>
    <n v="376"/>
    <n v="31674"/>
    <n v="53225"/>
    <n v="147"/>
    <s v="#NowPlaying"/>
    <m/>
    <s v="Wrapped2024"/>
    <n v="0.17995832544042431"/>
  </r>
  <r>
    <s v="SP214"/>
    <x v="1"/>
    <d v="2024-10-09T00:00:00"/>
    <s v="Text"/>
    <s v="Wrapped is here! Relive your top tracks"/>
    <n v="2659"/>
    <n v="167"/>
    <n v="73"/>
    <n v="23090"/>
    <n v="25872"/>
    <n v="293"/>
    <s v="#SoundtrackOfLife"/>
    <m/>
    <s v="IndieWave"/>
    <n v="0.12555218709398008"/>
  </r>
  <r>
    <s v="SP215"/>
    <x v="2"/>
    <d v="2025-01-15T00:00:00"/>
    <s v="Text"/>
    <s v="Your weekend playlist is waiting."/>
    <n v="2599"/>
    <n v="324"/>
    <n v="182"/>
    <n v="37525"/>
    <n v="37216"/>
    <n v="186"/>
    <s v="#DiscoverWeekly"/>
    <s v="#SpotifyWrapped"/>
    <s v="IndieWave"/>
    <n v="8.2744836775483013E-2"/>
  </r>
  <r>
    <s v="SP216"/>
    <x v="1"/>
    <d v="2025-01-12T00:00:00"/>
    <s v="Text"/>
    <s v="Music that moves you only on Spotify."/>
    <n v="1765"/>
    <n v="285"/>
    <n v="100"/>
    <n v="41313"/>
    <n v="56575"/>
    <n v="174"/>
    <s v="#SoundtrackOfLife"/>
    <m/>
    <s v="IndieWave"/>
    <n v="5.2041730205988429E-2"/>
  </r>
  <r>
    <s v="SP217"/>
    <x v="0"/>
    <d v="2025-05-31T00:00:00"/>
    <s v="Text"/>
    <s v="Whats your vibe today?"/>
    <n v="2169"/>
    <n v="240"/>
    <n v="57"/>
    <n v="26109"/>
    <n v="46667"/>
    <n v="133"/>
    <s v="#SoundtrackOfLife"/>
    <s v="#NowPlaying"/>
    <s v="ChillVibes"/>
    <n v="9.4450189589796618E-2"/>
  </r>
  <r>
    <s v="SP218"/>
    <x v="1"/>
    <d v="2024-10-14T00:00:00"/>
    <s v="Story"/>
    <s v="Explore the latest podcasts now."/>
    <n v="4303"/>
    <n v="306"/>
    <n v="302"/>
    <n v="39575"/>
    <n v="33762"/>
    <n v="265"/>
    <s v="#DiscoverWeekly"/>
    <s v="#MusicForEveryone"/>
    <s v="ChillVibes"/>
    <n v="0.12409349336702463"/>
  </r>
  <r>
    <s v="SP219"/>
    <x v="1"/>
    <d v="2024-02-10T00:00:00"/>
    <s v="Text"/>
    <s v="From pop to podcasts, its all here."/>
    <n v="1519"/>
    <n v="456"/>
    <n v="379"/>
    <n v="51611"/>
    <n v="45880"/>
    <n v="176"/>
    <s v="#SoundtrackOfLife"/>
    <m/>
    <s v="IndieWave"/>
    <n v="4.5610431884675749E-2"/>
  </r>
  <r>
    <s v="SP220"/>
    <x v="2"/>
    <d v="2024-12-10T00:00:00"/>
    <s v="Text"/>
    <s v="Whats your vibe today?"/>
    <n v="2569"/>
    <n v="140"/>
    <n v="375"/>
    <n v="38372"/>
    <n v="22102"/>
    <n v="255"/>
    <s v="#DiscoverWeekly"/>
    <s v="#SpotifyWrapped"/>
    <s v="IndieWave"/>
    <n v="8.0371103929948923E-2"/>
  </r>
  <r>
    <s v="SP221"/>
    <x v="1"/>
    <d v="2025-05-09T00:00:00"/>
    <s v="Story"/>
    <s v="Music that moves you only on Spotify."/>
    <n v="2778"/>
    <n v="241"/>
    <n v="317"/>
    <n v="26247"/>
    <n v="20677"/>
    <n v="282"/>
    <s v="#MusicForEveryone"/>
    <s v="#NowPlaying"/>
    <s v="ChillVibes"/>
    <n v="0.1271002400274317"/>
  </r>
  <r>
    <s v="SP222"/>
    <x v="1"/>
    <d v="2025-06-21T00:00:00"/>
    <s v="Text"/>
    <s v="Explore the latest podcasts now."/>
    <n v="3611"/>
    <n v="127"/>
    <n v="139"/>
    <n v="44768"/>
    <n v="29435"/>
    <n v="178"/>
    <s v="#NowPlaying"/>
    <m/>
    <s v="ChillVibes"/>
    <n v="8.6602037169406718E-2"/>
  </r>
  <r>
    <s v="SP223"/>
    <x v="1"/>
    <d v="2024-06-19T00:00:00"/>
    <s v="Text"/>
    <s v="Whats your vibe today?"/>
    <n v="1224"/>
    <n v="168"/>
    <n v="199"/>
    <n v="54232"/>
    <n v="52844"/>
    <n v="271"/>
    <s v="#SoundtrackOfLife"/>
    <m/>
    <s v="IndieWave"/>
    <n v="2.9336922849977874E-2"/>
  </r>
  <r>
    <s v="SP224"/>
    <x v="1"/>
    <d v="2024-12-10T00:00:00"/>
    <s v="Text"/>
    <s v="From pop to podcasts, its all here."/>
    <n v="4673"/>
    <n v="270"/>
    <n v="93"/>
    <n v="45260"/>
    <n v="57513"/>
    <n v="103"/>
    <s v="#NowPlaying"/>
    <m/>
    <s v="ChillVibes"/>
    <n v="0.11126822801590809"/>
  </r>
  <r>
    <s v="SP225"/>
    <x v="2"/>
    <d v="2024-02-01T00:00:00"/>
    <s v="Text"/>
    <s v="Wrapped is here! Relive your top tracks"/>
    <n v="1432"/>
    <n v="437"/>
    <n v="267"/>
    <n v="40634"/>
    <n v="54511"/>
    <n v="197"/>
    <s v="#DiscoverWeekly"/>
    <s v="#SpotifyWrapped"/>
    <s v="IndieWave"/>
    <n v="5.2566815966924252E-2"/>
  </r>
  <r>
    <s v="SP226"/>
    <x v="1"/>
    <d v="2024-01-17T00:00:00"/>
    <s v="Story"/>
    <s v="New music just dropped. Hit play!"/>
    <n v="2174"/>
    <n v="499"/>
    <n v="212"/>
    <n v="54938"/>
    <n v="27190"/>
    <n v="265"/>
    <s v="#MusicForEveryone"/>
    <s v="#NowPlaying"/>
    <s v="ChillVibes"/>
    <n v="5.2513742764570971E-2"/>
  </r>
  <r>
    <s v="SP227"/>
    <x v="2"/>
    <d v="2025-03-22T00:00:00"/>
    <s v="Text"/>
    <s v="Music that moves you only on Spotify."/>
    <n v="4308"/>
    <n v="171"/>
    <n v="106"/>
    <n v="36955"/>
    <n v="23949"/>
    <n v="294"/>
    <s v="#DiscoverWeekly"/>
    <s v="#SpotifyWrapped"/>
    <s v="IndieWave"/>
    <n v="0.12406981463942633"/>
  </r>
  <r>
    <s v="SP228"/>
    <x v="2"/>
    <d v="2024-05-30T00:00:00"/>
    <s v="Reel"/>
    <s v="Whats your vibe today?"/>
    <n v="1060"/>
    <n v="442"/>
    <n v="319"/>
    <n v="57194"/>
    <n v="24258"/>
    <n v="101"/>
    <s v="#DiscoverWeekly"/>
    <s v="#SoundtrackOfLife"/>
    <s v="SummerBeats"/>
    <n v="3.1839004091338254E-2"/>
  </r>
  <r>
    <s v="SP229"/>
    <x v="2"/>
    <d v="2024-02-24T00:00:00"/>
    <s v="Text"/>
    <s v="Music that moves you only on Spotify."/>
    <n v="4653"/>
    <n v="226"/>
    <n v="349"/>
    <n v="56876"/>
    <n v="28452"/>
    <n v="257"/>
    <s v="#DiscoverWeekly"/>
    <s v="#SpotifyWrapped"/>
    <s v="IndieWave"/>
    <n v="9.191926295801392E-2"/>
  </r>
  <r>
    <s v="SP230"/>
    <x v="2"/>
    <d v="2025-05-14T00:00:00"/>
    <s v="Text"/>
    <s v="Discover fresh beats on Spotify!"/>
    <n v="1701"/>
    <n v="272"/>
    <n v="385"/>
    <n v="47496"/>
    <n v="40832"/>
    <n v="246"/>
    <s v="#DiscoverWeekly"/>
    <s v="#SpotifyWrapped"/>
    <s v="IndieWave"/>
    <n v="4.9646286003031836E-2"/>
  </r>
  <r>
    <s v="SP231"/>
    <x v="0"/>
    <d v="2024-03-28T00:00:00"/>
    <s v="Text"/>
    <s v="Whats your vibe today?"/>
    <n v="1673"/>
    <n v="280"/>
    <n v="67"/>
    <n v="29847"/>
    <n v="48016"/>
    <n v="213"/>
    <s v="#SoundtrackOfLife"/>
    <s v="#NowPlaying"/>
    <s v="ChillVibes"/>
    <n v="6.76784936509532E-2"/>
  </r>
  <r>
    <s v="SP232"/>
    <x v="2"/>
    <d v="2025-03-07T00:00:00"/>
    <s v="Text"/>
    <s v="Top trending tracks updated daily!"/>
    <n v="4310"/>
    <n v="284"/>
    <n v="306"/>
    <n v="44606"/>
    <n v="42604"/>
    <n v="290"/>
    <s v="#DiscoverWeekly"/>
    <s v="#SpotifyWrapped"/>
    <s v="IndieWave"/>
    <n v="0.10985069273191947"/>
  </r>
  <r>
    <s v="SP233"/>
    <x v="1"/>
    <d v="2024-10-20T00:00:00"/>
    <s v="Text"/>
    <s v="From pop to podcasts, its all here."/>
    <n v="2752"/>
    <n v="309"/>
    <n v="91"/>
    <n v="39038"/>
    <n v="28095"/>
    <n v="277"/>
    <s v="#NowPlaying"/>
    <m/>
    <s v="ChillVibes"/>
    <n v="8.0741841282852611E-2"/>
  </r>
  <r>
    <s v="SP234"/>
    <x v="1"/>
    <d v="2024-02-02T00:00:00"/>
    <s v="Text"/>
    <s v="From pop to podcasts, its all here."/>
    <n v="3818"/>
    <n v="115"/>
    <n v="286"/>
    <n v="25127"/>
    <n v="22277"/>
    <n v="263"/>
    <s v="#NowPlaying"/>
    <m/>
    <s v="ChillVibes"/>
    <n v="0.16790703227603773"/>
  </r>
  <r>
    <s v="SP235"/>
    <x v="2"/>
    <d v="2024-09-07T00:00:00"/>
    <s v="Text"/>
    <s v="Your weekend playlist is waiting."/>
    <n v="2101"/>
    <n v="411"/>
    <n v="190"/>
    <n v="41791"/>
    <n v="57090"/>
    <n v="172"/>
    <s v="#DiscoverWeekly"/>
    <s v="#SpotifyWrapped"/>
    <s v="IndieWave"/>
    <n v="6.4655069273288512E-2"/>
  </r>
  <r>
    <s v="SP236"/>
    <x v="0"/>
    <d v="2024-12-20T00:00:00"/>
    <s v="Text"/>
    <s v="Discover fresh beats on Spotify!"/>
    <n v="2519"/>
    <n v="202"/>
    <n v="239"/>
    <n v="36245"/>
    <n v="48606"/>
    <n v="145"/>
    <s v="#DiscoverWeekly"/>
    <m/>
    <s v="IndieWave"/>
    <n v="8.1666436749896543E-2"/>
  </r>
  <r>
    <s v="SP237"/>
    <x v="2"/>
    <d v="2024-01-14T00:00:00"/>
    <s v="Text"/>
    <s v="Whats your vibe today?"/>
    <n v="4502"/>
    <n v="238"/>
    <n v="386"/>
    <n v="39198"/>
    <n v="25050"/>
    <n v="297"/>
    <s v="#DiscoverWeekly"/>
    <s v="#SpotifyWrapped"/>
    <s v="IndieWave"/>
    <n v="0.13077197816215114"/>
  </r>
  <r>
    <s v="SP238"/>
    <x v="0"/>
    <d v="2025-06-15T00:00:00"/>
    <s v="Text"/>
    <s v="Explore the latest podcasts now."/>
    <n v="2478"/>
    <n v="427"/>
    <n v="242"/>
    <n v="59272"/>
    <n v="37833"/>
    <n v="214"/>
    <s v="#SoundtrackOfLife"/>
    <s v="#NowPlaying"/>
    <s v="ChillVibes"/>
    <n v="5.3094209744904843E-2"/>
  </r>
  <r>
    <s v="SP239"/>
    <x v="1"/>
    <d v="2024-12-13T00:00:00"/>
    <s v="Story"/>
    <s v="New music just dropped. Hit play!"/>
    <n v="4984"/>
    <n v="300"/>
    <n v="338"/>
    <n v="32900"/>
    <n v="31691"/>
    <n v="160"/>
    <s v="#MusicForEveryone"/>
    <s v="#NowPlaying"/>
    <s v="ChillVibes"/>
    <n v="0.17088145896656534"/>
  </r>
  <r>
    <s v="SP240"/>
    <x v="2"/>
    <d v="2024-08-29T00:00:00"/>
    <s v="Text"/>
    <s v="Wrapped is here! Relive your top tracks"/>
    <n v="4774"/>
    <n v="389"/>
    <n v="358"/>
    <n v="52346"/>
    <n v="30518"/>
    <n v="277"/>
    <s v="#DiscoverWeekly"/>
    <s v="#SpotifyWrapped"/>
    <s v="IndieWave"/>
    <n v="0.10547128720437092"/>
  </r>
  <r>
    <s v="SP241"/>
    <x v="1"/>
    <d v="2024-09-15T00:00:00"/>
    <s v="Text"/>
    <s v="Get into the groove with our new drop!"/>
    <n v="2145"/>
    <n v="340"/>
    <n v="85"/>
    <n v="53323"/>
    <n v="49938"/>
    <n v="104"/>
    <s v="#NowPlaying"/>
    <m/>
    <s v="ChillVibes"/>
    <n v="4.819683813738912E-2"/>
  </r>
  <r>
    <s v="SP242"/>
    <x v="1"/>
    <d v="2025-04-12T00:00:00"/>
    <s v="Story"/>
    <s v="From pop to podcasts, its all here."/>
    <n v="4315"/>
    <n v="208"/>
    <n v="273"/>
    <n v="35780"/>
    <n v="44349"/>
    <n v="133"/>
    <s v="#DiscoverWeekly"/>
    <s v="#MusicForEveryone"/>
    <s v="ChillVibes"/>
    <n v="0.13404136389044158"/>
  </r>
  <r>
    <s v="SP243"/>
    <x v="1"/>
    <d v="2024-12-10T00:00:00"/>
    <s v="Story"/>
    <s v="Wrapped is here! Relive your top tracks"/>
    <n v="2267"/>
    <n v="230"/>
    <n v="243"/>
    <n v="27904"/>
    <n v="69771"/>
    <n v="255"/>
    <s v="#DiscoverWeekly"/>
    <s v="#MusicForEveryone"/>
    <s v="ChillVibes"/>
    <n v="9.8193807339449546E-2"/>
  </r>
  <r>
    <s v="SP244"/>
    <x v="2"/>
    <d v="2025-06-08T00:00:00"/>
    <s v="Text"/>
    <s v="Music that moves you only on Spotify."/>
    <n v="4375"/>
    <n v="303"/>
    <n v="294"/>
    <n v="57468"/>
    <n v="53397"/>
    <n v="159"/>
    <s v="#DiscoverWeekly"/>
    <s v="#SpotifyWrapped"/>
    <s v="IndieWave"/>
    <n v="8.6517714206166912E-2"/>
  </r>
  <r>
    <s v="SP245"/>
    <x v="1"/>
    <d v="2025-01-09T00:00:00"/>
    <s v="Story"/>
    <s v="Your weekend playlist is waiting."/>
    <n v="3817"/>
    <n v="284"/>
    <n v="204"/>
    <n v="46434"/>
    <n v="53396"/>
    <n v="104"/>
    <s v="#MusicForEveryone"/>
    <s v="#NowPlaying"/>
    <s v="ChillVibes"/>
    <n v="9.2712236723090841E-2"/>
  </r>
  <r>
    <s v="SP246"/>
    <x v="1"/>
    <d v="2024-07-08T00:00:00"/>
    <s v="Story"/>
    <s v="Top trending tracks updated daily!"/>
    <n v="2981"/>
    <n v="258"/>
    <n v="168"/>
    <n v="20677"/>
    <n v="68290"/>
    <n v="130"/>
    <s v="#SoundtrackOfLife"/>
    <s v="#NowPlaying"/>
    <s v="ChillVibes"/>
    <n v="0.16477245248343569"/>
  </r>
  <r>
    <s v="SP247"/>
    <x v="1"/>
    <d v="2024-09-16T00:00:00"/>
    <s v="Story"/>
    <s v="Your weekend playlist is waiting."/>
    <n v="3300"/>
    <n v="354"/>
    <n v="397"/>
    <n v="56773"/>
    <n v="72110"/>
    <n v="163"/>
    <s v="#DiscoverWeekly"/>
    <s v="#MusicForEveryone"/>
    <s v="ChillVibes"/>
    <n v="7.1354340971940891E-2"/>
  </r>
  <r>
    <s v="SP248"/>
    <x v="2"/>
    <d v="2024-06-14T00:00:00"/>
    <s v="Reel"/>
    <s v="Wrapped is here! Relive your top tracks"/>
    <n v="4722"/>
    <n v="310"/>
    <n v="344"/>
    <n v="27911"/>
    <n v="19000"/>
    <n v="225"/>
    <s v="#DiscoverWeekly"/>
    <s v="#SoundtrackOfLife"/>
    <s v="SummerBeats"/>
    <n v="0.19261223173659131"/>
  </r>
  <r>
    <s v="SP249"/>
    <x v="0"/>
    <d v="2024-03-06T00:00:00"/>
    <s v="Text"/>
    <s v="Whats your vibe today?"/>
    <n v="3529"/>
    <n v="263"/>
    <n v="107"/>
    <n v="26570"/>
    <n v="19367"/>
    <n v="96"/>
    <s v="#DiscoverWeekly"/>
    <m/>
    <s v="IndieWave"/>
    <n v="0.14674444862627023"/>
  </r>
  <r>
    <s v="SP250"/>
    <x v="1"/>
    <d v="2025-05-15T00:00:00"/>
    <s v="Text"/>
    <s v="Your weekend playlist is waiting."/>
    <n v="4782"/>
    <n v="210"/>
    <n v="311"/>
    <n v="29793"/>
    <n v="37543"/>
    <n v="145"/>
    <s v="#NowPlaying"/>
    <m/>
    <s v="ChillVibes"/>
    <n v="0.17799483100057059"/>
  </r>
  <r>
    <s v="SP251"/>
    <x v="1"/>
    <d v="2024-07-07T00:00:00"/>
    <s v="Text"/>
    <s v="Whats your vibe today?"/>
    <n v="1848"/>
    <n v="417"/>
    <n v="294"/>
    <n v="57819"/>
    <n v="19798"/>
    <n v="262"/>
    <s v="#SoundtrackOfLife"/>
    <m/>
    <s v="IndieWave"/>
    <n v="4.4258807658382193E-2"/>
  </r>
  <r>
    <s v="SP252"/>
    <x v="2"/>
    <d v="2024-10-26T00:00:00"/>
    <s v="Text"/>
    <s v="New music just dropped. Hit play!"/>
    <n v="4676"/>
    <n v="211"/>
    <n v="55"/>
    <n v="45917"/>
    <n v="73503"/>
    <n v="248"/>
    <s v="#DiscoverWeekly"/>
    <s v="#SpotifyWrapped"/>
    <s v="IndieWave"/>
    <n v="0.10762898272970794"/>
  </r>
  <r>
    <s v="SP253"/>
    <x v="2"/>
    <d v="2024-08-08T00:00:00"/>
    <s v="Text"/>
    <s v="From pop to podcasts, its all here."/>
    <n v="1994"/>
    <n v="197"/>
    <n v="290"/>
    <n v="49500"/>
    <n v="23343"/>
    <n v="160"/>
    <s v="#DiscoverWeekly"/>
    <s v="#SpotifyWrapped"/>
    <s v="IndieWave"/>
    <n v="5.0121212121212122E-2"/>
  </r>
  <r>
    <s v="SP254"/>
    <x v="1"/>
    <d v="2025-02-03T00:00:00"/>
    <s v="Text"/>
    <s v="Whats your vibe today?"/>
    <n v="4995"/>
    <n v="231"/>
    <n v="94"/>
    <n v="34431"/>
    <n v="32560"/>
    <n v="262"/>
    <s v="#NowPlaying"/>
    <m/>
    <s v="ChillVibes"/>
    <n v="0.15451192239551567"/>
  </r>
  <r>
    <s v="SP255"/>
    <x v="1"/>
    <d v="2024-04-03T00:00:00"/>
    <s v="Story"/>
    <s v="Top trending tracks updated daily!"/>
    <n v="2291"/>
    <n v="146"/>
    <n v="399"/>
    <n v="49319"/>
    <n v="28056"/>
    <n v="90"/>
    <s v="#DiscoverWeekly"/>
    <s v="#MusicForEveryone"/>
    <s v="ChillVibes"/>
    <n v="5.7503193495407452E-2"/>
  </r>
  <r>
    <s v="SP256"/>
    <x v="1"/>
    <d v="2024-07-08T00:00:00"/>
    <s v="Story"/>
    <s v="Wrapped is here! Relive your top tracks"/>
    <n v="2304"/>
    <n v="289"/>
    <n v="161"/>
    <n v="52645"/>
    <n v="66262"/>
    <n v="146"/>
    <s v="#MusicForEveryone"/>
    <s v="#NowPlaying"/>
    <s v="ChillVibes"/>
    <n v="5.2312660271630736E-2"/>
  </r>
  <r>
    <s v="SP257"/>
    <x v="1"/>
    <d v="2024-06-08T00:00:00"/>
    <s v="Story"/>
    <s v="Top trending tracks updated daily!"/>
    <n v="3413"/>
    <n v="326"/>
    <n v="86"/>
    <n v="44680"/>
    <n v="52719"/>
    <n v="272"/>
    <s v="#DiscoverWeekly"/>
    <s v="#MusicForEveryone"/>
    <s v="ChillVibes"/>
    <n v="8.5608773500447627E-2"/>
  </r>
  <r>
    <s v="SP258"/>
    <x v="2"/>
    <d v="2025-03-20T00:00:00"/>
    <s v="Reel"/>
    <s v="From pop to podcasts, its all here."/>
    <n v="1453"/>
    <n v="156"/>
    <n v="178"/>
    <n v="52980"/>
    <n v="57180"/>
    <n v="286"/>
    <s v="#DiscoverWeekly"/>
    <s v="#SoundtrackOfLife"/>
    <s v="SummerBeats"/>
    <n v="3.3729709324273313E-2"/>
  </r>
  <r>
    <s v="SP259"/>
    <x v="1"/>
    <d v="2025-01-19T00:00:00"/>
    <s v="Story"/>
    <s v="Music that moves you only on Spotify."/>
    <n v="1651"/>
    <n v="480"/>
    <n v="282"/>
    <n v="32140"/>
    <n v="70560"/>
    <n v="138"/>
    <s v="#SoundtrackOfLife"/>
    <s v="#NowPlaying"/>
    <s v="ChillVibes"/>
    <n v="7.5077784691972627E-2"/>
  </r>
  <r>
    <s v="SP260"/>
    <x v="1"/>
    <d v="2025-01-05T00:00:00"/>
    <s v="Story"/>
    <s v="Explore the latest podcasts now."/>
    <n v="3341"/>
    <n v="154"/>
    <n v="123"/>
    <n v="43369"/>
    <n v="49035"/>
    <n v="128"/>
    <s v="#MusicForEveryone"/>
    <s v="#NowPlaying"/>
    <s v="ChillVibes"/>
    <n v="8.3423643616408028E-2"/>
  </r>
  <r>
    <s v="SP261"/>
    <x v="1"/>
    <d v="2024-11-16T00:00:00"/>
    <s v="Text"/>
    <s v="From pop to podcasts, its all here."/>
    <n v="2972"/>
    <n v="263"/>
    <n v="308"/>
    <n v="51740"/>
    <n v="28214"/>
    <n v="190"/>
    <s v="#SoundtrackOfLife"/>
    <m/>
    <s v="IndieWave"/>
    <n v="6.8477000386548123E-2"/>
  </r>
  <r>
    <s v="SP262"/>
    <x v="1"/>
    <d v="2024-11-30T00:00:00"/>
    <s v="Story"/>
    <s v="Explore the latest podcasts now."/>
    <n v="4963"/>
    <n v="255"/>
    <n v="193"/>
    <n v="44386"/>
    <n v="28415"/>
    <n v="174"/>
    <s v="#MusicForEveryone"/>
    <s v="#NowPlaying"/>
    <s v="ChillVibes"/>
    <n v="0.12190780876853062"/>
  </r>
  <r>
    <s v="SP263"/>
    <x v="2"/>
    <d v="2024-03-27T00:00:00"/>
    <s v="Text"/>
    <s v="Music that moves you only on Spotify."/>
    <n v="2399"/>
    <n v="191"/>
    <n v="221"/>
    <n v="51603"/>
    <n v="40033"/>
    <n v="173"/>
    <s v="#DiscoverWeekly"/>
    <s v="#SpotifyWrapped"/>
    <s v="IndieWave"/>
    <n v="5.4473577117609438E-2"/>
  </r>
  <r>
    <s v="SP264"/>
    <x v="2"/>
    <d v="2025-05-31T00:00:00"/>
    <s v="Reel"/>
    <s v="Get into the groove with our new drop!"/>
    <n v="2162"/>
    <n v="318"/>
    <n v="83"/>
    <n v="46719"/>
    <n v="20482"/>
    <n v="185"/>
    <s v="#DiscoverWeekly"/>
    <s v="#SoundtrackOfLife"/>
    <s v="SummerBeats"/>
    <n v="5.4859907104176028E-2"/>
  </r>
  <r>
    <s v="SP265"/>
    <x v="1"/>
    <d v="2025-06-17T00:00:00"/>
    <s v="Story"/>
    <s v="Explore the latest podcasts now."/>
    <n v="4341"/>
    <n v="141"/>
    <n v="63"/>
    <n v="50081"/>
    <n v="27507"/>
    <n v="221"/>
    <s v="#DiscoverWeekly"/>
    <s v="#MusicForEveryone"/>
    <s v="ChillVibes"/>
    <n v="9.0752980172121162E-2"/>
  </r>
  <r>
    <s v="SP266"/>
    <x v="0"/>
    <d v="2024-05-30T00:00:00"/>
    <s v="Story"/>
    <s v="Get into the groove with our new drop!"/>
    <n v="2448"/>
    <n v="464"/>
    <n v="98"/>
    <n v="25737"/>
    <n v="48545"/>
    <n v="246"/>
    <s v="#NowPlaying"/>
    <m/>
    <s v="Wrapped2024"/>
    <n v="0.11695224773672146"/>
  </r>
  <r>
    <s v="SP267"/>
    <x v="2"/>
    <d v="2024-11-08T00:00:00"/>
    <s v="Text"/>
    <s v="Top trending tracks updated daily!"/>
    <n v="2471"/>
    <n v="166"/>
    <n v="320"/>
    <n v="48254"/>
    <n v="46900"/>
    <n v="111"/>
    <s v="#DiscoverWeekly"/>
    <s v="#SpotifyWrapped"/>
    <s v="IndieWave"/>
    <n v="6.1279893894806647E-2"/>
  </r>
  <r>
    <s v="SP268"/>
    <x v="2"/>
    <d v="2024-03-17T00:00:00"/>
    <s v="Reel"/>
    <s v="Explore the latest podcasts now."/>
    <n v="2692"/>
    <n v="446"/>
    <n v="216"/>
    <n v="45818"/>
    <n v="62723"/>
    <n v="85"/>
    <s v="#DiscoverWeekly"/>
    <s v="#SoundtrackOfLife"/>
    <s v="SummerBeats"/>
    <n v="7.3202671439172376E-2"/>
  </r>
  <r>
    <s v="SP269"/>
    <x v="2"/>
    <d v="2024-06-21T00:00:00"/>
    <s v="Reel"/>
    <s v="Music that moves you only on Spotify."/>
    <n v="4621"/>
    <n v="374"/>
    <n v="298"/>
    <n v="56979"/>
    <n v="24098"/>
    <n v="205"/>
    <s v="#DiscoverWeekly"/>
    <s v="#SoundtrackOfLife"/>
    <s v="SummerBeats"/>
    <n v="9.2893873181347508E-2"/>
  </r>
  <r>
    <s v="SP270"/>
    <x v="1"/>
    <d v="2024-11-13T00:00:00"/>
    <s v="Story"/>
    <s v="New music just dropped. Hit play!"/>
    <n v="1409"/>
    <n v="466"/>
    <n v="105"/>
    <n v="58923"/>
    <n v="38753"/>
    <n v="265"/>
    <s v="#DiscoverWeekly"/>
    <s v="#MusicForEveryone"/>
    <s v="ChillVibes"/>
    <n v="3.3603177027646251E-2"/>
  </r>
  <r>
    <s v="SP271"/>
    <x v="1"/>
    <d v="2025-02-05T00:00:00"/>
    <s v="Story"/>
    <s v="Discover fresh beats on Spotify!"/>
    <n v="3029"/>
    <n v="440"/>
    <n v="66"/>
    <n v="23815"/>
    <n v="47895"/>
    <n v="210"/>
    <s v="#DiscoverWeekly"/>
    <s v="#MusicForEveryone"/>
    <s v="ChillVibes"/>
    <n v="0.14843585975225698"/>
  </r>
  <r>
    <s v="SP272"/>
    <x v="1"/>
    <d v="2024-11-07T00:00:00"/>
    <s v="Text"/>
    <s v="Explore the latest podcasts now."/>
    <n v="2229"/>
    <n v="395"/>
    <n v="328"/>
    <n v="56921"/>
    <n v="37176"/>
    <n v="126"/>
    <s v="#SoundtrackOfLife"/>
    <m/>
    <s v="IndieWave"/>
    <n v="5.1861351697967357E-2"/>
  </r>
  <r>
    <s v="SP273"/>
    <x v="1"/>
    <d v="2024-02-12T00:00:00"/>
    <s v="Text"/>
    <s v="Explore the latest podcasts now."/>
    <n v="2691"/>
    <n v="486"/>
    <n v="206"/>
    <n v="51133"/>
    <n v="44583"/>
    <n v="276"/>
    <s v="#NowPlaying"/>
    <m/>
    <s v="ChillVibes"/>
    <n v="6.6160796354604659E-2"/>
  </r>
  <r>
    <s v="SP274"/>
    <x v="0"/>
    <d v="2024-10-08T00:00:00"/>
    <s v="Text"/>
    <s v="Explore the latest podcasts now."/>
    <n v="2110"/>
    <n v="384"/>
    <n v="236"/>
    <n v="49965"/>
    <n v="61555"/>
    <n v="195"/>
    <s v="#DiscoverWeekly"/>
    <m/>
    <s v="IndieWave"/>
    <n v="5.4638246772740921E-2"/>
  </r>
  <r>
    <s v="SP275"/>
    <x v="0"/>
    <d v="2024-02-19T00:00:00"/>
    <s v="Text"/>
    <s v="Wrapped is here! Relive your top tracks"/>
    <n v="4752"/>
    <n v="449"/>
    <n v="309"/>
    <n v="58530"/>
    <n v="26630"/>
    <n v="234"/>
    <s v="#DiscoverWeekly"/>
    <m/>
    <s v="IndieWave"/>
    <n v="9.4139757389372969E-2"/>
  </r>
  <r>
    <s v="SP276"/>
    <x v="1"/>
    <d v="2025-03-04T00:00:00"/>
    <s v="Text"/>
    <s v="Discover fresh beats on Spotify!"/>
    <n v="2177"/>
    <n v="258"/>
    <n v="292"/>
    <n v="47276"/>
    <n v="51324"/>
    <n v="143"/>
    <s v="#NowPlaying"/>
    <m/>
    <s v="ChillVibes"/>
    <n v="5.7682545054573146E-2"/>
  </r>
  <r>
    <s v="SP277"/>
    <x v="0"/>
    <d v="2025-02-03T00:00:00"/>
    <s v="Story"/>
    <s v="New music just dropped. Hit play!"/>
    <n v="1205"/>
    <n v="486"/>
    <n v="269"/>
    <n v="23341"/>
    <n v="42411"/>
    <n v="184"/>
    <s v="#NowPlaying"/>
    <m/>
    <s v="Wrapped2024"/>
    <n v="8.3972409065592737E-2"/>
  </r>
  <r>
    <s v="SP278"/>
    <x v="0"/>
    <d v="2024-12-02T00:00:00"/>
    <s v="Text"/>
    <s v="Top trending tracks updated daily!"/>
    <n v="3194"/>
    <n v="292"/>
    <n v="245"/>
    <n v="56371"/>
    <n v="65597"/>
    <n v="163"/>
    <s v="#SoundtrackOfLife"/>
    <s v="#NowPlaying"/>
    <s v="ChillVibes"/>
    <n v="6.6186514342481059E-2"/>
  </r>
  <r>
    <s v="SP279"/>
    <x v="1"/>
    <d v="2025-01-19T00:00:00"/>
    <s v="Story"/>
    <s v="New music just dropped. Hit play!"/>
    <n v="3507"/>
    <n v="295"/>
    <n v="371"/>
    <n v="20410"/>
    <n v="53965"/>
    <n v="212"/>
    <s v="#SoundtrackOfLife"/>
    <s v="#NowPlaying"/>
    <s v="ChillVibes"/>
    <n v="0.20445859872611466"/>
  </r>
  <r>
    <s v="SP280"/>
    <x v="1"/>
    <d v="2024-09-28T00:00:00"/>
    <s v="Story"/>
    <s v="Wrapped is here! Relive your top tracks"/>
    <n v="4471"/>
    <n v="317"/>
    <n v="249"/>
    <n v="44862"/>
    <n v="33365"/>
    <n v="184"/>
    <s v="#DiscoverWeekly"/>
    <s v="#MusicForEveryone"/>
    <s v="ChillVibes"/>
    <n v="0.1122776514644911"/>
  </r>
  <r>
    <s v="SP281"/>
    <x v="0"/>
    <d v="2024-01-07T00:00:00"/>
    <s v="Text"/>
    <s v="Top trending tracks updated daily!"/>
    <n v="4931"/>
    <n v="469"/>
    <n v="193"/>
    <n v="56701"/>
    <n v="69437"/>
    <n v="291"/>
    <s v="#SoundtrackOfLife"/>
    <s v="#NowPlaying"/>
    <s v="ChillVibes"/>
    <n v="9.8640235621946709E-2"/>
  </r>
  <r>
    <s v="SP282"/>
    <x v="1"/>
    <d v="2024-02-21T00:00:00"/>
    <s v="Story"/>
    <s v="Get into the groove with our new drop!"/>
    <n v="2604"/>
    <n v="439"/>
    <n v="148"/>
    <n v="58468"/>
    <n v="39629"/>
    <n v="163"/>
    <s v="#MusicForEveryone"/>
    <s v="#NowPlaying"/>
    <s v="ChillVibes"/>
    <n v="5.4576862557296296E-2"/>
  </r>
  <r>
    <s v="SP283"/>
    <x v="0"/>
    <d v="2024-08-27T00:00:00"/>
    <s v="Text"/>
    <s v="Music that moves you only on Spotify."/>
    <n v="4197"/>
    <n v="359"/>
    <n v="280"/>
    <n v="56048"/>
    <n v="70930"/>
    <n v="295"/>
    <s v="#DiscoverWeekly"/>
    <m/>
    <s v="IndieWave"/>
    <n v="8.628318584070796E-2"/>
  </r>
  <r>
    <s v="SP284"/>
    <x v="0"/>
    <d v="2024-10-24T00:00:00"/>
    <s v="Story"/>
    <s v="Top trending tracks updated daily!"/>
    <n v="1914"/>
    <n v="255"/>
    <n v="156"/>
    <n v="27660"/>
    <n v="47776"/>
    <n v="111"/>
    <s v="#NowPlaying"/>
    <m/>
    <s v="Wrapped2024"/>
    <n v="8.4056399132321047E-2"/>
  </r>
  <r>
    <s v="SP285"/>
    <x v="2"/>
    <d v="2025-01-29T00:00:00"/>
    <s v="Text"/>
    <s v="New music just dropped. Hit play!"/>
    <n v="1334"/>
    <n v="357"/>
    <n v="257"/>
    <n v="56910"/>
    <n v="70606"/>
    <n v="228"/>
    <s v="#DiscoverWeekly"/>
    <s v="#SpotifyWrapped"/>
    <s v="IndieWave"/>
    <n v="3.4229485151994379E-2"/>
  </r>
  <r>
    <s v="SP286"/>
    <x v="0"/>
    <d v="2024-05-01T00:00:00"/>
    <s v="Text"/>
    <s v="Get into the groove with our new drop!"/>
    <n v="3359"/>
    <n v="137"/>
    <n v="387"/>
    <n v="33861"/>
    <n v="47257"/>
    <n v="198"/>
    <s v="#DiscoverWeekly"/>
    <m/>
    <s v="IndieWave"/>
    <n v="0.11467469950680724"/>
  </r>
  <r>
    <s v="SP287"/>
    <x v="2"/>
    <d v="2024-06-25T00:00:00"/>
    <s v="Text"/>
    <s v="Your weekend playlist is waiting."/>
    <n v="2172"/>
    <n v="338"/>
    <n v="70"/>
    <n v="30515"/>
    <n v="57853"/>
    <n v="156"/>
    <s v="#DiscoverWeekly"/>
    <s v="#SpotifyWrapped"/>
    <s v="IndieWave"/>
    <n v="8.4548582664263475E-2"/>
  </r>
  <r>
    <s v="SP288"/>
    <x v="1"/>
    <d v="2024-08-09T00:00:00"/>
    <s v="Story"/>
    <s v="From pop to podcasts, its all here."/>
    <n v="4877"/>
    <n v="442"/>
    <n v="236"/>
    <n v="52673"/>
    <n v="48241"/>
    <n v="114"/>
    <s v="#DiscoverWeekly"/>
    <s v="#MusicForEveryone"/>
    <s v="ChillVibes"/>
    <n v="0.10546200140489435"/>
  </r>
  <r>
    <s v="SP289"/>
    <x v="0"/>
    <d v="2025-01-21T00:00:00"/>
    <s v="Story"/>
    <s v="New music just dropped. Hit play!"/>
    <n v="4918"/>
    <n v="440"/>
    <n v="149"/>
    <n v="53269"/>
    <n v="64370"/>
    <n v="269"/>
    <s v="#NowPlaying"/>
    <m/>
    <s v="Wrapped2024"/>
    <n v="0.10338095327488783"/>
  </r>
  <r>
    <s v="SP290"/>
    <x v="1"/>
    <d v="2024-08-13T00:00:00"/>
    <s v="Text"/>
    <s v="Explore the latest podcasts now."/>
    <n v="3418"/>
    <n v="107"/>
    <n v="221"/>
    <n v="23927"/>
    <n v="26182"/>
    <n v="155"/>
    <s v="#SoundtrackOfLife"/>
    <m/>
    <s v="IndieWave"/>
    <n v="0.1565595352530614"/>
  </r>
  <r>
    <s v="SP291"/>
    <x v="0"/>
    <d v="2024-06-29T00:00:00"/>
    <s v="Text"/>
    <s v="Your weekend playlist is waiting."/>
    <n v="2088"/>
    <n v="490"/>
    <n v="124"/>
    <n v="46544"/>
    <n v="69346"/>
    <n v="178"/>
    <s v="#SoundtrackOfLife"/>
    <s v="#NowPlaying"/>
    <s v="ChillVibes"/>
    <n v="5.8052595393606049E-2"/>
  </r>
  <r>
    <s v="SP292"/>
    <x v="1"/>
    <d v="2024-11-03T00:00:00"/>
    <s v="Story"/>
    <s v="Explore the latest podcasts now."/>
    <n v="3061"/>
    <n v="320"/>
    <n v="76"/>
    <n v="26640"/>
    <n v="24306"/>
    <n v="112"/>
    <s v="#MusicForEveryone"/>
    <s v="#NowPlaying"/>
    <s v="ChillVibes"/>
    <n v="0.12976726726726726"/>
  </r>
  <r>
    <s v="SP293"/>
    <x v="2"/>
    <d v="2025-04-18T00:00:00"/>
    <s v="Reel"/>
    <s v="Your weekend playlist is waiting."/>
    <n v="1265"/>
    <n v="230"/>
    <n v="364"/>
    <n v="41312"/>
    <n v="50382"/>
    <n v="106"/>
    <s v="#DiscoverWeekly"/>
    <s v="#SoundtrackOfLife"/>
    <s v="SummerBeats"/>
    <n v="4.4999031758326875E-2"/>
  </r>
  <r>
    <s v="SP294"/>
    <x v="0"/>
    <d v="2024-12-27T00:00:00"/>
    <s v="Text"/>
    <s v="From pop to podcasts, its all here."/>
    <n v="1436"/>
    <n v="219"/>
    <n v="229"/>
    <n v="58488"/>
    <n v="24314"/>
    <n v="147"/>
    <s v="#DiscoverWeekly"/>
    <m/>
    <s v="IndieWave"/>
    <n v="3.221173574066475E-2"/>
  </r>
  <r>
    <s v="SP295"/>
    <x v="0"/>
    <d v="2025-03-08T00:00:00"/>
    <s v="Story"/>
    <s v="Top trending tracks updated daily!"/>
    <n v="2244"/>
    <n v="392"/>
    <n v="231"/>
    <n v="25834"/>
    <n v="50906"/>
    <n v="165"/>
    <s v="#NowPlaying"/>
    <m/>
    <s v="Wrapped2024"/>
    <n v="0.1109777812185492"/>
  </r>
  <r>
    <s v="SP296"/>
    <x v="1"/>
    <d v="2025-03-20T00:00:00"/>
    <s v="Story"/>
    <s v="Your weekend playlist is waiting."/>
    <n v="3393"/>
    <n v="104"/>
    <n v="79"/>
    <n v="30025"/>
    <n v="21593"/>
    <n v="165"/>
    <s v="#MusicForEveryone"/>
    <s v="#NowPlaying"/>
    <s v="ChillVibes"/>
    <n v="0.1191007493755204"/>
  </r>
  <r>
    <s v="SP297"/>
    <x v="1"/>
    <d v="2024-11-16T00:00:00"/>
    <s v="Text"/>
    <s v="Explore the latest podcasts now."/>
    <n v="2901"/>
    <n v="108"/>
    <n v="86"/>
    <n v="51777"/>
    <n v="23773"/>
    <n v="160"/>
    <s v="#SoundtrackOfLife"/>
    <m/>
    <s v="IndieWave"/>
    <n v="5.9775576027966085E-2"/>
  </r>
  <r>
    <s v="SP298"/>
    <x v="1"/>
    <d v="2025-06-30T00:00:00"/>
    <s v="Text"/>
    <s v="Whats your vibe today?"/>
    <n v="2275"/>
    <n v="285"/>
    <n v="125"/>
    <n v="43970"/>
    <n v="74761"/>
    <n v="83"/>
    <s v="#NowPlaying"/>
    <m/>
    <s v="ChillVibes"/>
    <n v="6.1064362065044349E-2"/>
  </r>
  <r>
    <s v="SP299"/>
    <x v="1"/>
    <d v="2024-01-12T00:00:00"/>
    <s v="Story"/>
    <s v="Wrapped is here! Relive your top tracks"/>
    <n v="2227"/>
    <n v="494"/>
    <n v="161"/>
    <n v="51651"/>
    <n v="68074"/>
    <n v="240"/>
    <s v="#DiscoverWeekly"/>
    <s v="#MusicForEveryone"/>
    <s v="ChillVibes"/>
    <n v="5.5797564422760453E-2"/>
  </r>
  <r>
    <s v="SP300"/>
    <x v="0"/>
    <d v="2024-02-07T00:00:00"/>
    <s v="Text"/>
    <s v="Music that moves you only on Spotify."/>
    <n v="1883"/>
    <n v="432"/>
    <n v="397"/>
    <n v="28759"/>
    <n v="18691"/>
    <n v="270"/>
    <s v="#SoundtrackOfLife"/>
    <s v="#NowPlaying"/>
    <s v="ChillVibes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x v="0"/>
    <x v="0"/>
    <s v="ChillVibes"/>
    <n v="0.13200509890939993"/>
  </r>
  <r>
    <s v="SP002"/>
    <x v="0"/>
    <d v="2025-02-01T00:00:00"/>
    <x v="0"/>
    <s v="Explore the latest podcasts now."/>
    <n v="1934"/>
    <n v="210"/>
    <n v="393"/>
    <n v="29129"/>
    <n v="73287"/>
    <n v="273"/>
    <x v="1"/>
    <x v="1"/>
    <s v="IndieWave"/>
    <n v="8.7095334546328396E-2"/>
  </r>
  <r>
    <s v="SP003"/>
    <x v="1"/>
    <d v="2024-12-03T00:00:00"/>
    <x v="1"/>
    <s v="New music just dropped. Hit play!"/>
    <n v="3092"/>
    <n v="177"/>
    <n v="81"/>
    <n v="47533"/>
    <n v="29220"/>
    <n v="121"/>
    <x v="2"/>
    <x v="0"/>
    <s v="ChillVibes"/>
    <n v="7.0477352576105018E-2"/>
  </r>
  <r>
    <s v="SP004"/>
    <x v="0"/>
    <d v="2024-12-03T00:00:00"/>
    <x v="0"/>
    <s v="Wrapped is here! Relive your top tracks"/>
    <n v="3173"/>
    <n v="229"/>
    <n v="197"/>
    <n v="29604"/>
    <n v="21809"/>
    <n v="272"/>
    <x v="0"/>
    <x v="0"/>
    <s v="ChillVibes"/>
    <n v="0.1215714092690177"/>
  </r>
  <r>
    <s v="SP005"/>
    <x v="2"/>
    <d v="2024-04-06T00:00:00"/>
    <x v="0"/>
    <s v="Music that moves you only on Spotify."/>
    <n v="2748"/>
    <n v="145"/>
    <n v="315"/>
    <n v="24401"/>
    <n v="61182"/>
    <n v="200"/>
    <x v="1"/>
    <x v="2"/>
    <s v="IndieWave"/>
    <n v="0.1314700217204213"/>
  </r>
  <r>
    <s v="SP006"/>
    <x v="2"/>
    <d v="2024-06-13T00:00:00"/>
    <x v="0"/>
    <s v="Whats your vibe today?"/>
    <n v="3882"/>
    <n v="239"/>
    <n v="275"/>
    <n v="58748"/>
    <n v="44646"/>
    <n v="149"/>
    <x v="1"/>
    <x v="2"/>
    <s v="IndieWave"/>
    <n v="7.4828079253761837E-2"/>
  </r>
  <r>
    <s v="SP007"/>
    <x v="1"/>
    <d v="2024-12-19T00:00:00"/>
    <x v="1"/>
    <s v="Get into the groove with our new drop!"/>
    <n v="4674"/>
    <n v="409"/>
    <n v="327"/>
    <n v="20756"/>
    <n v="63599"/>
    <n v="212"/>
    <x v="0"/>
    <x v="0"/>
    <s v="ChillVibes"/>
    <n v="0.26064752360763155"/>
  </r>
  <r>
    <s v="SP008"/>
    <x v="1"/>
    <d v="2024-05-09T00:00:00"/>
    <x v="1"/>
    <s v="Wrapped is here! Relive your top tracks"/>
    <n v="1428"/>
    <n v="347"/>
    <n v="67"/>
    <n v="21148"/>
    <n v="19712"/>
    <n v="120"/>
    <x v="1"/>
    <x v="3"/>
    <s v="ChillVibes"/>
    <n v="8.7100435029317191E-2"/>
  </r>
  <r>
    <s v="SP009"/>
    <x v="1"/>
    <d v="2025-06-15T00:00:00"/>
    <x v="0"/>
    <s v="Top trending tracks updated daily!"/>
    <n v="4432"/>
    <n v="223"/>
    <n v="299"/>
    <n v="59016"/>
    <n v="21742"/>
    <n v="171"/>
    <x v="3"/>
    <x v="1"/>
    <s v="ChillVibes"/>
    <n v="8.3943337400027115E-2"/>
  </r>
  <r>
    <s v="SP010"/>
    <x v="1"/>
    <d v="2024-12-04T00:00:00"/>
    <x v="0"/>
    <s v="Wrapped is here! Relive your top tracks"/>
    <n v="2357"/>
    <n v="274"/>
    <n v="172"/>
    <n v="21566"/>
    <n v="66829"/>
    <n v="284"/>
    <x v="3"/>
    <x v="1"/>
    <s v="ChillVibes"/>
    <n v="0.12997310581470833"/>
  </r>
  <r>
    <s v="SP011"/>
    <x v="1"/>
    <d v="2024-03-06T00:00:00"/>
    <x v="0"/>
    <s v="Discover fresh beats on Spotify!"/>
    <n v="1971"/>
    <n v="370"/>
    <n v="306"/>
    <n v="31316"/>
    <n v="27897"/>
    <n v="88"/>
    <x v="0"/>
    <x v="1"/>
    <s v="IndieWave"/>
    <n v="8.4525482181632389E-2"/>
  </r>
  <r>
    <s v="SP012"/>
    <x v="0"/>
    <d v="2024-05-14T00:00:00"/>
    <x v="0"/>
    <s v="Discover fresh beats on Spotify!"/>
    <n v="1485"/>
    <n v="353"/>
    <n v="244"/>
    <n v="38419"/>
    <n v="38556"/>
    <n v="86"/>
    <x v="0"/>
    <x v="0"/>
    <s v="ChillVibes"/>
    <n v="5.4191936281527367E-2"/>
  </r>
  <r>
    <s v="SP013"/>
    <x v="1"/>
    <d v="2025-06-18T00:00:00"/>
    <x v="1"/>
    <s v="Discover fresh beats on Spotify!"/>
    <n v="3956"/>
    <n v="319"/>
    <n v="61"/>
    <n v="58162"/>
    <n v="28720"/>
    <n v="213"/>
    <x v="2"/>
    <x v="0"/>
    <s v="ChillVibes"/>
    <n v="7.4550393727863554E-2"/>
  </r>
  <r>
    <s v="SP014"/>
    <x v="1"/>
    <d v="2024-10-08T00:00:00"/>
    <x v="0"/>
    <s v="From pop to podcasts, its all here."/>
    <n v="2460"/>
    <n v="409"/>
    <n v="253"/>
    <n v="36702"/>
    <n v="46122"/>
    <n v="264"/>
    <x v="3"/>
    <x v="1"/>
    <s v="ChillVibes"/>
    <n v="8.5063484278785892E-2"/>
  </r>
  <r>
    <s v="SP015"/>
    <x v="1"/>
    <d v="2024-05-06T00:00:00"/>
    <x v="0"/>
    <s v="Your weekend playlist is waiting."/>
    <n v="3476"/>
    <n v="355"/>
    <n v="396"/>
    <n v="37492"/>
    <n v="27285"/>
    <n v="179"/>
    <x v="3"/>
    <x v="1"/>
    <s v="ChillVibes"/>
    <n v="0.11274405206444041"/>
  </r>
  <r>
    <s v="SP016"/>
    <x v="1"/>
    <d v="2024-12-29T00:00:00"/>
    <x v="1"/>
    <s v="New music just dropped. Hit play!"/>
    <n v="4049"/>
    <n v="377"/>
    <n v="94"/>
    <n v="48182"/>
    <n v="42875"/>
    <n v="172"/>
    <x v="2"/>
    <x v="0"/>
    <s v="ChillVibes"/>
    <n v="9.3810966751068869E-2"/>
  </r>
  <r>
    <s v="SP017"/>
    <x v="1"/>
    <d v="2024-06-10T00:00:00"/>
    <x v="0"/>
    <s v="Whats your vibe today?"/>
    <n v="1514"/>
    <n v="164"/>
    <n v="275"/>
    <n v="41364"/>
    <n v="44389"/>
    <n v="83"/>
    <x v="3"/>
    <x v="1"/>
    <s v="ChillVibes"/>
    <n v="4.7214969538729328E-2"/>
  </r>
  <r>
    <s v="SP018"/>
    <x v="0"/>
    <d v="2024-02-03T00:00:00"/>
    <x v="1"/>
    <s v="Music that moves you only on Spotify."/>
    <n v="4281"/>
    <n v="101"/>
    <n v="163"/>
    <n v="32278"/>
    <n v="53382"/>
    <n v="235"/>
    <x v="3"/>
    <x v="1"/>
    <s v="Wrapped2024"/>
    <n v="0.1408079806679472"/>
  </r>
  <r>
    <s v="SP019"/>
    <x v="2"/>
    <d v="2024-06-15T00:00:00"/>
    <x v="2"/>
    <s v="Get into the groove with our new drop!"/>
    <n v="1751"/>
    <n v="143"/>
    <n v="151"/>
    <n v="31826"/>
    <n v="47729"/>
    <n v="95"/>
    <x v="1"/>
    <x v="4"/>
    <s v="SummerBeats"/>
    <n v="6.4255640042732362E-2"/>
  </r>
  <r>
    <s v="SP020"/>
    <x v="0"/>
    <d v="2024-07-05T00:00:00"/>
    <x v="0"/>
    <s v="Your weekend playlist is waiting."/>
    <n v="3753"/>
    <n v="411"/>
    <n v="308"/>
    <n v="29138"/>
    <n v="27678"/>
    <n v="90"/>
    <x v="1"/>
    <x v="1"/>
    <s v="IndieWave"/>
    <n v="0.15347655981879332"/>
  </r>
  <r>
    <s v="SP021"/>
    <x v="0"/>
    <d v="2024-11-07T00:00:00"/>
    <x v="1"/>
    <s v="Wrapped is here! Relive your top tracks"/>
    <n v="1678"/>
    <n v="423"/>
    <n v="323"/>
    <n v="55668"/>
    <n v="37945"/>
    <n v="230"/>
    <x v="3"/>
    <x v="1"/>
    <s v="Wrapped2024"/>
    <n v="4.3543867212761371E-2"/>
  </r>
  <r>
    <s v="SP022"/>
    <x v="0"/>
    <d v="2025-06-15T00:00:00"/>
    <x v="0"/>
    <s v="Whats your vibe today?"/>
    <n v="4896"/>
    <n v="466"/>
    <n v="233"/>
    <n v="28621"/>
    <n v="34270"/>
    <n v="84"/>
    <x v="0"/>
    <x v="0"/>
    <s v="ChillVibes"/>
    <n v="0.19548583208133888"/>
  </r>
  <r>
    <s v="SP023"/>
    <x v="2"/>
    <d v="2024-06-09T00:00:00"/>
    <x v="2"/>
    <s v="From pop to podcasts, its all here."/>
    <n v="2786"/>
    <n v="368"/>
    <n v="208"/>
    <n v="42000"/>
    <n v="39967"/>
    <n v="103"/>
    <x v="1"/>
    <x v="4"/>
    <s v="SummerBeats"/>
    <n v="8.0047619047619048E-2"/>
  </r>
  <r>
    <s v="SP024"/>
    <x v="1"/>
    <d v="2024-10-18T00:00:00"/>
    <x v="0"/>
    <s v="New music just dropped. Hit play!"/>
    <n v="2607"/>
    <n v="379"/>
    <n v="180"/>
    <n v="28712"/>
    <n v="61620"/>
    <n v="174"/>
    <x v="0"/>
    <x v="1"/>
    <s v="IndieWave"/>
    <n v="0.11026748397882419"/>
  </r>
  <r>
    <s v="SP025"/>
    <x v="2"/>
    <d v="2024-10-10T00:00:00"/>
    <x v="2"/>
    <s v="From pop to podcasts, its all here."/>
    <n v="4013"/>
    <n v="320"/>
    <n v="92"/>
    <n v="54605"/>
    <n v="60169"/>
    <n v="232"/>
    <x v="1"/>
    <x v="4"/>
    <s v="SummerBeats"/>
    <n v="8.1036535115831879E-2"/>
  </r>
  <r>
    <s v="SP026"/>
    <x v="1"/>
    <d v="2025-05-14T00:00:00"/>
    <x v="1"/>
    <s v="From pop to podcasts, its all here."/>
    <n v="2707"/>
    <n v="103"/>
    <n v="51"/>
    <n v="55302"/>
    <n v="18801"/>
    <n v="147"/>
    <x v="1"/>
    <x v="3"/>
    <s v="ChillVibes"/>
    <n v="5.173411449857148E-2"/>
  </r>
  <r>
    <s v="SP027"/>
    <x v="0"/>
    <d v="2024-11-29T00:00:00"/>
    <x v="0"/>
    <s v="Whats your vibe today?"/>
    <n v="2824"/>
    <n v="425"/>
    <n v="274"/>
    <n v="31004"/>
    <n v="53488"/>
    <n v="268"/>
    <x v="0"/>
    <x v="0"/>
    <s v="ChillVibes"/>
    <n v="0.11363049929041415"/>
  </r>
  <r>
    <s v="SP028"/>
    <x v="2"/>
    <d v="2024-03-05T00:00:00"/>
    <x v="2"/>
    <s v="Explore the latest podcasts now."/>
    <n v="3558"/>
    <n v="314"/>
    <n v="199"/>
    <n v="49612"/>
    <n v="53929"/>
    <n v="206"/>
    <x v="1"/>
    <x v="4"/>
    <s v="SummerBeats"/>
    <n v="8.205676046117874E-2"/>
  </r>
  <r>
    <s v="SP029"/>
    <x v="1"/>
    <d v="2025-03-18T00:00:00"/>
    <x v="1"/>
    <s v="Explore the latest podcasts now."/>
    <n v="3418"/>
    <n v="188"/>
    <n v="387"/>
    <n v="57431"/>
    <n v="36933"/>
    <n v="202"/>
    <x v="2"/>
    <x v="0"/>
    <s v="ChillVibes"/>
    <n v="6.9526910553533799E-2"/>
  </r>
  <r>
    <s v="SP030"/>
    <x v="1"/>
    <d v="2025-04-26T00:00:00"/>
    <x v="0"/>
    <s v="Discover fresh beats on Spotify!"/>
    <n v="2411"/>
    <n v="194"/>
    <n v="168"/>
    <n v="26665"/>
    <n v="71699"/>
    <n v="197"/>
    <x v="3"/>
    <x v="1"/>
    <s v="ChillVibes"/>
    <n v="0.10399399962497656"/>
  </r>
  <r>
    <s v="SP031"/>
    <x v="0"/>
    <d v="2025-01-01T00:00:00"/>
    <x v="0"/>
    <s v="New music just dropped. Hit play!"/>
    <n v="4036"/>
    <n v="112"/>
    <n v="382"/>
    <n v="56284"/>
    <n v="29440"/>
    <n v="279"/>
    <x v="0"/>
    <x v="0"/>
    <s v="ChillVibes"/>
    <n v="8.0484684812735408E-2"/>
  </r>
  <r>
    <s v="SP032"/>
    <x v="1"/>
    <d v="2024-05-07T00:00:00"/>
    <x v="1"/>
    <s v="Explore the latest podcasts now."/>
    <n v="2776"/>
    <n v="307"/>
    <n v="178"/>
    <n v="43365"/>
    <n v="48408"/>
    <n v="138"/>
    <x v="0"/>
    <x v="0"/>
    <s v="ChillVibes"/>
    <n v="7.519889311656866E-2"/>
  </r>
  <r>
    <s v="SP033"/>
    <x v="1"/>
    <d v="2024-10-09T00:00:00"/>
    <x v="1"/>
    <s v="Discover fresh beats on Spotify!"/>
    <n v="4929"/>
    <n v="182"/>
    <n v="95"/>
    <n v="32181"/>
    <n v="31084"/>
    <n v="289"/>
    <x v="1"/>
    <x v="3"/>
    <s v="ChillVibes"/>
    <n v="0.16177247444144061"/>
  </r>
  <r>
    <s v="SP034"/>
    <x v="0"/>
    <d v="2025-01-09T00:00:00"/>
    <x v="0"/>
    <s v="New music just dropped. Hit play!"/>
    <n v="1015"/>
    <n v="366"/>
    <n v="308"/>
    <n v="38127"/>
    <n v="63790"/>
    <n v="287"/>
    <x v="0"/>
    <x v="0"/>
    <s v="ChillVibes"/>
    <n v="4.4299315445747112E-2"/>
  </r>
  <r>
    <s v="SP035"/>
    <x v="1"/>
    <d v="2025-05-08T00:00:00"/>
    <x v="1"/>
    <s v="Your weekend playlist is waiting."/>
    <n v="3316"/>
    <n v="332"/>
    <n v="268"/>
    <n v="40095"/>
    <n v="36913"/>
    <n v="265"/>
    <x v="2"/>
    <x v="0"/>
    <s v="ChillVibes"/>
    <n v="9.7668038408779148E-2"/>
  </r>
  <r>
    <s v="SP036"/>
    <x v="0"/>
    <d v="2024-05-04T00:00:00"/>
    <x v="0"/>
    <s v="Wrapped is here! Relive your top tracks"/>
    <n v="2274"/>
    <n v="243"/>
    <n v="222"/>
    <n v="43066"/>
    <n v="59174"/>
    <n v="80"/>
    <x v="1"/>
    <x v="1"/>
    <s v="IndieWave"/>
    <n v="6.3600055728416843E-2"/>
  </r>
  <r>
    <s v="SP037"/>
    <x v="1"/>
    <d v="2025-05-27T00:00:00"/>
    <x v="1"/>
    <s v="Explore the latest podcasts now."/>
    <n v="4095"/>
    <n v="385"/>
    <n v="400"/>
    <n v="45300"/>
    <n v="31795"/>
    <n v="80"/>
    <x v="2"/>
    <x v="0"/>
    <s v="ChillVibes"/>
    <n v="0.10772626931567329"/>
  </r>
  <r>
    <s v="SP038"/>
    <x v="0"/>
    <d v="2024-09-10T00:00:00"/>
    <x v="1"/>
    <s v="New music just dropped. Hit play!"/>
    <n v="1230"/>
    <n v="309"/>
    <n v="207"/>
    <n v="44629"/>
    <n v="40699"/>
    <n v="195"/>
    <x v="3"/>
    <x v="1"/>
    <s v="Wrapped2024"/>
    <n v="3.9122543637545096E-2"/>
  </r>
  <r>
    <s v="SP039"/>
    <x v="0"/>
    <d v="2024-11-25T00:00:00"/>
    <x v="0"/>
    <s v="From pop to podcasts, its all here."/>
    <n v="1341"/>
    <n v="472"/>
    <n v="238"/>
    <n v="51386"/>
    <n v="51706"/>
    <n v="133"/>
    <x v="1"/>
    <x v="1"/>
    <s v="IndieWave"/>
    <n v="3.9913595142645857E-2"/>
  </r>
  <r>
    <s v="SP040"/>
    <x v="1"/>
    <d v="2025-06-10T00:00:00"/>
    <x v="0"/>
    <s v="Explore the latest podcasts now."/>
    <n v="3615"/>
    <n v="192"/>
    <n v="162"/>
    <n v="27492"/>
    <n v="35341"/>
    <n v="125"/>
    <x v="3"/>
    <x v="1"/>
    <s v="ChillVibes"/>
    <n v="0.14436927106067218"/>
  </r>
  <r>
    <s v="SP041"/>
    <x v="0"/>
    <d v="2024-04-19T00:00:00"/>
    <x v="0"/>
    <s v="New music just dropped. Hit play!"/>
    <n v="4001"/>
    <n v="353"/>
    <n v="129"/>
    <n v="41265"/>
    <n v="37279"/>
    <n v="275"/>
    <x v="0"/>
    <x v="0"/>
    <s v="ChillVibes"/>
    <n v="0.10863928268508422"/>
  </r>
  <r>
    <s v="SP042"/>
    <x v="0"/>
    <d v="2025-01-26T00:00:00"/>
    <x v="1"/>
    <s v="Whats your vibe today?"/>
    <n v="3451"/>
    <n v="363"/>
    <n v="393"/>
    <n v="44853"/>
    <n v="69032"/>
    <n v="211"/>
    <x v="3"/>
    <x v="1"/>
    <s v="Wrapped2024"/>
    <n v="9.379528682585335E-2"/>
  </r>
  <r>
    <s v="SP043"/>
    <x v="0"/>
    <d v="2025-02-14T00:00:00"/>
    <x v="0"/>
    <s v="Top trending tracks updated daily!"/>
    <n v="4891"/>
    <n v="450"/>
    <n v="387"/>
    <n v="48746"/>
    <n v="37312"/>
    <n v="154"/>
    <x v="0"/>
    <x v="0"/>
    <s v="ChillVibes"/>
    <n v="0.11750707750379519"/>
  </r>
  <r>
    <s v="SP044"/>
    <x v="0"/>
    <d v="2024-09-06T00:00:00"/>
    <x v="0"/>
    <s v="New music just dropped. Hit play!"/>
    <n v="1452"/>
    <n v="281"/>
    <n v="326"/>
    <n v="51556"/>
    <n v="62599"/>
    <n v="290"/>
    <x v="1"/>
    <x v="1"/>
    <s v="IndieWave"/>
    <n v="3.9937155714174881E-2"/>
  </r>
  <r>
    <s v="SP045"/>
    <x v="2"/>
    <d v="2024-07-14T00:00:00"/>
    <x v="0"/>
    <s v="Your weekend playlist is waiting."/>
    <n v="3806"/>
    <n v="114"/>
    <n v="278"/>
    <n v="36148"/>
    <n v="24209"/>
    <n v="201"/>
    <x v="1"/>
    <x v="2"/>
    <s v="IndieWave"/>
    <n v="0.11613367267898639"/>
  </r>
  <r>
    <s v="SP046"/>
    <x v="0"/>
    <d v="2024-02-12T00:00:00"/>
    <x v="0"/>
    <s v="Explore the latest podcasts now."/>
    <n v="2923"/>
    <n v="330"/>
    <n v="250"/>
    <n v="23993"/>
    <n v="74590"/>
    <n v="92"/>
    <x v="1"/>
    <x v="1"/>
    <s v="IndieWave"/>
    <n v="0.14600091693410577"/>
  </r>
  <r>
    <s v="SP047"/>
    <x v="2"/>
    <d v="2024-03-14T00:00:00"/>
    <x v="2"/>
    <s v="From pop to podcasts, its all here."/>
    <n v="3361"/>
    <n v="188"/>
    <n v="358"/>
    <n v="39838"/>
    <n v="24536"/>
    <n v="120"/>
    <x v="1"/>
    <x v="4"/>
    <s v="SummerBeats"/>
    <n v="9.8072192379135503E-2"/>
  </r>
  <r>
    <s v="SP048"/>
    <x v="0"/>
    <d v="2025-02-05T00:00:00"/>
    <x v="1"/>
    <s v="Music that moves you only on Spotify."/>
    <n v="3074"/>
    <n v="371"/>
    <n v="348"/>
    <n v="24104"/>
    <n v="57803"/>
    <n v="213"/>
    <x v="3"/>
    <x v="1"/>
    <s v="Wrapped2024"/>
    <n v="0.15735977431131762"/>
  </r>
  <r>
    <s v="SP049"/>
    <x v="1"/>
    <d v="2024-08-29T00:00:00"/>
    <x v="1"/>
    <s v="Get into the groove with our new drop!"/>
    <n v="4276"/>
    <n v="227"/>
    <n v="223"/>
    <n v="43443"/>
    <n v="41005"/>
    <n v="191"/>
    <x v="1"/>
    <x v="3"/>
    <s v="ChillVibes"/>
    <n v="0.1087862256289851"/>
  </r>
  <r>
    <s v="SP050"/>
    <x v="1"/>
    <d v="2025-04-22T00:00:00"/>
    <x v="0"/>
    <s v="Discover fresh beats on Spotify!"/>
    <n v="4401"/>
    <n v="421"/>
    <n v="216"/>
    <n v="24890"/>
    <n v="54361"/>
    <n v="148"/>
    <x v="3"/>
    <x v="1"/>
    <s v="ChillVibes"/>
    <n v="0.20241060666934513"/>
  </r>
  <r>
    <s v="SP051"/>
    <x v="2"/>
    <d v="2024-05-13T00:00:00"/>
    <x v="2"/>
    <s v="Explore the latest podcasts now."/>
    <n v="4161"/>
    <n v="481"/>
    <n v="61"/>
    <n v="45884"/>
    <n v="48955"/>
    <n v="215"/>
    <x v="1"/>
    <x v="4"/>
    <s v="SummerBeats"/>
    <n v="0.10249760265016128"/>
  </r>
  <r>
    <s v="SP052"/>
    <x v="1"/>
    <d v="2024-09-04T00:00:00"/>
    <x v="1"/>
    <s v="New music just dropped. Hit play!"/>
    <n v="2613"/>
    <n v="455"/>
    <n v="228"/>
    <n v="21645"/>
    <n v="61334"/>
    <n v="261"/>
    <x v="1"/>
    <x v="3"/>
    <s v="ChillVibes"/>
    <n v="0.15227535227535227"/>
  </r>
  <r>
    <s v="SP053"/>
    <x v="1"/>
    <d v="2024-08-12T00:00:00"/>
    <x v="1"/>
    <s v="Whats your vibe today?"/>
    <n v="2842"/>
    <n v="213"/>
    <n v="331"/>
    <n v="57660"/>
    <n v="68606"/>
    <n v="87"/>
    <x v="2"/>
    <x v="0"/>
    <s v="ChillVibes"/>
    <n v="5.8723551855705859E-2"/>
  </r>
  <r>
    <s v="SP054"/>
    <x v="0"/>
    <d v="2025-03-06T00:00:00"/>
    <x v="0"/>
    <s v="Get into the groove with our new drop!"/>
    <n v="4851"/>
    <n v="460"/>
    <n v="212"/>
    <n v="58075"/>
    <n v="59574"/>
    <n v="239"/>
    <x v="1"/>
    <x v="1"/>
    <s v="IndieWave"/>
    <n v="9.5101162290142052E-2"/>
  </r>
  <r>
    <s v="SP055"/>
    <x v="1"/>
    <d v="2024-05-08T00:00:00"/>
    <x v="0"/>
    <s v="Explore the latest podcasts now."/>
    <n v="1828"/>
    <n v="450"/>
    <n v="214"/>
    <n v="52115"/>
    <n v="19166"/>
    <n v="190"/>
    <x v="3"/>
    <x v="1"/>
    <s v="ChillVibes"/>
    <n v="4.781732706514439E-2"/>
  </r>
  <r>
    <s v="SP056"/>
    <x v="0"/>
    <d v="2025-02-19T00:00:00"/>
    <x v="1"/>
    <s v="From pop to podcasts, its all here."/>
    <n v="2422"/>
    <n v="455"/>
    <n v="376"/>
    <n v="23428"/>
    <n v="46775"/>
    <n v="259"/>
    <x v="3"/>
    <x v="1"/>
    <s v="Wrapped2024"/>
    <n v="0.13885094758408742"/>
  </r>
  <r>
    <s v="SP057"/>
    <x v="0"/>
    <d v="2024-01-08T00:00:00"/>
    <x v="0"/>
    <s v="Top trending tracks updated daily!"/>
    <n v="2683"/>
    <n v="405"/>
    <n v="223"/>
    <n v="31233"/>
    <n v="58106"/>
    <n v="291"/>
    <x v="1"/>
    <x v="1"/>
    <s v="IndieWave"/>
    <n v="0.10600966926007749"/>
  </r>
  <r>
    <s v="SP058"/>
    <x v="2"/>
    <d v="2024-07-17T00:00:00"/>
    <x v="0"/>
    <s v="Top trending tracks updated daily!"/>
    <n v="3135"/>
    <n v="110"/>
    <n v="215"/>
    <n v="39192"/>
    <n v="24744"/>
    <n v="177"/>
    <x v="1"/>
    <x v="2"/>
    <s v="IndieWave"/>
    <n v="8.8283323127168814E-2"/>
  </r>
  <r>
    <s v="SP059"/>
    <x v="2"/>
    <d v="2024-08-10T00:00:00"/>
    <x v="0"/>
    <s v="From pop to podcasts, its all here."/>
    <n v="1105"/>
    <n v="181"/>
    <n v="55"/>
    <n v="53581"/>
    <n v="74048"/>
    <n v="220"/>
    <x v="1"/>
    <x v="2"/>
    <s v="IndieWave"/>
    <n v="2.50275284149232E-2"/>
  </r>
  <r>
    <s v="SP060"/>
    <x v="2"/>
    <d v="2024-04-16T00:00:00"/>
    <x v="0"/>
    <s v="Discover fresh beats on Spotify!"/>
    <n v="4674"/>
    <n v="326"/>
    <n v="62"/>
    <n v="45503"/>
    <n v="46814"/>
    <n v="116"/>
    <x v="1"/>
    <x v="2"/>
    <s v="IndieWave"/>
    <n v="0.11124541239039185"/>
  </r>
  <r>
    <s v="SP061"/>
    <x v="2"/>
    <d v="2024-01-01T00:00:00"/>
    <x v="2"/>
    <s v="Explore the latest podcasts now."/>
    <n v="3437"/>
    <n v="129"/>
    <n v="359"/>
    <n v="44558"/>
    <n v="30854"/>
    <n v="171"/>
    <x v="1"/>
    <x v="4"/>
    <s v="SummerBeats"/>
    <n v="8.8087436599488311E-2"/>
  </r>
  <r>
    <s v="SP062"/>
    <x v="1"/>
    <d v="2024-11-03T00:00:00"/>
    <x v="1"/>
    <s v="Wrapped is here! Relive your top tracks"/>
    <n v="1959"/>
    <n v="316"/>
    <n v="82"/>
    <n v="54036"/>
    <n v="69015"/>
    <n v="182"/>
    <x v="2"/>
    <x v="0"/>
    <s v="ChillVibes"/>
    <n v="4.3619068768968837E-2"/>
  </r>
  <r>
    <s v="SP063"/>
    <x v="1"/>
    <d v="2024-07-07T00:00:00"/>
    <x v="0"/>
    <s v="New music just dropped. Hit play!"/>
    <n v="1035"/>
    <n v="137"/>
    <n v="184"/>
    <n v="37302"/>
    <n v="68953"/>
    <n v="237"/>
    <x v="0"/>
    <x v="1"/>
    <s v="IndieWave"/>
    <n v="3.6351938233874857E-2"/>
  </r>
  <r>
    <s v="SP064"/>
    <x v="1"/>
    <d v="2025-01-22T00:00:00"/>
    <x v="1"/>
    <s v="New music just dropped. Hit play!"/>
    <n v="4478"/>
    <n v="101"/>
    <n v="121"/>
    <n v="51035"/>
    <n v="58207"/>
    <n v="205"/>
    <x v="2"/>
    <x v="0"/>
    <s v="ChillVibes"/>
    <n v="9.2093661212893113E-2"/>
  </r>
  <r>
    <s v="SP065"/>
    <x v="2"/>
    <d v="2024-05-26T00:00:00"/>
    <x v="0"/>
    <s v="From pop to podcasts, its all here."/>
    <n v="1488"/>
    <n v="327"/>
    <n v="110"/>
    <n v="53805"/>
    <n v="30239"/>
    <n v="109"/>
    <x v="1"/>
    <x v="2"/>
    <s v="IndieWave"/>
    <n v="3.5777344113000653E-2"/>
  </r>
  <r>
    <s v="SP066"/>
    <x v="0"/>
    <d v="2025-04-16T00:00:00"/>
    <x v="0"/>
    <s v="Wrapped is here! Relive your top tracks"/>
    <n v="4836"/>
    <n v="331"/>
    <n v="140"/>
    <n v="58792"/>
    <n v="47711"/>
    <n v="227"/>
    <x v="0"/>
    <x v="0"/>
    <s v="ChillVibes"/>
    <n v="9.0267383317458164E-2"/>
  </r>
  <r>
    <s v="SP067"/>
    <x v="2"/>
    <d v="2024-04-02T00:00:00"/>
    <x v="2"/>
    <s v="Your weekend playlist is waiting."/>
    <n v="4563"/>
    <n v="488"/>
    <n v="356"/>
    <n v="30619"/>
    <n v="23328"/>
    <n v="267"/>
    <x v="1"/>
    <x v="4"/>
    <s v="SummerBeats"/>
    <n v="0.17658969920637513"/>
  </r>
  <r>
    <s v="SP068"/>
    <x v="1"/>
    <d v="2024-03-28T00:00:00"/>
    <x v="0"/>
    <s v="Music that moves you only on Spotify."/>
    <n v="3276"/>
    <n v="421"/>
    <n v="114"/>
    <n v="20580"/>
    <n v="30324"/>
    <n v="221"/>
    <x v="0"/>
    <x v="1"/>
    <s v="IndieWave"/>
    <n v="0.18517978620019437"/>
  </r>
  <r>
    <s v="SP069"/>
    <x v="1"/>
    <d v="2024-12-17T00:00:00"/>
    <x v="1"/>
    <s v="Music that moves you only on Spotify."/>
    <n v="1316"/>
    <n v="472"/>
    <n v="286"/>
    <n v="44692"/>
    <n v="53343"/>
    <n v="227"/>
    <x v="1"/>
    <x v="3"/>
    <s v="ChillVibes"/>
    <n v="4.6406515707509172E-2"/>
  </r>
  <r>
    <s v="SP070"/>
    <x v="1"/>
    <d v="2025-01-05T00:00:00"/>
    <x v="0"/>
    <s v="Wrapped is here! Relive your top tracks"/>
    <n v="4811"/>
    <n v="473"/>
    <n v="254"/>
    <n v="51964"/>
    <n v="68795"/>
    <n v="107"/>
    <x v="3"/>
    <x v="1"/>
    <s v="ChillVibes"/>
    <n v="0.10657378184897237"/>
  </r>
  <r>
    <s v="SP071"/>
    <x v="1"/>
    <d v="2024-01-11T00:00:00"/>
    <x v="0"/>
    <s v="Whats your vibe today?"/>
    <n v="4218"/>
    <n v="247"/>
    <n v="183"/>
    <n v="28914"/>
    <n v="18310"/>
    <n v="135"/>
    <x v="0"/>
    <x v="1"/>
    <s v="IndieWave"/>
    <n v="0.1607525766064882"/>
  </r>
  <r>
    <s v="SP072"/>
    <x v="0"/>
    <d v="2024-10-11T00:00:00"/>
    <x v="0"/>
    <s v="From pop to podcasts, its all here."/>
    <n v="1360"/>
    <n v="249"/>
    <n v="52"/>
    <n v="20368"/>
    <n v="42152"/>
    <n v="193"/>
    <x v="1"/>
    <x v="1"/>
    <s v="IndieWave"/>
    <n v="8.1549489395129612E-2"/>
  </r>
  <r>
    <s v="SP073"/>
    <x v="2"/>
    <d v="2025-05-06T00:00:00"/>
    <x v="2"/>
    <s v="Discover fresh beats on Spotify!"/>
    <n v="1085"/>
    <n v="496"/>
    <n v="320"/>
    <n v="36528"/>
    <n v="38599"/>
    <n v="270"/>
    <x v="1"/>
    <x v="4"/>
    <s v="SummerBeats"/>
    <n v="5.2042268944371438E-2"/>
  </r>
  <r>
    <s v="SP074"/>
    <x v="1"/>
    <d v="2024-05-19T00:00:00"/>
    <x v="1"/>
    <s v="Get into the groove with our new drop!"/>
    <n v="1763"/>
    <n v="206"/>
    <n v="187"/>
    <n v="53342"/>
    <n v="25095"/>
    <n v="88"/>
    <x v="1"/>
    <x v="3"/>
    <s v="ChillVibes"/>
    <n v="4.0418432004799221E-2"/>
  </r>
  <r>
    <s v="SP075"/>
    <x v="1"/>
    <d v="2024-01-22T00:00:00"/>
    <x v="1"/>
    <s v="From pop to podcasts, its all here."/>
    <n v="1554"/>
    <n v="455"/>
    <n v="158"/>
    <n v="41947"/>
    <n v="48578"/>
    <n v="101"/>
    <x v="0"/>
    <x v="0"/>
    <s v="ChillVibes"/>
    <n v="5.1660428636136076E-2"/>
  </r>
  <r>
    <s v="SP076"/>
    <x v="0"/>
    <d v="2024-07-14T00:00:00"/>
    <x v="0"/>
    <s v="Wrapped is here! Relive your top tracks"/>
    <n v="2464"/>
    <n v="401"/>
    <n v="78"/>
    <n v="38665"/>
    <n v="73593"/>
    <n v="207"/>
    <x v="1"/>
    <x v="1"/>
    <s v="IndieWave"/>
    <n v="7.611534979956032E-2"/>
  </r>
  <r>
    <s v="SP077"/>
    <x v="1"/>
    <d v="2025-05-28T00:00:00"/>
    <x v="0"/>
    <s v="From pop to podcasts, its all here."/>
    <n v="2418"/>
    <n v="161"/>
    <n v="360"/>
    <n v="30589"/>
    <n v="41383"/>
    <n v="88"/>
    <x v="3"/>
    <x v="1"/>
    <s v="ChillVibes"/>
    <n v="9.6080290300434801E-2"/>
  </r>
  <r>
    <s v="SP078"/>
    <x v="1"/>
    <d v="2025-01-21T00:00:00"/>
    <x v="1"/>
    <s v="Discover fresh beats on Spotify!"/>
    <n v="2494"/>
    <n v="494"/>
    <n v="55"/>
    <n v="22580"/>
    <n v="22214"/>
    <n v="109"/>
    <x v="2"/>
    <x v="0"/>
    <s v="ChillVibes"/>
    <n v="0.13476527900797167"/>
  </r>
  <r>
    <s v="SP079"/>
    <x v="2"/>
    <d v="2024-01-13T00:00:00"/>
    <x v="2"/>
    <s v="New music just dropped. Hit play!"/>
    <n v="4781"/>
    <n v="191"/>
    <n v="122"/>
    <n v="35535"/>
    <n v="50777"/>
    <n v="128"/>
    <x v="1"/>
    <x v="4"/>
    <s v="SummerBeats"/>
    <n v="0.14335162515829464"/>
  </r>
  <r>
    <s v="SP080"/>
    <x v="0"/>
    <d v="2025-06-17T00:00:00"/>
    <x v="0"/>
    <s v="Music that moves you only on Spotify."/>
    <n v="2284"/>
    <n v="187"/>
    <n v="260"/>
    <n v="37400"/>
    <n v="65014"/>
    <n v="157"/>
    <x v="0"/>
    <x v="0"/>
    <s v="ChillVibes"/>
    <n v="7.3021390374331557E-2"/>
  </r>
  <r>
    <s v="SP081"/>
    <x v="1"/>
    <d v="2025-03-07T00:00:00"/>
    <x v="0"/>
    <s v="Get into the groove with our new drop!"/>
    <n v="4234"/>
    <n v="486"/>
    <n v="276"/>
    <n v="56623"/>
    <n v="41343"/>
    <n v="184"/>
    <x v="0"/>
    <x v="1"/>
    <s v="IndieWave"/>
    <n v="8.8232696960599044E-2"/>
  </r>
  <r>
    <s v="SP082"/>
    <x v="0"/>
    <d v="2024-08-26T00:00:00"/>
    <x v="0"/>
    <s v="Your weekend playlist is waiting."/>
    <n v="2102"/>
    <n v="181"/>
    <n v="306"/>
    <n v="43650"/>
    <n v="50079"/>
    <n v="182"/>
    <x v="1"/>
    <x v="1"/>
    <s v="IndieWave"/>
    <n v="5.9312714776632303E-2"/>
  </r>
  <r>
    <s v="SP083"/>
    <x v="1"/>
    <d v="2025-01-03T00:00:00"/>
    <x v="1"/>
    <s v="Get into the groove with our new drop!"/>
    <n v="4845"/>
    <n v="158"/>
    <n v="84"/>
    <n v="34578"/>
    <n v="51480"/>
    <n v="180"/>
    <x v="0"/>
    <x v="0"/>
    <s v="ChillVibes"/>
    <n v="0.1471166637746544"/>
  </r>
  <r>
    <s v="SP084"/>
    <x v="1"/>
    <d v="2024-08-03T00:00:00"/>
    <x v="0"/>
    <s v="Your weekend playlist is waiting."/>
    <n v="4247"/>
    <n v="390"/>
    <n v="213"/>
    <n v="29785"/>
    <n v="57768"/>
    <n v="122"/>
    <x v="3"/>
    <x v="1"/>
    <s v="ChillVibes"/>
    <n v="0.16283364109451065"/>
  </r>
  <r>
    <s v="SP085"/>
    <x v="0"/>
    <d v="2024-08-18T00:00:00"/>
    <x v="0"/>
    <s v="Explore the latest podcasts now."/>
    <n v="2965"/>
    <n v="328"/>
    <n v="171"/>
    <n v="57685"/>
    <n v="67536"/>
    <n v="264"/>
    <x v="0"/>
    <x v="0"/>
    <s v="ChillVibes"/>
    <n v="6.0050273034584378E-2"/>
  </r>
  <r>
    <s v="SP086"/>
    <x v="1"/>
    <d v="2025-05-14T00:00:00"/>
    <x v="1"/>
    <s v="Wrapped is here! Relive your top tracks"/>
    <n v="1371"/>
    <n v="139"/>
    <n v="96"/>
    <n v="36140"/>
    <n v="39395"/>
    <n v="169"/>
    <x v="0"/>
    <x v="0"/>
    <s v="ChillVibes"/>
    <n v="4.4438295517432211E-2"/>
  </r>
  <r>
    <s v="SP087"/>
    <x v="1"/>
    <d v="2024-04-23T00:00:00"/>
    <x v="1"/>
    <s v="Discover fresh beats on Spotify!"/>
    <n v="2683"/>
    <n v="496"/>
    <n v="89"/>
    <n v="53435"/>
    <n v="30334"/>
    <n v="160"/>
    <x v="0"/>
    <x v="0"/>
    <s v="ChillVibes"/>
    <n v="6.1158416768035934E-2"/>
  </r>
  <r>
    <s v="SP088"/>
    <x v="1"/>
    <d v="2025-02-17T00:00:00"/>
    <x v="1"/>
    <s v="Whats your vibe today?"/>
    <n v="4796"/>
    <n v="427"/>
    <n v="339"/>
    <n v="30752"/>
    <n v="33870"/>
    <n v="298"/>
    <x v="0"/>
    <x v="0"/>
    <s v="ChillVibes"/>
    <n v="0.18086628511966701"/>
  </r>
  <r>
    <s v="SP089"/>
    <x v="0"/>
    <d v="2024-12-04T00:00:00"/>
    <x v="0"/>
    <s v="Wrapped is here! Relive your top tracks"/>
    <n v="2601"/>
    <n v="336"/>
    <n v="260"/>
    <n v="32368"/>
    <n v="49028"/>
    <n v="120"/>
    <x v="0"/>
    <x v="0"/>
    <s v="ChillVibes"/>
    <n v="9.8770390509144837E-2"/>
  </r>
  <r>
    <s v="SP090"/>
    <x v="1"/>
    <d v="2024-07-22T00:00:00"/>
    <x v="1"/>
    <s v="Wrapped is here! Relive your top tracks"/>
    <n v="3336"/>
    <n v="229"/>
    <n v="337"/>
    <n v="22117"/>
    <n v="26205"/>
    <n v="160"/>
    <x v="2"/>
    <x v="0"/>
    <s v="ChillVibes"/>
    <n v="0.17642537414658407"/>
  </r>
  <r>
    <s v="SP091"/>
    <x v="1"/>
    <d v="2025-04-27T00:00:00"/>
    <x v="0"/>
    <s v="Explore the latest podcasts now."/>
    <n v="1165"/>
    <n v="294"/>
    <n v="163"/>
    <n v="20659"/>
    <n v="45926"/>
    <n v="111"/>
    <x v="0"/>
    <x v="1"/>
    <s v="IndieWave"/>
    <n v="7.8512996756861422E-2"/>
  </r>
  <r>
    <s v="SP092"/>
    <x v="2"/>
    <d v="2024-03-25T00:00:00"/>
    <x v="2"/>
    <s v="Explore the latest podcasts now."/>
    <n v="1948"/>
    <n v="155"/>
    <n v="315"/>
    <n v="30321"/>
    <n v="57121"/>
    <n v="82"/>
    <x v="1"/>
    <x v="4"/>
    <s v="SummerBeats"/>
    <n v="7.974671020085089E-2"/>
  </r>
  <r>
    <s v="SP093"/>
    <x v="0"/>
    <d v="2024-02-29T00:00:00"/>
    <x v="0"/>
    <s v="From pop to podcasts, its all here."/>
    <n v="1100"/>
    <n v="229"/>
    <n v="312"/>
    <n v="25641"/>
    <n v="34601"/>
    <n v="169"/>
    <x v="1"/>
    <x v="1"/>
    <s v="IndieWave"/>
    <n v="6.3999063999063993E-2"/>
  </r>
  <r>
    <s v="SP094"/>
    <x v="1"/>
    <d v="2024-11-13T00:00:00"/>
    <x v="1"/>
    <s v="Top trending tracks updated daily!"/>
    <n v="4628"/>
    <n v="257"/>
    <n v="397"/>
    <n v="36686"/>
    <n v="54683"/>
    <n v="98"/>
    <x v="0"/>
    <x v="0"/>
    <s v="ChillVibes"/>
    <n v="0.1439786294499264"/>
  </r>
  <r>
    <s v="SP095"/>
    <x v="0"/>
    <d v="2024-03-22T00:00:00"/>
    <x v="1"/>
    <s v="Discover fresh beats on Spotify!"/>
    <n v="2319"/>
    <n v="484"/>
    <n v="193"/>
    <n v="21202"/>
    <n v="18091"/>
    <n v="241"/>
    <x v="3"/>
    <x v="1"/>
    <s v="Wrapped2024"/>
    <n v="0.14130742382794076"/>
  </r>
  <r>
    <s v="SP096"/>
    <x v="1"/>
    <d v="2024-03-16T00:00:00"/>
    <x v="1"/>
    <s v="Wrapped is here! Relive your top tracks"/>
    <n v="2895"/>
    <n v="292"/>
    <n v="90"/>
    <n v="24223"/>
    <n v="54626"/>
    <n v="114"/>
    <x v="0"/>
    <x v="0"/>
    <s v="ChillVibes"/>
    <n v="0.13528464682326713"/>
  </r>
  <r>
    <s v="SP097"/>
    <x v="0"/>
    <d v="2024-01-26T00:00:00"/>
    <x v="0"/>
    <s v="Whats your vibe today?"/>
    <n v="3878"/>
    <n v="431"/>
    <n v="97"/>
    <n v="41763"/>
    <n v="29729"/>
    <n v="191"/>
    <x v="1"/>
    <x v="1"/>
    <s v="IndieWave"/>
    <n v="0.10550008380623997"/>
  </r>
  <r>
    <s v="SP098"/>
    <x v="1"/>
    <d v="2024-03-15T00:00:00"/>
    <x v="1"/>
    <s v="Get into the groove with our new drop!"/>
    <n v="4969"/>
    <n v="433"/>
    <n v="237"/>
    <n v="59552"/>
    <n v="23885"/>
    <n v="157"/>
    <x v="1"/>
    <x v="3"/>
    <s v="ChillVibes"/>
    <n v="9.4690354648038683E-2"/>
  </r>
  <r>
    <s v="SP099"/>
    <x v="1"/>
    <d v="2024-10-15T00:00:00"/>
    <x v="0"/>
    <s v="Wrapped is here! Relive your top tracks"/>
    <n v="1984"/>
    <n v="481"/>
    <n v="356"/>
    <n v="40681"/>
    <n v="63111"/>
    <n v="258"/>
    <x v="3"/>
    <x v="1"/>
    <s v="ChillVibes"/>
    <n v="6.934441139598338E-2"/>
  </r>
  <r>
    <s v="SP100"/>
    <x v="0"/>
    <d v="2024-07-21T00:00:00"/>
    <x v="0"/>
    <s v="Discover fresh beats on Spotify!"/>
    <n v="3004"/>
    <n v="415"/>
    <n v="218"/>
    <n v="36090"/>
    <n v="37073"/>
    <n v="181"/>
    <x v="1"/>
    <x v="1"/>
    <s v="IndieWave"/>
    <n v="0.10077583818232197"/>
  </r>
  <r>
    <s v="SP101"/>
    <x v="1"/>
    <d v="2024-10-12T00:00:00"/>
    <x v="0"/>
    <s v="Get into the groove with our new drop!"/>
    <n v="3169"/>
    <n v="386"/>
    <n v="175"/>
    <n v="45012"/>
    <n v="38508"/>
    <n v="218"/>
    <x v="3"/>
    <x v="1"/>
    <s v="ChillVibes"/>
    <n v="8.2866791077934779E-2"/>
  </r>
  <r>
    <s v="SP102"/>
    <x v="1"/>
    <d v="2024-10-26T00:00:00"/>
    <x v="0"/>
    <s v="Discover fresh beats on Spotify!"/>
    <n v="3036"/>
    <n v="293"/>
    <n v="115"/>
    <n v="23776"/>
    <n v="46386"/>
    <n v="282"/>
    <x v="3"/>
    <x v="1"/>
    <s v="ChillVibes"/>
    <n v="0.14485195154777927"/>
  </r>
  <r>
    <s v="SP103"/>
    <x v="0"/>
    <d v="2024-02-14T00:00:00"/>
    <x v="0"/>
    <s v="Music that moves you only on Spotify."/>
    <n v="1830"/>
    <n v="112"/>
    <n v="181"/>
    <n v="31870"/>
    <n v="55742"/>
    <n v="263"/>
    <x v="0"/>
    <x v="0"/>
    <s v="ChillVibes"/>
    <n v="6.6614370881706936E-2"/>
  </r>
  <r>
    <s v="SP104"/>
    <x v="1"/>
    <d v="2024-05-01T00:00:00"/>
    <x v="1"/>
    <s v="Whats your vibe today?"/>
    <n v="2587"/>
    <n v="447"/>
    <n v="183"/>
    <n v="36266"/>
    <n v="32877"/>
    <n v="132"/>
    <x v="1"/>
    <x v="3"/>
    <s v="ChillVibes"/>
    <n v="8.8705674736667947E-2"/>
  </r>
  <r>
    <s v="SP105"/>
    <x v="1"/>
    <d v="2024-09-18T00:00:00"/>
    <x v="0"/>
    <s v="Discover fresh beats on Spotify!"/>
    <n v="2878"/>
    <n v="265"/>
    <n v="91"/>
    <n v="52090"/>
    <n v="28924"/>
    <n v="133"/>
    <x v="3"/>
    <x v="1"/>
    <s v="ChillVibes"/>
    <n v="6.2084853138798232E-2"/>
  </r>
  <r>
    <s v="SP106"/>
    <x v="1"/>
    <d v="2025-01-20T00:00:00"/>
    <x v="1"/>
    <s v="New music just dropped. Hit play!"/>
    <n v="4619"/>
    <n v="272"/>
    <n v="57"/>
    <n v="21334"/>
    <n v="46292"/>
    <n v="91"/>
    <x v="0"/>
    <x v="0"/>
    <s v="ChillVibes"/>
    <n v="0.23193025217961938"/>
  </r>
  <r>
    <s v="SP107"/>
    <x v="1"/>
    <d v="2025-01-13T00:00:00"/>
    <x v="0"/>
    <s v="Music that moves you only on Spotify."/>
    <n v="4090"/>
    <n v="209"/>
    <n v="278"/>
    <n v="52853"/>
    <n v="57084"/>
    <n v="102"/>
    <x v="0"/>
    <x v="1"/>
    <s v="IndieWave"/>
    <n v="8.6598679355949518E-2"/>
  </r>
  <r>
    <s v="SP108"/>
    <x v="2"/>
    <d v="2024-09-07T00:00:00"/>
    <x v="2"/>
    <s v="Music that moves you only on Spotify."/>
    <n v="3882"/>
    <n v="342"/>
    <n v="374"/>
    <n v="41991"/>
    <n v="48554"/>
    <n v="118"/>
    <x v="1"/>
    <x v="4"/>
    <s v="SummerBeats"/>
    <n v="0.10949965468790931"/>
  </r>
  <r>
    <s v="SP109"/>
    <x v="0"/>
    <d v="2024-11-21T00:00:00"/>
    <x v="0"/>
    <s v="Music that moves you only on Spotify."/>
    <n v="4581"/>
    <n v="181"/>
    <n v="112"/>
    <n v="35221"/>
    <n v="28797"/>
    <n v="164"/>
    <x v="0"/>
    <x v="0"/>
    <s v="ChillVibes"/>
    <n v="0.13838335084182732"/>
  </r>
  <r>
    <s v="SP110"/>
    <x v="0"/>
    <d v="2024-06-26T00:00:00"/>
    <x v="0"/>
    <s v="New music just dropped. Hit play!"/>
    <n v="3253"/>
    <n v="483"/>
    <n v="336"/>
    <n v="25397"/>
    <n v="51485"/>
    <n v="131"/>
    <x v="1"/>
    <x v="1"/>
    <s v="IndieWave"/>
    <n v="0.16033389770445328"/>
  </r>
  <r>
    <s v="SP111"/>
    <x v="2"/>
    <d v="2024-07-20T00:00:00"/>
    <x v="2"/>
    <s v="Music that moves you only on Spotify."/>
    <n v="4955"/>
    <n v="299"/>
    <n v="345"/>
    <n v="33644"/>
    <n v="43547"/>
    <n v="194"/>
    <x v="1"/>
    <x v="4"/>
    <s v="SummerBeats"/>
    <n v="0.16641897515158721"/>
  </r>
  <r>
    <s v="SP112"/>
    <x v="0"/>
    <d v="2025-02-16T00:00:00"/>
    <x v="0"/>
    <s v="Your weekend playlist is waiting."/>
    <n v="1333"/>
    <n v="286"/>
    <n v="298"/>
    <n v="36174"/>
    <n v="34517"/>
    <n v="170"/>
    <x v="0"/>
    <x v="0"/>
    <s v="ChillVibes"/>
    <n v="5.2993862995521647E-2"/>
  </r>
  <r>
    <s v="SP113"/>
    <x v="0"/>
    <d v="2024-09-09T00:00:00"/>
    <x v="0"/>
    <s v="New music just dropped. Hit play!"/>
    <n v="1616"/>
    <n v="360"/>
    <n v="180"/>
    <n v="54342"/>
    <n v="18796"/>
    <n v="282"/>
    <x v="0"/>
    <x v="0"/>
    <s v="ChillVibes"/>
    <n v="3.9674653122814763E-2"/>
  </r>
  <r>
    <s v="SP114"/>
    <x v="1"/>
    <d v="2024-07-16T00:00:00"/>
    <x v="0"/>
    <s v="Top trending tracks updated daily!"/>
    <n v="1803"/>
    <n v="273"/>
    <n v="287"/>
    <n v="46176"/>
    <n v="25488"/>
    <n v="141"/>
    <x v="3"/>
    <x v="1"/>
    <s v="ChillVibes"/>
    <n v="5.1173769923769923E-2"/>
  </r>
  <r>
    <s v="SP115"/>
    <x v="0"/>
    <d v="2025-04-15T00:00:00"/>
    <x v="0"/>
    <s v="Explore the latest podcasts now."/>
    <n v="4177"/>
    <n v="489"/>
    <n v="331"/>
    <n v="57451"/>
    <n v="73793"/>
    <n v="251"/>
    <x v="1"/>
    <x v="1"/>
    <s v="IndieWave"/>
    <n v="8.6978468608031198E-2"/>
  </r>
  <r>
    <s v="SP116"/>
    <x v="0"/>
    <d v="2025-05-04T00:00:00"/>
    <x v="1"/>
    <s v="New music just dropped. Hit play!"/>
    <n v="1311"/>
    <n v="181"/>
    <n v="361"/>
    <n v="37148"/>
    <n v="44875"/>
    <n v="245"/>
    <x v="3"/>
    <x v="1"/>
    <s v="Wrapped2024"/>
    <n v="4.9881554861634543E-2"/>
  </r>
  <r>
    <s v="SP117"/>
    <x v="0"/>
    <d v="2024-02-18T00:00:00"/>
    <x v="1"/>
    <s v="From pop to podcasts, its all here."/>
    <n v="1516"/>
    <n v="215"/>
    <n v="332"/>
    <n v="58981"/>
    <n v="36118"/>
    <n v="211"/>
    <x v="3"/>
    <x v="1"/>
    <s v="Wrapped2024"/>
    <n v="3.4977365592309385E-2"/>
  </r>
  <r>
    <s v="SP118"/>
    <x v="1"/>
    <d v="2024-05-16T00:00:00"/>
    <x v="1"/>
    <s v="Music that moves you only on Spotify."/>
    <n v="2023"/>
    <n v="124"/>
    <n v="99"/>
    <n v="54524"/>
    <n v="34790"/>
    <n v="195"/>
    <x v="1"/>
    <x v="3"/>
    <s v="ChillVibes"/>
    <n v="4.1192869195216787E-2"/>
  </r>
  <r>
    <s v="SP119"/>
    <x v="1"/>
    <d v="2025-05-29T00:00:00"/>
    <x v="1"/>
    <s v="Music that moves you only on Spotify."/>
    <n v="2134"/>
    <n v="322"/>
    <n v="114"/>
    <n v="44338"/>
    <n v="52165"/>
    <n v="176"/>
    <x v="2"/>
    <x v="0"/>
    <s v="ChillVibes"/>
    <n v="5.7963823356939871E-2"/>
  </r>
  <r>
    <s v="SP120"/>
    <x v="0"/>
    <d v="2025-01-17T00:00:00"/>
    <x v="0"/>
    <s v="Top trending tracks updated daily!"/>
    <n v="2266"/>
    <n v="126"/>
    <n v="140"/>
    <n v="53759"/>
    <n v="46834"/>
    <n v="277"/>
    <x v="1"/>
    <x v="1"/>
    <s v="IndieWave"/>
    <n v="4.7099090384865788E-2"/>
  </r>
  <r>
    <s v="SP121"/>
    <x v="0"/>
    <d v="2025-04-30T00:00:00"/>
    <x v="1"/>
    <s v="New music just dropped. Hit play!"/>
    <n v="3916"/>
    <n v="459"/>
    <n v="229"/>
    <n v="48989"/>
    <n v="39768"/>
    <n v="200"/>
    <x v="3"/>
    <x v="1"/>
    <s v="Wrapped2024"/>
    <n v="9.3980281287635997E-2"/>
  </r>
  <r>
    <s v="SP122"/>
    <x v="1"/>
    <d v="2024-02-24T00:00:00"/>
    <x v="1"/>
    <s v="Music that moves you only on Spotify."/>
    <n v="1022"/>
    <n v="463"/>
    <n v="360"/>
    <n v="51468"/>
    <n v="24279"/>
    <n v="230"/>
    <x v="1"/>
    <x v="3"/>
    <s v="ChillVibes"/>
    <n v="3.5847516903707161E-2"/>
  </r>
  <r>
    <s v="SP123"/>
    <x v="2"/>
    <d v="2024-05-12T00:00:00"/>
    <x v="0"/>
    <s v="From pop to podcasts, its all here."/>
    <n v="2911"/>
    <n v="467"/>
    <n v="94"/>
    <n v="59083"/>
    <n v="49762"/>
    <n v="236"/>
    <x v="1"/>
    <x v="2"/>
    <s v="IndieWave"/>
    <n v="5.8764788517847777E-2"/>
  </r>
  <r>
    <s v="SP124"/>
    <x v="1"/>
    <d v="2024-05-09T00:00:00"/>
    <x v="1"/>
    <s v="New music just dropped. Hit play!"/>
    <n v="3277"/>
    <n v="423"/>
    <n v="259"/>
    <n v="46328"/>
    <n v="44293"/>
    <n v="299"/>
    <x v="0"/>
    <x v="0"/>
    <s v="ChillVibes"/>
    <n v="8.5455879813503707E-2"/>
  </r>
  <r>
    <s v="SP125"/>
    <x v="1"/>
    <d v="2024-11-06T00:00:00"/>
    <x v="0"/>
    <s v="From pop to podcasts, its all here."/>
    <n v="2956"/>
    <n v="381"/>
    <n v="345"/>
    <n v="33347"/>
    <n v="22558"/>
    <n v="173"/>
    <x v="3"/>
    <x v="1"/>
    <s v="ChillVibes"/>
    <n v="0.11041472996071611"/>
  </r>
  <r>
    <s v="SP126"/>
    <x v="1"/>
    <d v="2024-01-04T00:00:00"/>
    <x v="1"/>
    <s v="Whats your vibe today?"/>
    <n v="3208"/>
    <n v="476"/>
    <n v="277"/>
    <n v="56072"/>
    <n v="21061"/>
    <n v="113"/>
    <x v="2"/>
    <x v="0"/>
    <s v="ChillVibes"/>
    <n v="7.064131830503638E-2"/>
  </r>
  <r>
    <s v="SP127"/>
    <x v="1"/>
    <d v="2024-01-28T00:00:00"/>
    <x v="0"/>
    <s v="Music that moves you only on Spotify."/>
    <n v="1456"/>
    <n v="265"/>
    <n v="137"/>
    <n v="53485"/>
    <n v="59729"/>
    <n v="145"/>
    <x v="0"/>
    <x v="1"/>
    <s v="IndieWave"/>
    <n v="3.4738711788351875E-2"/>
  </r>
  <r>
    <s v="SP128"/>
    <x v="0"/>
    <d v="2024-02-22T00:00:00"/>
    <x v="0"/>
    <s v="New music just dropped. Hit play!"/>
    <n v="1902"/>
    <n v="394"/>
    <n v="279"/>
    <n v="24615"/>
    <n v="51330"/>
    <n v="176"/>
    <x v="0"/>
    <x v="0"/>
    <s v="ChillVibes"/>
    <n v="0.10461100954702417"/>
  </r>
  <r>
    <s v="SP129"/>
    <x v="1"/>
    <d v="2025-07-01T00:00:00"/>
    <x v="1"/>
    <s v="Explore the latest podcasts now."/>
    <n v="3219"/>
    <n v="424"/>
    <n v="267"/>
    <n v="48879"/>
    <n v="37691"/>
    <n v="224"/>
    <x v="1"/>
    <x v="3"/>
    <s v="ChillVibes"/>
    <n v="7.9993453221219743E-2"/>
  </r>
  <r>
    <s v="SP130"/>
    <x v="2"/>
    <d v="2024-01-10T00:00:00"/>
    <x v="0"/>
    <s v="Explore the latest podcasts now."/>
    <n v="1261"/>
    <n v="190"/>
    <n v="233"/>
    <n v="59888"/>
    <n v="51449"/>
    <n v="205"/>
    <x v="1"/>
    <x v="2"/>
    <s v="IndieWave"/>
    <n v="2.811915575741384E-2"/>
  </r>
  <r>
    <s v="SP131"/>
    <x v="1"/>
    <d v="2025-03-20T00:00:00"/>
    <x v="0"/>
    <s v="Your weekend playlist is waiting."/>
    <n v="1564"/>
    <n v="362"/>
    <n v="371"/>
    <n v="42075"/>
    <n v="66659"/>
    <n v="205"/>
    <x v="0"/>
    <x v="1"/>
    <s v="IndieWave"/>
    <n v="5.4592988710635768E-2"/>
  </r>
  <r>
    <s v="SP132"/>
    <x v="1"/>
    <d v="2024-09-28T00:00:00"/>
    <x v="0"/>
    <s v="Whats your vibe today?"/>
    <n v="4006"/>
    <n v="420"/>
    <n v="194"/>
    <n v="49964"/>
    <n v="20685"/>
    <n v="148"/>
    <x v="3"/>
    <x v="1"/>
    <s v="ChillVibes"/>
    <n v="9.2466575934672959E-2"/>
  </r>
  <r>
    <s v="SP133"/>
    <x v="2"/>
    <d v="2024-01-27T00:00:00"/>
    <x v="0"/>
    <s v="Your weekend playlist is waiting."/>
    <n v="1976"/>
    <n v="262"/>
    <n v="218"/>
    <n v="51696"/>
    <n v="44846"/>
    <n v="139"/>
    <x v="1"/>
    <x v="2"/>
    <s v="IndieWave"/>
    <n v="4.7508511296812134E-2"/>
  </r>
  <r>
    <s v="SP134"/>
    <x v="1"/>
    <d v="2025-05-15T00:00:00"/>
    <x v="0"/>
    <s v="New music just dropped. Hit play!"/>
    <n v="1583"/>
    <n v="433"/>
    <n v="249"/>
    <n v="30256"/>
    <n v="47066"/>
    <n v="196"/>
    <x v="3"/>
    <x v="1"/>
    <s v="ChillVibes"/>
    <n v="7.4861184558434685E-2"/>
  </r>
  <r>
    <s v="SP135"/>
    <x v="1"/>
    <d v="2024-10-04T00:00:00"/>
    <x v="1"/>
    <s v="Explore the latest podcasts now."/>
    <n v="2870"/>
    <n v="380"/>
    <n v="393"/>
    <n v="37621"/>
    <n v="71794"/>
    <n v="127"/>
    <x v="2"/>
    <x v="0"/>
    <s v="ChillVibes"/>
    <n v="9.6834214933149046E-2"/>
  </r>
  <r>
    <s v="SP136"/>
    <x v="1"/>
    <d v="2024-11-19T00:00:00"/>
    <x v="0"/>
    <s v="Top trending tracks updated daily!"/>
    <n v="3728"/>
    <n v="271"/>
    <n v="275"/>
    <n v="22827"/>
    <n v="37034"/>
    <n v="199"/>
    <x v="3"/>
    <x v="1"/>
    <s v="ChillVibes"/>
    <n v="0.18723441538528934"/>
  </r>
  <r>
    <s v="SP137"/>
    <x v="1"/>
    <d v="2024-04-05T00:00:00"/>
    <x v="1"/>
    <s v="New music just dropped. Hit play!"/>
    <n v="4965"/>
    <n v="175"/>
    <n v="307"/>
    <n v="32793"/>
    <n v="43412"/>
    <n v="296"/>
    <x v="0"/>
    <x v="0"/>
    <s v="ChillVibes"/>
    <n v="0.16610252187966945"/>
  </r>
  <r>
    <s v="SP138"/>
    <x v="1"/>
    <d v="2024-11-28T00:00:00"/>
    <x v="1"/>
    <s v="New music just dropped. Hit play!"/>
    <n v="1131"/>
    <n v="100"/>
    <n v="116"/>
    <n v="48437"/>
    <n v="72704"/>
    <n v="236"/>
    <x v="1"/>
    <x v="3"/>
    <s v="ChillVibes"/>
    <n v="2.7809319322005904E-2"/>
  </r>
  <r>
    <s v="SP139"/>
    <x v="1"/>
    <d v="2025-03-09T00:00:00"/>
    <x v="0"/>
    <s v="Your weekend playlist is waiting."/>
    <n v="2754"/>
    <n v="215"/>
    <n v="264"/>
    <n v="27762"/>
    <n v="70203"/>
    <n v="289"/>
    <x v="3"/>
    <x v="1"/>
    <s v="ChillVibes"/>
    <n v="0.11645414595490239"/>
  </r>
  <r>
    <s v="SP140"/>
    <x v="1"/>
    <d v="2024-08-27T00:00:00"/>
    <x v="1"/>
    <s v="New music just dropped. Hit play!"/>
    <n v="1856"/>
    <n v="357"/>
    <n v="348"/>
    <n v="29428"/>
    <n v="70206"/>
    <n v="236"/>
    <x v="2"/>
    <x v="0"/>
    <s v="ChillVibes"/>
    <n v="8.702596166915863E-2"/>
  </r>
  <r>
    <s v="SP141"/>
    <x v="2"/>
    <d v="2024-10-01T00:00:00"/>
    <x v="2"/>
    <s v="Explore the latest podcasts now."/>
    <n v="3543"/>
    <n v="334"/>
    <n v="218"/>
    <n v="58007"/>
    <n v="24792"/>
    <n v="273"/>
    <x v="1"/>
    <x v="4"/>
    <s v="SummerBeats"/>
    <n v="7.0594928198320889E-2"/>
  </r>
  <r>
    <s v="SP142"/>
    <x v="0"/>
    <d v="2024-12-21T00:00:00"/>
    <x v="1"/>
    <s v="New music just dropped. Hit play!"/>
    <n v="4563"/>
    <n v="398"/>
    <n v="163"/>
    <n v="43679"/>
    <n v="48760"/>
    <n v="92"/>
    <x v="3"/>
    <x v="1"/>
    <s v="Wrapped2024"/>
    <n v="0.11731037798484398"/>
  </r>
  <r>
    <s v="SP143"/>
    <x v="0"/>
    <d v="2024-06-17T00:00:00"/>
    <x v="0"/>
    <s v="Discover fresh beats on Spotify!"/>
    <n v="4283"/>
    <n v="471"/>
    <n v="156"/>
    <n v="53004"/>
    <n v="25678"/>
    <n v="105"/>
    <x v="1"/>
    <x v="1"/>
    <s v="IndieWave"/>
    <n v="9.2634518149573616E-2"/>
  </r>
  <r>
    <s v="SP144"/>
    <x v="0"/>
    <d v="2025-02-14T00:00:00"/>
    <x v="0"/>
    <s v="Discover fresh beats on Spotify!"/>
    <n v="2329"/>
    <n v="373"/>
    <n v="291"/>
    <n v="49577"/>
    <n v="28002"/>
    <n v="82"/>
    <x v="0"/>
    <x v="0"/>
    <s v="ChillVibes"/>
    <n v="6.0370736430199488E-2"/>
  </r>
  <r>
    <s v="SP145"/>
    <x v="1"/>
    <d v="2025-05-28T00:00:00"/>
    <x v="1"/>
    <s v="Top trending tracks updated daily!"/>
    <n v="4287"/>
    <n v="273"/>
    <n v="122"/>
    <n v="40792"/>
    <n v="23878"/>
    <n v="277"/>
    <x v="2"/>
    <x v="0"/>
    <s v="ChillVibes"/>
    <n v="0.11477740733477153"/>
  </r>
  <r>
    <s v="SP146"/>
    <x v="0"/>
    <d v="2025-05-22T00:00:00"/>
    <x v="0"/>
    <s v="Discover fresh beats on Spotify!"/>
    <n v="2633"/>
    <n v="318"/>
    <n v="380"/>
    <n v="40869"/>
    <n v="64474"/>
    <n v="245"/>
    <x v="1"/>
    <x v="1"/>
    <s v="IndieWave"/>
    <n v="8.1504318676747664E-2"/>
  </r>
  <r>
    <s v="SP147"/>
    <x v="1"/>
    <d v="2024-01-21T00:00:00"/>
    <x v="1"/>
    <s v="Discover fresh beats on Spotify!"/>
    <n v="2383"/>
    <n v="136"/>
    <n v="302"/>
    <n v="39187"/>
    <n v="22133"/>
    <n v="208"/>
    <x v="2"/>
    <x v="0"/>
    <s v="ChillVibes"/>
    <n v="7.1988159338556151E-2"/>
  </r>
  <r>
    <s v="SP148"/>
    <x v="1"/>
    <d v="2025-02-08T00:00:00"/>
    <x v="1"/>
    <s v="Your weekend playlist is waiting."/>
    <n v="4752"/>
    <n v="334"/>
    <n v="56"/>
    <n v="48017"/>
    <n v="55534"/>
    <n v="270"/>
    <x v="1"/>
    <x v="3"/>
    <s v="ChillVibes"/>
    <n v="0.10708707332819627"/>
  </r>
  <r>
    <s v="SP149"/>
    <x v="1"/>
    <d v="2025-04-13T00:00:00"/>
    <x v="0"/>
    <s v="From pop to podcasts, its all here."/>
    <n v="3890"/>
    <n v="408"/>
    <n v="338"/>
    <n v="56994"/>
    <n v="32621"/>
    <n v="286"/>
    <x v="0"/>
    <x v="1"/>
    <s v="IndieWave"/>
    <n v="8.1341895638137346E-2"/>
  </r>
  <r>
    <s v="SP150"/>
    <x v="1"/>
    <d v="2024-05-30T00:00:00"/>
    <x v="1"/>
    <s v="Your weekend playlist is waiting."/>
    <n v="2311"/>
    <n v="207"/>
    <n v="363"/>
    <n v="30349"/>
    <n v="32925"/>
    <n v="88"/>
    <x v="2"/>
    <x v="0"/>
    <s v="ChillVibes"/>
    <n v="9.4928992718046723E-2"/>
  </r>
  <r>
    <s v="SP151"/>
    <x v="0"/>
    <d v="2024-08-12T00:00:00"/>
    <x v="1"/>
    <s v="Discover fresh beats on Spotify!"/>
    <n v="2962"/>
    <n v="400"/>
    <n v="280"/>
    <n v="52508"/>
    <n v="58329"/>
    <n v="219"/>
    <x v="3"/>
    <x v="1"/>
    <s v="Wrapped2024"/>
    <n v="6.9360859297630834E-2"/>
  </r>
  <r>
    <s v="SP152"/>
    <x v="0"/>
    <d v="2024-09-27T00:00:00"/>
    <x v="0"/>
    <s v="Discover fresh beats on Spotify!"/>
    <n v="3118"/>
    <n v="116"/>
    <n v="195"/>
    <n v="37100"/>
    <n v="62629"/>
    <n v="272"/>
    <x v="1"/>
    <x v="1"/>
    <s v="IndieWave"/>
    <n v="9.2425876010781671E-2"/>
  </r>
  <r>
    <s v="SP153"/>
    <x v="1"/>
    <d v="2025-06-11T00:00:00"/>
    <x v="1"/>
    <s v="Explore the latest podcasts now."/>
    <n v="3805"/>
    <n v="453"/>
    <n v="63"/>
    <n v="52395"/>
    <n v="72934"/>
    <n v="87"/>
    <x v="1"/>
    <x v="3"/>
    <s v="ChillVibes"/>
    <n v="8.2469701307376658E-2"/>
  </r>
  <r>
    <s v="SP154"/>
    <x v="0"/>
    <d v="2024-11-19T00:00:00"/>
    <x v="0"/>
    <s v="Whats your vibe today?"/>
    <n v="2525"/>
    <n v="272"/>
    <n v="294"/>
    <n v="51875"/>
    <n v="24732"/>
    <n v="92"/>
    <x v="1"/>
    <x v="1"/>
    <s v="IndieWave"/>
    <n v="5.9585542168674697E-2"/>
  </r>
  <r>
    <s v="SP155"/>
    <x v="0"/>
    <d v="2024-04-25T00:00:00"/>
    <x v="0"/>
    <s v="Music that moves you only on Spotify."/>
    <n v="3563"/>
    <n v="483"/>
    <n v="227"/>
    <n v="41085"/>
    <n v="26393"/>
    <n v="236"/>
    <x v="0"/>
    <x v="0"/>
    <s v="ChillVibes"/>
    <n v="0.10400389436534015"/>
  </r>
  <r>
    <s v="SP156"/>
    <x v="2"/>
    <d v="2024-09-03T00:00:00"/>
    <x v="2"/>
    <s v="Whats your vibe today?"/>
    <n v="1437"/>
    <n v="494"/>
    <n v="129"/>
    <n v="53048"/>
    <n v="44090"/>
    <n v="230"/>
    <x v="1"/>
    <x v="4"/>
    <s v="SummerBeats"/>
    <n v="3.8832755240536872E-2"/>
  </r>
  <r>
    <s v="SP157"/>
    <x v="2"/>
    <d v="2025-03-02T00:00:00"/>
    <x v="0"/>
    <s v="From pop to podcasts, its all here."/>
    <n v="4425"/>
    <n v="185"/>
    <n v="162"/>
    <n v="24610"/>
    <n v="21342"/>
    <n v="158"/>
    <x v="1"/>
    <x v="2"/>
    <s v="IndieWave"/>
    <n v="0.19390491670052823"/>
  </r>
  <r>
    <s v="SP158"/>
    <x v="1"/>
    <d v="2025-03-21T00:00:00"/>
    <x v="1"/>
    <s v="New music just dropped. Hit play!"/>
    <n v="4609"/>
    <n v="427"/>
    <n v="395"/>
    <n v="33698"/>
    <n v="29259"/>
    <n v="216"/>
    <x v="1"/>
    <x v="3"/>
    <s v="ChillVibes"/>
    <n v="0.16116683482699271"/>
  </r>
  <r>
    <s v="SP159"/>
    <x v="0"/>
    <d v="2024-04-12T00:00:00"/>
    <x v="1"/>
    <s v="Get into the groove with our new drop!"/>
    <n v="1558"/>
    <n v="352"/>
    <n v="202"/>
    <n v="25405"/>
    <n v="69941"/>
    <n v="219"/>
    <x v="3"/>
    <x v="1"/>
    <s v="Wrapped2024"/>
    <n v="8.3133241487896081E-2"/>
  </r>
  <r>
    <s v="SP160"/>
    <x v="2"/>
    <d v="2024-02-08T00:00:00"/>
    <x v="2"/>
    <s v="Top trending tracks updated daily!"/>
    <n v="1889"/>
    <n v="298"/>
    <n v="122"/>
    <n v="46225"/>
    <n v="74305"/>
    <n v="293"/>
    <x v="1"/>
    <x v="4"/>
    <s v="SummerBeats"/>
    <n v="4.9951325040562468E-2"/>
  </r>
  <r>
    <s v="SP161"/>
    <x v="0"/>
    <d v="2025-05-26T00:00:00"/>
    <x v="0"/>
    <s v="Discover fresh beats on Spotify!"/>
    <n v="3086"/>
    <n v="148"/>
    <n v="310"/>
    <n v="22824"/>
    <n v="58103"/>
    <n v="275"/>
    <x v="1"/>
    <x v="1"/>
    <s v="IndieWave"/>
    <n v="0.1552751489660007"/>
  </r>
  <r>
    <s v="SP162"/>
    <x v="0"/>
    <d v="2024-11-14T00:00:00"/>
    <x v="0"/>
    <s v="Music that moves you only on Spotify."/>
    <n v="2422"/>
    <n v="318"/>
    <n v="118"/>
    <n v="25386"/>
    <n v="20873"/>
    <n v="100"/>
    <x v="0"/>
    <x v="0"/>
    <s v="ChillVibes"/>
    <n v="0.11258173796580792"/>
  </r>
  <r>
    <s v="SP163"/>
    <x v="2"/>
    <d v="2024-08-09T00:00:00"/>
    <x v="2"/>
    <s v="From pop to podcasts, its all here."/>
    <n v="3414"/>
    <n v="154"/>
    <n v="204"/>
    <n v="34146"/>
    <n v="44633"/>
    <n v="256"/>
    <x v="1"/>
    <x v="4"/>
    <s v="SummerBeats"/>
    <n v="0.11046681895390383"/>
  </r>
  <r>
    <s v="SP164"/>
    <x v="0"/>
    <d v="2025-06-27T00:00:00"/>
    <x v="1"/>
    <s v="Whats your vibe today?"/>
    <n v="1342"/>
    <n v="332"/>
    <n v="163"/>
    <n v="51712"/>
    <n v="57922"/>
    <n v="168"/>
    <x v="3"/>
    <x v="1"/>
    <s v="Wrapped2024"/>
    <n v="3.5523669554455448E-2"/>
  </r>
  <r>
    <s v="SP165"/>
    <x v="0"/>
    <d v="2024-05-08T00:00:00"/>
    <x v="1"/>
    <s v="Music that moves you only on Spotify."/>
    <n v="2414"/>
    <n v="220"/>
    <n v="280"/>
    <n v="27355"/>
    <n v="50562"/>
    <n v="258"/>
    <x v="3"/>
    <x v="1"/>
    <s v="Wrapped2024"/>
    <n v="0.10652531529884847"/>
  </r>
  <r>
    <s v="SP166"/>
    <x v="0"/>
    <d v="2024-04-05T00:00:00"/>
    <x v="0"/>
    <s v="New music just dropped. Hit play!"/>
    <n v="4383"/>
    <n v="352"/>
    <n v="176"/>
    <n v="53239"/>
    <n v="34168"/>
    <n v="288"/>
    <x v="1"/>
    <x v="1"/>
    <s v="IndieWave"/>
    <n v="9.2244407295403744E-2"/>
  </r>
  <r>
    <s v="SP167"/>
    <x v="2"/>
    <d v="2025-01-27T00:00:00"/>
    <x v="0"/>
    <s v="Wrapped is here! Relive your top tracks"/>
    <n v="4294"/>
    <n v="423"/>
    <n v="93"/>
    <n v="29828"/>
    <n v="73144"/>
    <n v="298"/>
    <x v="1"/>
    <x v="2"/>
    <s v="IndieWave"/>
    <n v="0.1612578785034196"/>
  </r>
  <r>
    <s v="SP168"/>
    <x v="0"/>
    <d v="2024-04-03T00:00:00"/>
    <x v="0"/>
    <s v="Top trending tracks updated daily!"/>
    <n v="2762"/>
    <n v="339"/>
    <n v="323"/>
    <n v="33757"/>
    <n v="68511"/>
    <n v="121"/>
    <x v="0"/>
    <x v="0"/>
    <s v="ChillVibes"/>
    <n v="0.10143081434961637"/>
  </r>
  <r>
    <s v="SP169"/>
    <x v="2"/>
    <d v="2025-01-03T00:00:00"/>
    <x v="0"/>
    <s v="New music just dropped. Hit play!"/>
    <n v="3782"/>
    <n v="484"/>
    <n v="144"/>
    <n v="52172"/>
    <n v="59386"/>
    <n v="175"/>
    <x v="1"/>
    <x v="2"/>
    <s v="IndieWave"/>
    <n v="8.4528099363643333E-2"/>
  </r>
  <r>
    <s v="SP170"/>
    <x v="1"/>
    <d v="2024-11-23T00:00:00"/>
    <x v="0"/>
    <s v="New music just dropped. Hit play!"/>
    <n v="4318"/>
    <n v="371"/>
    <n v="329"/>
    <n v="32347"/>
    <n v="68956"/>
    <n v="259"/>
    <x v="0"/>
    <x v="1"/>
    <s v="IndieWave"/>
    <n v="0.15513030574705536"/>
  </r>
  <r>
    <s v="SP171"/>
    <x v="0"/>
    <d v="2024-09-01T00:00:00"/>
    <x v="1"/>
    <s v="Wrapped is here! Relive your top tracks"/>
    <n v="2335"/>
    <n v="150"/>
    <n v="75"/>
    <n v="26114"/>
    <n v="57549"/>
    <n v="135"/>
    <x v="3"/>
    <x v="1"/>
    <s v="Wrapped2024"/>
    <n v="9.8031707130274953E-2"/>
  </r>
  <r>
    <s v="SP172"/>
    <x v="2"/>
    <d v="2024-04-18T00:00:00"/>
    <x v="0"/>
    <s v="Explore the latest podcasts now."/>
    <n v="4023"/>
    <n v="293"/>
    <n v="91"/>
    <n v="26795"/>
    <n v="28924"/>
    <n v="278"/>
    <x v="1"/>
    <x v="2"/>
    <s v="IndieWave"/>
    <n v="0.16447098339242397"/>
  </r>
  <r>
    <s v="SP173"/>
    <x v="0"/>
    <d v="2024-06-04T00:00:00"/>
    <x v="0"/>
    <s v="Get into the groove with our new drop!"/>
    <n v="3948"/>
    <n v="151"/>
    <n v="249"/>
    <n v="43147"/>
    <n v="63136"/>
    <n v="230"/>
    <x v="1"/>
    <x v="1"/>
    <s v="IndieWave"/>
    <n v="0.10077178019329269"/>
  </r>
  <r>
    <s v="SP174"/>
    <x v="2"/>
    <d v="2025-04-02T00:00:00"/>
    <x v="0"/>
    <s v="Wrapped is here! Relive your top tracks"/>
    <n v="4598"/>
    <n v="455"/>
    <n v="378"/>
    <n v="52952"/>
    <n v="58504"/>
    <n v="269"/>
    <x v="1"/>
    <x v="2"/>
    <s v="IndieWave"/>
    <n v="0.10256458679558846"/>
  </r>
  <r>
    <s v="SP175"/>
    <x v="1"/>
    <d v="2025-04-01T00:00:00"/>
    <x v="1"/>
    <s v="Music that moves you only on Spotify."/>
    <n v="2665"/>
    <n v="143"/>
    <n v="315"/>
    <n v="54808"/>
    <n v="29818"/>
    <n v="98"/>
    <x v="1"/>
    <x v="3"/>
    <s v="ChillVibes"/>
    <n v="5.6980732739746021E-2"/>
  </r>
  <r>
    <s v="SP176"/>
    <x v="0"/>
    <d v="2024-07-02T00:00:00"/>
    <x v="0"/>
    <s v="Top trending tracks updated daily!"/>
    <n v="3469"/>
    <n v="371"/>
    <n v="76"/>
    <n v="46493"/>
    <n v="26906"/>
    <n v="150"/>
    <x v="0"/>
    <x v="0"/>
    <s v="ChillVibes"/>
    <n v="8.4227733207149463E-2"/>
  </r>
  <r>
    <s v="SP177"/>
    <x v="1"/>
    <d v="2024-11-10T00:00:00"/>
    <x v="0"/>
    <s v="Explore the latest podcasts now."/>
    <n v="4823"/>
    <n v="489"/>
    <n v="302"/>
    <n v="32470"/>
    <n v="31861"/>
    <n v="178"/>
    <x v="0"/>
    <x v="1"/>
    <s v="IndieWave"/>
    <n v="0.1728980597474592"/>
  </r>
  <r>
    <s v="SP178"/>
    <x v="0"/>
    <d v="2024-12-14T00:00:00"/>
    <x v="1"/>
    <s v="From pop to podcasts, its all here."/>
    <n v="3812"/>
    <n v="321"/>
    <n v="289"/>
    <n v="59838"/>
    <n v="36337"/>
    <n v="161"/>
    <x v="3"/>
    <x v="1"/>
    <s v="Wrapped2024"/>
    <n v="7.3899528727564417E-2"/>
  </r>
  <r>
    <s v="SP179"/>
    <x v="1"/>
    <d v="2024-11-19T00:00:00"/>
    <x v="0"/>
    <s v="Explore the latest podcasts now."/>
    <n v="2387"/>
    <n v="353"/>
    <n v="78"/>
    <n v="39745"/>
    <n v="69226"/>
    <n v="208"/>
    <x v="0"/>
    <x v="1"/>
    <s v="IndieWave"/>
    <n v="7.090200025160398E-2"/>
  </r>
  <r>
    <s v="SP180"/>
    <x v="1"/>
    <d v="2025-04-30T00:00:00"/>
    <x v="1"/>
    <s v="Wrapped is here! Relive your top tracks"/>
    <n v="3929"/>
    <n v="275"/>
    <n v="330"/>
    <n v="58329"/>
    <n v="33196"/>
    <n v="85"/>
    <x v="2"/>
    <x v="0"/>
    <s v="ChillVibes"/>
    <n v="7.7731488624869283E-2"/>
  </r>
  <r>
    <s v="SP181"/>
    <x v="1"/>
    <d v="2024-03-19T00:00:00"/>
    <x v="0"/>
    <s v="From pop to podcasts, its all here."/>
    <n v="2191"/>
    <n v="288"/>
    <n v="83"/>
    <n v="59606"/>
    <n v="24765"/>
    <n v="281"/>
    <x v="0"/>
    <x v="1"/>
    <s v="IndieWave"/>
    <n v="4.2982250109049422E-2"/>
  </r>
  <r>
    <s v="SP182"/>
    <x v="0"/>
    <d v="2024-03-19T00:00:00"/>
    <x v="0"/>
    <s v="From pop to podcasts, its all here."/>
    <n v="2878"/>
    <n v="278"/>
    <n v="255"/>
    <n v="47235"/>
    <n v="57922"/>
    <n v="112"/>
    <x v="0"/>
    <x v="0"/>
    <s v="ChillVibes"/>
    <n v="7.2213401079707848E-2"/>
  </r>
  <r>
    <s v="SP183"/>
    <x v="1"/>
    <d v="2024-07-23T00:00:00"/>
    <x v="0"/>
    <s v="Top trending tracks updated daily!"/>
    <n v="3204"/>
    <n v="398"/>
    <n v="85"/>
    <n v="22020"/>
    <n v="58353"/>
    <n v="286"/>
    <x v="0"/>
    <x v="1"/>
    <s v="IndieWave"/>
    <n v="0.16743869209809265"/>
  </r>
  <r>
    <s v="SP184"/>
    <x v="1"/>
    <d v="2024-07-13T00:00:00"/>
    <x v="1"/>
    <s v="Get into the groove with our new drop!"/>
    <n v="2408"/>
    <n v="323"/>
    <n v="251"/>
    <n v="47599"/>
    <n v="35543"/>
    <n v="287"/>
    <x v="2"/>
    <x v="0"/>
    <s v="ChillVibes"/>
    <n v="6.2648374965860634E-2"/>
  </r>
  <r>
    <s v="SP185"/>
    <x v="2"/>
    <d v="2025-04-22T00:00:00"/>
    <x v="2"/>
    <s v="New music just dropped. Hit play!"/>
    <n v="2733"/>
    <n v="297"/>
    <n v="235"/>
    <n v="37980"/>
    <n v="33058"/>
    <n v="219"/>
    <x v="1"/>
    <x v="4"/>
    <s v="SummerBeats"/>
    <n v="8.5966298051606105E-2"/>
  </r>
  <r>
    <s v="SP186"/>
    <x v="1"/>
    <d v="2024-06-16T00:00:00"/>
    <x v="1"/>
    <s v="Explore the latest podcasts now."/>
    <n v="4618"/>
    <n v="312"/>
    <n v="254"/>
    <n v="22571"/>
    <n v="29453"/>
    <n v="197"/>
    <x v="2"/>
    <x v="0"/>
    <s v="ChillVibes"/>
    <n v="0.22967524699836073"/>
  </r>
  <r>
    <s v="SP187"/>
    <x v="2"/>
    <d v="2025-05-18T00:00:00"/>
    <x v="2"/>
    <s v="Wrapped is here! Relive your top tracks"/>
    <n v="4210"/>
    <n v="319"/>
    <n v="350"/>
    <n v="37762"/>
    <n v="55162"/>
    <n v="204"/>
    <x v="1"/>
    <x v="4"/>
    <s v="SummerBeats"/>
    <n v="0.12920396165457337"/>
  </r>
  <r>
    <s v="SP188"/>
    <x v="0"/>
    <d v="2025-06-06T00:00:00"/>
    <x v="0"/>
    <s v="Wrapped is here! Relive your top tracks"/>
    <n v="3987"/>
    <n v="171"/>
    <n v="274"/>
    <n v="45122"/>
    <n v="65431"/>
    <n v="168"/>
    <x v="1"/>
    <x v="1"/>
    <s v="IndieWave"/>
    <n v="9.8222596516111871E-2"/>
  </r>
  <r>
    <s v="SP189"/>
    <x v="2"/>
    <d v="2025-02-20T00:00:00"/>
    <x v="2"/>
    <s v="Get into the groove with our new drop!"/>
    <n v="4957"/>
    <n v="262"/>
    <n v="365"/>
    <n v="49199"/>
    <n v="40314"/>
    <n v="216"/>
    <x v="1"/>
    <x v="4"/>
    <s v="SummerBeats"/>
    <n v="0.11349824183418362"/>
  </r>
  <r>
    <s v="SP190"/>
    <x v="0"/>
    <d v="2025-01-16T00:00:00"/>
    <x v="0"/>
    <s v="Music that moves you only on Spotify."/>
    <n v="2605"/>
    <n v="282"/>
    <n v="148"/>
    <n v="32201"/>
    <n v="49583"/>
    <n v="241"/>
    <x v="0"/>
    <x v="0"/>
    <s v="ChillVibes"/>
    <n v="9.4251731312692155E-2"/>
  </r>
  <r>
    <s v="SP191"/>
    <x v="2"/>
    <d v="2024-02-24T00:00:00"/>
    <x v="2"/>
    <s v="Discover fresh beats on Spotify!"/>
    <n v="4221"/>
    <n v="307"/>
    <n v="58"/>
    <n v="45080"/>
    <n v="37214"/>
    <n v="240"/>
    <x v="1"/>
    <x v="4"/>
    <s v="SummerBeats"/>
    <n v="0.10173025732031943"/>
  </r>
  <r>
    <s v="SP192"/>
    <x v="1"/>
    <d v="2024-09-16T00:00:00"/>
    <x v="1"/>
    <s v="Whats your vibe today?"/>
    <n v="4422"/>
    <n v="434"/>
    <n v="156"/>
    <n v="56165"/>
    <n v="52431"/>
    <n v="173"/>
    <x v="1"/>
    <x v="3"/>
    <s v="ChillVibes"/>
    <n v="8.9237069349238848E-2"/>
  </r>
  <r>
    <s v="SP193"/>
    <x v="2"/>
    <d v="2024-06-04T00:00:00"/>
    <x v="2"/>
    <s v="Wrapped is here! Relive your top tracks"/>
    <n v="1211"/>
    <n v="431"/>
    <n v="83"/>
    <n v="26532"/>
    <n v="47305"/>
    <n v="232"/>
    <x v="1"/>
    <x v="4"/>
    <s v="SummerBeats"/>
    <n v="6.5015829941203071E-2"/>
  </r>
  <r>
    <s v="SP194"/>
    <x v="1"/>
    <d v="2024-05-10T00:00:00"/>
    <x v="1"/>
    <s v="Explore the latest podcasts now."/>
    <n v="2784"/>
    <n v="111"/>
    <n v="399"/>
    <n v="58366"/>
    <n v="69512"/>
    <n v="269"/>
    <x v="2"/>
    <x v="0"/>
    <s v="ChillVibes"/>
    <n v="5.6436966727204191E-2"/>
  </r>
  <r>
    <s v="SP195"/>
    <x v="2"/>
    <d v="2024-01-14T00:00:00"/>
    <x v="0"/>
    <s v="New music just dropped. Hit play!"/>
    <n v="3634"/>
    <n v="280"/>
    <n v="399"/>
    <n v="40256"/>
    <n v="52605"/>
    <n v="213"/>
    <x v="1"/>
    <x v="2"/>
    <s v="IndieWave"/>
    <n v="0.10713930842607314"/>
  </r>
  <r>
    <s v="SP196"/>
    <x v="0"/>
    <d v="2025-01-12T00:00:00"/>
    <x v="0"/>
    <s v="From pop to podcasts, its all here."/>
    <n v="1771"/>
    <n v="487"/>
    <n v="272"/>
    <n v="48810"/>
    <n v="48084"/>
    <n v="272"/>
    <x v="0"/>
    <x v="0"/>
    <s v="ChillVibes"/>
    <n v="5.1833640647408315E-2"/>
  </r>
  <r>
    <s v="SP197"/>
    <x v="2"/>
    <d v="2024-12-08T00:00:00"/>
    <x v="0"/>
    <s v="Top trending tracks updated daily!"/>
    <n v="1424"/>
    <n v="396"/>
    <n v="312"/>
    <n v="59517"/>
    <n v="46102"/>
    <n v="239"/>
    <x v="1"/>
    <x v="2"/>
    <s v="IndieWave"/>
    <n v="3.5821698002251455E-2"/>
  </r>
  <r>
    <s v="SP198"/>
    <x v="1"/>
    <d v="2025-02-01T00:00:00"/>
    <x v="1"/>
    <s v="Top trending tracks updated daily!"/>
    <n v="1079"/>
    <n v="265"/>
    <n v="190"/>
    <n v="43786"/>
    <n v="72428"/>
    <n v="222"/>
    <x v="0"/>
    <x v="0"/>
    <s v="ChillVibes"/>
    <n v="3.5034029141734799E-2"/>
  </r>
  <r>
    <s v="SP199"/>
    <x v="1"/>
    <d v="2024-07-11T00:00:00"/>
    <x v="1"/>
    <s v="Get into the groove with our new drop!"/>
    <n v="4247"/>
    <n v="179"/>
    <n v="175"/>
    <n v="32991"/>
    <n v="70120"/>
    <n v="276"/>
    <x v="0"/>
    <x v="0"/>
    <s v="ChillVibes"/>
    <n v="0.13946227759085811"/>
  </r>
  <r>
    <s v="SP200"/>
    <x v="1"/>
    <d v="2024-03-18T00:00:00"/>
    <x v="0"/>
    <s v="New music just dropped. Hit play!"/>
    <n v="2033"/>
    <n v="420"/>
    <n v="94"/>
    <n v="56290"/>
    <n v="57391"/>
    <n v="196"/>
    <x v="3"/>
    <x v="1"/>
    <s v="ChillVibes"/>
    <n v="4.5247823769763724E-2"/>
  </r>
  <r>
    <s v="SP201"/>
    <x v="1"/>
    <d v="2024-09-12T00:00:00"/>
    <x v="1"/>
    <s v="Wrapped is here! Relive your top tracks"/>
    <n v="1839"/>
    <n v="223"/>
    <n v="171"/>
    <n v="35459"/>
    <n v="69988"/>
    <n v="114"/>
    <x v="2"/>
    <x v="0"/>
    <s v="ChillVibes"/>
    <n v="6.2974139146620034E-2"/>
  </r>
  <r>
    <s v="SP202"/>
    <x v="1"/>
    <d v="2024-01-11T00:00:00"/>
    <x v="1"/>
    <s v="Wrapped is here! Relive your top tracks"/>
    <n v="2340"/>
    <n v="141"/>
    <n v="206"/>
    <n v="24916"/>
    <n v="30582"/>
    <n v="157"/>
    <x v="0"/>
    <x v="0"/>
    <s v="ChillVibes"/>
    <n v="0.10784235029699792"/>
  </r>
  <r>
    <s v="SP203"/>
    <x v="0"/>
    <d v="2024-10-06T00:00:00"/>
    <x v="0"/>
    <s v="Top trending tracks updated daily!"/>
    <n v="2080"/>
    <n v="389"/>
    <n v="92"/>
    <n v="30971"/>
    <n v="25347"/>
    <n v="111"/>
    <x v="1"/>
    <x v="1"/>
    <s v="IndieWave"/>
    <n v="8.2690258629040073E-2"/>
  </r>
  <r>
    <s v="SP204"/>
    <x v="1"/>
    <d v="2024-12-30T00:00:00"/>
    <x v="0"/>
    <s v="Get into the groove with our new drop!"/>
    <n v="4214"/>
    <n v="286"/>
    <n v="127"/>
    <n v="47293"/>
    <n v="27184"/>
    <n v="232"/>
    <x v="3"/>
    <x v="1"/>
    <s v="ChillVibes"/>
    <n v="9.7836889180216949E-2"/>
  </r>
  <r>
    <s v="SP205"/>
    <x v="1"/>
    <d v="2025-04-16T00:00:00"/>
    <x v="0"/>
    <s v="Wrapped is here! Relive your top tracks"/>
    <n v="3792"/>
    <n v="315"/>
    <n v="120"/>
    <n v="54592"/>
    <n v="67886"/>
    <n v="117"/>
    <x v="0"/>
    <x v="1"/>
    <s v="IndieWave"/>
    <n v="7.7428927315357568E-2"/>
  </r>
  <r>
    <s v="SP206"/>
    <x v="1"/>
    <d v="2024-08-21T00:00:00"/>
    <x v="1"/>
    <s v="Explore the latest podcasts now."/>
    <n v="3989"/>
    <n v="476"/>
    <n v="128"/>
    <n v="57569"/>
    <n v="40193"/>
    <n v="222"/>
    <x v="1"/>
    <x v="3"/>
    <s v="ChillVibes"/>
    <n v="7.9782521843353188E-2"/>
  </r>
  <r>
    <s v="SP207"/>
    <x v="1"/>
    <d v="2024-04-05T00:00:00"/>
    <x v="1"/>
    <s v="Wrapped is here! Relive your top tracks"/>
    <n v="2857"/>
    <n v="443"/>
    <n v="359"/>
    <n v="51519"/>
    <n v="28256"/>
    <n v="155"/>
    <x v="0"/>
    <x v="0"/>
    <s v="ChillVibes"/>
    <n v="7.1022341272152026E-2"/>
  </r>
  <r>
    <s v="SP208"/>
    <x v="1"/>
    <d v="2025-04-07T00:00:00"/>
    <x v="0"/>
    <s v="From pop to podcasts, its all here."/>
    <n v="1403"/>
    <n v="385"/>
    <n v="344"/>
    <n v="54223"/>
    <n v="72595"/>
    <n v="239"/>
    <x v="0"/>
    <x v="1"/>
    <s v="IndieWave"/>
    <n v="3.9319108127547353E-2"/>
  </r>
  <r>
    <s v="SP209"/>
    <x v="1"/>
    <d v="2024-07-19T00:00:00"/>
    <x v="1"/>
    <s v="Whats your vibe today?"/>
    <n v="3071"/>
    <n v="126"/>
    <n v="200"/>
    <n v="44013"/>
    <n v="44679"/>
    <n v="118"/>
    <x v="1"/>
    <x v="3"/>
    <s v="ChillVibes"/>
    <n v="7.7181741758116915E-2"/>
  </r>
  <r>
    <s v="SP210"/>
    <x v="1"/>
    <d v="2025-05-03T00:00:00"/>
    <x v="1"/>
    <s v="Top trending tracks updated daily!"/>
    <n v="1010"/>
    <n v="361"/>
    <n v="240"/>
    <n v="47229"/>
    <n v="72573"/>
    <n v="275"/>
    <x v="0"/>
    <x v="0"/>
    <s v="ChillVibes"/>
    <n v="3.4110398272247981E-2"/>
  </r>
  <r>
    <s v="SP211"/>
    <x v="1"/>
    <d v="2024-04-14T00:00:00"/>
    <x v="1"/>
    <s v="Discover fresh beats on Spotify!"/>
    <n v="1295"/>
    <n v="153"/>
    <n v="81"/>
    <n v="48350"/>
    <n v="61033"/>
    <n v="232"/>
    <x v="1"/>
    <x v="3"/>
    <s v="ChillVibes"/>
    <n v="3.1623578076525334E-2"/>
  </r>
  <r>
    <s v="SP212"/>
    <x v="1"/>
    <d v="2025-06-19T00:00:00"/>
    <x v="1"/>
    <s v="Whats your vibe today?"/>
    <n v="1433"/>
    <n v="452"/>
    <n v="305"/>
    <n v="54541"/>
    <n v="63700"/>
    <n v="296"/>
    <x v="1"/>
    <x v="3"/>
    <s v="ChillVibes"/>
    <n v="4.0153279184466734E-2"/>
  </r>
  <r>
    <s v="SP213"/>
    <x v="0"/>
    <d v="2025-06-24T00:00:00"/>
    <x v="1"/>
    <s v="Get into the groove with our new drop!"/>
    <n v="4902"/>
    <n v="422"/>
    <n v="376"/>
    <n v="31674"/>
    <n v="53225"/>
    <n v="147"/>
    <x v="3"/>
    <x v="1"/>
    <s v="Wrapped2024"/>
    <n v="0.17995832544042431"/>
  </r>
  <r>
    <s v="SP214"/>
    <x v="1"/>
    <d v="2024-10-09T00:00:00"/>
    <x v="0"/>
    <s v="Wrapped is here! Relive your top tracks"/>
    <n v="2659"/>
    <n v="167"/>
    <n v="73"/>
    <n v="23090"/>
    <n v="25872"/>
    <n v="293"/>
    <x v="0"/>
    <x v="1"/>
    <s v="IndieWave"/>
    <n v="0.12555218709398008"/>
  </r>
  <r>
    <s v="SP215"/>
    <x v="2"/>
    <d v="2025-01-15T00:00:00"/>
    <x v="0"/>
    <s v="Your weekend playlist is waiting."/>
    <n v="2599"/>
    <n v="324"/>
    <n v="182"/>
    <n v="37525"/>
    <n v="37216"/>
    <n v="186"/>
    <x v="1"/>
    <x v="2"/>
    <s v="IndieWave"/>
    <n v="8.2744836775483013E-2"/>
  </r>
  <r>
    <s v="SP216"/>
    <x v="1"/>
    <d v="2025-01-12T00:00:00"/>
    <x v="0"/>
    <s v="Music that moves you only on Spotify."/>
    <n v="1765"/>
    <n v="285"/>
    <n v="100"/>
    <n v="41313"/>
    <n v="56575"/>
    <n v="174"/>
    <x v="0"/>
    <x v="1"/>
    <s v="IndieWave"/>
    <n v="5.2041730205988429E-2"/>
  </r>
  <r>
    <s v="SP217"/>
    <x v="0"/>
    <d v="2025-05-31T00:00:00"/>
    <x v="0"/>
    <s v="Whats your vibe today?"/>
    <n v="2169"/>
    <n v="240"/>
    <n v="57"/>
    <n v="26109"/>
    <n v="46667"/>
    <n v="133"/>
    <x v="0"/>
    <x v="0"/>
    <s v="ChillVibes"/>
    <n v="9.4450189589796618E-2"/>
  </r>
  <r>
    <s v="SP218"/>
    <x v="1"/>
    <d v="2024-10-14T00:00:00"/>
    <x v="1"/>
    <s v="Explore the latest podcasts now."/>
    <n v="4303"/>
    <n v="306"/>
    <n v="302"/>
    <n v="39575"/>
    <n v="33762"/>
    <n v="265"/>
    <x v="1"/>
    <x v="3"/>
    <s v="ChillVibes"/>
    <n v="0.12409349336702463"/>
  </r>
  <r>
    <s v="SP219"/>
    <x v="1"/>
    <d v="2024-02-10T00:00:00"/>
    <x v="0"/>
    <s v="From pop to podcasts, its all here."/>
    <n v="1519"/>
    <n v="456"/>
    <n v="379"/>
    <n v="51611"/>
    <n v="45880"/>
    <n v="176"/>
    <x v="0"/>
    <x v="1"/>
    <s v="IndieWave"/>
    <n v="4.5610431884675749E-2"/>
  </r>
  <r>
    <s v="SP220"/>
    <x v="2"/>
    <d v="2024-12-10T00:00:00"/>
    <x v="0"/>
    <s v="Whats your vibe today?"/>
    <n v="2569"/>
    <n v="140"/>
    <n v="375"/>
    <n v="38372"/>
    <n v="22102"/>
    <n v="255"/>
    <x v="1"/>
    <x v="2"/>
    <s v="IndieWave"/>
    <n v="8.0371103929948923E-2"/>
  </r>
  <r>
    <s v="SP221"/>
    <x v="1"/>
    <d v="2025-05-09T00:00:00"/>
    <x v="1"/>
    <s v="Music that moves you only on Spotify."/>
    <n v="2778"/>
    <n v="241"/>
    <n v="317"/>
    <n v="26247"/>
    <n v="20677"/>
    <n v="282"/>
    <x v="2"/>
    <x v="0"/>
    <s v="ChillVibes"/>
    <n v="0.1271002400274317"/>
  </r>
  <r>
    <s v="SP222"/>
    <x v="1"/>
    <d v="2025-06-21T00:00:00"/>
    <x v="0"/>
    <s v="Explore the latest podcasts now."/>
    <n v="3611"/>
    <n v="127"/>
    <n v="139"/>
    <n v="44768"/>
    <n v="29435"/>
    <n v="178"/>
    <x v="3"/>
    <x v="1"/>
    <s v="ChillVibes"/>
    <n v="8.6602037169406718E-2"/>
  </r>
  <r>
    <s v="SP223"/>
    <x v="1"/>
    <d v="2024-06-19T00:00:00"/>
    <x v="0"/>
    <s v="Whats your vibe today?"/>
    <n v="1224"/>
    <n v="168"/>
    <n v="199"/>
    <n v="54232"/>
    <n v="52844"/>
    <n v="271"/>
    <x v="0"/>
    <x v="1"/>
    <s v="IndieWave"/>
    <n v="2.9336922849977874E-2"/>
  </r>
  <r>
    <s v="SP224"/>
    <x v="1"/>
    <d v="2024-12-10T00:00:00"/>
    <x v="0"/>
    <s v="From pop to podcasts, its all here."/>
    <n v="4673"/>
    <n v="270"/>
    <n v="93"/>
    <n v="45260"/>
    <n v="57513"/>
    <n v="103"/>
    <x v="3"/>
    <x v="1"/>
    <s v="ChillVibes"/>
    <n v="0.11126822801590809"/>
  </r>
  <r>
    <s v="SP225"/>
    <x v="2"/>
    <d v="2024-02-01T00:00:00"/>
    <x v="0"/>
    <s v="Wrapped is here! Relive your top tracks"/>
    <n v="1432"/>
    <n v="437"/>
    <n v="267"/>
    <n v="40634"/>
    <n v="54511"/>
    <n v="197"/>
    <x v="1"/>
    <x v="2"/>
    <s v="IndieWave"/>
    <n v="5.2566815966924252E-2"/>
  </r>
  <r>
    <s v="SP226"/>
    <x v="1"/>
    <d v="2024-01-17T00:00:00"/>
    <x v="1"/>
    <s v="New music just dropped. Hit play!"/>
    <n v="2174"/>
    <n v="499"/>
    <n v="212"/>
    <n v="54938"/>
    <n v="27190"/>
    <n v="265"/>
    <x v="2"/>
    <x v="0"/>
    <s v="ChillVibes"/>
    <n v="5.2513742764570971E-2"/>
  </r>
  <r>
    <s v="SP227"/>
    <x v="2"/>
    <d v="2025-03-22T00:00:00"/>
    <x v="0"/>
    <s v="Music that moves you only on Spotify."/>
    <n v="4308"/>
    <n v="171"/>
    <n v="106"/>
    <n v="36955"/>
    <n v="23949"/>
    <n v="294"/>
    <x v="1"/>
    <x v="2"/>
    <s v="IndieWave"/>
    <n v="0.12406981463942633"/>
  </r>
  <r>
    <s v="SP228"/>
    <x v="2"/>
    <d v="2024-05-30T00:00:00"/>
    <x v="2"/>
    <s v="Whats your vibe today?"/>
    <n v="1060"/>
    <n v="442"/>
    <n v="319"/>
    <n v="57194"/>
    <n v="24258"/>
    <n v="101"/>
    <x v="1"/>
    <x v="4"/>
    <s v="SummerBeats"/>
    <n v="3.1839004091338254E-2"/>
  </r>
  <r>
    <s v="SP229"/>
    <x v="2"/>
    <d v="2024-02-24T00:00:00"/>
    <x v="0"/>
    <s v="Music that moves you only on Spotify."/>
    <n v="4653"/>
    <n v="226"/>
    <n v="349"/>
    <n v="56876"/>
    <n v="28452"/>
    <n v="257"/>
    <x v="1"/>
    <x v="2"/>
    <s v="IndieWave"/>
    <n v="9.191926295801392E-2"/>
  </r>
  <r>
    <s v="SP230"/>
    <x v="2"/>
    <d v="2025-05-14T00:00:00"/>
    <x v="0"/>
    <s v="Discover fresh beats on Spotify!"/>
    <n v="1701"/>
    <n v="272"/>
    <n v="385"/>
    <n v="47496"/>
    <n v="40832"/>
    <n v="246"/>
    <x v="1"/>
    <x v="2"/>
    <s v="IndieWave"/>
    <n v="4.9646286003031836E-2"/>
  </r>
  <r>
    <s v="SP231"/>
    <x v="0"/>
    <d v="2024-03-28T00:00:00"/>
    <x v="0"/>
    <s v="Whats your vibe today?"/>
    <n v="1673"/>
    <n v="280"/>
    <n v="67"/>
    <n v="29847"/>
    <n v="48016"/>
    <n v="213"/>
    <x v="0"/>
    <x v="0"/>
    <s v="ChillVibes"/>
    <n v="6.76784936509532E-2"/>
  </r>
  <r>
    <s v="SP232"/>
    <x v="2"/>
    <d v="2025-03-07T00:00:00"/>
    <x v="0"/>
    <s v="Top trending tracks updated daily!"/>
    <n v="4310"/>
    <n v="284"/>
    <n v="306"/>
    <n v="44606"/>
    <n v="42604"/>
    <n v="290"/>
    <x v="1"/>
    <x v="2"/>
    <s v="IndieWave"/>
    <n v="0.10985069273191947"/>
  </r>
  <r>
    <s v="SP233"/>
    <x v="1"/>
    <d v="2024-10-20T00:00:00"/>
    <x v="0"/>
    <s v="From pop to podcasts, its all here."/>
    <n v="2752"/>
    <n v="309"/>
    <n v="91"/>
    <n v="39038"/>
    <n v="28095"/>
    <n v="277"/>
    <x v="3"/>
    <x v="1"/>
    <s v="ChillVibes"/>
    <n v="8.0741841282852611E-2"/>
  </r>
  <r>
    <s v="SP234"/>
    <x v="1"/>
    <d v="2024-02-02T00:00:00"/>
    <x v="0"/>
    <s v="From pop to podcasts, its all here."/>
    <n v="3818"/>
    <n v="115"/>
    <n v="286"/>
    <n v="25127"/>
    <n v="22277"/>
    <n v="263"/>
    <x v="3"/>
    <x v="1"/>
    <s v="ChillVibes"/>
    <n v="0.16790703227603773"/>
  </r>
  <r>
    <s v="SP235"/>
    <x v="2"/>
    <d v="2024-09-07T00:00:00"/>
    <x v="0"/>
    <s v="Your weekend playlist is waiting."/>
    <n v="2101"/>
    <n v="411"/>
    <n v="190"/>
    <n v="41791"/>
    <n v="57090"/>
    <n v="172"/>
    <x v="1"/>
    <x v="2"/>
    <s v="IndieWave"/>
    <n v="6.4655069273288512E-2"/>
  </r>
  <r>
    <s v="SP236"/>
    <x v="0"/>
    <d v="2024-12-20T00:00:00"/>
    <x v="0"/>
    <s v="Discover fresh beats on Spotify!"/>
    <n v="2519"/>
    <n v="202"/>
    <n v="239"/>
    <n v="36245"/>
    <n v="48606"/>
    <n v="145"/>
    <x v="1"/>
    <x v="1"/>
    <s v="IndieWave"/>
    <n v="8.1666436749896543E-2"/>
  </r>
  <r>
    <s v="SP237"/>
    <x v="2"/>
    <d v="2024-01-14T00:00:00"/>
    <x v="0"/>
    <s v="Whats your vibe today?"/>
    <n v="4502"/>
    <n v="238"/>
    <n v="386"/>
    <n v="39198"/>
    <n v="25050"/>
    <n v="297"/>
    <x v="1"/>
    <x v="2"/>
    <s v="IndieWave"/>
    <n v="0.13077197816215114"/>
  </r>
  <r>
    <s v="SP238"/>
    <x v="0"/>
    <d v="2025-06-15T00:00:00"/>
    <x v="0"/>
    <s v="Explore the latest podcasts now."/>
    <n v="2478"/>
    <n v="427"/>
    <n v="242"/>
    <n v="59272"/>
    <n v="37833"/>
    <n v="214"/>
    <x v="0"/>
    <x v="0"/>
    <s v="ChillVibes"/>
    <n v="5.3094209744904843E-2"/>
  </r>
  <r>
    <s v="SP239"/>
    <x v="1"/>
    <d v="2024-12-13T00:00:00"/>
    <x v="1"/>
    <s v="New music just dropped. Hit play!"/>
    <n v="4984"/>
    <n v="300"/>
    <n v="338"/>
    <n v="32900"/>
    <n v="31691"/>
    <n v="160"/>
    <x v="2"/>
    <x v="0"/>
    <s v="ChillVibes"/>
    <n v="0.17088145896656534"/>
  </r>
  <r>
    <s v="SP240"/>
    <x v="2"/>
    <d v="2024-08-29T00:00:00"/>
    <x v="0"/>
    <s v="Wrapped is here! Relive your top tracks"/>
    <n v="4774"/>
    <n v="389"/>
    <n v="358"/>
    <n v="52346"/>
    <n v="30518"/>
    <n v="277"/>
    <x v="1"/>
    <x v="2"/>
    <s v="IndieWave"/>
    <n v="0.10547128720437092"/>
  </r>
  <r>
    <s v="SP241"/>
    <x v="1"/>
    <d v="2024-09-15T00:00:00"/>
    <x v="0"/>
    <s v="Get into the groove with our new drop!"/>
    <n v="2145"/>
    <n v="340"/>
    <n v="85"/>
    <n v="53323"/>
    <n v="49938"/>
    <n v="104"/>
    <x v="3"/>
    <x v="1"/>
    <s v="ChillVibes"/>
    <n v="4.819683813738912E-2"/>
  </r>
  <r>
    <s v="SP242"/>
    <x v="1"/>
    <d v="2025-04-12T00:00:00"/>
    <x v="1"/>
    <s v="From pop to podcasts, its all here."/>
    <n v="4315"/>
    <n v="208"/>
    <n v="273"/>
    <n v="35780"/>
    <n v="44349"/>
    <n v="133"/>
    <x v="1"/>
    <x v="3"/>
    <s v="ChillVibes"/>
    <n v="0.13404136389044158"/>
  </r>
  <r>
    <s v="SP243"/>
    <x v="1"/>
    <d v="2024-12-10T00:00:00"/>
    <x v="1"/>
    <s v="Wrapped is here! Relive your top tracks"/>
    <n v="2267"/>
    <n v="230"/>
    <n v="243"/>
    <n v="27904"/>
    <n v="69771"/>
    <n v="255"/>
    <x v="1"/>
    <x v="3"/>
    <s v="ChillVibes"/>
    <n v="9.8193807339449546E-2"/>
  </r>
  <r>
    <s v="SP244"/>
    <x v="2"/>
    <d v="2025-06-08T00:00:00"/>
    <x v="0"/>
    <s v="Music that moves you only on Spotify."/>
    <n v="4375"/>
    <n v="303"/>
    <n v="294"/>
    <n v="57468"/>
    <n v="53397"/>
    <n v="159"/>
    <x v="1"/>
    <x v="2"/>
    <s v="IndieWave"/>
    <n v="8.6517714206166912E-2"/>
  </r>
  <r>
    <s v="SP245"/>
    <x v="1"/>
    <d v="2025-01-09T00:00:00"/>
    <x v="1"/>
    <s v="Your weekend playlist is waiting."/>
    <n v="3817"/>
    <n v="284"/>
    <n v="204"/>
    <n v="46434"/>
    <n v="53396"/>
    <n v="104"/>
    <x v="2"/>
    <x v="0"/>
    <s v="ChillVibes"/>
    <n v="9.2712236723090841E-2"/>
  </r>
  <r>
    <s v="SP246"/>
    <x v="1"/>
    <d v="2024-07-08T00:00:00"/>
    <x v="1"/>
    <s v="Top trending tracks updated daily!"/>
    <n v="2981"/>
    <n v="258"/>
    <n v="168"/>
    <n v="20677"/>
    <n v="68290"/>
    <n v="130"/>
    <x v="0"/>
    <x v="0"/>
    <s v="ChillVibes"/>
    <n v="0.16477245248343569"/>
  </r>
  <r>
    <s v="SP247"/>
    <x v="1"/>
    <d v="2024-09-16T00:00:00"/>
    <x v="1"/>
    <s v="Your weekend playlist is waiting."/>
    <n v="3300"/>
    <n v="354"/>
    <n v="397"/>
    <n v="56773"/>
    <n v="72110"/>
    <n v="163"/>
    <x v="1"/>
    <x v="3"/>
    <s v="ChillVibes"/>
    <n v="7.1354340971940891E-2"/>
  </r>
  <r>
    <s v="SP248"/>
    <x v="2"/>
    <d v="2024-06-14T00:00:00"/>
    <x v="2"/>
    <s v="Wrapped is here! Relive your top tracks"/>
    <n v="4722"/>
    <n v="310"/>
    <n v="344"/>
    <n v="27911"/>
    <n v="19000"/>
    <n v="225"/>
    <x v="1"/>
    <x v="4"/>
    <s v="SummerBeats"/>
    <n v="0.19261223173659131"/>
  </r>
  <r>
    <s v="SP249"/>
    <x v="0"/>
    <d v="2024-03-06T00:00:00"/>
    <x v="0"/>
    <s v="Whats your vibe today?"/>
    <n v="3529"/>
    <n v="263"/>
    <n v="107"/>
    <n v="26570"/>
    <n v="19367"/>
    <n v="96"/>
    <x v="1"/>
    <x v="1"/>
    <s v="IndieWave"/>
    <n v="0.14674444862627023"/>
  </r>
  <r>
    <s v="SP250"/>
    <x v="1"/>
    <d v="2025-05-15T00:00:00"/>
    <x v="0"/>
    <s v="Your weekend playlist is waiting."/>
    <n v="4782"/>
    <n v="210"/>
    <n v="311"/>
    <n v="29793"/>
    <n v="37543"/>
    <n v="145"/>
    <x v="3"/>
    <x v="1"/>
    <s v="ChillVibes"/>
    <n v="0.17799483100057059"/>
  </r>
  <r>
    <s v="SP251"/>
    <x v="1"/>
    <d v="2024-07-07T00:00:00"/>
    <x v="0"/>
    <s v="Whats your vibe today?"/>
    <n v="1848"/>
    <n v="417"/>
    <n v="294"/>
    <n v="57819"/>
    <n v="19798"/>
    <n v="262"/>
    <x v="0"/>
    <x v="1"/>
    <s v="IndieWave"/>
    <n v="4.4258807658382193E-2"/>
  </r>
  <r>
    <s v="SP252"/>
    <x v="2"/>
    <d v="2024-10-26T00:00:00"/>
    <x v="0"/>
    <s v="New music just dropped. Hit play!"/>
    <n v="4676"/>
    <n v="211"/>
    <n v="55"/>
    <n v="45917"/>
    <n v="73503"/>
    <n v="248"/>
    <x v="1"/>
    <x v="2"/>
    <s v="IndieWave"/>
    <n v="0.10762898272970794"/>
  </r>
  <r>
    <s v="SP253"/>
    <x v="2"/>
    <d v="2024-08-08T00:00:00"/>
    <x v="0"/>
    <s v="From pop to podcasts, its all here."/>
    <n v="1994"/>
    <n v="197"/>
    <n v="290"/>
    <n v="49500"/>
    <n v="23343"/>
    <n v="160"/>
    <x v="1"/>
    <x v="2"/>
    <s v="IndieWave"/>
    <n v="5.0121212121212122E-2"/>
  </r>
  <r>
    <s v="SP254"/>
    <x v="1"/>
    <d v="2025-02-03T00:00:00"/>
    <x v="0"/>
    <s v="Whats your vibe today?"/>
    <n v="4995"/>
    <n v="231"/>
    <n v="94"/>
    <n v="34431"/>
    <n v="32560"/>
    <n v="262"/>
    <x v="3"/>
    <x v="1"/>
    <s v="ChillVibes"/>
    <n v="0.15451192239551567"/>
  </r>
  <r>
    <s v="SP255"/>
    <x v="1"/>
    <d v="2024-04-03T00:00:00"/>
    <x v="1"/>
    <s v="Top trending tracks updated daily!"/>
    <n v="2291"/>
    <n v="146"/>
    <n v="399"/>
    <n v="49319"/>
    <n v="28056"/>
    <n v="90"/>
    <x v="1"/>
    <x v="3"/>
    <s v="ChillVibes"/>
    <n v="5.7503193495407452E-2"/>
  </r>
  <r>
    <s v="SP256"/>
    <x v="1"/>
    <d v="2024-07-08T00:00:00"/>
    <x v="1"/>
    <s v="Wrapped is here! Relive your top tracks"/>
    <n v="2304"/>
    <n v="289"/>
    <n v="161"/>
    <n v="52645"/>
    <n v="66262"/>
    <n v="146"/>
    <x v="2"/>
    <x v="0"/>
    <s v="ChillVibes"/>
    <n v="5.2312660271630736E-2"/>
  </r>
  <r>
    <s v="SP257"/>
    <x v="1"/>
    <d v="2024-06-08T00:00:00"/>
    <x v="1"/>
    <s v="Top trending tracks updated daily!"/>
    <n v="3413"/>
    <n v="326"/>
    <n v="86"/>
    <n v="44680"/>
    <n v="52719"/>
    <n v="272"/>
    <x v="1"/>
    <x v="3"/>
    <s v="ChillVibes"/>
    <n v="8.5608773500447627E-2"/>
  </r>
  <r>
    <s v="SP258"/>
    <x v="2"/>
    <d v="2025-03-20T00:00:00"/>
    <x v="2"/>
    <s v="From pop to podcasts, its all here."/>
    <n v="1453"/>
    <n v="156"/>
    <n v="178"/>
    <n v="52980"/>
    <n v="57180"/>
    <n v="286"/>
    <x v="1"/>
    <x v="4"/>
    <s v="SummerBeats"/>
    <n v="3.3729709324273313E-2"/>
  </r>
  <r>
    <s v="SP259"/>
    <x v="1"/>
    <d v="2025-01-19T00:00:00"/>
    <x v="1"/>
    <s v="Music that moves you only on Spotify."/>
    <n v="1651"/>
    <n v="480"/>
    <n v="282"/>
    <n v="32140"/>
    <n v="70560"/>
    <n v="138"/>
    <x v="0"/>
    <x v="0"/>
    <s v="ChillVibes"/>
    <n v="7.5077784691972627E-2"/>
  </r>
  <r>
    <s v="SP260"/>
    <x v="1"/>
    <d v="2025-01-05T00:00:00"/>
    <x v="1"/>
    <s v="Explore the latest podcasts now."/>
    <n v="3341"/>
    <n v="154"/>
    <n v="123"/>
    <n v="43369"/>
    <n v="49035"/>
    <n v="128"/>
    <x v="2"/>
    <x v="0"/>
    <s v="ChillVibes"/>
    <n v="8.3423643616408028E-2"/>
  </r>
  <r>
    <s v="SP261"/>
    <x v="1"/>
    <d v="2024-11-16T00:00:00"/>
    <x v="0"/>
    <s v="From pop to podcasts, its all here."/>
    <n v="2972"/>
    <n v="263"/>
    <n v="308"/>
    <n v="51740"/>
    <n v="28214"/>
    <n v="190"/>
    <x v="0"/>
    <x v="1"/>
    <s v="IndieWave"/>
    <n v="6.8477000386548123E-2"/>
  </r>
  <r>
    <s v="SP262"/>
    <x v="1"/>
    <d v="2024-11-30T00:00:00"/>
    <x v="1"/>
    <s v="Explore the latest podcasts now."/>
    <n v="4963"/>
    <n v="255"/>
    <n v="193"/>
    <n v="44386"/>
    <n v="28415"/>
    <n v="174"/>
    <x v="2"/>
    <x v="0"/>
    <s v="ChillVibes"/>
    <n v="0.12190780876853062"/>
  </r>
  <r>
    <s v="SP263"/>
    <x v="2"/>
    <d v="2024-03-27T00:00:00"/>
    <x v="0"/>
    <s v="Music that moves you only on Spotify."/>
    <n v="2399"/>
    <n v="191"/>
    <n v="221"/>
    <n v="51603"/>
    <n v="40033"/>
    <n v="173"/>
    <x v="1"/>
    <x v="2"/>
    <s v="IndieWave"/>
    <n v="5.4473577117609438E-2"/>
  </r>
  <r>
    <s v="SP264"/>
    <x v="2"/>
    <d v="2025-05-31T00:00:00"/>
    <x v="2"/>
    <s v="Get into the groove with our new drop!"/>
    <n v="2162"/>
    <n v="318"/>
    <n v="83"/>
    <n v="46719"/>
    <n v="20482"/>
    <n v="185"/>
    <x v="1"/>
    <x v="4"/>
    <s v="SummerBeats"/>
    <n v="5.4859907104176028E-2"/>
  </r>
  <r>
    <s v="SP265"/>
    <x v="1"/>
    <d v="2025-06-17T00:00:00"/>
    <x v="1"/>
    <s v="Explore the latest podcasts now."/>
    <n v="4341"/>
    <n v="141"/>
    <n v="63"/>
    <n v="50081"/>
    <n v="27507"/>
    <n v="221"/>
    <x v="1"/>
    <x v="3"/>
    <s v="ChillVibes"/>
    <n v="9.0752980172121162E-2"/>
  </r>
  <r>
    <s v="SP266"/>
    <x v="0"/>
    <d v="2024-05-30T00:00:00"/>
    <x v="1"/>
    <s v="Get into the groove with our new drop!"/>
    <n v="2448"/>
    <n v="464"/>
    <n v="98"/>
    <n v="25737"/>
    <n v="48545"/>
    <n v="246"/>
    <x v="3"/>
    <x v="1"/>
    <s v="Wrapped2024"/>
    <n v="0.11695224773672146"/>
  </r>
  <r>
    <s v="SP267"/>
    <x v="2"/>
    <d v="2024-11-08T00:00:00"/>
    <x v="0"/>
    <s v="Top trending tracks updated daily!"/>
    <n v="2471"/>
    <n v="166"/>
    <n v="320"/>
    <n v="48254"/>
    <n v="46900"/>
    <n v="111"/>
    <x v="1"/>
    <x v="2"/>
    <s v="IndieWave"/>
    <n v="6.1279893894806647E-2"/>
  </r>
  <r>
    <s v="SP268"/>
    <x v="2"/>
    <d v="2024-03-17T00:00:00"/>
    <x v="2"/>
    <s v="Explore the latest podcasts now."/>
    <n v="2692"/>
    <n v="446"/>
    <n v="216"/>
    <n v="45818"/>
    <n v="62723"/>
    <n v="85"/>
    <x v="1"/>
    <x v="4"/>
    <s v="SummerBeats"/>
    <n v="7.3202671439172376E-2"/>
  </r>
  <r>
    <s v="SP269"/>
    <x v="2"/>
    <d v="2024-06-21T00:00:00"/>
    <x v="2"/>
    <s v="Music that moves you only on Spotify."/>
    <n v="4621"/>
    <n v="374"/>
    <n v="298"/>
    <n v="56979"/>
    <n v="24098"/>
    <n v="205"/>
    <x v="1"/>
    <x v="4"/>
    <s v="SummerBeats"/>
    <n v="9.2893873181347508E-2"/>
  </r>
  <r>
    <s v="SP270"/>
    <x v="1"/>
    <d v="2024-11-13T00:00:00"/>
    <x v="1"/>
    <s v="New music just dropped. Hit play!"/>
    <n v="1409"/>
    <n v="466"/>
    <n v="105"/>
    <n v="58923"/>
    <n v="38753"/>
    <n v="265"/>
    <x v="1"/>
    <x v="3"/>
    <s v="ChillVibes"/>
    <n v="3.3603177027646251E-2"/>
  </r>
  <r>
    <s v="SP271"/>
    <x v="1"/>
    <d v="2025-02-05T00:00:00"/>
    <x v="1"/>
    <s v="Discover fresh beats on Spotify!"/>
    <n v="3029"/>
    <n v="440"/>
    <n v="66"/>
    <n v="23815"/>
    <n v="47895"/>
    <n v="210"/>
    <x v="1"/>
    <x v="3"/>
    <s v="ChillVibes"/>
    <n v="0.14843585975225698"/>
  </r>
  <r>
    <s v="SP272"/>
    <x v="1"/>
    <d v="2024-11-07T00:00:00"/>
    <x v="0"/>
    <s v="Explore the latest podcasts now."/>
    <n v="2229"/>
    <n v="395"/>
    <n v="328"/>
    <n v="56921"/>
    <n v="37176"/>
    <n v="126"/>
    <x v="0"/>
    <x v="1"/>
    <s v="IndieWave"/>
    <n v="5.1861351697967357E-2"/>
  </r>
  <r>
    <s v="SP273"/>
    <x v="1"/>
    <d v="2024-02-12T00:00:00"/>
    <x v="0"/>
    <s v="Explore the latest podcasts now."/>
    <n v="2691"/>
    <n v="486"/>
    <n v="206"/>
    <n v="51133"/>
    <n v="44583"/>
    <n v="276"/>
    <x v="3"/>
    <x v="1"/>
    <s v="ChillVibes"/>
    <n v="6.6160796354604659E-2"/>
  </r>
  <r>
    <s v="SP274"/>
    <x v="0"/>
    <d v="2024-10-08T00:00:00"/>
    <x v="0"/>
    <s v="Explore the latest podcasts now."/>
    <n v="2110"/>
    <n v="384"/>
    <n v="236"/>
    <n v="49965"/>
    <n v="61555"/>
    <n v="195"/>
    <x v="1"/>
    <x v="1"/>
    <s v="IndieWave"/>
    <n v="5.4638246772740921E-2"/>
  </r>
  <r>
    <s v="SP275"/>
    <x v="0"/>
    <d v="2024-02-19T00:00:00"/>
    <x v="0"/>
    <s v="Wrapped is here! Relive your top tracks"/>
    <n v="4752"/>
    <n v="449"/>
    <n v="309"/>
    <n v="58530"/>
    <n v="26630"/>
    <n v="234"/>
    <x v="1"/>
    <x v="1"/>
    <s v="IndieWave"/>
    <n v="9.4139757389372969E-2"/>
  </r>
  <r>
    <s v="SP276"/>
    <x v="1"/>
    <d v="2025-03-04T00:00:00"/>
    <x v="0"/>
    <s v="Discover fresh beats on Spotify!"/>
    <n v="2177"/>
    <n v="258"/>
    <n v="292"/>
    <n v="47276"/>
    <n v="51324"/>
    <n v="143"/>
    <x v="3"/>
    <x v="1"/>
    <s v="ChillVibes"/>
    <n v="5.7682545054573146E-2"/>
  </r>
  <r>
    <s v="SP277"/>
    <x v="0"/>
    <d v="2025-02-03T00:00:00"/>
    <x v="1"/>
    <s v="New music just dropped. Hit play!"/>
    <n v="1205"/>
    <n v="486"/>
    <n v="269"/>
    <n v="23341"/>
    <n v="42411"/>
    <n v="184"/>
    <x v="3"/>
    <x v="1"/>
    <s v="Wrapped2024"/>
    <n v="8.3972409065592737E-2"/>
  </r>
  <r>
    <s v="SP278"/>
    <x v="0"/>
    <d v="2024-12-02T00:00:00"/>
    <x v="0"/>
    <s v="Top trending tracks updated daily!"/>
    <n v="3194"/>
    <n v="292"/>
    <n v="245"/>
    <n v="56371"/>
    <n v="65597"/>
    <n v="163"/>
    <x v="0"/>
    <x v="0"/>
    <s v="ChillVibes"/>
    <n v="6.6186514342481059E-2"/>
  </r>
  <r>
    <s v="SP279"/>
    <x v="1"/>
    <d v="2025-01-19T00:00:00"/>
    <x v="1"/>
    <s v="New music just dropped. Hit play!"/>
    <n v="3507"/>
    <n v="295"/>
    <n v="371"/>
    <n v="20410"/>
    <n v="53965"/>
    <n v="212"/>
    <x v="0"/>
    <x v="0"/>
    <s v="ChillVibes"/>
    <n v="0.20445859872611466"/>
  </r>
  <r>
    <s v="SP280"/>
    <x v="1"/>
    <d v="2024-09-28T00:00:00"/>
    <x v="1"/>
    <s v="Wrapped is here! Relive your top tracks"/>
    <n v="4471"/>
    <n v="317"/>
    <n v="249"/>
    <n v="44862"/>
    <n v="33365"/>
    <n v="184"/>
    <x v="1"/>
    <x v="3"/>
    <s v="ChillVibes"/>
    <n v="0.1122776514644911"/>
  </r>
  <r>
    <s v="SP281"/>
    <x v="0"/>
    <d v="2024-01-07T00:00:00"/>
    <x v="0"/>
    <s v="Top trending tracks updated daily!"/>
    <n v="4931"/>
    <n v="469"/>
    <n v="193"/>
    <n v="56701"/>
    <n v="69437"/>
    <n v="291"/>
    <x v="0"/>
    <x v="0"/>
    <s v="ChillVibes"/>
    <n v="9.8640235621946709E-2"/>
  </r>
  <r>
    <s v="SP282"/>
    <x v="1"/>
    <d v="2024-02-21T00:00:00"/>
    <x v="1"/>
    <s v="Get into the groove with our new drop!"/>
    <n v="2604"/>
    <n v="439"/>
    <n v="148"/>
    <n v="58468"/>
    <n v="39629"/>
    <n v="163"/>
    <x v="2"/>
    <x v="0"/>
    <s v="ChillVibes"/>
    <n v="5.4576862557296296E-2"/>
  </r>
  <r>
    <s v="SP283"/>
    <x v="0"/>
    <d v="2024-08-27T00:00:00"/>
    <x v="0"/>
    <s v="Music that moves you only on Spotify."/>
    <n v="4197"/>
    <n v="359"/>
    <n v="280"/>
    <n v="56048"/>
    <n v="70930"/>
    <n v="295"/>
    <x v="1"/>
    <x v="1"/>
    <s v="IndieWave"/>
    <n v="8.628318584070796E-2"/>
  </r>
  <r>
    <s v="SP284"/>
    <x v="0"/>
    <d v="2024-10-24T00:00:00"/>
    <x v="1"/>
    <s v="Top trending tracks updated daily!"/>
    <n v="1914"/>
    <n v="255"/>
    <n v="156"/>
    <n v="27660"/>
    <n v="47776"/>
    <n v="111"/>
    <x v="3"/>
    <x v="1"/>
    <s v="Wrapped2024"/>
    <n v="8.4056399132321047E-2"/>
  </r>
  <r>
    <s v="SP285"/>
    <x v="2"/>
    <d v="2025-01-29T00:00:00"/>
    <x v="0"/>
    <s v="New music just dropped. Hit play!"/>
    <n v="1334"/>
    <n v="357"/>
    <n v="257"/>
    <n v="56910"/>
    <n v="70606"/>
    <n v="228"/>
    <x v="1"/>
    <x v="2"/>
    <s v="IndieWave"/>
    <n v="3.4229485151994379E-2"/>
  </r>
  <r>
    <s v="SP286"/>
    <x v="0"/>
    <d v="2024-05-01T00:00:00"/>
    <x v="0"/>
    <s v="Get into the groove with our new drop!"/>
    <n v="3359"/>
    <n v="137"/>
    <n v="387"/>
    <n v="33861"/>
    <n v="47257"/>
    <n v="198"/>
    <x v="1"/>
    <x v="1"/>
    <s v="IndieWave"/>
    <n v="0.11467469950680724"/>
  </r>
  <r>
    <s v="SP287"/>
    <x v="2"/>
    <d v="2024-06-25T00:00:00"/>
    <x v="0"/>
    <s v="Your weekend playlist is waiting."/>
    <n v="2172"/>
    <n v="338"/>
    <n v="70"/>
    <n v="30515"/>
    <n v="57853"/>
    <n v="156"/>
    <x v="1"/>
    <x v="2"/>
    <s v="IndieWave"/>
    <n v="8.4548582664263475E-2"/>
  </r>
  <r>
    <s v="SP288"/>
    <x v="1"/>
    <d v="2024-08-09T00:00:00"/>
    <x v="1"/>
    <s v="From pop to podcasts, its all here."/>
    <n v="4877"/>
    <n v="442"/>
    <n v="236"/>
    <n v="52673"/>
    <n v="48241"/>
    <n v="114"/>
    <x v="1"/>
    <x v="3"/>
    <s v="ChillVibes"/>
    <n v="0.10546200140489435"/>
  </r>
  <r>
    <s v="SP289"/>
    <x v="0"/>
    <d v="2025-01-21T00:00:00"/>
    <x v="1"/>
    <s v="New music just dropped. Hit play!"/>
    <n v="4918"/>
    <n v="440"/>
    <n v="149"/>
    <n v="53269"/>
    <n v="64370"/>
    <n v="269"/>
    <x v="3"/>
    <x v="1"/>
    <s v="Wrapped2024"/>
    <n v="0.10338095327488783"/>
  </r>
  <r>
    <s v="SP290"/>
    <x v="1"/>
    <d v="2024-08-13T00:00:00"/>
    <x v="0"/>
    <s v="Explore the latest podcasts now."/>
    <n v="3418"/>
    <n v="107"/>
    <n v="221"/>
    <n v="23927"/>
    <n v="26182"/>
    <n v="155"/>
    <x v="0"/>
    <x v="1"/>
    <s v="IndieWave"/>
    <n v="0.1565595352530614"/>
  </r>
  <r>
    <s v="SP291"/>
    <x v="0"/>
    <d v="2024-06-29T00:00:00"/>
    <x v="0"/>
    <s v="Your weekend playlist is waiting."/>
    <n v="2088"/>
    <n v="490"/>
    <n v="124"/>
    <n v="46544"/>
    <n v="69346"/>
    <n v="178"/>
    <x v="0"/>
    <x v="0"/>
    <s v="ChillVibes"/>
    <n v="5.8052595393606049E-2"/>
  </r>
  <r>
    <s v="SP292"/>
    <x v="1"/>
    <d v="2024-11-03T00:00:00"/>
    <x v="1"/>
    <s v="Explore the latest podcasts now."/>
    <n v="3061"/>
    <n v="320"/>
    <n v="76"/>
    <n v="26640"/>
    <n v="24306"/>
    <n v="112"/>
    <x v="2"/>
    <x v="0"/>
    <s v="ChillVibes"/>
    <n v="0.12976726726726726"/>
  </r>
  <r>
    <s v="SP293"/>
    <x v="2"/>
    <d v="2025-04-18T00:00:00"/>
    <x v="2"/>
    <s v="Your weekend playlist is waiting."/>
    <n v="1265"/>
    <n v="230"/>
    <n v="364"/>
    <n v="41312"/>
    <n v="50382"/>
    <n v="106"/>
    <x v="1"/>
    <x v="4"/>
    <s v="SummerBeats"/>
    <n v="4.4999031758326875E-2"/>
  </r>
  <r>
    <s v="SP294"/>
    <x v="0"/>
    <d v="2024-12-27T00:00:00"/>
    <x v="0"/>
    <s v="From pop to podcasts, its all here."/>
    <n v="1436"/>
    <n v="219"/>
    <n v="229"/>
    <n v="58488"/>
    <n v="24314"/>
    <n v="147"/>
    <x v="1"/>
    <x v="1"/>
    <s v="IndieWave"/>
    <n v="3.221173574066475E-2"/>
  </r>
  <r>
    <s v="SP295"/>
    <x v="0"/>
    <d v="2025-03-08T00:00:00"/>
    <x v="1"/>
    <s v="Top trending tracks updated daily!"/>
    <n v="2244"/>
    <n v="392"/>
    <n v="231"/>
    <n v="25834"/>
    <n v="50906"/>
    <n v="165"/>
    <x v="3"/>
    <x v="1"/>
    <s v="Wrapped2024"/>
    <n v="0.1109777812185492"/>
  </r>
  <r>
    <s v="SP296"/>
    <x v="1"/>
    <d v="2025-03-20T00:00:00"/>
    <x v="1"/>
    <s v="Your weekend playlist is waiting."/>
    <n v="3393"/>
    <n v="104"/>
    <n v="79"/>
    <n v="30025"/>
    <n v="21593"/>
    <n v="165"/>
    <x v="2"/>
    <x v="0"/>
    <s v="ChillVibes"/>
    <n v="0.1191007493755204"/>
  </r>
  <r>
    <s v="SP297"/>
    <x v="1"/>
    <d v="2024-11-16T00:00:00"/>
    <x v="0"/>
    <s v="Explore the latest podcasts now."/>
    <n v="2901"/>
    <n v="108"/>
    <n v="86"/>
    <n v="51777"/>
    <n v="23773"/>
    <n v="160"/>
    <x v="0"/>
    <x v="1"/>
    <s v="IndieWave"/>
    <n v="5.9775576027966085E-2"/>
  </r>
  <r>
    <s v="SP298"/>
    <x v="1"/>
    <d v="2025-06-30T00:00:00"/>
    <x v="0"/>
    <s v="Whats your vibe today?"/>
    <n v="2275"/>
    <n v="285"/>
    <n v="125"/>
    <n v="43970"/>
    <n v="74761"/>
    <n v="83"/>
    <x v="3"/>
    <x v="1"/>
    <s v="ChillVibes"/>
    <n v="6.1064362065044349E-2"/>
  </r>
  <r>
    <s v="SP299"/>
    <x v="1"/>
    <d v="2024-01-12T00:00:00"/>
    <x v="1"/>
    <s v="Wrapped is here! Relive your top tracks"/>
    <n v="2227"/>
    <n v="494"/>
    <n v="161"/>
    <n v="51651"/>
    <n v="68074"/>
    <n v="240"/>
    <x v="1"/>
    <x v="3"/>
    <s v="ChillVibes"/>
    <n v="5.5797564422760453E-2"/>
  </r>
  <r>
    <s v="SP300"/>
    <x v="0"/>
    <d v="2024-02-07T00:00:00"/>
    <x v="0"/>
    <s v="Music that moves you only on Spotify."/>
    <n v="1883"/>
    <n v="432"/>
    <n v="397"/>
    <n v="28759"/>
    <n v="18691"/>
    <n v="270"/>
    <x v="0"/>
    <x v="0"/>
    <s v="ChillVibes"/>
    <n v="9.4300914496331587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s v="Instagram"/>
    <d v="2025-05-04T00:00:00"/>
    <s v="Text"/>
    <s v="Discover fresh beats on Spotify!"/>
    <n v="2414"/>
    <n v="245"/>
    <n v="137"/>
    <n v="21181"/>
    <n v="45292"/>
    <n v="133"/>
    <s v="ChillVibes"/>
    <n v="0.13200509890939993"/>
    <x v="0"/>
  </r>
  <r>
    <s v="SP001"/>
    <s v="Instagram"/>
    <d v="2025-05-04T00:00:00"/>
    <s v="Text"/>
    <s v="Discover fresh beats on Spotify!"/>
    <n v="2414"/>
    <n v="245"/>
    <n v="137"/>
    <n v="21181"/>
    <n v="45292"/>
    <n v="133"/>
    <s v="ChillVibes"/>
    <n v="0.13200509890939993"/>
    <x v="1"/>
  </r>
  <r>
    <s v="SP002"/>
    <s v="Instagram"/>
    <d v="2025-02-01T00:00:00"/>
    <s v="Text"/>
    <s v="Explore the latest podcasts now."/>
    <n v="1934"/>
    <n v="210"/>
    <n v="393"/>
    <n v="29129"/>
    <n v="73287"/>
    <n v="273"/>
    <s v="IndieWave"/>
    <n v="8.7095334546328396E-2"/>
    <x v="2"/>
  </r>
  <r>
    <s v="SP003"/>
    <s v="Twitter"/>
    <d v="2024-12-03T00:00:00"/>
    <s v="Story"/>
    <s v="New music just dropped. Hit play!"/>
    <n v="3092"/>
    <n v="177"/>
    <n v="81"/>
    <n v="47533"/>
    <n v="29220"/>
    <n v="121"/>
    <s v="ChillVibes"/>
    <n v="7.0477352576105018E-2"/>
    <x v="3"/>
  </r>
  <r>
    <s v="SP003"/>
    <s v="Twitter"/>
    <d v="2024-12-03T00:00:00"/>
    <s v="Story"/>
    <s v="New music just dropped. Hit play!"/>
    <n v="3092"/>
    <n v="177"/>
    <n v="81"/>
    <n v="47533"/>
    <n v="29220"/>
    <n v="121"/>
    <s v="ChillVibes"/>
    <n v="7.0477352576105018E-2"/>
    <x v="1"/>
  </r>
  <r>
    <s v="SP004"/>
    <s v="Instagram"/>
    <d v="2024-12-03T00:00:00"/>
    <s v="Text"/>
    <s v="Wrapped is here! Relive your top tracks"/>
    <n v="3173"/>
    <n v="229"/>
    <n v="197"/>
    <n v="29604"/>
    <n v="21809"/>
    <n v="272"/>
    <s v="ChillVibes"/>
    <n v="0.1215714092690177"/>
    <x v="0"/>
  </r>
  <r>
    <s v="SP004"/>
    <s v="Instagram"/>
    <d v="2024-12-03T00:00:00"/>
    <s v="Text"/>
    <s v="Wrapped is here! Relive your top tracks"/>
    <n v="3173"/>
    <n v="229"/>
    <n v="197"/>
    <n v="29604"/>
    <n v="21809"/>
    <n v="272"/>
    <s v="ChillVibes"/>
    <n v="0.1215714092690177"/>
    <x v="1"/>
  </r>
  <r>
    <s v="SP005"/>
    <s v="YouTube"/>
    <d v="2024-04-06T00:00:00"/>
    <s v="Text"/>
    <s v="Music that moves you only on Spotify."/>
    <n v="2748"/>
    <n v="145"/>
    <n v="315"/>
    <n v="24401"/>
    <n v="61182"/>
    <n v="200"/>
    <s v="IndieWave"/>
    <n v="0.1314700217204213"/>
    <x v="2"/>
  </r>
  <r>
    <s v="SP005"/>
    <s v="YouTube"/>
    <d v="2024-04-06T00:00:00"/>
    <s v="Text"/>
    <s v="Music that moves you only on Spotify."/>
    <n v="2748"/>
    <n v="145"/>
    <n v="315"/>
    <n v="24401"/>
    <n v="61182"/>
    <n v="200"/>
    <s v="IndieWave"/>
    <n v="0.1314700217204213"/>
    <x v="4"/>
  </r>
  <r>
    <s v="SP006"/>
    <s v="YouTube"/>
    <d v="2024-06-13T00:00:00"/>
    <s v="Text"/>
    <s v="Whats your vibe today?"/>
    <n v="3882"/>
    <n v="239"/>
    <n v="275"/>
    <n v="58748"/>
    <n v="44646"/>
    <n v="149"/>
    <s v="IndieWave"/>
    <n v="7.4828079253761837E-2"/>
    <x v="2"/>
  </r>
  <r>
    <s v="SP006"/>
    <s v="YouTube"/>
    <d v="2024-06-13T00:00:00"/>
    <s v="Text"/>
    <s v="Whats your vibe today?"/>
    <n v="3882"/>
    <n v="239"/>
    <n v="275"/>
    <n v="58748"/>
    <n v="44646"/>
    <n v="149"/>
    <s v="IndieWave"/>
    <n v="7.4828079253761837E-2"/>
    <x v="4"/>
  </r>
  <r>
    <s v="SP007"/>
    <s v="Twitter"/>
    <d v="2024-12-19T00:00:00"/>
    <s v="Story"/>
    <s v="Get into the groove with our new drop!"/>
    <n v="4674"/>
    <n v="409"/>
    <n v="327"/>
    <n v="20756"/>
    <n v="63599"/>
    <n v="212"/>
    <s v="ChillVibes"/>
    <n v="0.26064752360763155"/>
    <x v="0"/>
  </r>
  <r>
    <s v="SP007"/>
    <s v="Twitter"/>
    <d v="2024-12-19T00:00:00"/>
    <s v="Story"/>
    <s v="Get into the groove with our new drop!"/>
    <n v="4674"/>
    <n v="409"/>
    <n v="327"/>
    <n v="20756"/>
    <n v="63599"/>
    <n v="212"/>
    <s v="ChillVibes"/>
    <n v="0.26064752360763155"/>
    <x v="1"/>
  </r>
  <r>
    <s v="SP008"/>
    <s v="Twitter"/>
    <d v="2024-05-09T00:00:00"/>
    <s v="Story"/>
    <s v="Wrapped is here! Relive your top tracks"/>
    <n v="1428"/>
    <n v="347"/>
    <n v="67"/>
    <n v="21148"/>
    <n v="19712"/>
    <n v="120"/>
    <s v="ChillVibes"/>
    <n v="8.7100435029317191E-2"/>
    <x v="2"/>
  </r>
  <r>
    <s v="SP008"/>
    <s v="Twitter"/>
    <d v="2024-05-09T00:00:00"/>
    <s v="Story"/>
    <s v="Wrapped is here! Relive your top tracks"/>
    <n v="1428"/>
    <n v="347"/>
    <n v="67"/>
    <n v="21148"/>
    <n v="19712"/>
    <n v="120"/>
    <s v="ChillVibes"/>
    <n v="8.7100435029317191E-2"/>
    <x v="3"/>
  </r>
  <r>
    <s v="SP009"/>
    <s v="Twitter"/>
    <d v="2025-06-15T00:00:00"/>
    <s v="Text"/>
    <s v="Top trending tracks updated daily!"/>
    <n v="4432"/>
    <n v="223"/>
    <n v="299"/>
    <n v="59016"/>
    <n v="21742"/>
    <n v="171"/>
    <s v="ChillVibes"/>
    <n v="8.3943337400027115E-2"/>
    <x v="1"/>
  </r>
  <r>
    <s v="SP010"/>
    <s v="Twitter"/>
    <d v="2024-12-04T00:00:00"/>
    <s v="Text"/>
    <s v="Wrapped is here! Relive your top tracks"/>
    <n v="2357"/>
    <n v="274"/>
    <n v="172"/>
    <n v="21566"/>
    <n v="66829"/>
    <n v="284"/>
    <s v="ChillVibes"/>
    <n v="0.12997310581470833"/>
    <x v="1"/>
  </r>
  <r>
    <s v="SP011"/>
    <s v="Twitter"/>
    <d v="2024-03-06T00:00:00"/>
    <s v="Text"/>
    <s v="Discover fresh beats on Spotify!"/>
    <n v="1971"/>
    <n v="370"/>
    <n v="306"/>
    <n v="31316"/>
    <n v="27897"/>
    <n v="88"/>
    <s v="IndieWave"/>
    <n v="8.4525482181632389E-2"/>
    <x v="0"/>
  </r>
  <r>
    <s v="SP012"/>
    <s v="Instagram"/>
    <d v="2024-05-14T00:00:00"/>
    <s v="Text"/>
    <s v="Discover fresh beats on Spotify!"/>
    <n v="1485"/>
    <n v="353"/>
    <n v="244"/>
    <n v="38419"/>
    <n v="38556"/>
    <n v="86"/>
    <s v="ChillVibes"/>
    <n v="5.4191936281527367E-2"/>
    <x v="0"/>
  </r>
  <r>
    <s v="SP012"/>
    <s v="Instagram"/>
    <d v="2024-05-14T00:00:00"/>
    <s v="Text"/>
    <s v="Discover fresh beats on Spotify!"/>
    <n v="1485"/>
    <n v="353"/>
    <n v="244"/>
    <n v="38419"/>
    <n v="38556"/>
    <n v="86"/>
    <s v="ChillVibes"/>
    <n v="5.4191936281527367E-2"/>
    <x v="1"/>
  </r>
  <r>
    <s v="SP013"/>
    <s v="Twitter"/>
    <d v="2025-06-18T00:00:00"/>
    <s v="Story"/>
    <s v="Discover fresh beats on Spotify!"/>
    <n v="3956"/>
    <n v="319"/>
    <n v="61"/>
    <n v="58162"/>
    <n v="28720"/>
    <n v="213"/>
    <s v="ChillVibes"/>
    <n v="7.4550393727863554E-2"/>
    <x v="3"/>
  </r>
  <r>
    <s v="SP013"/>
    <s v="Twitter"/>
    <d v="2025-06-18T00:00:00"/>
    <s v="Story"/>
    <s v="Discover fresh beats on Spotify!"/>
    <n v="3956"/>
    <n v="319"/>
    <n v="61"/>
    <n v="58162"/>
    <n v="28720"/>
    <n v="213"/>
    <s v="ChillVibes"/>
    <n v="7.4550393727863554E-2"/>
    <x v="1"/>
  </r>
  <r>
    <s v="SP014"/>
    <s v="Twitter"/>
    <d v="2024-10-08T00:00:00"/>
    <s v="Text"/>
    <s v="From pop to podcasts, its all here."/>
    <n v="2460"/>
    <n v="409"/>
    <n v="253"/>
    <n v="36702"/>
    <n v="46122"/>
    <n v="264"/>
    <s v="ChillVibes"/>
    <n v="8.5063484278785892E-2"/>
    <x v="1"/>
  </r>
  <r>
    <s v="SP015"/>
    <s v="Twitter"/>
    <d v="2024-05-06T00:00:00"/>
    <s v="Text"/>
    <s v="Your weekend playlist is waiting."/>
    <n v="3476"/>
    <n v="355"/>
    <n v="396"/>
    <n v="37492"/>
    <n v="27285"/>
    <n v="179"/>
    <s v="ChillVibes"/>
    <n v="0.11274405206444041"/>
    <x v="1"/>
  </r>
  <r>
    <s v="SP016"/>
    <s v="Twitter"/>
    <d v="2024-12-29T00:00:00"/>
    <s v="Story"/>
    <s v="New music just dropped. Hit play!"/>
    <n v="4049"/>
    <n v="377"/>
    <n v="94"/>
    <n v="48182"/>
    <n v="42875"/>
    <n v="172"/>
    <s v="ChillVibes"/>
    <n v="9.3810966751068869E-2"/>
    <x v="3"/>
  </r>
  <r>
    <s v="SP016"/>
    <s v="Twitter"/>
    <d v="2024-12-29T00:00:00"/>
    <s v="Story"/>
    <s v="New music just dropped. Hit play!"/>
    <n v="4049"/>
    <n v="377"/>
    <n v="94"/>
    <n v="48182"/>
    <n v="42875"/>
    <n v="172"/>
    <s v="ChillVibes"/>
    <n v="9.3810966751068869E-2"/>
    <x v="1"/>
  </r>
  <r>
    <s v="SP017"/>
    <s v="Twitter"/>
    <d v="2024-06-10T00:00:00"/>
    <s v="Text"/>
    <s v="Whats your vibe today?"/>
    <n v="1514"/>
    <n v="164"/>
    <n v="275"/>
    <n v="41364"/>
    <n v="44389"/>
    <n v="83"/>
    <s v="ChillVibes"/>
    <n v="4.7214969538729328E-2"/>
    <x v="1"/>
  </r>
  <r>
    <s v="SP018"/>
    <s v="Instagram"/>
    <d v="2024-02-03T00:00:00"/>
    <s v="Story"/>
    <s v="Music that moves you only on Spotify."/>
    <n v="4281"/>
    <n v="101"/>
    <n v="163"/>
    <n v="32278"/>
    <n v="53382"/>
    <n v="235"/>
    <s v="Wrapped2024"/>
    <n v="0.1408079806679472"/>
    <x v="1"/>
  </r>
  <r>
    <s v="SP019"/>
    <s v="YouTube"/>
    <d v="2024-06-15T00:00:00"/>
    <s v="Reel"/>
    <s v="Get into the groove with our new drop!"/>
    <n v="1751"/>
    <n v="143"/>
    <n v="151"/>
    <n v="31826"/>
    <n v="47729"/>
    <n v="95"/>
    <s v="SummerBeats"/>
    <n v="6.4255640042732362E-2"/>
    <x v="2"/>
  </r>
  <r>
    <s v="SP019"/>
    <s v="YouTube"/>
    <d v="2024-06-15T00:00:00"/>
    <s v="Reel"/>
    <s v="Get into the groove with our new drop!"/>
    <n v="1751"/>
    <n v="143"/>
    <n v="151"/>
    <n v="31826"/>
    <n v="47729"/>
    <n v="95"/>
    <s v="SummerBeats"/>
    <n v="6.4255640042732362E-2"/>
    <x v="0"/>
  </r>
  <r>
    <s v="SP020"/>
    <s v="Instagram"/>
    <d v="2024-07-05T00:00:00"/>
    <s v="Text"/>
    <s v="Your weekend playlist is waiting."/>
    <n v="3753"/>
    <n v="411"/>
    <n v="308"/>
    <n v="29138"/>
    <n v="27678"/>
    <n v="90"/>
    <s v="IndieWave"/>
    <n v="0.15347655981879332"/>
    <x v="2"/>
  </r>
  <r>
    <s v="SP021"/>
    <s v="Instagram"/>
    <d v="2024-11-07T00:00:00"/>
    <s v="Story"/>
    <s v="Wrapped is here! Relive your top tracks"/>
    <n v="1678"/>
    <n v="423"/>
    <n v="323"/>
    <n v="55668"/>
    <n v="37945"/>
    <n v="230"/>
    <s v="Wrapped2024"/>
    <n v="4.3543867212761371E-2"/>
    <x v="1"/>
  </r>
  <r>
    <s v="SP022"/>
    <s v="Instagram"/>
    <d v="2025-06-15T00:00:00"/>
    <s v="Text"/>
    <s v="Whats your vibe today?"/>
    <n v="4896"/>
    <n v="466"/>
    <n v="233"/>
    <n v="28621"/>
    <n v="34270"/>
    <n v="84"/>
    <s v="ChillVibes"/>
    <n v="0.19548583208133888"/>
    <x v="0"/>
  </r>
  <r>
    <s v="SP022"/>
    <s v="Instagram"/>
    <d v="2025-06-15T00:00:00"/>
    <s v="Text"/>
    <s v="Whats your vibe today?"/>
    <n v="4896"/>
    <n v="466"/>
    <n v="233"/>
    <n v="28621"/>
    <n v="34270"/>
    <n v="84"/>
    <s v="ChillVibes"/>
    <n v="0.19548583208133888"/>
    <x v="1"/>
  </r>
  <r>
    <s v="SP023"/>
    <s v="YouTube"/>
    <d v="2024-06-09T00:00:00"/>
    <s v="Reel"/>
    <s v="From pop to podcasts, its all here."/>
    <n v="2786"/>
    <n v="368"/>
    <n v="208"/>
    <n v="42000"/>
    <n v="39967"/>
    <n v="103"/>
    <s v="SummerBeats"/>
    <n v="8.0047619047619048E-2"/>
    <x v="2"/>
  </r>
  <r>
    <s v="SP023"/>
    <s v="YouTube"/>
    <d v="2024-06-09T00:00:00"/>
    <s v="Reel"/>
    <s v="From pop to podcasts, its all here."/>
    <n v="2786"/>
    <n v="368"/>
    <n v="208"/>
    <n v="42000"/>
    <n v="39967"/>
    <n v="103"/>
    <s v="SummerBeats"/>
    <n v="8.0047619047619048E-2"/>
    <x v="0"/>
  </r>
  <r>
    <s v="SP024"/>
    <s v="Twitter"/>
    <d v="2024-10-18T00:00:00"/>
    <s v="Text"/>
    <s v="New music just dropped. Hit play!"/>
    <n v="2607"/>
    <n v="379"/>
    <n v="180"/>
    <n v="28712"/>
    <n v="61620"/>
    <n v="174"/>
    <s v="IndieWave"/>
    <n v="0.11026748397882419"/>
    <x v="0"/>
  </r>
  <r>
    <s v="SP025"/>
    <s v="YouTube"/>
    <d v="2024-10-10T00:00:00"/>
    <s v="Reel"/>
    <s v="From pop to podcasts, its all here."/>
    <n v="4013"/>
    <n v="320"/>
    <n v="92"/>
    <n v="54605"/>
    <n v="60169"/>
    <n v="232"/>
    <s v="SummerBeats"/>
    <n v="8.1036535115831879E-2"/>
    <x v="2"/>
  </r>
  <r>
    <s v="SP025"/>
    <s v="YouTube"/>
    <d v="2024-10-10T00:00:00"/>
    <s v="Reel"/>
    <s v="From pop to podcasts, its all here."/>
    <n v="4013"/>
    <n v="320"/>
    <n v="92"/>
    <n v="54605"/>
    <n v="60169"/>
    <n v="232"/>
    <s v="SummerBeats"/>
    <n v="8.1036535115831879E-2"/>
    <x v="0"/>
  </r>
  <r>
    <s v="SP026"/>
    <s v="Twitter"/>
    <d v="2025-05-14T00:00:00"/>
    <s v="Story"/>
    <s v="From pop to podcasts, its all here."/>
    <n v="2707"/>
    <n v="103"/>
    <n v="51"/>
    <n v="55302"/>
    <n v="18801"/>
    <n v="147"/>
    <s v="ChillVibes"/>
    <n v="5.173411449857148E-2"/>
    <x v="2"/>
  </r>
  <r>
    <s v="SP026"/>
    <s v="Twitter"/>
    <d v="2025-05-14T00:00:00"/>
    <s v="Story"/>
    <s v="From pop to podcasts, its all here."/>
    <n v="2707"/>
    <n v="103"/>
    <n v="51"/>
    <n v="55302"/>
    <n v="18801"/>
    <n v="147"/>
    <s v="ChillVibes"/>
    <n v="5.173411449857148E-2"/>
    <x v="3"/>
  </r>
  <r>
    <s v="SP027"/>
    <s v="Instagram"/>
    <d v="2024-11-29T00:00:00"/>
    <s v="Text"/>
    <s v="Whats your vibe today?"/>
    <n v="2824"/>
    <n v="425"/>
    <n v="274"/>
    <n v="31004"/>
    <n v="53488"/>
    <n v="268"/>
    <s v="ChillVibes"/>
    <n v="0.11363049929041415"/>
    <x v="0"/>
  </r>
  <r>
    <s v="SP027"/>
    <s v="Instagram"/>
    <d v="2024-11-29T00:00:00"/>
    <s v="Text"/>
    <s v="Whats your vibe today?"/>
    <n v="2824"/>
    <n v="425"/>
    <n v="274"/>
    <n v="31004"/>
    <n v="53488"/>
    <n v="268"/>
    <s v="ChillVibes"/>
    <n v="0.11363049929041415"/>
    <x v="1"/>
  </r>
  <r>
    <s v="SP028"/>
    <s v="YouTube"/>
    <d v="2024-03-05T00:00:00"/>
    <s v="Reel"/>
    <s v="Explore the latest podcasts now."/>
    <n v="3558"/>
    <n v="314"/>
    <n v="199"/>
    <n v="49612"/>
    <n v="53929"/>
    <n v="206"/>
    <s v="SummerBeats"/>
    <n v="8.205676046117874E-2"/>
    <x v="2"/>
  </r>
  <r>
    <s v="SP028"/>
    <s v="YouTube"/>
    <d v="2024-03-05T00:00:00"/>
    <s v="Reel"/>
    <s v="Explore the latest podcasts now."/>
    <n v="3558"/>
    <n v="314"/>
    <n v="199"/>
    <n v="49612"/>
    <n v="53929"/>
    <n v="206"/>
    <s v="SummerBeats"/>
    <n v="8.205676046117874E-2"/>
    <x v="0"/>
  </r>
  <r>
    <s v="SP029"/>
    <s v="Twitter"/>
    <d v="2025-03-18T00:00:00"/>
    <s v="Story"/>
    <s v="Explore the latest podcasts now."/>
    <n v="3418"/>
    <n v="188"/>
    <n v="387"/>
    <n v="57431"/>
    <n v="36933"/>
    <n v="202"/>
    <s v="ChillVibes"/>
    <n v="6.9526910553533799E-2"/>
    <x v="3"/>
  </r>
  <r>
    <s v="SP029"/>
    <s v="Twitter"/>
    <d v="2025-03-18T00:00:00"/>
    <s v="Story"/>
    <s v="Explore the latest podcasts now."/>
    <n v="3418"/>
    <n v="188"/>
    <n v="387"/>
    <n v="57431"/>
    <n v="36933"/>
    <n v="202"/>
    <s v="ChillVibes"/>
    <n v="6.9526910553533799E-2"/>
    <x v="1"/>
  </r>
  <r>
    <s v="SP030"/>
    <s v="Twitter"/>
    <d v="2025-04-26T00:00:00"/>
    <s v="Text"/>
    <s v="Discover fresh beats on Spotify!"/>
    <n v="2411"/>
    <n v="194"/>
    <n v="168"/>
    <n v="26665"/>
    <n v="71699"/>
    <n v="197"/>
    <s v="ChillVibes"/>
    <n v="0.10399399962497656"/>
    <x v="1"/>
  </r>
  <r>
    <s v="SP031"/>
    <s v="Instagram"/>
    <d v="2025-01-01T00:00:00"/>
    <s v="Text"/>
    <s v="New music just dropped. Hit play!"/>
    <n v="4036"/>
    <n v="112"/>
    <n v="382"/>
    <n v="56284"/>
    <n v="29440"/>
    <n v="279"/>
    <s v="ChillVibes"/>
    <n v="8.0484684812735408E-2"/>
    <x v="0"/>
  </r>
  <r>
    <s v="SP031"/>
    <s v="Instagram"/>
    <d v="2025-01-01T00:00:00"/>
    <s v="Text"/>
    <s v="New music just dropped. Hit play!"/>
    <n v="4036"/>
    <n v="112"/>
    <n v="382"/>
    <n v="56284"/>
    <n v="29440"/>
    <n v="279"/>
    <s v="ChillVibes"/>
    <n v="8.0484684812735408E-2"/>
    <x v="1"/>
  </r>
  <r>
    <s v="SP032"/>
    <s v="Twitter"/>
    <d v="2024-05-07T00:00:00"/>
    <s v="Story"/>
    <s v="Explore the latest podcasts now."/>
    <n v="2776"/>
    <n v="307"/>
    <n v="178"/>
    <n v="43365"/>
    <n v="48408"/>
    <n v="138"/>
    <s v="ChillVibes"/>
    <n v="7.519889311656866E-2"/>
    <x v="0"/>
  </r>
  <r>
    <s v="SP032"/>
    <s v="Twitter"/>
    <d v="2024-05-07T00:00:00"/>
    <s v="Story"/>
    <s v="Explore the latest podcasts now."/>
    <n v="2776"/>
    <n v="307"/>
    <n v="178"/>
    <n v="43365"/>
    <n v="48408"/>
    <n v="138"/>
    <s v="ChillVibes"/>
    <n v="7.519889311656866E-2"/>
    <x v="1"/>
  </r>
  <r>
    <s v="SP033"/>
    <s v="Twitter"/>
    <d v="2024-10-09T00:00:00"/>
    <s v="Story"/>
    <s v="Discover fresh beats on Spotify!"/>
    <n v="4929"/>
    <n v="182"/>
    <n v="95"/>
    <n v="32181"/>
    <n v="31084"/>
    <n v="289"/>
    <s v="ChillVibes"/>
    <n v="0.16177247444144061"/>
    <x v="2"/>
  </r>
  <r>
    <s v="SP033"/>
    <s v="Twitter"/>
    <d v="2024-10-09T00:00:00"/>
    <s v="Story"/>
    <s v="Discover fresh beats on Spotify!"/>
    <n v="4929"/>
    <n v="182"/>
    <n v="95"/>
    <n v="32181"/>
    <n v="31084"/>
    <n v="289"/>
    <s v="ChillVibes"/>
    <n v="0.16177247444144061"/>
    <x v="3"/>
  </r>
  <r>
    <s v="SP034"/>
    <s v="Instagram"/>
    <d v="2025-01-09T00:00:00"/>
    <s v="Text"/>
    <s v="New music just dropped. Hit play!"/>
    <n v="1015"/>
    <n v="366"/>
    <n v="308"/>
    <n v="38127"/>
    <n v="63790"/>
    <n v="287"/>
    <s v="ChillVibes"/>
    <n v="4.4299315445747112E-2"/>
    <x v="0"/>
  </r>
  <r>
    <s v="SP034"/>
    <s v="Instagram"/>
    <d v="2025-01-09T00:00:00"/>
    <s v="Text"/>
    <s v="New music just dropped. Hit play!"/>
    <n v="1015"/>
    <n v="366"/>
    <n v="308"/>
    <n v="38127"/>
    <n v="63790"/>
    <n v="287"/>
    <s v="ChillVibes"/>
    <n v="4.4299315445747112E-2"/>
    <x v="1"/>
  </r>
  <r>
    <s v="SP035"/>
    <s v="Twitter"/>
    <d v="2025-05-08T00:00:00"/>
    <s v="Story"/>
    <s v="Your weekend playlist is waiting."/>
    <n v="3316"/>
    <n v="332"/>
    <n v="268"/>
    <n v="40095"/>
    <n v="36913"/>
    <n v="265"/>
    <s v="ChillVibes"/>
    <n v="9.7668038408779148E-2"/>
    <x v="3"/>
  </r>
  <r>
    <s v="SP035"/>
    <s v="Twitter"/>
    <d v="2025-05-08T00:00:00"/>
    <s v="Story"/>
    <s v="Your weekend playlist is waiting."/>
    <n v="3316"/>
    <n v="332"/>
    <n v="268"/>
    <n v="40095"/>
    <n v="36913"/>
    <n v="265"/>
    <s v="ChillVibes"/>
    <n v="9.7668038408779148E-2"/>
    <x v="1"/>
  </r>
  <r>
    <s v="SP036"/>
    <s v="Instagram"/>
    <d v="2024-05-04T00:00:00"/>
    <s v="Text"/>
    <s v="Wrapped is here! Relive your top tracks"/>
    <n v="2274"/>
    <n v="243"/>
    <n v="222"/>
    <n v="43066"/>
    <n v="59174"/>
    <n v="80"/>
    <s v="IndieWave"/>
    <n v="6.3600055728416843E-2"/>
    <x v="2"/>
  </r>
  <r>
    <s v="SP037"/>
    <s v="Twitter"/>
    <d v="2025-05-27T00:00:00"/>
    <s v="Story"/>
    <s v="Explore the latest podcasts now."/>
    <n v="4095"/>
    <n v="385"/>
    <n v="400"/>
    <n v="45300"/>
    <n v="31795"/>
    <n v="80"/>
    <s v="ChillVibes"/>
    <n v="0.10772626931567329"/>
    <x v="3"/>
  </r>
  <r>
    <s v="SP037"/>
    <s v="Twitter"/>
    <d v="2025-05-27T00:00:00"/>
    <s v="Story"/>
    <s v="Explore the latest podcasts now."/>
    <n v="4095"/>
    <n v="385"/>
    <n v="400"/>
    <n v="45300"/>
    <n v="31795"/>
    <n v="80"/>
    <s v="ChillVibes"/>
    <n v="0.10772626931567329"/>
    <x v="1"/>
  </r>
  <r>
    <s v="SP038"/>
    <s v="Instagram"/>
    <d v="2024-09-10T00:00:00"/>
    <s v="Story"/>
    <s v="New music just dropped. Hit play!"/>
    <n v="1230"/>
    <n v="309"/>
    <n v="207"/>
    <n v="44629"/>
    <n v="40699"/>
    <n v="195"/>
    <s v="Wrapped2024"/>
    <n v="3.9122543637545096E-2"/>
    <x v="1"/>
  </r>
  <r>
    <s v="SP039"/>
    <s v="Instagram"/>
    <d v="2024-11-25T00:00:00"/>
    <s v="Text"/>
    <s v="From pop to podcasts, its all here."/>
    <n v="1341"/>
    <n v="472"/>
    <n v="238"/>
    <n v="51386"/>
    <n v="51706"/>
    <n v="133"/>
    <s v="IndieWave"/>
    <n v="3.9913595142645857E-2"/>
    <x v="2"/>
  </r>
  <r>
    <s v="SP040"/>
    <s v="Twitter"/>
    <d v="2025-06-10T00:00:00"/>
    <s v="Text"/>
    <s v="Explore the latest podcasts now."/>
    <n v="3615"/>
    <n v="192"/>
    <n v="162"/>
    <n v="27492"/>
    <n v="35341"/>
    <n v="125"/>
    <s v="ChillVibes"/>
    <n v="0.14436927106067218"/>
    <x v="1"/>
  </r>
  <r>
    <s v="SP041"/>
    <s v="Instagram"/>
    <d v="2024-04-19T00:00:00"/>
    <s v="Text"/>
    <s v="New music just dropped. Hit play!"/>
    <n v="4001"/>
    <n v="353"/>
    <n v="129"/>
    <n v="41265"/>
    <n v="37279"/>
    <n v="275"/>
    <s v="ChillVibes"/>
    <n v="0.10863928268508422"/>
    <x v="0"/>
  </r>
  <r>
    <s v="SP041"/>
    <s v="Instagram"/>
    <d v="2024-04-19T00:00:00"/>
    <s v="Text"/>
    <s v="New music just dropped. Hit play!"/>
    <n v="4001"/>
    <n v="353"/>
    <n v="129"/>
    <n v="41265"/>
    <n v="37279"/>
    <n v="275"/>
    <s v="ChillVibes"/>
    <n v="0.10863928268508422"/>
    <x v="1"/>
  </r>
  <r>
    <s v="SP042"/>
    <s v="Instagram"/>
    <d v="2025-01-26T00:00:00"/>
    <s v="Story"/>
    <s v="Whats your vibe today?"/>
    <n v="3451"/>
    <n v="363"/>
    <n v="393"/>
    <n v="44853"/>
    <n v="69032"/>
    <n v="211"/>
    <s v="Wrapped2024"/>
    <n v="9.379528682585335E-2"/>
    <x v="1"/>
  </r>
  <r>
    <s v="SP043"/>
    <s v="Instagram"/>
    <d v="2025-02-14T00:00:00"/>
    <s v="Text"/>
    <s v="Top trending tracks updated daily!"/>
    <n v="4891"/>
    <n v="450"/>
    <n v="387"/>
    <n v="48746"/>
    <n v="37312"/>
    <n v="154"/>
    <s v="ChillVibes"/>
    <n v="0.11750707750379519"/>
    <x v="0"/>
  </r>
  <r>
    <s v="SP043"/>
    <s v="Instagram"/>
    <d v="2025-02-14T00:00:00"/>
    <s v="Text"/>
    <s v="Top trending tracks updated daily!"/>
    <n v="4891"/>
    <n v="450"/>
    <n v="387"/>
    <n v="48746"/>
    <n v="37312"/>
    <n v="154"/>
    <s v="ChillVibes"/>
    <n v="0.11750707750379519"/>
    <x v="1"/>
  </r>
  <r>
    <s v="SP044"/>
    <s v="Instagram"/>
    <d v="2024-09-06T00:00:00"/>
    <s v="Text"/>
    <s v="New music just dropped. Hit play!"/>
    <n v="1452"/>
    <n v="281"/>
    <n v="326"/>
    <n v="51556"/>
    <n v="62599"/>
    <n v="290"/>
    <s v="IndieWave"/>
    <n v="3.9937155714174881E-2"/>
    <x v="2"/>
  </r>
  <r>
    <s v="SP045"/>
    <s v="YouTube"/>
    <d v="2024-07-14T00:00:00"/>
    <s v="Text"/>
    <s v="Your weekend playlist is waiting."/>
    <n v="3806"/>
    <n v="114"/>
    <n v="278"/>
    <n v="36148"/>
    <n v="24209"/>
    <n v="201"/>
    <s v="IndieWave"/>
    <n v="0.11613367267898639"/>
    <x v="2"/>
  </r>
  <r>
    <s v="SP045"/>
    <s v="YouTube"/>
    <d v="2024-07-14T00:00:00"/>
    <s v="Text"/>
    <s v="Your weekend playlist is waiting."/>
    <n v="3806"/>
    <n v="114"/>
    <n v="278"/>
    <n v="36148"/>
    <n v="24209"/>
    <n v="201"/>
    <s v="IndieWave"/>
    <n v="0.11613367267898639"/>
    <x v="4"/>
  </r>
  <r>
    <s v="SP046"/>
    <s v="Instagram"/>
    <d v="2024-02-12T00:00:00"/>
    <s v="Text"/>
    <s v="Explore the latest podcasts now."/>
    <n v="2923"/>
    <n v="330"/>
    <n v="250"/>
    <n v="23993"/>
    <n v="74590"/>
    <n v="92"/>
    <s v="IndieWave"/>
    <n v="0.14600091693410577"/>
    <x v="2"/>
  </r>
  <r>
    <s v="SP047"/>
    <s v="YouTube"/>
    <d v="2024-03-14T00:00:00"/>
    <s v="Reel"/>
    <s v="From pop to podcasts, its all here."/>
    <n v="3361"/>
    <n v="188"/>
    <n v="358"/>
    <n v="39838"/>
    <n v="24536"/>
    <n v="120"/>
    <s v="SummerBeats"/>
    <n v="9.8072192379135503E-2"/>
    <x v="2"/>
  </r>
  <r>
    <s v="SP047"/>
    <s v="YouTube"/>
    <d v="2024-03-14T00:00:00"/>
    <s v="Reel"/>
    <s v="From pop to podcasts, its all here."/>
    <n v="3361"/>
    <n v="188"/>
    <n v="358"/>
    <n v="39838"/>
    <n v="24536"/>
    <n v="120"/>
    <s v="SummerBeats"/>
    <n v="9.8072192379135503E-2"/>
    <x v="0"/>
  </r>
  <r>
    <s v="SP048"/>
    <s v="Instagram"/>
    <d v="2025-02-05T00:00:00"/>
    <s v="Story"/>
    <s v="Music that moves you only on Spotify."/>
    <n v="3074"/>
    <n v="371"/>
    <n v="348"/>
    <n v="24104"/>
    <n v="57803"/>
    <n v="213"/>
    <s v="Wrapped2024"/>
    <n v="0.15735977431131762"/>
    <x v="1"/>
  </r>
  <r>
    <s v="SP049"/>
    <s v="Twitter"/>
    <d v="2024-08-29T00:00:00"/>
    <s v="Story"/>
    <s v="Get into the groove with our new drop!"/>
    <n v="4276"/>
    <n v="227"/>
    <n v="223"/>
    <n v="43443"/>
    <n v="41005"/>
    <n v="191"/>
    <s v="ChillVibes"/>
    <n v="0.1087862256289851"/>
    <x v="2"/>
  </r>
  <r>
    <s v="SP049"/>
    <s v="Twitter"/>
    <d v="2024-08-29T00:00:00"/>
    <s v="Story"/>
    <s v="Get into the groove with our new drop!"/>
    <n v="4276"/>
    <n v="227"/>
    <n v="223"/>
    <n v="43443"/>
    <n v="41005"/>
    <n v="191"/>
    <s v="ChillVibes"/>
    <n v="0.1087862256289851"/>
    <x v="3"/>
  </r>
  <r>
    <s v="SP050"/>
    <s v="Twitter"/>
    <d v="2025-04-22T00:00:00"/>
    <s v="Text"/>
    <s v="Discover fresh beats on Spotify!"/>
    <n v="4401"/>
    <n v="421"/>
    <n v="216"/>
    <n v="24890"/>
    <n v="54361"/>
    <n v="148"/>
    <s v="ChillVibes"/>
    <n v="0.20241060666934513"/>
    <x v="1"/>
  </r>
  <r>
    <s v="SP051"/>
    <s v="YouTube"/>
    <d v="2024-05-13T00:00:00"/>
    <s v="Reel"/>
    <s v="Explore the latest podcasts now."/>
    <n v="4161"/>
    <n v="481"/>
    <n v="61"/>
    <n v="45884"/>
    <n v="48955"/>
    <n v="215"/>
    <s v="SummerBeats"/>
    <n v="0.10249760265016128"/>
    <x v="2"/>
  </r>
  <r>
    <s v="SP051"/>
    <s v="YouTube"/>
    <d v="2024-05-13T00:00:00"/>
    <s v="Reel"/>
    <s v="Explore the latest podcasts now."/>
    <n v="4161"/>
    <n v="481"/>
    <n v="61"/>
    <n v="45884"/>
    <n v="48955"/>
    <n v="215"/>
    <s v="SummerBeats"/>
    <n v="0.10249760265016128"/>
    <x v="0"/>
  </r>
  <r>
    <s v="SP052"/>
    <s v="Twitter"/>
    <d v="2024-09-04T00:00:00"/>
    <s v="Story"/>
    <s v="New music just dropped. Hit play!"/>
    <n v="2613"/>
    <n v="455"/>
    <n v="228"/>
    <n v="21645"/>
    <n v="61334"/>
    <n v="261"/>
    <s v="ChillVibes"/>
    <n v="0.15227535227535227"/>
    <x v="2"/>
  </r>
  <r>
    <s v="SP052"/>
    <s v="Twitter"/>
    <d v="2024-09-04T00:00:00"/>
    <s v="Story"/>
    <s v="New music just dropped. Hit play!"/>
    <n v="2613"/>
    <n v="455"/>
    <n v="228"/>
    <n v="21645"/>
    <n v="61334"/>
    <n v="261"/>
    <s v="ChillVibes"/>
    <n v="0.15227535227535227"/>
    <x v="3"/>
  </r>
  <r>
    <s v="SP053"/>
    <s v="Twitter"/>
    <d v="2024-08-12T00:00:00"/>
    <s v="Story"/>
    <s v="Whats your vibe today?"/>
    <n v="2842"/>
    <n v="213"/>
    <n v="331"/>
    <n v="57660"/>
    <n v="68606"/>
    <n v="87"/>
    <s v="ChillVibes"/>
    <n v="5.8723551855705859E-2"/>
    <x v="3"/>
  </r>
  <r>
    <s v="SP053"/>
    <s v="Twitter"/>
    <d v="2024-08-12T00:00:00"/>
    <s v="Story"/>
    <s v="Whats your vibe today?"/>
    <n v="2842"/>
    <n v="213"/>
    <n v="331"/>
    <n v="57660"/>
    <n v="68606"/>
    <n v="87"/>
    <s v="ChillVibes"/>
    <n v="5.8723551855705859E-2"/>
    <x v="1"/>
  </r>
  <r>
    <s v="SP054"/>
    <s v="Instagram"/>
    <d v="2025-03-06T00:00:00"/>
    <s v="Text"/>
    <s v="Get into the groove with our new drop!"/>
    <n v="4851"/>
    <n v="460"/>
    <n v="212"/>
    <n v="58075"/>
    <n v="59574"/>
    <n v="239"/>
    <s v="IndieWave"/>
    <n v="9.5101162290142052E-2"/>
    <x v="2"/>
  </r>
  <r>
    <s v="SP055"/>
    <s v="Twitter"/>
    <d v="2024-05-08T00:00:00"/>
    <s v="Text"/>
    <s v="Explore the latest podcasts now."/>
    <n v="1828"/>
    <n v="450"/>
    <n v="214"/>
    <n v="52115"/>
    <n v="19166"/>
    <n v="190"/>
    <s v="ChillVibes"/>
    <n v="4.781732706514439E-2"/>
    <x v="1"/>
  </r>
  <r>
    <s v="SP056"/>
    <s v="Instagram"/>
    <d v="2025-02-19T00:00:00"/>
    <s v="Story"/>
    <s v="From pop to podcasts, its all here."/>
    <n v="2422"/>
    <n v="455"/>
    <n v="376"/>
    <n v="23428"/>
    <n v="46775"/>
    <n v="259"/>
    <s v="Wrapped2024"/>
    <n v="0.13885094758408742"/>
    <x v="1"/>
  </r>
  <r>
    <s v="SP057"/>
    <s v="Instagram"/>
    <d v="2024-01-08T00:00:00"/>
    <s v="Text"/>
    <s v="Top trending tracks updated daily!"/>
    <n v="2683"/>
    <n v="405"/>
    <n v="223"/>
    <n v="31233"/>
    <n v="58106"/>
    <n v="291"/>
    <s v="IndieWave"/>
    <n v="0.10600966926007749"/>
    <x v="2"/>
  </r>
  <r>
    <s v="SP058"/>
    <s v="YouTube"/>
    <d v="2024-07-17T00:00:00"/>
    <s v="Text"/>
    <s v="Top trending tracks updated daily!"/>
    <n v="3135"/>
    <n v="110"/>
    <n v="215"/>
    <n v="39192"/>
    <n v="24744"/>
    <n v="177"/>
    <s v="IndieWave"/>
    <n v="8.8283323127168814E-2"/>
    <x v="2"/>
  </r>
  <r>
    <s v="SP058"/>
    <s v="YouTube"/>
    <d v="2024-07-17T00:00:00"/>
    <s v="Text"/>
    <s v="Top trending tracks updated daily!"/>
    <n v="3135"/>
    <n v="110"/>
    <n v="215"/>
    <n v="39192"/>
    <n v="24744"/>
    <n v="177"/>
    <s v="IndieWave"/>
    <n v="8.8283323127168814E-2"/>
    <x v="4"/>
  </r>
  <r>
    <s v="SP059"/>
    <s v="YouTube"/>
    <d v="2024-08-10T00:00:00"/>
    <s v="Text"/>
    <s v="From pop to podcasts, its all here."/>
    <n v="1105"/>
    <n v="181"/>
    <n v="55"/>
    <n v="53581"/>
    <n v="74048"/>
    <n v="220"/>
    <s v="IndieWave"/>
    <n v="2.50275284149232E-2"/>
    <x v="2"/>
  </r>
  <r>
    <s v="SP059"/>
    <s v="YouTube"/>
    <d v="2024-08-10T00:00:00"/>
    <s v="Text"/>
    <s v="From pop to podcasts, its all here."/>
    <n v="1105"/>
    <n v="181"/>
    <n v="55"/>
    <n v="53581"/>
    <n v="74048"/>
    <n v="220"/>
    <s v="IndieWave"/>
    <n v="2.50275284149232E-2"/>
    <x v="4"/>
  </r>
  <r>
    <s v="SP060"/>
    <s v="YouTube"/>
    <d v="2024-04-16T00:00:00"/>
    <s v="Text"/>
    <s v="Discover fresh beats on Spotify!"/>
    <n v="4674"/>
    <n v="326"/>
    <n v="62"/>
    <n v="45503"/>
    <n v="46814"/>
    <n v="116"/>
    <s v="IndieWave"/>
    <n v="0.11124541239039185"/>
    <x v="2"/>
  </r>
  <r>
    <s v="SP060"/>
    <s v="YouTube"/>
    <d v="2024-04-16T00:00:00"/>
    <s v="Text"/>
    <s v="Discover fresh beats on Spotify!"/>
    <n v="4674"/>
    <n v="326"/>
    <n v="62"/>
    <n v="45503"/>
    <n v="46814"/>
    <n v="116"/>
    <s v="IndieWave"/>
    <n v="0.11124541239039185"/>
    <x v="4"/>
  </r>
  <r>
    <s v="SP061"/>
    <s v="YouTube"/>
    <d v="2024-01-01T00:00:00"/>
    <s v="Reel"/>
    <s v="Explore the latest podcasts now."/>
    <n v="3437"/>
    <n v="129"/>
    <n v="359"/>
    <n v="44558"/>
    <n v="30854"/>
    <n v="171"/>
    <s v="SummerBeats"/>
    <n v="8.8087436599488311E-2"/>
    <x v="2"/>
  </r>
  <r>
    <s v="SP061"/>
    <s v="YouTube"/>
    <d v="2024-01-01T00:00:00"/>
    <s v="Reel"/>
    <s v="Explore the latest podcasts now."/>
    <n v="3437"/>
    <n v="129"/>
    <n v="359"/>
    <n v="44558"/>
    <n v="30854"/>
    <n v="171"/>
    <s v="SummerBeats"/>
    <n v="8.8087436599488311E-2"/>
    <x v="0"/>
  </r>
  <r>
    <s v="SP062"/>
    <s v="Twitter"/>
    <d v="2024-11-03T00:00:00"/>
    <s v="Story"/>
    <s v="Wrapped is here! Relive your top tracks"/>
    <n v="1959"/>
    <n v="316"/>
    <n v="82"/>
    <n v="54036"/>
    <n v="69015"/>
    <n v="182"/>
    <s v="ChillVibes"/>
    <n v="4.3619068768968837E-2"/>
    <x v="3"/>
  </r>
  <r>
    <s v="SP062"/>
    <s v="Twitter"/>
    <d v="2024-11-03T00:00:00"/>
    <s v="Story"/>
    <s v="Wrapped is here! Relive your top tracks"/>
    <n v="1959"/>
    <n v="316"/>
    <n v="82"/>
    <n v="54036"/>
    <n v="69015"/>
    <n v="182"/>
    <s v="ChillVibes"/>
    <n v="4.3619068768968837E-2"/>
    <x v="1"/>
  </r>
  <r>
    <s v="SP063"/>
    <s v="Twitter"/>
    <d v="2024-07-07T00:00:00"/>
    <s v="Text"/>
    <s v="New music just dropped. Hit play!"/>
    <n v="1035"/>
    <n v="137"/>
    <n v="184"/>
    <n v="37302"/>
    <n v="68953"/>
    <n v="237"/>
    <s v="IndieWave"/>
    <n v="3.6351938233874857E-2"/>
    <x v="0"/>
  </r>
  <r>
    <s v="SP064"/>
    <s v="Twitter"/>
    <d v="2025-01-22T00:00:00"/>
    <s v="Story"/>
    <s v="New music just dropped. Hit play!"/>
    <n v="4478"/>
    <n v="101"/>
    <n v="121"/>
    <n v="51035"/>
    <n v="58207"/>
    <n v="205"/>
    <s v="ChillVibes"/>
    <n v="9.2093661212893113E-2"/>
    <x v="3"/>
  </r>
  <r>
    <s v="SP064"/>
    <s v="Twitter"/>
    <d v="2025-01-22T00:00:00"/>
    <s v="Story"/>
    <s v="New music just dropped. Hit play!"/>
    <n v="4478"/>
    <n v="101"/>
    <n v="121"/>
    <n v="51035"/>
    <n v="58207"/>
    <n v="205"/>
    <s v="ChillVibes"/>
    <n v="9.2093661212893113E-2"/>
    <x v="1"/>
  </r>
  <r>
    <s v="SP065"/>
    <s v="YouTube"/>
    <d v="2024-05-26T00:00:00"/>
    <s v="Text"/>
    <s v="From pop to podcasts, its all here."/>
    <n v="1488"/>
    <n v="327"/>
    <n v="110"/>
    <n v="53805"/>
    <n v="30239"/>
    <n v="109"/>
    <s v="IndieWave"/>
    <n v="3.5777344113000653E-2"/>
    <x v="2"/>
  </r>
  <r>
    <s v="SP065"/>
    <s v="YouTube"/>
    <d v="2024-05-26T00:00:00"/>
    <s v="Text"/>
    <s v="From pop to podcasts, its all here."/>
    <n v="1488"/>
    <n v="327"/>
    <n v="110"/>
    <n v="53805"/>
    <n v="30239"/>
    <n v="109"/>
    <s v="IndieWave"/>
    <n v="3.5777344113000653E-2"/>
    <x v="4"/>
  </r>
  <r>
    <s v="SP066"/>
    <s v="Instagram"/>
    <d v="2025-04-16T00:00:00"/>
    <s v="Text"/>
    <s v="Wrapped is here! Relive your top tracks"/>
    <n v="4836"/>
    <n v="331"/>
    <n v="140"/>
    <n v="58792"/>
    <n v="47711"/>
    <n v="227"/>
    <s v="ChillVibes"/>
    <n v="9.0267383317458164E-2"/>
    <x v="0"/>
  </r>
  <r>
    <s v="SP066"/>
    <s v="Instagram"/>
    <d v="2025-04-16T00:00:00"/>
    <s v="Text"/>
    <s v="Wrapped is here! Relive your top tracks"/>
    <n v="4836"/>
    <n v="331"/>
    <n v="140"/>
    <n v="58792"/>
    <n v="47711"/>
    <n v="227"/>
    <s v="ChillVibes"/>
    <n v="9.0267383317458164E-2"/>
    <x v="1"/>
  </r>
  <r>
    <s v="SP067"/>
    <s v="YouTube"/>
    <d v="2024-04-02T00:00:00"/>
    <s v="Reel"/>
    <s v="Your weekend playlist is waiting."/>
    <n v="4563"/>
    <n v="488"/>
    <n v="356"/>
    <n v="30619"/>
    <n v="23328"/>
    <n v="267"/>
    <s v="SummerBeats"/>
    <n v="0.17658969920637513"/>
    <x v="2"/>
  </r>
  <r>
    <s v="SP067"/>
    <s v="YouTube"/>
    <d v="2024-04-02T00:00:00"/>
    <s v="Reel"/>
    <s v="Your weekend playlist is waiting."/>
    <n v="4563"/>
    <n v="488"/>
    <n v="356"/>
    <n v="30619"/>
    <n v="23328"/>
    <n v="267"/>
    <s v="SummerBeats"/>
    <n v="0.17658969920637513"/>
    <x v="0"/>
  </r>
  <r>
    <s v="SP068"/>
    <s v="Twitter"/>
    <d v="2024-03-28T00:00:00"/>
    <s v="Text"/>
    <s v="Music that moves you only on Spotify."/>
    <n v="3276"/>
    <n v="421"/>
    <n v="114"/>
    <n v="20580"/>
    <n v="30324"/>
    <n v="221"/>
    <s v="IndieWave"/>
    <n v="0.18517978620019437"/>
    <x v="0"/>
  </r>
  <r>
    <s v="SP069"/>
    <s v="Twitter"/>
    <d v="2024-12-17T00:00:00"/>
    <s v="Story"/>
    <s v="Music that moves you only on Spotify."/>
    <n v="1316"/>
    <n v="472"/>
    <n v="286"/>
    <n v="44692"/>
    <n v="53343"/>
    <n v="227"/>
    <s v="ChillVibes"/>
    <n v="4.6406515707509172E-2"/>
    <x v="2"/>
  </r>
  <r>
    <s v="SP069"/>
    <s v="Twitter"/>
    <d v="2024-12-17T00:00:00"/>
    <s v="Story"/>
    <s v="Music that moves you only on Spotify."/>
    <n v="1316"/>
    <n v="472"/>
    <n v="286"/>
    <n v="44692"/>
    <n v="53343"/>
    <n v="227"/>
    <s v="ChillVibes"/>
    <n v="4.6406515707509172E-2"/>
    <x v="3"/>
  </r>
  <r>
    <s v="SP070"/>
    <s v="Twitter"/>
    <d v="2025-01-05T00:00:00"/>
    <s v="Text"/>
    <s v="Wrapped is here! Relive your top tracks"/>
    <n v="4811"/>
    <n v="473"/>
    <n v="254"/>
    <n v="51964"/>
    <n v="68795"/>
    <n v="107"/>
    <s v="ChillVibes"/>
    <n v="0.10657378184897237"/>
    <x v="1"/>
  </r>
  <r>
    <s v="SP071"/>
    <s v="Twitter"/>
    <d v="2024-01-11T00:00:00"/>
    <s v="Text"/>
    <s v="Whats your vibe today?"/>
    <n v="4218"/>
    <n v="247"/>
    <n v="183"/>
    <n v="28914"/>
    <n v="18310"/>
    <n v="135"/>
    <s v="IndieWave"/>
    <n v="0.1607525766064882"/>
    <x v="0"/>
  </r>
  <r>
    <s v="SP072"/>
    <s v="Instagram"/>
    <d v="2024-10-11T00:00:00"/>
    <s v="Text"/>
    <s v="From pop to podcasts, its all here."/>
    <n v="1360"/>
    <n v="249"/>
    <n v="52"/>
    <n v="20368"/>
    <n v="42152"/>
    <n v="193"/>
    <s v="IndieWave"/>
    <n v="8.1549489395129612E-2"/>
    <x v="2"/>
  </r>
  <r>
    <s v="SP073"/>
    <s v="YouTube"/>
    <d v="2025-05-06T00:00:00"/>
    <s v="Reel"/>
    <s v="Discover fresh beats on Spotify!"/>
    <n v="1085"/>
    <n v="496"/>
    <n v="320"/>
    <n v="36528"/>
    <n v="38599"/>
    <n v="270"/>
    <s v="SummerBeats"/>
    <n v="5.2042268944371438E-2"/>
    <x v="2"/>
  </r>
  <r>
    <s v="SP073"/>
    <s v="YouTube"/>
    <d v="2025-05-06T00:00:00"/>
    <s v="Reel"/>
    <s v="Discover fresh beats on Spotify!"/>
    <n v="1085"/>
    <n v="496"/>
    <n v="320"/>
    <n v="36528"/>
    <n v="38599"/>
    <n v="270"/>
    <s v="SummerBeats"/>
    <n v="5.2042268944371438E-2"/>
    <x v="0"/>
  </r>
  <r>
    <s v="SP074"/>
    <s v="Twitter"/>
    <d v="2024-05-19T00:00:00"/>
    <s v="Story"/>
    <s v="Get into the groove with our new drop!"/>
    <n v="1763"/>
    <n v="206"/>
    <n v="187"/>
    <n v="53342"/>
    <n v="25095"/>
    <n v="88"/>
    <s v="ChillVibes"/>
    <n v="4.0418432004799221E-2"/>
    <x v="2"/>
  </r>
  <r>
    <s v="SP074"/>
    <s v="Twitter"/>
    <d v="2024-05-19T00:00:00"/>
    <s v="Story"/>
    <s v="Get into the groove with our new drop!"/>
    <n v="1763"/>
    <n v="206"/>
    <n v="187"/>
    <n v="53342"/>
    <n v="25095"/>
    <n v="88"/>
    <s v="ChillVibes"/>
    <n v="4.0418432004799221E-2"/>
    <x v="3"/>
  </r>
  <r>
    <s v="SP075"/>
    <s v="Twitter"/>
    <d v="2024-01-22T00:00:00"/>
    <s v="Story"/>
    <s v="From pop to podcasts, its all here."/>
    <n v="1554"/>
    <n v="455"/>
    <n v="158"/>
    <n v="41947"/>
    <n v="48578"/>
    <n v="101"/>
    <s v="ChillVibes"/>
    <n v="5.1660428636136076E-2"/>
    <x v="0"/>
  </r>
  <r>
    <s v="SP075"/>
    <s v="Twitter"/>
    <d v="2024-01-22T00:00:00"/>
    <s v="Story"/>
    <s v="From pop to podcasts, its all here."/>
    <n v="1554"/>
    <n v="455"/>
    <n v="158"/>
    <n v="41947"/>
    <n v="48578"/>
    <n v="101"/>
    <s v="ChillVibes"/>
    <n v="5.1660428636136076E-2"/>
    <x v="1"/>
  </r>
  <r>
    <s v="SP076"/>
    <s v="Instagram"/>
    <d v="2024-07-14T00:00:00"/>
    <s v="Text"/>
    <s v="Wrapped is here! Relive your top tracks"/>
    <n v="2464"/>
    <n v="401"/>
    <n v="78"/>
    <n v="38665"/>
    <n v="73593"/>
    <n v="207"/>
    <s v="IndieWave"/>
    <n v="7.611534979956032E-2"/>
    <x v="2"/>
  </r>
  <r>
    <s v="SP077"/>
    <s v="Twitter"/>
    <d v="2025-05-28T00:00:00"/>
    <s v="Text"/>
    <s v="From pop to podcasts, its all here."/>
    <n v="2418"/>
    <n v="161"/>
    <n v="360"/>
    <n v="30589"/>
    <n v="41383"/>
    <n v="88"/>
    <s v="ChillVibes"/>
    <n v="9.6080290300434801E-2"/>
    <x v="1"/>
  </r>
  <r>
    <s v="SP078"/>
    <s v="Twitter"/>
    <d v="2025-01-21T00:00:00"/>
    <s v="Story"/>
    <s v="Discover fresh beats on Spotify!"/>
    <n v="2494"/>
    <n v="494"/>
    <n v="55"/>
    <n v="22580"/>
    <n v="22214"/>
    <n v="109"/>
    <s v="ChillVibes"/>
    <n v="0.13476527900797167"/>
    <x v="3"/>
  </r>
  <r>
    <s v="SP078"/>
    <s v="Twitter"/>
    <d v="2025-01-21T00:00:00"/>
    <s v="Story"/>
    <s v="Discover fresh beats on Spotify!"/>
    <n v="2494"/>
    <n v="494"/>
    <n v="55"/>
    <n v="22580"/>
    <n v="22214"/>
    <n v="109"/>
    <s v="ChillVibes"/>
    <n v="0.13476527900797167"/>
    <x v="1"/>
  </r>
  <r>
    <s v="SP079"/>
    <s v="YouTube"/>
    <d v="2024-01-13T00:00:00"/>
    <s v="Reel"/>
    <s v="New music just dropped. Hit play!"/>
    <n v="4781"/>
    <n v="191"/>
    <n v="122"/>
    <n v="35535"/>
    <n v="50777"/>
    <n v="128"/>
    <s v="SummerBeats"/>
    <n v="0.14335162515829464"/>
    <x v="2"/>
  </r>
  <r>
    <s v="SP079"/>
    <s v="YouTube"/>
    <d v="2024-01-13T00:00:00"/>
    <s v="Reel"/>
    <s v="New music just dropped. Hit play!"/>
    <n v="4781"/>
    <n v="191"/>
    <n v="122"/>
    <n v="35535"/>
    <n v="50777"/>
    <n v="128"/>
    <s v="SummerBeats"/>
    <n v="0.14335162515829464"/>
    <x v="0"/>
  </r>
  <r>
    <s v="SP080"/>
    <s v="Instagram"/>
    <d v="2025-06-17T00:00:00"/>
    <s v="Text"/>
    <s v="Music that moves you only on Spotify."/>
    <n v="2284"/>
    <n v="187"/>
    <n v="260"/>
    <n v="37400"/>
    <n v="65014"/>
    <n v="157"/>
    <s v="ChillVibes"/>
    <n v="7.3021390374331557E-2"/>
    <x v="0"/>
  </r>
  <r>
    <s v="SP080"/>
    <s v="Instagram"/>
    <d v="2025-06-17T00:00:00"/>
    <s v="Text"/>
    <s v="Music that moves you only on Spotify."/>
    <n v="2284"/>
    <n v="187"/>
    <n v="260"/>
    <n v="37400"/>
    <n v="65014"/>
    <n v="157"/>
    <s v="ChillVibes"/>
    <n v="7.3021390374331557E-2"/>
    <x v="1"/>
  </r>
  <r>
    <s v="SP081"/>
    <s v="Twitter"/>
    <d v="2025-03-07T00:00:00"/>
    <s v="Text"/>
    <s v="Get into the groove with our new drop!"/>
    <n v="4234"/>
    <n v="486"/>
    <n v="276"/>
    <n v="56623"/>
    <n v="41343"/>
    <n v="184"/>
    <s v="IndieWave"/>
    <n v="8.8232696960599044E-2"/>
    <x v="0"/>
  </r>
  <r>
    <s v="SP082"/>
    <s v="Instagram"/>
    <d v="2024-08-26T00:00:00"/>
    <s v="Text"/>
    <s v="Your weekend playlist is waiting."/>
    <n v="2102"/>
    <n v="181"/>
    <n v="306"/>
    <n v="43650"/>
    <n v="50079"/>
    <n v="182"/>
    <s v="IndieWave"/>
    <n v="5.9312714776632303E-2"/>
    <x v="2"/>
  </r>
  <r>
    <s v="SP083"/>
    <s v="Twitter"/>
    <d v="2025-01-03T00:00:00"/>
    <s v="Story"/>
    <s v="Get into the groove with our new drop!"/>
    <n v="4845"/>
    <n v="158"/>
    <n v="84"/>
    <n v="34578"/>
    <n v="51480"/>
    <n v="180"/>
    <s v="ChillVibes"/>
    <n v="0.1471166637746544"/>
    <x v="0"/>
  </r>
  <r>
    <s v="SP083"/>
    <s v="Twitter"/>
    <d v="2025-01-03T00:00:00"/>
    <s v="Story"/>
    <s v="Get into the groove with our new drop!"/>
    <n v="4845"/>
    <n v="158"/>
    <n v="84"/>
    <n v="34578"/>
    <n v="51480"/>
    <n v="180"/>
    <s v="ChillVibes"/>
    <n v="0.1471166637746544"/>
    <x v="1"/>
  </r>
  <r>
    <s v="SP084"/>
    <s v="Twitter"/>
    <d v="2024-08-03T00:00:00"/>
    <s v="Text"/>
    <s v="Your weekend playlist is waiting."/>
    <n v="4247"/>
    <n v="390"/>
    <n v="213"/>
    <n v="29785"/>
    <n v="57768"/>
    <n v="122"/>
    <s v="ChillVibes"/>
    <n v="0.16283364109451065"/>
    <x v="1"/>
  </r>
  <r>
    <s v="SP085"/>
    <s v="Instagram"/>
    <d v="2024-08-18T00:00:00"/>
    <s v="Text"/>
    <s v="Explore the latest podcasts now."/>
    <n v="2965"/>
    <n v="328"/>
    <n v="171"/>
    <n v="57685"/>
    <n v="67536"/>
    <n v="264"/>
    <s v="ChillVibes"/>
    <n v="6.0050273034584378E-2"/>
    <x v="0"/>
  </r>
  <r>
    <s v="SP085"/>
    <s v="Instagram"/>
    <d v="2024-08-18T00:00:00"/>
    <s v="Text"/>
    <s v="Explore the latest podcasts now."/>
    <n v="2965"/>
    <n v="328"/>
    <n v="171"/>
    <n v="57685"/>
    <n v="67536"/>
    <n v="264"/>
    <s v="ChillVibes"/>
    <n v="6.0050273034584378E-2"/>
    <x v="1"/>
  </r>
  <r>
    <s v="SP086"/>
    <s v="Twitter"/>
    <d v="2025-05-14T00:00:00"/>
    <s v="Story"/>
    <s v="Wrapped is here! Relive your top tracks"/>
    <n v="1371"/>
    <n v="139"/>
    <n v="96"/>
    <n v="36140"/>
    <n v="39395"/>
    <n v="169"/>
    <s v="ChillVibes"/>
    <n v="4.4438295517432211E-2"/>
    <x v="0"/>
  </r>
  <r>
    <s v="SP086"/>
    <s v="Twitter"/>
    <d v="2025-05-14T00:00:00"/>
    <s v="Story"/>
    <s v="Wrapped is here! Relive your top tracks"/>
    <n v="1371"/>
    <n v="139"/>
    <n v="96"/>
    <n v="36140"/>
    <n v="39395"/>
    <n v="169"/>
    <s v="ChillVibes"/>
    <n v="4.4438295517432211E-2"/>
    <x v="1"/>
  </r>
  <r>
    <s v="SP087"/>
    <s v="Twitter"/>
    <d v="2024-04-23T00:00:00"/>
    <s v="Story"/>
    <s v="Discover fresh beats on Spotify!"/>
    <n v="2683"/>
    <n v="496"/>
    <n v="89"/>
    <n v="53435"/>
    <n v="30334"/>
    <n v="160"/>
    <s v="ChillVibes"/>
    <n v="6.1158416768035934E-2"/>
    <x v="0"/>
  </r>
  <r>
    <s v="SP087"/>
    <s v="Twitter"/>
    <d v="2024-04-23T00:00:00"/>
    <s v="Story"/>
    <s v="Discover fresh beats on Spotify!"/>
    <n v="2683"/>
    <n v="496"/>
    <n v="89"/>
    <n v="53435"/>
    <n v="30334"/>
    <n v="160"/>
    <s v="ChillVibes"/>
    <n v="6.1158416768035934E-2"/>
    <x v="1"/>
  </r>
  <r>
    <s v="SP088"/>
    <s v="Twitter"/>
    <d v="2025-02-17T00:00:00"/>
    <s v="Story"/>
    <s v="Whats your vibe today?"/>
    <n v="4796"/>
    <n v="427"/>
    <n v="339"/>
    <n v="30752"/>
    <n v="33870"/>
    <n v="298"/>
    <s v="ChillVibes"/>
    <n v="0.18086628511966701"/>
    <x v="0"/>
  </r>
  <r>
    <s v="SP088"/>
    <s v="Twitter"/>
    <d v="2025-02-17T00:00:00"/>
    <s v="Story"/>
    <s v="Whats your vibe today?"/>
    <n v="4796"/>
    <n v="427"/>
    <n v="339"/>
    <n v="30752"/>
    <n v="33870"/>
    <n v="298"/>
    <s v="ChillVibes"/>
    <n v="0.18086628511966701"/>
    <x v="1"/>
  </r>
  <r>
    <s v="SP089"/>
    <s v="Instagram"/>
    <d v="2024-12-04T00:00:00"/>
    <s v="Text"/>
    <s v="Wrapped is here! Relive your top tracks"/>
    <n v="2601"/>
    <n v="336"/>
    <n v="260"/>
    <n v="32368"/>
    <n v="49028"/>
    <n v="120"/>
    <s v="ChillVibes"/>
    <n v="9.8770390509144837E-2"/>
    <x v="0"/>
  </r>
  <r>
    <s v="SP089"/>
    <s v="Instagram"/>
    <d v="2024-12-04T00:00:00"/>
    <s v="Text"/>
    <s v="Wrapped is here! Relive your top tracks"/>
    <n v="2601"/>
    <n v="336"/>
    <n v="260"/>
    <n v="32368"/>
    <n v="49028"/>
    <n v="120"/>
    <s v="ChillVibes"/>
    <n v="9.8770390509144837E-2"/>
    <x v="1"/>
  </r>
  <r>
    <s v="SP090"/>
    <s v="Twitter"/>
    <d v="2024-07-22T00:00:00"/>
    <s v="Story"/>
    <s v="Wrapped is here! Relive your top tracks"/>
    <n v="3336"/>
    <n v="229"/>
    <n v="337"/>
    <n v="22117"/>
    <n v="26205"/>
    <n v="160"/>
    <s v="ChillVibes"/>
    <n v="0.17642537414658407"/>
    <x v="3"/>
  </r>
  <r>
    <s v="SP090"/>
    <s v="Twitter"/>
    <d v="2024-07-22T00:00:00"/>
    <s v="Story"/>
    <s v="Wrapped is here! Relive your top tracks"/>
    <n v="3336"/>
    <n v="229"/>
    <n v="337"/>
    <n v="22117"/>
    <n v="26205"/>
    <n v="160"/>
    <s v="ChillVibes"/>
    <n v="0.17642537414658407"/>
    <x v="1"/>
  </r>
  <r>
    <s v="SP091"/>
    <s v="Twitter"/>
    <d v="2025-04-27T00:00:00"/>
    <s v="Text"/>
    <s v="Explore the latest podcasts now."/>
    <n v="1165"/>
    <n v="294"/>
    <n v="163"/>
    <n v="20659"/>
    <n v="45926"/>
    <n v="111"/>
    <s v="IndieWave"/>
    <n v="7.8512996756861422E-2"/>
    <x v="0"/>
  </r>
  <r>
    <s v="SP092"/>
    <s v="YouTube"/>
    <d v="2024-03-25T00:00:00"/>
    <s v="Reel"/>
    <s v="Explore the latest podcasts now."/>
    <n v="1948"/>
    <n v="155"/>
    <n v="315"/>
    <n v="30321"/>
    <n v="57121"/>
    <n v="82"/>
    <s v="SummerBeats"/>
    <n v="7.974671020085089E-2"/>
    <x v="2"/>
  </r>
  <r>
    <s v="SP092"/>
    <s v="YouTube"/>
    <d v="2024-03-25T00:00:00"/>
    <s v="Reel"/>
    <s v="Explore the latest podcasts now."/>
    <n v="1948"/>
    <n v="155"/>
    <n v="315"/>
    <n v="30321"/>
    <n v="57121"/>
    <n v="82"/>
    <s v="SummerBeats"/>
    <n v="7.974671020085089E-2"/>
    <x v="0"/>
  </r>
  <r>
    <s v="SP093"/>
    <s v="Instagram"/>
    <d v="2024-02-29T00:00:00"/>
    <s v="Text"/>
    <s v="From pop to podcasts, its all here."/>
    <n v="1100"/>
    <n v="229"/>
    <n v="312"/>
    <n v="25641"/>
    <n v="34601"/>
    <n v="169"/>
    <s v="IndieWave"/>
    <n v="6.3999063999063993E-2"/>
    <x v="2"/>
  </r>
  <r>
    <s v="SP094"/>
    <s v="Twitter"/>
    <d v="2024-11-13T00:00:00"/>
    <s v="Story"/>
    <s v="Top trending tracks updated daily!"/>
    <n v="4628"/>
    <n v="257"/>
    <n v="397"/>
    <n v="36686"/>
    <n v="54683"/>
    <n v="98"/>
    <s v="ChillVibes"/>
    <n v="0.1439786294499264"/>
    <x v="0"/>
  </r>
  <r>
    <s v="SP094"/>
    <s v="Twitter"/>
    <d v="2024-11-13T00:00:00"/>
    <s v="Story"/>
    <s v="Top trending tracks updated daily!"/>
    <n v="4628"/>
    <n v="257"/>
    <n v="397"/>
    <n v="36686"/>
    <n v="54683"/>
    <n v="98"/>
    <s v="ChillVibes"/>
    <n v="0.1439786294499264"/>
    <x v="1"/>
  </r>
  <r>
    <s v="SP095"/>
    <s v="Instagram"/>
    <d v="2024-03-22T00:00:00"/>
    <s v="Story"/>
    <s v="Discover fresh beats on Spotify!"/>
    <n v="2319"/>
    <n v="484"/>
    <n v="193"/>
    <n v="21202"/>
    <n v="18091"/>
    <n v="241"/>
    <s v="Wrapped2024"/>
    <n v="0.14130742382794076"/>
    <x v="1"/>
  </r>
  <r>
    <s v="SP096"/>
    <s v="Twitter"/>
    <d v="2024-03-16T00:00:00"/>
    <s v="Story"/>
    <s v="Wrapped is here! Relive your top tracks"/>
    <n v="2895"/>
    <n v="292"/>
    <n v="90"/>
    <n v="24223"/>
    <n v="54626"/>
    <n v="114"/>
    <s v="ChillVibes"/>
    <n v="0.13528464682326713"/>
    <x v="0"/>
  </r>
  <r>
    <s v="SP096"/>
    <s v="Twitter"/>
    <d v="2024-03-16T00:00:00"/>
    <s v="Story"/>
    <s v="Wrapped is here! Relive your top tracks"/>
    <n v="2895"/>
    <n v="292"/>
    <n v="90"/>
    <n v="24223"/>
    <n v="54626"/>
    <n v="114"/>
    <s v="ChillVibes"/>
    <n v="0.13528464682326713"/>
    <x v="1"/>
  </r>
  <r>
    <s v="SP097"/>
    <s v="Instagram"/>
    <d v="2024-01-26T00:00:00"/>
    <s v="Text"/>
    <s v="Whats your vibe today?"/>
    <n v="3878"/>
    <n v="431"/>
    <n v="97"/>
    <n v="41763"/>
    <n v="29729"/>
    <n v="191"/>
    <s v="IndieWave"/>
    <n v="0.10550008380623997"/>
    <x v="2"/>
  </r>
  <r>
    <s v="SP098"/>
    <s v="Twitter"/>
    <d v="2024-03-15T00:00:00"/>
    <s v="Story"/>
    <s v="Get into the groove with our new drop!"/>
    <n v="4969"/>
    <n v="433"/>
    <n v="237"/>
    <n v="59552"/>
    <n v="23885"/>
    <n v="157"/>
    <s v="ChillVibes"/>
    <n v="9.4690354648038683E-2"/>
    <x v="2"/>
  </r>
  <r>
    <s v="SP098"/>
    <s v="Twitter"/>
    <d v="2024-03-15T00:00:00"/>
    <s v="Story"/>
    <s v="Get into the groove with our new drop!"/>
    <n v="4969"/>
    <n v="433"/>
    <n v="237"/>
    <n v="59552"/>
    <n v="23885"/>
    <n v="157"/>
    <s v="ChillVibes"/>
    <n v="9.4690354648038683E-2"/>
    <x v="3"/>
  </r>
  <r>
    <s v="SP099"/>
    <s v="Twitter"/>
    <d v="2024-10-15T00:00:00"/>
    <s v="Text"/>
    <s v="Wrapped is here! Relive your top tracks"/>
    <n v="1984"/>
    <n v="481"/>
    <n v="356"/>
    <n v="40681"/>
    <n v="63111"/>
    <n v="258"/>
    <s v="ChillVibes"/>
    <n v="6.934441139598338E-2"/>
    <x v="1"/>
  </r>
  <r>
    <s v="SP100"/>
    <s v="Instagram"/>
    <d v="2024-07-21T00:00:00"/>
    <s v="Text"/>
    <s v="Discover fresh beats on Spotify!"/>
    <n v="3004"/>
    <n v="415"/>
    <n v="218"/>
    <n v="36090"/>
    <n v="37073"/>
    <n v="181"/>
    <s v="IndieWave"/>
    <n v="0.10077583818232197"/>
    <x v="2"/>
  </r>
  <r>
    <s v="SP101"/>
    <s v="Twitter"/>
    <d v="2024-10-12T00:00:00"/>
    <s v="Text"/>
    <s v="Get into the groove with our new drop!"/>
    <n v="3169"/>
    <n v="386"/>
    <n v="175"/>
    <n v="45012"/>
    <n v="38508"/>
    <n v="218"/>
    <s v="ChillVibes"/>
    <n v="8.2866791077934779E-2"/>
    <x v="1"/>
  </r>
  <r>
    <s v="SP102"/>
    <s v="Twitter"/>
    <d v="2024-10-26T00:00:00"/>
    <s v="Text"/>
    <s v="Discover fresh beats on Spotify!"/>
    <n v="3036"/>
    <n v="293"/>
    <n v="115"/>
    <n v="23776"/>
    <n v="46386"/>
    <n v="282"/>
    <s v="ChillVibes"/>
    <n v="0.14485195154777927"/>
    <x v="1"/>
  </r>
  <r>
    <s v="SP103"/>
    <s v="Instagram"/>
    <d v="2024-02-14T00:00:00"/>
    <s v="Text"/>
    <s v="Music that moves you only on Spotify."/>
    <n v="1830"/>
    <n v="112"/>
    <n v="181"/>
    <n v="31870"/>
    <n v="55742"/>
    <n v="263"/>
    <s v="ChillVibes"/>
    <n v="6.6614370881706936E-2"/>
    <x v="0"/>
  </r>
  <r>
    <s v="SP103"/>
    <s v="Instagram"/>
    <d v="2024-02-14T00:00:00"/>
    <s v="Text"/>
    <s v="Music that moves you only on Spotify."/>
    <n v="1830"/>
    <n v="112"/>
    <n v="181"/>
    <n v="31870"/>
    <n v="55742"/>
    <n v="263"/>
    <s v="ChillVibes"/>
    <n v="6.6614370881706936E-2"/>
    <x v="1"/>
  </r>
  <r>
    <s v="SP104"/>
    <s v="Twitter"/>
    <d v="2024-05-01T00:00:00"/>
    <s v="Story"/>
    <s v="Whats your vibe today?"/>
    <n v="2587"/>
    <n v="447"/>
    <n v="183"/>
    <n v="36266"/>
    <n v="32877"/>
    <n v="132"/>
    <s v="ChillVibes"/>
    <n v="8.8705674736667947E-2"/>
    <x v="2"/>
  </r>
  <r>
    <s v="SP104"/>
    <s v="Twitter"/>
    <d v="2024-05-01T00:00:00"/>
    <s v="Story"/>
    <s v="Whats your vibe today?"/>
    <n v="2587"/>
    <n v="447"/>
    <n v="183"/>
    <n v="36266"/>
    <n v="32877"/>
    <n v="132"/>
    <s v="ChillVibes"/>
    <n v="8.8705674736667947E-2"/>
    <x v="3"/>
  </r>
  <r>
    <s v="SP105"/>
    <s v="Twitter"/>
    <d v="2024-09-18T00:00:00"/>
    <s v="Text"/>
    <s v="Discover fresh beats on Spotify!"/>
    <n v="2878"/>
    <n v="265"/>
    <n v="91"/>
    <n v="52090"/>
    <n v="28924"/>
    <n v="133"/>
    <s v="ChillVibes"/>
    <n v="6.2084853138798232E-2"/>
    <x v="1"/>
  </r>
  <r>
    <s v="SP106"/>
    <s v="Twitter"/>
    <d v="2025-01-20T00:00:00"/>
    <s v="Story"/>
    <s v="New music just dropped. Hit play!"/>
    <n v="4619"/>
    <n v="272"/>
    <n v="57"/>
    <n v="21334"/>
    <n v="46292"/>
    <n v="91"/>
    <s v="ChillVibes"/>
    <n v="0.23193025217961938"/>
    <x v="0"/>
  </r>
  <r>
    <s v="SP106"/>
    <s v="Twitter"/>
    <d v="2025-01-20T00:00:00"/>
    <s v="Story"/>
    <s v="New music just dropped. Hit play!"/>
    <n v="4619"/>
    <n v="272"/>
    <n v="57"/>
    <n v="21334"/>
    <n v="46292"/>
    <n v="91"/>
    <s v="ChillVibes"/>
    <n v="0.23193025217961938"/>
    <x v="1"/>
  </r>
  <r>
    <s v="SP107"/>
    <s v="Twitter"/>
    <d v="2025-01-13T00:00:00"/>
    <s v="Text"/>
    <s v="Music that moves you only on Spotify."/>
    <n v="4090"/>
    <n v="209"/>
    <n v="278"/>
    <n v="52853"/>
    <n v="57084"/>
    <n v="102"/>
    <s v="IndieWave"/>
    <n v="8.6598679355949518E-2"/>
    <x v="0"/>
  </r>
  <r>
    <s v="SP108"/>
    <s v="YouTube"/>
    <d v="2024-09-07T00:00:00"/>
    <s v="Reel"/>
    <s v="Music that moves you only on Spotify."/>
    <n v="3882"/>
    <n v="342"/>
    <n v="374"/>
    <n v="41991"/>
    <n v="48554"/>
    <n v="118"/>
    <s v="SummerBeats"/>
    <n v="0.10949965468790931"/>
    <x v="2"/>
  </r>
  <r>
    <s v="SP108"/>
    <s v="YouTube"/>
    <d v="2024-09-07T00:00:00"/>
    <s v="Reel"/>
    <s v="Music that moves you only on Spotify."/>
    <n v="3882"/>
    <n v="342"/>
    <n v="374"/>
    <n v="41991"/>
    <n v="48554"/>
    <n v="118"/>
    <s v="SummerBeats"/>
    <n v="0.10949965468790931"/>
    <x v="0"/>
  </r>
  <r>
    <s v="SP109"/>
    <s v="Instagram"/>
    <d v="2024-11-21T00:00:00"/>
    <s v="Text"/>
    <s v="Music that moves you only on Spotify."/>
    <n v="4581"/>
    <n v="181"/>
    <n v="112"/>
    <n v="35221"/>
    <n v="28797"/>
    <n v="164"/>
    <s v="ChillVibes"/>
    <n v="0.13838335084182732"/>
    <x v="0"/>
  </r>
  <r>
    <s v="SP109"/>
    <s v="Instagram"/>
    <d v="2024-11-21T00:00:00"/>
    <s v="Text"/>
    <s v="Music that moves you only on Spotify."/>
    <n v="4581"/>
    <n v="181"/>
    <n v="112"/>
    <n v="35221"/>
    <n v="28797"/>
    <n v="164"/>
    <s v="ChillVibes"/>
    <n v="0.13838335084182732"/>
    <x v="1"/>
  </r>
  <r>
    <s v="SP110"/>
    <s v="Instagram"/>
    <d v="2024-06-26T00:00:00"/>
    <s v="Text"/>
    <s v="New music just dropped. Hit play!"/>
    <n v="3253"/>
    <n v="483"/>
    <n v="336"/>
    <n v="25397"/>
    <n v="51485"/>
    <n v="131"/>
    <s v="IndieWave"/>
    <n v="0.16033389770445328"/>
    <x v="2"/>
  </r>
  <r>
    <s v="SP111"/>
    <s v="YouTube"/>
    <d v="2024-07-20T00:00:00"/>
    <s v="Reel"/>
    <s v="Music that moves you only on Spotify."/>
    <n v="4955"/>
    <n v="299"/>
    <n v="345"/>
    <n v="33644"/>
    <n v="43547"/>
    <n v="194"/>
    <s v="SummerBeats"/>
    <n v="0.16641897515158721"/>
    <x v="2"/>
  </r>
  <r>
    <s v="SP111"/>
    <s v="YouTube"/>
    <d v="2024-07-20T00:00:00"/>
    <s v="Reel"/>
    <s v="Music that moves you only on Spotify."/>
    <n v="4955"/>
    <n v="299"/>
    <n v="345"/>
    <n v="33644"/>
    <n v="43547"/>
    <n v="194"/>
    <s v="SummerBeats"/>
    <n v="0.16641897515158721"/>
    <x v="0"/>
  </r>
  <r>
    <s v="SP112"/>
    <s v="Instagram"/>
    <d v="2025-02-16T00:00:00"/>
    <s v="Text"/>
    <s v="Your weekend playlist is waiting."/>
    <n v="1333"/>
    <n v="286"/>
    <n v="298"/>
    <n v="36174"/>
    <n v="34517"/>
    <n v="170"/>
    <s v="ChillVibes"/>
    <n v="5.2993862995521647E-2"/>
    <x v="0"/>
  </r>
  <r>
    <s v="SP112"/>
    <s v="Instagram"/>
    <d v="2025-02-16T00:00:00"/>
    <s v="Text"/>
    <s v="Your weekend playlist is waiting."/>
    <n v="1333"/>
    <n v="286"/>
    <n v="298"/>
    <n v="36174"/>
    <n v="34517"/>
    <n v="170"/>
    <s v="ChillVibes"/>
    <n v="5.2993862995521647E-2"/>
    <x v="1"/>
  </r>
  <r>
    <s v="SP113"/>
    <s v="Instagram"/>
    <d v="2024-09-09T00:00:00"/>
    <s v="Text"/>
    <s v="New music just dropped. Hit play!"/>
    <n v="1616"/>
    <n v="360"/>
    <n v="180"/>
    <n v="54342"/>
    <n v="18796"/>
    <n v="282"/>
    <s v="ChillVibes"/>
    <n v="3.9674653122814763E-2"/>
    <x v="0"/>
  </r>
  <r>
    <s v="SP113"/>
    <s v="Instagram"/>
    <d v="2024-09-09T00:00:00"/>
    <s v="Text"/>
    <s v="New music just dropped. Hit play!"/>
    <n v="1616"/>
    <n v="360"/>
    <n v="180"/>
    <n v="54342"/>
    <n v="18796"/>
    <n v="282"/>
    <s v="ChillVibes"/>
    <n v="3.9674653122814763E-2"/>
    <x v="1"/>
  </r>
  <r>
    <s v="SP114"/>
    <s v="Twitter"/>
    <d v="2024-07-16T00:00:00"/>
    <s v="Text"/>
    <s v="Top trending tracks updated daily!"/>
    <n v="1803"/>
    <n v="273"/>
    <n v="287"/>
    <n v="46176"/>
    <n v="25488"/>
    <n v="141"/>
    <s v="ChillVibes"/>
    <n v="5.1173769923769923E-2"/>
    <x v="1"/>
  </r>
  <r>
    <s v="SP115"/>
    <s v="Instagram"/>
    <d v="2025-04-15T00:00:00"/>
    <s v="Text"/>
    <s v="Explore the latest podcasts now."/>
    <n v="4177"/>
    <n v="489"/>
    <n v="331"/>
    <n v="57451"/>
    <n v="73793"/>
    <n v="251"/>
    <s v="IndieWave"/>
    <n v="8.6978468608031198E-2"/>
    <x v="2"/>
  </r>
  <r>
    <s v="SP116"/>
    <s v="Instagram"/>
    <d v="2025-05-04T00:00:00"/>
    <s v="Story"/>
    <s v="New music just dropped. Hit play!"/>
    <n v="1311"/>
    <n v="181"/>
    <n v="361"/>
    <n v="37148"/>
    <n v="44875"/>
    <n v="245"/>
    <s v="Wrapped2024"/>
    <n v="4.9881554861634543E-2"/>
    <x v="1"/>
  </r>
  <r>
    <s v="SP117"/>
    <s v="Instagram"/>
    <d v="2024-02-18T00:00:00"/>
    <s v="Story"/>
    <s v="From pop to podcasts, its all here."/>
    <n v="1516"/>
    <n v="215"/>
    <n v="332"/>
    <n v="58981"/>
    <n v="36118"/>
    <n v="211"/>
    <s v="Wrapped2024"/>
    <n v="3.4977365592309385E-2"/>
    <x v="1"/>
  </r>
  <r>
    <s v="SP118"/>
    <s v="Twitter"/>
    <d v="2024-05-16T00:00:00"/>
    <s v="Story"/>
    <s v="Music that moves you only on Spotify."/>
    <n v="2023"/>
    <n v="124"/>
    <n v="99"/>
    <n v="54524"/>
    <n v="34790"/>
    <n v="195"/>
    <s v="ChillVibes"/>
    <n v="4.1192869195216787E-2"/>
    <x v="2"/>
  </r>
  <r>
    <s v="SP118"/>
    <s v="Twitter"/>
    <d v="2024-05-16T00:00:00"/>
    <s v="Story"/>
    <s v="Music that moves you only on Spotify."/>
    <n v="2023"/>
    <n v="124"/>
    <n v="99"/>
    <n v="54524"/>
    <n v="34790"/>
    <n v="195"/>
    <s v="ChillVibes"/>
    <n v="4.1192869195216787E-2"/>
    <x v="3"/>
  </r>
  <r>
    <s v="SP119"/>
    <s v="Twitter"/>
    <d v="2025-05-29T00:00:00"/>
    <s v="Story"/>
    <s v="Music that moves you only on Spotify."/>
    <n v="2134"/>
    <n v="322"/>
    <n v="114"/>
    <n v="44338"/>
    <n v="52165"/>
    <n v="176"/>
    <s v="ChillVibes"/>
    <n v="5.7963823356939871E-2"/>
    <x v="3"/>
  </r>
  <r>
    <s v="SP119"/>
    <s v="Twitter"/>
    <d v="2025-05-29T00:00:00"/>
    <s v="Story"/>
    <s v="Music that moves you only on Spotify."/>
    <n v="2134"/>
    <n v="322"/>
    <n v="114"/>
    <n v="44338"/>
    <n v="52165"/>
    <n v="176"/>
    <s v="ChillVibes"/>
    <n v="5.7963823356939871E-2"/>
    <x v="1"/>
  </r>
  <r>
    <s v="SP120"/>
    <s v="Instagram"/>
    <d v="2025-01-17T00:00:00"/>
    <s v="Text"/>
    <s v="Top trending tracks updated daily!"/>
    <n v="2266"/>
    <n v="126"/>
    <n v="140"/>
    <n v="53759"/>
    <n v="46834"/>
    <n v="277"/>
    <s v="IndieWave"/>
    <n v="4.7099090384865788E-2"/>
    <x v="2"/>
  </r>
  <r>
    <s v="SP121"/>
    <s v="Instagram"/>
    <d v="2025-04-30T00:00:00"/>
    <s v="Story"/>
    <s v="New music just dropped. Hit play!"/>
    <n v="3916"/>
    <n v="459"/>
    <n v="229"/>
    <n v="48989"/>
    <n v="39768"/>
    <n v="200"/>
    <s v="Wrapped2024"/>
    <n v="9.3980281287635997E-2"/>
    <x v="1"/>
  </r>
  <r>
    <s v="SP122"/>
    <s v="Twitter"/>
    <d v="2024-02-24T00:00:00"/>
    <s v="Story"/>
    <s v="Music that moves you only on Spotify."/>
    <n v="1022"/>
    <n v="463"/>
    <n v="360"/>
    <n v="51468"/>
    <n v="24279"/>
    <n v="230"/>
    <s v="ChillVibes"/>
    <n v="3.5847516903707161E-2"/>
    <x v="2"/>
  </r>
  <r>
    <s v="SP122"/>
    <s v="Twitter"/>
    <d v="2024-02-24T00:00:00"/>
    <s v="Story"/>
    <s v="Music that moves you only on Spotify."/>
    <n v="1022"/>
    <n v="463"/>
    <n v="360"/>
    <n v="51468"/>
    <n v="24279"/>
    <n v="230"/>
    <s v="ChillVibes"/>
    <n v="3.5847516903707161E-2"/>
    <x v="3"/>
  </r>
  <r>
    <s v="SP123"/>
    <s v="YouTube"/>
    <d v="2024-05-12T00:00:00"/>
    <s v="Text"/>
    <s v="From pop to podcasts, its all here."/>
    <n v="2911"/>
    <n v="467"/>
    <n v="94"/>
    <n v="59083"/>
    <n v="49762"/>
    <n v="236"/>
    <s v="IndieWave"/>
    <n v="5.8764788517847777E-2"/>
    <x v="2"/>
  </r>
  <r>
    <s v="SP123"/>
    <s v="YouTube"/>
    <d v="2024-05-12T00:00:00"/>
    <s v="Text"/>
    <s v="From pop to podcasts, its all here."/>
    <n v="2911"/>
    <n v="467"/>
    <n v="94"/>
    <n v="59083"/>
    <n v="49762"/>
    <n v="236"/>
    <s v="IndieWave"/>
    <n v="5.8764788517847777E-2"/>
    <x v="4"/>
  </r>
  <r>
    <s v="SP124"/>
    <s v="Twitter"/>
    <d v="2024-05-09T00:00:00"/>
    <s v="Story"/>
    <s v="New music just dropped. Hit play!"/>
    <n v="3277"/>
    <n v="423"/>
    <n v="259"/>
    <n v="46328"/>
    <n v="44293"/>
    <n v="299"/>
    <s v="ChillVibes"/>
    <n v="8.5455879813503707E-2"/>
    <x v="0"/>
  </r>
  <r>
    <s v="SP124"/>
    <s v="Twitter"/>
    <d v="2024-05-09T00:00:00"/>
    <s v="Story"/>
    <s v="New music just dropped. Hit play!"/>
    <n v="3277"/>
    <n v="423"/>
    <n v="259"/>
    <n v="46328"/>
    <n v="44293"/>
    <n v="299"/>
    <s v="ChillVibes"/>
    <n v="8.5455879813503707E-2"/>
    <x v="1"/>
  </r>
  <r>
    <s v="SP125"/>
    <s v="Twitter"/>
    <d v="2024-11-06T00:00:00"/>
    <s v="Text"/>
    <s v="From pop to podcasts, its all here."/>
    <n v="2956"/>
    <n v="381"/>
    <n v="345"/>
    <n v="33347"/>
    <n v="22558"/>
    <n v="173"/>
    <s v="ChillVibes"/>
    <n v="0.11041472996071611"/>
    <x v="1"/>
  </r>
  <r>
    <s v="SP126"/>
    <s v="Twitter"/>
    <d v="2024-01-04T00:00:00"/>
    <s v="Story"/>
    <s v="Whats your vibe today?"/>
    <n v="3208"/>
    <n v="476"/>
    <n v="277"/>
    <n v="56072"/>
    <n v="21061"/>
    <n v="113"/>
    <s v="ChillVibes"/>
    <n v="7.064131830503638E-2"/>
    <x v="3"/>
  </r>
  <r>
    <s v="SP126"/>
    <s v="Twitter"/>
    <d v="2024-01-04T00:00:00"/>
    <s v="Story"/>
    <s v="Whats your vibe today?"/>
    <n v="3208"/>
    <n v="476"/>
    <n v="277"/>
    <n v="56072"/>
    <n v="21061"/>
    <n v="113"/>
    <s v="ChillVibes"/>
    <n v="7.064131830503638E-2"/>
    <x v="1"/>
  </r>
  <r>
    <s v="SP127"/>
    <s v="Twitter"/>
    <d v="2024-01-28T00:00:00"/>
    <s v="Text"/>
    <s v="Music that moves you only on Spotify."/>
    <n v="1456"/>
    <n v="265"/>
    <n v="137"/>
    <n v="53485"/>
    <n v="59729"/>
    <n v="145"/>
    <s v="IndieWave"/>
    <n v="3.4738711788351875E-2"/>
    <x v="0"/>
  </r>
  <r>
    <s v="SP128"/>
    <s v="Instagram"/>
    <d v="2024-02-22T00:00:00"/>
    <s v="Text"/>
    <s v="New music just dropped. Hit play!"/>
    <n v="1902"/>
    <n v="394"/>
    <n v="279"/>
    <n v="24615"/>
    <n v="51330"/>
    <n v="176"/>
    <s v="ChillVibes"/>
    <n v="0.10461100954702417"/>
    <x v="0"/>
  </r>
  <r>
    <s v="SP128"/>
    <s v="Instagram"/>
    <d v="2024-02-22T00:00:00"/>
    <s v="Text"/>
    <s v="New music just dropped. Hit play!"/>
    <n v="1902"/>
    <n v="394"/>
    <n v="279"/>
    <n v="24615"/>
    <n v="51330"/>
    <n v="176"/>
    <s v="ChillVibes"/>
    <n v="0.10461100954702417"/>
    <x v="1"/>
  </r>
  <r>
    <s v="SP129"/>
    <s v="Twitter"/>
    <d v="2025-07-01T00:00:00"/>
    <s v="Story"/>
    <s v="Explore the latest podcasts now."/>
    <n v="3219"/>
    <n v="424"/>
    <n v="267"/>
    <n v="48879"/>
    <n v="37691"/>
    <n v="224"/>
    <s v="ChillVibes"/>
    <n v="7.9993453221219743E-2"/>
    <x v="2"/>
  </r>
  <r>
    <s v="SP129"/>
    <s v="Twitter"/>
    <d v="2025-07-01T00:00:00"/>
    <s v="Story"/>
    <s v="Explore the latest podcasts now."/>
    <n v="3219"/>
    <n v="424"/>
    <n v="267"/>
    <n v="48879"/>
    <n v="37691"/>
    <n v="224"/>
    <s v="ChillVibes"/>
    <n v="7.9993453221219743E-2"/>
    <x v="3"/>
  </r>
  <r>
    <s v="SP130"/>
    <s v="YouTube"/>
    <d v="2024-01-10T00:00:00"/>
    <s v="Text"/>
    <s v="Explore the latest podcasts now."/>
    <n v="1261"/>
    <n v="190"/>
    <n v="233"/>
    <n v="59888"/>
    <n v="51449"/>
    <n v="205"/>
    <s v="IndieWave"/>
    <n v="2.811915575741384E-2"/>
    <x v="2"/>
  </r>
  <r>
    <s v="SP130"/>
    <s v="YouTube"/>
    <d v="2024-01-10T00:00:00"/>
    <s v="Text"/>
    <s v="Explore the latest podcasts now."/>
    <n v="1261"/>
    <n v="190"/>
    <n v="233"/>
    <n v="59888"/>
    <n v="51449"/>
    <n v="205"/>
    <s v="IndieWave"/>
    <n v="2.811915575741384E-2"/>
    <x v="4"/>
  </r>
  <r>
    <s v="SP131"/>
    <s v="Twitter"/>
    <d v="2025-03-20T00:00:00"/>
    <s v="Text"/>
    <s v="Your weekend playlist is waiting."/>
    <n v="1564"/>
    <n v="362"/>
    <n v="371"/>
    <n v="42075"/>
    <n v="66659"/>
    <n v="205"/>
    <s v="IndieWave"/>
    <n v="5.4592988710635768E-2"/>
    <x v="0"/>
  </r>
  <r>
    <s v="SP132"/>
    <s v="Twitter"/>
    <d v="2024-09-28T00:00:00"/>
    <s v="Text"/>
    <s v="Whats your vibe today?"/>
    <n v="4006"/>
    <n v="420"/>
    <n v="194"/>
    <n v="49964"/>
    <n v="20685"/>
    <n v="148"/>
    <s v="ChillVibes"/>
    <n v="9.2466575934672959E-2"/>
    <x v="1"/>
  </r>
  <r>
    <s v="SP133"/>
    <s v="YouTube"/>
    <d v="2024-01-27T00:00:00"/>
    <s v="Text"/>
    <s v="Your weekend playlist is waiting."/>
    <n v="1976"/>
    <n v="262"/>
    <n v="218"/>
    <n v="51696"/>
    <n v="44846"/>
    <n v="139"/>
    <s v="IndieWave"/>
    <n v="4.7508511296812134E-2"/>
    <x v="2"/>
  </r>
  <r>
    <s v="SP133"/>
    <s v="YouTube"/>
    <d v="2024-01-27T00:00:00"/>
    <s v="Text"/>
    <s v="Your weekend playlist is waiting."/>
    <n v="1976"/>
    <n v="262"/>
    <n v="218"/>
    <n v="51696"/>
    <n v="44846"/>
    <n v="139"/>
    <s v="IndieWave"/>
    <n v="4.7508511296812134E-2"/>
    <x v="4"/>
  </r>
  <r>
    <s v="SP134"/>
    <s v="Twitter"/>
    <d v="2025-05-15T00:00:00"/>
    <s v="Text"/>
    <s v="New music just dropped. Hit play!"/>
    <n v="1583"/>
    <n v="433"/>
    <n v="249"/>
    <n v="30256"/>
    <n v="47066"/>
    <n v="196"/>
    <s v="ChillVibes"/>
    <n v="7.4861184558434685E-2"/>
    <x v="1"/>
  </r>
  <r>
    <s v="SP135"/>
    <s v="Twitter"/>
    <d v="2024-10-04T00:00:00"/>
    <s v="Story"/>
    <s v="Explore the latest podcasts now."/>
    <n v="2870"/>
    <n v="380"/>
    <n v="393"/>
    <n v="37621"/>
    <n v="71794"/>
    <n v="127"/>
    <s v="ChillVibes"/>
    <n v="9.6834214933149046E-2"/>
    <x v="3"/>
  </r>
  <r>
    <s v="SP135"/>
    <s v="Twitter"/>
    <d v="2024-10-04T00:00:00"/>
    <s v="Story"/>
    <s v="Explore the latest podcasts now."/>
    <n v="2870"/>
    <n v="380"/>
    <n v="393"/>
    <n v="37621"/>
    <n v="71794"/>
    <n v="127"/>
    <s v="ChillVibes"/>
    <n v="9.6834214933149046E-2"/>
    <x v="1"/>
  </r>
  <r>
    <s v="SP136"/>
    <s v="Twitter"/>
    <d v="2024-11-19T00:00:00"/>
    <s v="Text"/>
    <s v="Top trending tracks updated daily!"/>
    <n v="3728"/>
    <n v="271"/>
    <n v="275"/>
    <n v="22827"/>
    <n v="37034"/>
    <n v="199"/>
    <s v="ChillVibes"/>
    <n v="0.18723441538528934"/>
    <x v="1"/>
  </r>
  <r>
    <s v="SP137"/>
    <s v="Twitter"/>
    <d v="2024-04-05T00:00:00"/>
    <s v="Story"/>
    <s v="New music just dropped. Hit play!"/>
    <n v="4965"/>
    <n v="175"/>
    <n v="307"/>
    <n v="32793"/>
    <n v="43412"/>
    <n v="296"/>
    <s v="ChillVibes"/>
    <n v="0.16610252187966945"/>
    <x v="0"/>
  </r>
  <r>
    <s v="SP137"/>
    <s v="Twitter"/>
    <d v="2024-04-05T00:00:00"/>
    <s v="Story"/>
    <s v="New music just dropped. Hit play!"/>
    <n v="4965"/>
    <n v="175"/>
    <n v="307"/>
    <n v="32793"/>
    <n v="43412"/>
    <n v="296"/>
    <s v="ChillVibes"/>
    <n v="0.16610252187966945"/>
    <x v="1"/>
  </r>
  <r>
    <s v="SP138"/>
    <s v="Twitter"/>
    <d v="2024-11-28T00:00:00"/>
    <s v="Story"/>
    <s v="New music just dropped. Hit play!"/>
    <n v="1131"/>
    <n v="100"/>
    <n v="116"/>
    <n v="48437"/>
    <n v="72704"/>
    <n v="236"/>
    <s v="ChillVibes"/>
    <n v="2.7809319322005904E-2"/>
    <x v="2"/>
  </r>
  <r>
    <s v="SP138"/>
    <s v="Twitter"/>
    <d v="2024-11-28T00:00:00"/>
    <s v="Story"/>
    <s v="New music just dropped. Hit play!"/>
    <n v="1131"/>
    <n v="100"/>
    <n v="116"/>
    <n v="48437"/>
    <n v="72704"/>
    <n v="236"/>
    <s v="ChillVibes"/>
    <n v="2.7809319322005904E-2"/>
    <x v="3"/>
  </r>
  <r>
    <s v="SP139"/>
    <s v="Twitter"/>
    <d v="2025-03-09T00:00:00"/>
    <s v="Text"/>
    <s v="Your weekend playlist is waiting."/>
    <n v="2754"/>
    <n v="215"/>
    <n v="264"/>
    <n v="27762"/>
    <n v="70203"/>
    <n v="289"/>
    <s v="ChillVibes"/>
    <n v="0.11645414595490239"/>
    <x v="1"/>
  </r>
  <r>
    <s v="SP140"/>
    <s v="Twitter"/>
    <d v="2024-08-27T00:00:00"/>
    <s v="Story"/>
    <s v="New music just dropped. Hit play!"/>
    <n v="1856"/>
    <n v="357"/>
    <n v="348"/>
    <n v="29428"/>
    <n v="70206"/>
    <n v="236"/>
    <s v="ChillVibes"/>
    <n v="8.702596166915863E-2"/>
    <x v="3"/>
  </r>
  <r>
    <s v="SP140"/>
    <s v="Twitter"/>
    <d v="2024-08-27T00:00:00"/>
    <s v="Story"/>
    <s v="New music just dropped. Hit play!"/>
    <n v="1856"/>
    <n v="357"/>
    <n v="348"/>
    <n v="29428"/>
    <n v="70206"/>
    <n v="236"/>
    <s v="ChillVibes"/>
    <n v="8.702596166915863E-2"/>
    <x v="1"/>
  </r>
  <r>
    <s v="SP141"/>
    <s v="YouTube"/>
    <d v="2024-10-01T00:00:00"/>
    <s v="Reel"/>
    <s v="Explore the latest podcasts now."/>
    <n v="3543"/>
    <n v="334"/>
    <n v="218"/>
    <n v="58007"/>
    <n v="24792"/>
    <n v="273"/>
    <s v="SummerBeats"/>
    <n v="7.0594928198320889E-2"/>
    <x v="2"/>
  </r>
  <r>
    <s v="SP141"/>
    <s v="YouTube"/>
    <d v="2024-10-01T00:00:00"/>
    <s v="Reel"/>
    <s v="Explore the latest podcasts now."/>
    <n v="3543"/>
    <n v="334"/>
    <n v="218"/>
    <n v="58007"/>
    <n v="24792"/>
    <n v="273"/>
    <s v="SummerBeats"/>
    <n v="7.0594928198320889E-2"/>
    <x v="0"/>
  </r>
  <r>
    <s v="SP142"/>
    <s v="Instagram"/>
    <d v="2024-12-21T00:00:00"/>
    <s v="Story"/>
    <s v="New music just dropped. Hit play!"/>
    <n v="4563"/>
    <n v="398"/>
    <n v="163"/>
    <n v="43679"/>
    <n v="48760"/>
    <n v="92"/>
    <s v="Wrapped2024"/>
    <n v="0.11731037798484398"/>
    <x v="1"/>
  </r>
  <r>
    <s v="SP143"/>
    <s v="Instagram"/>
    <d v="2024-06-17T00:00:00"/>
    <s v="Text"/>
    <s v="Discover fresh beats on Spotify!"/>
    <n v="4283"/>
    <n v="471"/>
    <n v="156"/>
    <n v="53004"/>
    <n v="25678"/>
    <n v="105"/>
    <s v="IndieWave"/>
    <n v="9.2634518149573616E-2"/>
    <x v="2"/>
  </r>
  <r>
    <s v="SP144"/>
    <s v="Instagram"/>
    <d v="2025-02-14T00:00:00"/>
    <s v="Text"/>
    <s v="Discover fresh beats on Spotify!"/>
    <n v="2329"/>
    <n v="373"/>
    <n v="291"/>
    <n v="49577"/>
    <n v="28002"/>
    <n v="82"/>
    <s v="ChillVibes"/>
    <n v="6.0370736430199488E-2"/>
    <x v="0"/>
  </r>
  <r>
    <s v="SP144"/>
    <s v="Instagram"/>
    <d v="2025-02-14T00:00:00"/>
    <s v="Text"/>
    <s v="Discover fresh beats on Spotify!"/>
    <n v="2329"/>
    <n v="373"/>
    <n v="291"/>
    <n v="49577"/>
    <n v="28002"/>
    <n v="82"/>
    <s v="ChillVibes"/>
    <n v="6.0370736430199488E-2"/>
    <x v="1"/>
  </r>
  <r>
    <s v="SP145"/>
    <s v="Twitter"/>
    <d v="2025-05-28T00:00:00"/>
    <s v="Story"/>
    <s v="Top trending tracks updated daily!"/>
    <n v="4287"/>
    <n v="273"/>
    <n v="122"/>
    <n v="40792"/>
    <n v="23878"/>
    <n v="277"/>
    <s v="ChillVibes"/>
    <n v="0.11477740733477153"/>
    <x v="3"/>
  </r>
  <r>
    <s v="SP145"/>
    <s v="Twitter"/>
    <d v="2025-05-28T00:00:00"/>
    <s v="Story"/>
    <s v="Top trending tracks updated daily!"/>
    <n v="4287"/>
    <n v="273"/>
    <n v="122"/>
    <n v="40792"/>
    <n v="23878"/>
    <n v="277"/>
    <s v="ChillVibes"/>
    <n v="0.11477740733477153"/>
    <x v="1"/>
  </r>
  <r>
    <s v="SP146"/>
    <s v="Instagram"/>
    <d v="2025-05-22T00:00:00"/>
    <s v="Text"/>
    <s v="Discover fresh beats on Spotify!"/>
    <n v="2633"/>
    <n v="318"/>
    <n v="380"/>
    <n v="40869"/>
    <n v="64474"/>
    <n v="245"/>
    <s v="IndieWave"/>
    <n v="8.1504318676747664E-2"/>
    <x v="2"/>
  </r>
  <r>
    <s v="SP147"/>
    <s v="Twitter"/>
    <d v="2024-01-21T00:00:00"/>
    <s v="Story"/>
    <s v="Discover fresh beats on Spotify!"/>
    <n v="2383"/>
    <n v="136"/>
    <n v="302"/>
    <n v="39187"/>
    <n v="22133"/>
    <n v="208"/>
    <s v="ChillVibes"/>
    <n v="7.1988159338556151E-2"/>
    <x v="3"/>
  </r>
  <r>
    <s v="SP147"/>
    <s v="Twitter"/>
    <d v="2024-01-21T00:00:00"/>
    <s v="Story"/>
    <s v="Discover fresh beats on Spotify!"/>
    <n v="2383"/>
    <n v="136"/>
    <n v="302"/>
    <n v="39187"/>
    <n v="22133"/>
    <n v="208"/>
    <s v="ChillVibes"/>
    <n v="7.1988159338556151E-2"/>
    <x v="1"/>
  </r>
  <r>
    <s v="SP148"/>
    <s v="Twitter"/>
    <d v="2025-02-08T00:00:00"/>
    <s v="Story"/>
    <s v="Your weekend playlist is waiting."/>
    <n v="4752"/>
    <n v="334"/>
    <n v="56"/>
    <n v="48017"/>
    <n v="55534"/>
    <n v="270"/>
    <s v="ChillVibes"/>
    <n v="0.10708707332819627"/>
    <x v="2"/>
  </r>
  <r>
    <s v="SP148"/>
    <s v="Twitter"/>
    <d v="2025-02-08T00:00:00"/>
    <s v="Story"/>
    <s v="Your weekend playlist is waiting."/>
    <n v="4752"/>
    <n v="334"/>
    <n v="56"/>
    <n v="48017"/>
    <n v="55534"/>
    <n v="270"/>
    <s v="ChillVibes"/>
    <n v="0.10708707332819627"/>
    <x v="3"/>
  </r>
  <r>
    <s v="SP149"/>
    <s v="Twitter"/>
    <d v="2025-04-13T00:00:00"/>
    <s v="Text"/>
    <s v="From pop to podcasts, its all here."/>
    <n v="3890"/>
    <n v="408"/>
    <n v="338"/>
    <n v="56994"/>
    <n v="32621"/>
    <n v="286"/>
    <s v="IndieWave"/>
    <n v="8.1341895638137346E-2"/>
    <x v="0"/>
  </r>
  <r>
    <s v="SP150"/>
    <s v="Twitter"/>
    <d v="2024-05-30T00:00:00"/>
    <s v="Story"/>
    <s v="Your weekend playlist is waiting."/>
    <n v="2311"/>
    <n v="207"/>
    <n v="363"/>
    <n v="30349"/>
    <n v="32925"/>
    <n v="88"/>
    <s v="ChillVibes"/>
    <n v="9.4928992718046723E-2"/>
    <x v="3"/>
  </r>
  <r>
    <s v="SP150"/>
    <s v="Twitter"/>
    <d v="2024-05-30T00:00:00"/>
    <s v="Story"/>
    <s v="Your weekend playlist is waiting."/>
    <n v="2311"/>
    <n v="207"/>
    <n v="363"/>
    <n v="30349"/>
    <n v="32925"/>
    <n v="88"/>
    <s v="ChillVibes"/>
    <n v="9.4928992718046723E-2"/>
    <x v="1"/>
  </r>
  <r>
    <s v="SP151"/>
    <s v="Instagram"/>
    <d v="2024-08-12T00:00:00"/>
    <s v="Story"/>
    <s v="Discover fresh beats on Spotify!"/>
    <n v="2962"/>
    <n v="400"/>
    <n v="280"/>
    <n v="52508"/>
    <n v="58329"/>
    <n v="219"/>
    <s v="Wrapped2024"/>
    <n v="6.9360859297630834E-2"/>
    <x v="1"/>
  </r>
  <r>
    <s v="SP152"/>
    <s v="Instagram"/>
    <d v="2024-09-27T00:00:00"/>
    <s v="Text"/>
    <s v="Discover fresh beats on Spotify!"/>
    <n v="3118"/>
    <n v="116"/>
    <n v="195"/>
    <n v="37100"/>
    <n v="62629"/>
    <n v="272"/>
    <s v="IndieWave"/>
    <n v="9.2425876010781671E-2"/>
    <x v="2"/>
  </r>
  <r>
    <s v="SP153"/>
    <s v="Twitter"/>
    <d v="2025-06-11T00:00:00"/>
    <s v="Story"/>
    <s v="Explore the latest podcasts now."/>
    <n v="3805"/>
    <n v="453"/>
    <n v="63"/>
    <n v="52395"/>
    <n v="72934"/>
    <n v="87"/>
    <s v="ChillVibes"/>
    <n v="8.2469701307376658E-2"/>
    <x v="2"/>
  </r>
  <r>
    <s v="SP153"/>
    <s v="Twitter"/>
    <d v="2025-06-11T00:00:00"/>
    <s v="Story"/>
    <s v="Explore the latest podcasts now."/>
    <n v="3805"/>
    <n v="453"/>
    <n v="63"/>
    <n v="52395"/>
    <n v="72934"/>
    <n v="87"/>
    <s v="ChillVibes"/>
    <n v="8.2469701307376658E-2"/>
    <x v="3"/>
  </r>
  <r>
    <s v="SP154"/>
    <s v="Instagram"/>
    <d v="2024-11-19T00:00:00"/>
    <s v="Text"/>
    <s v="Whats your vibe today?"/>
    <n v="2525"/>
    <n v="272"/>
    <n v="294"/>
    <n v="51875"/>
    <n v="24732"/>
    <n v="92"/>
    <s v="IndieWave"/>
    <n v="5.9585542168674697E-2"/>
    <x v="2"/>
  </r>
  <r>
    <s v="SP155"/>
    <s v="Instagram"/>
    <d v="2024-04-25T00:00:00"/>
    <s v="Text"/>
    <s v="Music that moves you only on Spotify."/>
    <n v="3563"/>
    <n v="483"/>
    <n v="227"/>
    <n v="41085"/>
    <n v="26393"/>
    <n v="236"/>
    <s v="ChillVibes"/>
    <n v="0.10400389436534015"/>
    <x v="0"/>
  </r>
  <r>
    <s v="SP155"/>
    <s v="Instagram"/>
    <d v="2024-04-25T00:00:00"/>
    <s v="Text"/>
    <s v="Music that moves you only on Spotify."/>
    <n v="3563"/>
    <n v="483"/>
    <n v="227"/>
    <n v="41085"/>
    <n v="26393"/>
    <n v="236"/>
    <s v="ChillVibes"/>
    <n v="0.10400389436534015"/>
    <x v="1"/>
  </r>
  <r>
    <s v="SP156"/>
    <s v="YouTube"/>
    <d v="2024-09-03T00:00:00"/>
    <s v="Reel"/>
    <s v="Whats your vibe today?"/>
    <n v="1437"/>
    <n v="494"/>
    <n v="129"/>
    <n v="53048"/>
    <n v="44090"/>
    <n v="230"/>
    <s v="SummerBeats"/>
    <n v="3.8832755240536872E-2"/>
    <x v="2"/>
  </r>
  <r>
    <s v="SP156"/>
    <s v="YouTube"/>
    <d v="2024-09-03T00:00:00"/>
    <s v="Reel"/>
    <s v="Whats your vibe today?"/>
    <n v="1437"/>
    <n v="494"/>
    <n v="129"/>
    <n v="53048"/>
    <n v="44090"/>
    <n v="230"/>
    <s v="SummerBeats"/>
    <n v="3.8832755240536872E-2"/>
    <x v="0"/>
  </r>
  <r>
    <s v="SP157"/>
    <s v="YouTube"/>
    <d v="2025-03-02T00:00:00"/>
    <s v="Text"/>
    <s v="From pop to podcasts, its all here."/>
    <n v="4425"/>
    <n v="185"/>
    <n v="162"/>
    <n v="24610"/>
    <n v="21342"/>
    <n v="158"/>
    <s v="IndieWave"/>
    <n v="0.19390491670052823"/>
    <x v="2"/>
  </r>
  <r>
    <s v="SP157"/>
    <s v="YouTube"/>
    <d v="2025-03-02T00:00:00"/>
    <s v="Text"/>
    <s v="From pop to podcasts, its all here."/>
    <n v="4425"/>
    <n v="185"/>
    <n v="162"/>
    <n v="24610"/>
    <n v="21342"/>
    <n v="158"/>
    <s v="IndieWave"/>
    <n v="0.19390491670052823"/>
    <x v="4"/>
  </r>
  <r>
    <s v="SP158"/>
    <s v="Twitter"/>
    <d v="2025-03-21T00:00:00"/>
    <s v="Story"/>
    <s v="New music just dropped. Hit play!"/>
    <n v="4609"/>
    <n v="427"/>
    <n v="395"/>
    <n v="33698"/>
    <n v="29259"/>
    <n v="216"/>
    <s v="ChillVibes"/>
    <n v="0.16116683482699271"/>
    <x v="2"/>
  </r>
  <r>
    <s v="SP158"/>
    <s v="Twitter"/>
    <d v="2025-03-21T00:00:00"/>
    <s v="Story"/>
    <s v="New music just dropped. Hit play!"/>
    <n v="4609"/>
    <n v="427"/>
    <n v="395"/>
    <n v="33698"/>
    <n v="29259"/>
    <n v="216"/>
    <s v="ChillVibes"/>
    <n v="0.16116683482699271"/>
    <x v="3"/>
  </r>
  <r>
    <s v="SP159"/>
    <s v="Instagram"/>
    <d v="2024-04-12T00:00:00"/>
    <s v="Story"/>
    <s v="Get into the groove with our new drop!"/>
    <n v="1558"/>
    <n v="352"/>
    <n v="202"/>
    <n v="25405"/>
    <n v="69941"/>
    <n v="219"/>
    <s v="Wrapped2024"/>
    <n v="8.3133241487896081E-2"/>
    <x v="1"/>
  </r>
  <r>
    <s v="SP160"/>
    <s v="YouTube"/>
    <d v="2024-02-08T00:00:00"/>
    <s v="Reel"/>
    <s v="Top trending tracks updated daily!"/>
    <n v="1889"/>
    <n v="298"/>
    <n v="122"/>
    <n v="46225"/>
    <n v="74305"/>
    <n v="293"/>
    <s v="SummerBeats"/>
    <n v="4.9951325040562468E-2"/>
    <x v="2"/>
  </r>
  <r>
    <s v="SP160"/>
    <s v="YouTube"/>
    <d v="2024-02-08T00:00:00"/>
    <s v="Reel"/>
    <s v="Top trending tracks updated daily!"/>
    <n v="1889"/>
    <n v="298"/>
    <n v="122"/>
    <n v="46225"/>
    <n v="74305"/>
    <n v="293"/>
    <s v="SummerBeats"/>
    <n v="4.9951325040562468E-2"/>
    <x v="0"/>
  </r>
  <r>
    <s v="SP161"/>
    <s v="Instagram"/>
    <d v="2025-05-26T00:00:00"/>
    <s v="Text"/>
    <s v="Discover fresh beats on Spotify!"/>
    <n v="3086"/>
    <n v="148"/>
    <n v="310"/>
    <n v="22824"/>
    <n v="58103"/>
    <n v="275"/>
    <s v="IndieWave"/>
    <n v="0.1552751489660007"/>
    <x v="2"/>
  </r>
  <r>
    <s v="SP162"/>
    <s v="Instagram"/>
    <d v="2024-11-14T00:00:00"/>
    <s v="Text"/>
    <s v="Music that moves you only on Spotify."/>
    <n v="2422"/>
    <n v="318"/>
    <n v="118"/>
    <n v="25386"/>
    <n v="20873"/>
    <n v="100"/>
    <s v="ChillVibes"/>
    <n v="0.11258173796580792"/>
    <x v="0"/>
  </r>
  <r>
    <s v="SP162"/>
    <s v="Instagram"/>
    <d v="2024-11-14T00:00:00"/>
    <s v="Text"/>
    <s v="Music that moves you only on Spotify."/>
    <n v="2422"/>
    <n v="318"/>
    <n v="118"/>
    <n v="25386"/>
    <n v="20873"/>
    <n v="100"/>
    <s v="ChillVibes"/>
    <n v="0.11258173796580792"/>
    <x v="1"/>
  </r>
  <r>
    <s v="SP163"/>
    <s v="YouTube"/>
    <d v="2024-08-09T00:00:00"/>
    <s v="Reel"/>
    <s v="From pop to podcasts, its all here."/>
    <n v="3414"/>
    <n v="154"/>
    <n v="204"/>
    <n v="34146"/>
    <n v="44633"/>
    <n v="256"/>
    <s v="SummerBeats"/>
    <n v="0.11046681895390383"/>
    <x v="2"/>
  </r>
  <r>
    <s v="SP163"/>
    <s v="YouTube"/>
    <d v="2024-08-09T00:00:00"/>
    <s v="Reel"/>
    <s v="From pop to podcasts, its all here."/>
    <n v="3414"/>
    <n v="154"/>
    <n v="204"/>
    <n v="34146"/>
    <n v="44633"/>
    <n v="256"/>
    <s v="SummerBeats"/>
    <n v="0.11046681895390383"/>
    <x v="0"/>
  </r>
  <r>
    <s v="SP164"/>
    <s v="Instagram"/>
    <d v="2025-06-27T00:00:00"/>
    <s v="Story"/>
    <s v="Whats your vibe today?"/>
    <n v="1342"/>
    <n v="332"/>
    <n v="163"/>
    <n v="51712"/>
    <n v="57922"/>
    <n v="168"/>
    <s v="Wrapped2024"/>
    <n v="3.5523669554455448E-2"/>
    <x v="1"/>
  </r>
  <r>
    <s v="SP165"/>
    <s v="Instagram"/>
    <d v="2024-05-08T00:00:00"/>
    <s v="Story"/>
    <s v="Music that moves you only on Spotify."/>
    <n v="2414"/>
    <n v="220"/>
    <n v="280"/>
    <n v="27355"/>
    <n v="50562"/>
    <n v="258"/>
    <s v="Wrapped2024"/>
    <n v="0.10652531529884847"/>
    <x v="1"/>
  </r>
  <r>
    <s v="SP166"/>
    <s v="Instagram"/>
    <d v="2024-04-05T00:00:00"/>
    <s v="Text"/>
    <s v="New music just dropped. Hit play!"/>
    <n v="4383"/>
    <n v="352"/>
    <n v="176"/>
    <n v="53239"/>
    <n v="34168"/>
    <n v="288"/>
    <s v="IndieWave"/>
    <n v="9.2244407295403744E-2"/>
    <x v="2"/>
  </r>
  <r>
    <s v="SP167"/>
    <s v="YouTube"/>
    <d v="2025-01-27T00:00:00"/>
    <s v="Text"/>
    <s v="Wrapped is here! Relive your top tracks"/>
    <n v="4294"/>
    <n v="423"/>
    <n v="93"/>
    <n v="29828"/>
    <n v="73144"/>
    <n v="298"/>
    <s v="IndieWave"/>
    <n v="0.1612578785034196"/>
    <x v="2"/>
  </r>
  <r>
    <s v="SP167"/>
    <s v="YouTube"/>
    <d v="2025-01-27T00:00:00"/>
    <s v="Text"/>
    <s v="Wrapped is here! Relive your top tracks"/>
    <n v="4294"/>
    <n v="423"/>
    <n v="93"/>
    <n v="29828"/>
    <n v="73144"/>
    <n v="298"/>
    <s v="IndieWave"/>
    <n v="0.1612578785034196"/>
    <x v="4"/>
  </r>
  <r>
    <s v="SP168"/>
    <s v="Instagram"/>
    <d v="2024-04-03T00:00:00"/>
    <s v="Text"/>
    <s v="Top trending tracks updated daily!"/>
    <n v="2762"/>
    <n v="339"/>
    <n v="323"/>
    <n v="33757"/>
    <n v="68511"/>
    <n v="121"/>
    <s v="ChillVibes"/>
    <n v="0.10143081434961637"/>
    <x v="0"/>
  </r>
  <r>
    <s v="SP168"/>
    <s v="Instagram"/>
    <d v="2024-04-03T00:00:00"/>
    <s v="Text"/>
    <s v="Top trending tracks updated daily!"/>
    <n v="2762"/>
    <n v="339"/>
    <n v="323"/>
    <n v="33757"/>
    <n v="68511"/>
    <n v="121"/>
    <s v="ChillVibes"/>
    <n v="0.10143081434961637"/>
    <x v="1"/>
  </r>
  <r>
    <s v="SP169"/>
    <s v="YouTube"/>
    <d v="2025-01-03T00:00:00"/>
    <s v="Text"/>
    <s v="New music just dropped. Hit play!"/>
    <n v="3782"/>
    <n v="484"/>
    <n v="144"/>
    <n v="52172"/>
    <n v="59386"/>
    <n v="175"/>
    <s v="IndieWave"/>
    <n v="8.4528099363643333E-2"/>
    <x v="2"/>
  </r>
  <r>
    <s v="SP169"/>
    <s v="YouTube"/>
    <d v="2025-01-03T00:00:00"/>
    <s v="Text"/>
    <s v="New music just dropped. Hit play!"/>
    <n v="3782"/>
    <n v="484"/>
    <n v="144"/>
    <n v="52172"/>
    <n v="59386"/>
    <n v="175"/>
    <s v="IndieWave"/>
    <n v="8.4528099363643333E-2"/>
    <x v="4"/>
  </r>
  <r>
    <s v="SP170"/>
    <s v="Twitter"/>
    <d v="2024-11-23T00:00:00"/>
    <s v="Text"/>
    <s v="New music just dropped. Hit play!"/>
    <n v="4318"/>
    <n v="371"/>
    <n v="329"/>
    <n v="32347"/>
    <n v="68956"/>
    <n v="259"/>
    <s v="IndieWave"/>
    <n v="0.15513030574705536"/>
    <x v="0"/>
  </r>
  <r>
    <s v="SP171"/>
    <s v="Instagram"/>
    <d v="2024-09-01T00:00:00"/>
    <s v="Story"/>
    <s v="Wrapped is here! Relive your top tracks"/>
    <n v="2335"/>
    <n v="150"/>
    <n v="75"/>
    <n v="26114"/>
    <n v="57549"/>
    <n v="135"/>
    <s v="Wrapped2024"/>
    <n v="9.8031707130274953E-2"/>
    <x v="1"/>
  </r>
  <r>
    <s v="SP172"/>
    <s v="YouTube"/>
    <d v="2024-04-18T00:00:00"/>
    <s v="Text"/>
    <s v="Explore the latest podcasts now."/>
    <n v="4023"/>
    <n v="293"/>
    <n v="91"/>
    <n v="26795"/>
    <n v="28924"/>
    <n v="278"/>
    <s v="IndieWave"/>
    <n v="0.16447098339242397"/>
    <x v="2"/>
  </r>
  <r>
    <s v="SP172"/>
    <s v="YouTube"/>
    <d v="2024-04-18T00:00:00"/>
    <s v="Text"/>
    <s v="Explore the latest podcasts now."/>
    <n v="4023"/>
    <n v="293"/>
    <n v="91"/>
    <n v="26795"/>
    <n v="28924"/>
    <n v="278"/>
    <s v="IndieWave"/>
    <n v="0.16447098339242397"/>
    <x v="4"/>
  </r>
  <r>
    <s v="SP173"/>
    <s v="Instagram"/>
    <d v="2024-06-04T00:00:00"/>
    <s v="Text"/>
    <s v="Get into the groove with our new drop!"/>
    <n v="3948"/>
    <n v="151"/>
    <n v="249"/>
    <n v="43147"/>
    <n v="63136"/>
    <n v="230"/>
    <s v="IndieWave"/>
    <n v="0.10077178019329269"/>
    <x v="2"/>
  </r>
  <r>
    <s v="SP174"/>
    <s v="YouTube"/>
    <d v="2025-04-02T00:00:00"/>
    <s v="Text"/>
    <s v="Wrapped is here! Relive your top tracks"/>
    <n v="4598"/>
    <n v="455"/>
    <n v="378"/>
    <n v="52952"/>
    <n v="58504"/>
    <n v="269"/>
    <s v="IndieWave"/>
    <n v="0.10256458679558846"/>
    <x v="2"/>
  </r>
  <r>
    <s v="SP174"/>
    <s v="YouTube"/>
    <d v="2025-04-02T00:00:00"/>
    <s v="Text"/>
    <s v="Wrapped is here! Relive your top tracks"/>
    <n v="4598"/>
    <n v="455"/>
    <n v="378"/>
    <n v="52952"/>
    <n v="58504"/>
    <n v="269"/>
    <s v="IndieWave"/>
    <n v="0.10256458679558846"/>
    <x v="4"/>
  </r>
  <r>
    <s v="SP175"/>
    <s v="Twitter"/>
    <d v="2025-04-01T00:00:00"/>
    <s v="Story"/>
    <s v="Music that moves you only on Spotify."/>
    <n v="2665"/>
    <n v="143"/>
    <n v="315"/>
    <n v="54808"/>
    <n v="29818"/>
    <n v="98"/>
    <s v="ChillVibes"/>
    <n v="5.6980732739746021E-2"/>
    <x v="2"/>
  </r>
  <r>
    <s v="SP175"/>
    <s v="Twitter"/>
    <d v="2025-04-01T00:00:00"/>
    <s v="Story"/>
    <s v="Music that moves you only on Spotify."/>
    <n v="2665"/>
    <n v="143"/>
    <n v="315"/>
    <n v="54808"/>
    <n v="29818"/>
    <n v="98"/>
    <s v="ChillVibes"/>
    <n v="5.6980732739746021E-2"/>
    <x v="3"/>
  </r>
  <r>
    <s v="SP176"/>
    <s v="Instagram"/>
    <d v="2024-07-02T00:00:00"/>
    <s v="Text"/>
    <s v="Top trending tracks updated daily!"/>
    <n v="3469"/>
    <n v="371"/>
    <n v="76"/>
    <n v="46493"/>
    <n v="26906"/>
    <n v="150"/>
    <s v="ChillVibes"/>
    <n v="8.4227733207149463E-2"/>
    <x v="0"/>
  </r>
  <r>
    <s v="SP176"/>
    <s v="Instagram"/>
    <d v="2024-07-02T00:00:00"/>
    <s v="Text"/>
    <s v="Top trending tracks updated daily!"/>
    <n v="3469"/>
    <n v="371"/>
    <n v="76"/>
    <n v="46493"/>
    <n v="26906"/>
    <n v="150"/>
    <s v="ChillVibes"/>
    <n v="8.4227733207149463E-2"/>
    <x v="1"/>
  </r>
  <r>
    <s v="SP177"/>
    <s v="Twitter"/>
    <d v="2024-11-10T00:00:00"/>
    <s v="Text"/>
    <s v="Explore the latest podcasts now."/>
    <n v="4823"/>
    <n v="489"/>
    <n v="302"/>
    <n v="32470"/>
    <n v="31861"/>
    <n v="178"/>
    <s v="IndieWave"/>
    <n v="0.1728980597474592"/>
    <x v="0"/>
  </r>
  <r>
    <s v="SP178"/>
    <s v="Instagram"/>
    <d v="2024-12-14T00:00:00"/>
    <s v="Story"/>
    <s v="From pop to podcasts, its all here."/>
    <n v="3812"/>
    <n v="321"/>
    <n v="289"/>
    <n v="59838"/>
    <n v="36337"/>
    <n v="161"/>
    <s v="Wrapped2024"/>
    <n v="7.3899528727564417E-2"/>
    <x v="1"/>
  </r>
  <r>
    <s v="SP179"/>
    <s v="Twitter"/>
    <d v="2024-11-19T00:00:00"/>
    <s v="Text"/>
    <s v="Explore the latest podcasts now."/>
    <n v="2387"/>
    <n v="353"/>
    <n v="78"/>
    <n v="39745"/>
    <n v="69226"/>
    <n v="208"/>
    <s v="IndieWave"/>
    <n v="7.090200025160398E-2"/>
    <x v="0"/>
  </r>
  <r>
    <s v="SP180"/>
    <s v="Twitter"/>
    <d v="2025-04-30T00:00:00"/>
    <s v="Story"/>
    <s v="Wrapped is here! Relive your top tracks"/>
    <n v="3929"/>
    <n v="275"/>
    <n v="330"/>
    <n v="58329"/>
    <n v="33196"/>
    <n v="85"/>
    <s v="ChillVibes"/>
    <n v="7.7731488624869283E-2"/>
    <x v="3"/>
  </r>
  <r>
    <s v="SP180"/>
    <s v="Twitter"/>
    <d v="2025-04-30T00:00:00"/>
    <s v="Story"/>
    <s v="Wrapped is here! Relive your top tracks"/>
    <n v="3929"/>
    <n v="275"/>
    <n v="330"/>
    <n v="58329"/>
    <n v="33196"/>
    <n v="85"/>
    <s v="ChillVibes"/>
    <n v="7.7731488624869283E-2"/>
    <x v="1"/>
  </r>
  <r>
    <s v="SP181"/>
    <s v="Twitter"/>
    <d v="2024-03-19T00:00:00"/>
    <s v="Text"/>
    <s v="From pop to podcasts, its all here."/>
    <n v="2191"/>
    <n v="288"/>
    <n v="83"/>
    <n v="59606"/>
    <n v="24765"/>
    <n v="281"/>
    <s v="IndieWave"/>
    <n v="4.2982250109049422E-2"/>
    <x v="0"/>
  </r>
  <r>
    <s v="SP182"/>
    <s v="Instagram"/>
    <d v="2024-03-19T00:00:00"/>
    <s v="Text"/>
    <s v="From pop to podcasts, its all here."/>
    <n v="2878"/>
    <n v="278"/>
    <n v="255"/>
    <n v="47235"/>
    <n v="57922"/>
    <n v="112"/>
    <s v="ChillVibes"/>
    <n v="7.2213401079707848E-2"/>
    <x v="0"/>
  </r>
  <r>
    <s v="SP182"/>
    <s v="Instagram"/>
    <d v="2024-03-19T00:00:00"/>
    <s v="Text"/>
    <s v="From pop to podcasts, its all here."/>
    <n v="2878"/>
    <n v="278"/>
    <n v="255"/>
    <n v="47235"/>
    <n v="57922"/>
    <n v="112"/>
    <s v="ChillVibes"/>
    <n v="7.2213401079707848E-2"/>
    <x v="1"/>
  </r>
  <r>
    <s v="SP183"/>
    <s v="Twitter"/>
    <d v="2024-07-23T00:00:00"/>
    <s v="Text"/>
    <s v="Top trending tracks updated daily!"/>
    <n v="3204"/>
    <n v="398"/>
    <n v="85"/>
    <n v="22020"/>
    <n v="58353"/>
    <n v="286"/>
    <s v="IndieWave"/>
    <n v="0.16743869209809265"/>
    <x v="0"/>
  </r>
  <r>
    <s v="SP184"/>
    <s v="Twitter"/>
    <d v="2024-07-13T00:00:00"/>
    <s v="Story"/>
    <s v="Get into the groove with our new drop!"/>
    <n v="2408"/>
    <n v="323"/>
    <n v="251"/>
    <n v="47599"/>
    <n v="35543"/>
    <n v="287"/>
    <s v="ChillVibes"/>
    <n v="6.2648374965860634E-2"/>
    <x v="3"/>
  </r>
  <r>
    <s v="SP184"/>
    <s v="Twitter"/>
    <d v="2024-07-13T00:00:00"/>
    <s v="Story"/>
    <s v="Get into the groove with our new drop!"/>
    <n v="2408"/>
    <n v="323"/>
    <n v="251"/>
    <n v="47599"/>
    <n v="35543"/>
    <n v="287"/>
    <s v="ChillVibes"/>
    <n v="6.2648374965860634E-2"/>
    <x v="1"/>
  </r>
  <r>
    <s v="SP185"/>
    <s v="YouTube"/>
    <d v="2025-04-22T00:00:00"/>
    <s v="Reel"/>
    <s v="New music just dropped. Hit play!"/>
    <n v="2733"/>
    <n v="297"/>
    <n v="235"/>
    <n v="37980"/>
    <n v="33058"/>
    <n v="219"/>
    <s v="SummerBeats"/>
    <n v="8.5966298051606105E-2"/>
    <x v="2"/>
  </r>
  <r>
    <s v="SP185"/>
    <s v="YouTube"/>
    <d v="2025-04-22T00:00:00"/>
    <s v="Reel"/>
    <s v="New music just dropped. Hit play!"/>
    <n v="2733"/>
    <n v="297"/>
    <n v="235"/>
    <n v="37980"/>
    <n v="33058"/>
    <n v="219"/>
    <s v="SummerBeats"/>
    <n v="8.5966298051606105E-2"/>
    <x v="0"/>
  </r>
  <r>
    <s v="SP186"/>
    <s v="Twitter"/>
    <d v="2024-06-16T00:00:00"/>
    <s v="Story"/>
    <s v="Explore the latest podcasts now."/>
    <n v="4618"/>
    <n v="312"/>
    <n v="254"/>
    <n v="22571"/>
    <n v="29453"/>
    <n v="197"/>
    <s v="ChillVibes"/>
    <n v="0.22967524699836073"/>
    <x v="3"/>
  </r>
  <r>
    <s v="SP186"/>
    <s v="Twitter"/>
    <d v="2024-06-16T00:00:00"/>
    <s v="Story"/>
    <s v="Explore the latest podcasts now."/>
    <n v="4618"/>
    <n v="312"/>
    <n v="254"/>
    <n v="22571"/>
    <n v="29453"/>
    <n v="197"/>
    <s v="ChillVibes"/>
    <n v="0.22967524699836073"/>
    <x v="1"/>
  </r>
  <r>
    <s v="SP187"/>
    <s v="YouTube"/>
    <d v="2025-05-18T00:00:00"/>
    <s v="Reel"/>
    <s v="Wrapped is here! Relive your top tracks"/>
    <n v="4210"/>
    <n v="319"/>
    <n v="350"/>
    <n v="37762"/>
    <n v="55162"/>
    <n v="204"/>
    <s v="SummerBeats"/>
    <n v="0.12920396165457337"/>
    <x v="2"/>
  </r>
  <r>
    <s v="SP187"/>
    <s v="YouTube"/>
    <d v="2025-05-18T00:00:00"/>
    <s v="Reel"/>
    <s v="Wrapped is here! Relive your top tracks"/>
    <n v="4210"/>
    <n v="319"/>
    <n v="350"/>
    <n v="37762"/>
    <n v="55162"/>
    <n v="204"/>
    <s v="SummerBeats"/>
    <n v="0.12920396165457337"/>
    <x v="0"/>
  </r>
  <r>
    <s v="SP188"/>
    <s v="Instagram"/>
    <d v="2025-06-06T00:00:00"/>
    <s v="Text"/>
    <s v="Wrapped is here! Relive your top tracks"/>
    <n v="3987"/>
    <n v="171"/>
    <n v="274"/>
    <n v="45122"/>
    <n v="65431"/>
    <n v="168"/>
    <s v="IndieWave"/>
    <n v="9.8222596516111871E-2"/>
    <x v="2"/>
  </r>
  <r>
    <s v="SP189"/>
    <s v="YouTube"/>
    <d v="2025-02-20T00:00:00"/>
    <s v="Reel"/>
    <s v="Get into the groove with our new drop!"/>
    <n v="4957"/>
    <n v="262"/>
    <n v="365"/>
    <n v="49199"/>
    <n v="40314"/>
    <n v="216"/>
    <s v="SummerBeats"/>
    <n v="0.11349824183418362"/>
    <x v="2"/>
  </r>
  <r>
    <s v="SP189"/>
    <s v="YouTube"/>
    <d v="2025-02-20T00:00:00"/>
    <s v="Reel"/>
    <s v="Get into the groove with our new drop!"/>
    <n v="4957"/>
    <n v="262"/>
    <n v="365"/>
    <n v="49199"/>
    <n v="40314"/>
    <n v="216"/>
    <s v="SummerBeats"/>
    <n v="0.11349824183418362"/>
    <x v="0"/>
  </r>
  <r>
    <s v="SP190"/>
    <s v="Instagram"/>
    <d v="2025-01-16T00:00:00"/>
    <s v="Text"/>
    <s v="Music that moves you only on Spotify."/>
    <n v="2605"/>
    <n v="282"/>
    <n v="148"/>
    <n v="32201"/>
    <n v="49583"/>
    <n v="241"/>
    <s v="ChillVibes"/>
    <n v="9.4251731312692155E-2"/>
    <x v="0"/>
  </r>
  <r>
    <s v="SP190"/>
    <s v="Instagram"/>
    <d v="2025-01-16T00:00:00"/>
    <s v="Text"/>
    <s v="Music that moves you only on Spotify."/>
    <n v="2605"/>
    <n v="282"/>
    <n v="148"/>
    <n v="32201"/>
    <n v="49583"/>
    <n v="241"/>
    <s v="ChillVibes"/>
    <n v="9.4251731312692155E-2"/>
    <x v="1"/>
  </r>
  <r>
    <s v="SP191"/>
    <s v="YouTube"/>
    <d v="2024-02-24T00:00:00"/>
    <s v="Reel"/>
    <s v="Discover fresh beats on Spotify!"/>
    <n v="4221"/>
    <n v="307"/>
    <n v="58"/>
    <n v="45080"/>
    <n v="37214"/>
    <n v="240"/>
    <s v="SummerBeats"/>
    <n v="0.10173025732031943"/>
    <x v="2"/>
  </r>
  <r>
    <s v="SP191"/>
    <s v="YouTube"/>
    <d v="2024-02-24T00:00:00"/>
    <s v="Reel"/>
    <s v="Discover fresh beats on Spotify!"/>
    <n v="4221"/>
    <n v="307"/>
    <n v="58"/>
    <n v="45080"/>
    <n v="37214"/>
    <n v="240"/>
    <s v="SummerBeats"/>
    <n v="0.10173025732031943"/>
    <x v="0"/>
  </r>
  <r>
    <s v="SP192"/>
    <s v="Twitter"/>
    <d v="2024-09-16T00:00:00"/>
    <s v="Story"/>
    <s v="Whats your vibe today?"/>
    <n v="4422"/>
    <n v="434"/>
    <n v="156"/>
    <n v="56165"/>
    <n v="52431"/>
    <n v="173"/>
    <s v="ChillVibes"/>
    <n v="8.9237069349238848E-2"/>
    <x v="2"/>
  </r>
  <r>
    <s v="SP192"/>
    <s v="Twitter"/>
    <d v="2024-09-16T00:00:00"/>
    <s v="Story"/>
    <s v="Whats your vibe today?"/>
    <n v="4422"/>
    <n v="434"/>
    <n v="156"/>
    <n v="56165"/>
    <n v="52431"/>
    <n v="173"/>
    <s v="ChillVibes"/>
    <n v="8.9237069349238848E-2"/>
    <x v="3"/>
  </r>
  <r>
    <s v="SP193"/>
    <s v="YouTube"/>
    <d v="2024-06-04T00:00:00"/>
    <s v="Reel"/>
    <s v="Wrapped is here! Relive your top tracks"/>
    <n v="1211"/>
    <n v="431"/>
    <n v="83"/>
    <n v="26532"/>
    <n v="47305"/>
    <n v="232"/>
    <s v="SummerBeats"/>
    <n v="6.5015829941203071E-2"/>
    <x v="2"/>
  </r>
  <r>
    <s v="SP193"/>
    <s v="YouTube"/>
    <d v="2024-06-04T00:00:00"/>
    <s v="Reel"/>
    <s v="Wrapped is here! Relive your top tracks"/>
    <n v="1211"/>
    <n v="431"/>
    <n v="83"/>
    <n v="26532"/>
    <n v="47305"/>
    <n v="232"/>
    <s v="SummerBeats"/>
    <n v="6.5015829941203071E-2"/>
    <x v="0"/>
  </r>
  <r>
    <s v="SP194"/>
    <s v="Twitter"/>
    <d v="2024-05-10T00:00:00"/>
    <s v="Story"/>
    <s v="Explore the latest podcasts now."/>
    <n v="2784"/>
    <n v="111"/>
    <n v="399"/>
    <n v="58366"/>
    <n v="69512"/>
    <n v="269"/>
    <s v="ChillVibes"/>
    <n v="5.6436966727204191E-2"/>
    <x v="3"/>
  </r>
  <r>
    <s v="SP194"/>
    <s v="Twitter"/>
    <d v="2024-05-10T00:00:00"/>
    <s v="Story"/>
    <s v="Explore the latest podcasts now."/>
    <n v="2784"/>
    <n v="111"/>
    <n v="399"/>
    <n v="58366"/>
    <n v="69512"/>
    <n v="269"/>
    <s v="ChillVibes"/>
    <n v="5.6436966727204191E-2"/>
    <x v="1"/>
  </r>
  <r>
    <s v="SP195"/>
    <s v="YouTube"/>
    <d v="2024-01-14T00:00:00"/>
    <s v="Text"/>
    <s v="New music just dropped. Hit play!"/>
    <n v="3634"/>
    <n v="280"/>
    <n v="399"/>
    <n v="40256"/>
    <n v="52605"/>
    <n v="213"/>
    <s v="IndieWave"/>
    <n v="0.10713930842607314"/>
    <x v="2"/>
  </r>
  <r>
    <s v="SP195"/>
    <s v="YouTube"/>
    <d v="2024-01-14T00:00:00"/>
    <s v="Text"/>
    <s v="New music just dropped. Hit play!"/>
    <n v="3634"/>
    <n v="280"/>
    <n v="399"/>
    <n v="40256"/>
    <n v="52605"/>
    <n v="213"/>
    <s v="IndieWave"/>
    <n v="0.10713930842607314"/>
    <x v="4"/>
  </r>
  <r>
    <s v="SP196"/>
    <s v="Instagram"/>
    <d v="2025-01-12T00:00:00"/>
    <s v="Text"/>
    <s v="From pop to podcasts, its all here."/>
    <n v="1771"/>
    <n v="487"/>
    <n v="272"/>
    <n v="48810"/>
    <n v="48084"/>
    <n v="272"/>
    <s v="ChillVibes"/>
    <n v="5.1833640647408315E-2"/>
    <x v="0"/>
  </r>
  <r>
    <s v="SP196"/>
    <s v="Instagram"/>
    <d v="2025-01-12T00:00:00"/>
    <s v="Text"/>
    <s v="From pop to podcasts, its all here."/>
    <n v="1771"/>
    <n v="487"/>
    <n v="272"/>
    <n v="48810"/>
    <n v="48084"/>
    <n v="272"/>
    <s v="ChillVibes"/>
    <n v="5.1833640647408315E-2"/>
    <x v="1"/>
  </r>
  <r>
    <s v="SP197"/>
    <s v="YouTube"/>
    <d v="2024-12-08T00:00:00"/>
    <s v="Text"/>
    <s v="Top trending tracks updated daily!"/>
    <n v="1424"/>
    <n v="396"/>
    <n v="312"/>
    <n v="59517"/>
    <n v="46102"/>
    <n v="239"/>
    <s v="IndieWave"/>
    <n v="3.5821698002251455E-2"/>
    <x v="2"/>
  </r>
  <r>
    <s v="SP197"/>
    <s v="YouTube"/>
    <d v="2024-12-08T00:00:00"/>
    <s v="Text"/>
    <s v="Top trending tracks updated daily!"/>
    <n v="1424"/>
    <n v="396"/>
    <n v="312"/>
    <n v="59517"/>
    <n v="46102"/>
    <n v="239"/>
    <s v="IndieWave"/>
    <n v="3.5821698002251455E-2"/>
    <x v="4"/>
  </r>
  <r>
    <s v="SP198"/>
    <s v="Twitter"/>
    <d v="2025-02-01T00:00:00"/>
    <s v="Story"/>
    <s v="Top trending tracks updated daily!"/>
    <n v="1079"/>
    <n v="265"/>
    <n v="190"/>
    <n v="43786"/>
    <n v="72428"/>
    <n v="222"/>
    <s v="ChillVibes"/>
    <n v="3.5034029141734799E-2"/>
    <x v="0"/>
  </r>
  <r>
    <s v="SP198"/>
    <s v="Twitter"/>
    <d v="2025-02-01T00:00:00"/>
    <s v="Story"/>
    <s v="Top trending tracks updated daily!"/>
    <n v="1079"/>
    <n v="265"/>
    <n v="190"/>
    <n v="43786"/>
    <n v="72428"/>
    <n v="222"/>
    <s v="ChillVibes"/>
    <n v="3.5034029141734799E-2"/>
    <x v="1"/>
  </r>
  <r>
    <s v="SP199"/>
    <s v="Twitter"/>
    <d v="2024-07-11T00:00:00"/>
    <s v="Story"/>
    <s v="Get into the groove with our new drop!"/>
    <n v="4247"/>
    <n v="179"/>
    <n v="175"/>
    <n v="32991"/>
    <n v="70120"/>
    <n v="276"/>
    <s v="ChillVibes"/>
    <n v="0.13946227759085811"/>
    <x v="0"/>
  </r>
  <r>
    <s v="SP199"/>
    <s v="Twitter"/>
    <d v="2024-07-11T00:00:00"/>
    <s v="Story"/>
    <s v="Get into the groove with our new drop!"/>
    <n v="4247"/>
    <n v="179"/>
    <n v="175"/>
    <n v="32991"/>
    <n v="70120"/>
    <n v="276"/>
    <s v="ChillVibes"/>
    <n v="0.13946227759085811"/>
    <x v="1"/>
  </r>
  <r>
    <s v="SP200"/>
    <s v="Twitter"/>
    <d v="2024-03-18T00:00:00"/>
    <s v="Text"/>
    <s v="New music just dropped. Hit play!"/>
    <n v="2033"/>
    <n v="420"/>
    <n v="94"/>
    <n v="56290"/>
    <n v="57391"/>
    <n v="196"/>
    <s v="ChillVibes"/>
    <n v="4.5247823769763724E-2"/>
    <x v="1"/>
  </r>
  <r>
    <s v="SP201"/>
    <s v="Twitter"/>
    <d v="2024-09-12T00:00:00"/>
    <s v="Story"/>
    <s v="Wrapped is here! Relive your top tracks"/>
    <n v="1839"/>
    <n v="223"/>
    <n v="171"/>
    <n v="35459"/>
    <n v="69988"/>
    <n v="114"/>
    <s v="ChillVibes"/>
    <n v="6.2974139146620034E-2"/>
    <x v="3"/>
  </r>
  <r>
    <s v="SP201"/>
    <s v="Twitter"/>
    <d v="2024-09-12T00:00:00"/>
    <s v="Story"/>
    <s v="Wrapped is here! Relive your top tracks"/>
    <n v="1839"/>
    <n v="223"/>
    <n v="171"/>
    <n v="35459"/>
    <n v="69988"/>
    <n v="114"/>
    <s v="ChillVibes"/>
    <n v="6.2974139146620034E-2"/>
    <x v="1"/>
  </r>
  <r>
    <s v="SP202"/>
    <s v="Twitter"/>
    <d v="2024-01-11T00:00:00"/>
    <s v="Story"/>
    <s v="Wrapped is here! Relive your top tracks"/>
    <n v="2340"/>
    <n v="141"/>
    <n v="206"/>
    <n v="24916"/>
    <n v="30582"/>
    <n v="157"/>
    <s v="ChillVibes"/>
    <n v="0.10784235029699792"/>
    <x v="0"/>
  </r>
  <r>
    <s v="SP202"/>
    <s v="Twitter"/>
    <d v="2024-01-11T00:00:00"/>
    <s v="Story"/>
    <s v="Wrapped is here! Relive your top tracks"/>
    <n v="2340"/>
    <n v="141"/>
    <n v="206"/>
    <n v="24916"/>
    <n v="30582"/>
    <n v="157"/>
    <s v="ChillVibes"/>
    <n v="0.10784235029699792"/>
    <x v="1"/>
  </r>
  <r>
    <s v="SP203"/>
    <s v="Instagram"/>
    <d v="2024-10-06T00:00:00"/>
    <s v="Text"/>
    <s v="Top trending tracks updated daily!"/>
    <n v="2080"/>
    <n v="389"/>
    <n v="92"/>
    <n v="30971"/>
    <n v="25347"/>
    <n v="111"/>
    <s v="IndieWave"/>
    <n v="8.2690258629040073E-2"/>
    <x v="2"/>
  </r>
  <r>
    <s v="SP204"/>
    <s v="Twitter"/>
    <d v="2024-12-30T00:00:00"/>
    <s v="Text"/>
    <s v="Get into the groove with our new drop!"/>
    <n v="4214"/>
    <n v="286"/>
    <n v="127"/>
    <n v="47293"/>
    <n v="27184"/>
    <n v="232"/>
    <s v="ChillVibes"/>
    <n v="9.7836889180216949E-2"/>
    <x v="1"/>
  </r>
  <r>
    <s v="SP205"/>
    <s v="Twitter"/>
    <d v="2025-04-16T00:00:00"/>
    <s v="Text"/>
    <s v="Wrapped is here! Relive your top tracks"/>
    <n v="3792"/>
    <n v="315"/>
    <n v="120"/>
    <n v="54592"/>
    <n v="67886"/>
    <n v="117"/>
    <s v="IndieWave"/>
    <n v="7.7428927315357568E-2"/>
    <x v="0"/>
  </r>
  <r>
    <s v="SP206"/>
    <s v="Twitter"/>
    <d v="2024-08-21T00:00:00"/>
    <s v="Story"/>
    <s v="Explore the latest podcasts now."/>
    <n v="3989"/>
    <n v="476"/>
    <n v="128"/>
    <n v="57569"/>
    <n v="40193"/>
    <n v="222"/>
    <s v="ChillVibes"/>
    <n v="7.9782521843353188E-2"/>
    <x v="2"/>
  </r>
  <r>
    <s v="SP206"/>
    <s v="Twitter"/>
    <d v="2024-08-21T00:00:00"/>
    <s v="Story"/>
    <s v="Explore the latest podcasts now."/>
    <n v="3989"/>
    <n v="476"/>
    <n v="128"/>
    <n v="57569"/>
    <n v="40193"/>
    <n v="222"/>
    <s v="ChillVibes"/>
    <n v="7.9782521843353188E-2"/>
    <x v="3"/>
  </r>
  <r>
    <s v="SP207"/>
    <s v="Twitter"/>
    <d v="2024-04-05T00:00:00"/>
    <s v="Story"/>
    <s v="Wrapped is here! Relive your top tracks"/>
    <n v="2857"/>
    <n v="443"/>
    <n v="359"/>
    <n v="51519"/>
    <n v="28256"/>
    <n v="155"/>
    <s v="ChillVibes"/>
    <n v="7.1022341272152026E-2"/>
    <x v="0"/>
  </r>
  <r>
    <s v="SP207"/>
    <s v="Twitter"/>
    <d v="2024-04-05T00:00:00"/>
    <s v="Story"/>
    <s v="Wrapped is here! Relive your top tracks"/>
    <n v="2857"/>
    <n v="443"/>
    <n v="359"/>
    <n v="51519"/>
    <n v="28256"/>
    <n v="155"/>
    <s v="ChillVibes"/>
    <n v="7.1022341272152026E-2"/>
    <x v="1"/>
  </r>
  <r>
    <s v="SP208"/>
    <s v="Twitter"/>
    <d v="2025-04-07T00:00:00"/>
    <s v="Text"/>
    <s v="From pop to podcasts, its all here."/>
    <n v="1403"/>
    <n v="385"/>
    <n v="344"/>
    <n v="54223"/>
    <n v="72595"/>
    <n v="239"/>
    <s v="IndieWave"/>
    <n v="3.9319108127547353E-2"/>
    <x v="0"/>
  </r>
  <r>
    <s v="SP209"/>
    <s v="Twitter"/>
    <d v="2024-07-19T00:00:00"/>
    <s v="Story"/>
    <s v="Whats your vibe today?"/>
    <n v="3071"/>
    <n v="126"/>
    <n v="200"/>
    <n v="44013"/>
    <n v="44679"/>
    <n v="118"/>
    <s v="ChillVibes"/>
    <n v="7.7181741758116915E-2"/>
    <x v="2"/>
  </r>
  <r>
    <s v="SP209"/>
    <s v="Twitter"/>
    <d v="2024-07-19T00:00:00"/>
    <s v="Story"/>
    <s v="Whats your vibe today?"/>
    <n v="3071"/>
    <n v="126"/>
    <n v="200"/>
    <n v="44013"/>
    <n v="44679"/>
    <n v="118"/>
    <s v="ChillVibes"/>
    <n v="7.7181741758116915E-2"/>
    <x v="3"/>
  </r>
  <r>
    <s v="SP210"/>
    <s v="Twitter"/>
    <d v="2025-05-03T00:00:00"/>
    <s v="Story"/>
    <s v="Top trending tracks updated daily!"/>
    <n v="1010"/>
    <n v="361"/>
    <n v="240"/>
    <n v="47229"/>
    <n v="72573"/>
    <n v="275"/>
    <s v="ChillVibes"/>
    <n v="3.4110398272247981E-2"/>
    <x v="0"/>
  </r>
  <r>
    <s v="SP210"/>
    <s v="Twitter"/>
    <d v="2025-05-03T00:00:00"/>
    <s v="Story"/>
    <s v="Top trending tracks updated daily!"/>
    <n v="1010"/>
    <n v="361"/>
    <n v="240"/>
    <n v="47229"/>
    <n v="72573"/>
    <n v="275"/>
    <s v="ChillVibes"/>
    <n v="3.4110398272247981E-2"/>
    <x v="1"/>
  </r>
  <r>
    <s v="SP211"/>
    <s v="Twitter"/>
    <d v="2024-04-14T00:00:00"/>
    <s v="Story"/>
    <s v="Discover fresh beats on Spotify!"/>
    <n v="1295"/>
    <n v="153"/>
    <n v="81"/>
    <n v="48350"/>
    <n v="61033"/>
    <n v="232"/>
    <s v="ChillVibes"/>
    <n v="3.1623578076525334E-2"/>
    <x v="2"/>
  </r>
  <r>
    <s v="SP211"/>
    <s v="Twitter"/>
    <d v="2024-04-14T00:00:00"/>
    <s v="Story"/>
    <s v="Discover fresh beats on Spotify!"/>
    <n v="1295"/>
    <n v="153"/>
    <n v="81"/>
    <n v="48350"/>
    <n v="61033"/>
    <n v="232"/>
    <s v="ChillVibes"/>
    <n v="3.1623578076525334E-2"/>
    <x v="3"/>
  </r>
  <r>
    <s v="SP212"/>
    <s v="Twitter"/>
    <d v="2025-06-19T00:00:00"/>
    <s v="Story"/>
    <s v="Whats your vibe today?"/>
    <n v="1433"/>
    <n v="452"/>
    <n v="305"/>
    <n v="54541"/>
    <n v="63700"/>
    <n v="296"/>
    <s v="ChillVibes"/>
    <n v="4.0153279184466734E-2"/>
    <x v="2"/>
  </r>
  <r>
    <s v="SP212"/>
    <s v="Twitter"/>
    <d v="2025-06-19T00:00:00"/>
    <s v="Story"/>
    <s v="Whats your vibe today?"/>
    <n v="1433"/>
    <n v="452"/>
    <n v="305"/>
    <n v="54541"/>
    <n v="63700"/>
    <n v="296"/>
    <s v="ChillVibes"/>
    <n v="4.0153279184466734E-2"/>
    <x v="3"/>
  </r>
  <r>
    <s v="SP213"/>
    <s v="Instagram"/>
    <d v="2025-06-24T00:00:00"/>
    <s v="Story"/>
    <s v="Get into the groove with our new drop!"/>
    <n v="4902"/>
    <n v="422"/>
    <n v="376"/>
    <n v="31674"/>
    <n v="53225"/>
    <n v="147"/>
    <s v="Wrapped2024"/>
    <n v="0.17995832544042431"/>
    <x v="1"/>
  </r>
  <r>
    <s v="SP214"/>
    <s v="Twitter"/>
    <d v="2024-10-09T00:00:00"/>
    <s v="Text"/>
    <s v="Wrapped is here! Relive your top tracks"/>
    <n v="2659"/>
    <n v="167"/>
    <n v="73"/>
    <n v="23090"/>
    <n v="25872"/>
    <n v="293"/>
    <s v="IndieWave"/>
    <n v="0.12555218709398008"/>
    <x v="0"/>
  </r>
  <r>
    <s v="SP215"/>
    <s v="YouTube"/>
    <d v="2025-01-15T00:00:00"/>
    <s v="Text"/>
    <s v="Your weekend playlist is waiting."/>
    <n v="2599"/>
    <n v="324"/>
    <n v="182"/>
    <n v="37525"/>
    <n v="37216"/>
    <n v="186"/>
    <s v="IndieWave"/>
    <n v="8.2744836775483013E-2"/>
    <x v="2"/>
  </r>
  <r>
    <s v="SP215"/>
    <s v="YouTube"/>
    <d v="2025-01-15T00:00:00"/>
    <s v="Text"/>
    <s v="Your weekend playlist is waiting."/>
    <n v="2599"/>
    <n v="324"/>
    <n v="182"/>
    <n v="37525"/>
    <n v="37216"/>
    <n v="186"/>
    <s v="IndieWave"/>
    <n v="8.2744836775483013E-2"/>
    <x v="4"/>
  </r>
  <r>
    <s v="SP216"/>
    <s v="Twitter"/>
    <d v="2025-01-12T00:00:00"/>
    <s v="Text"/>
    <s v="Music that moves you only on Spotify."/>
    <n v="1765"/>
    <n v="285"/>
    <n v="100"/>
    <n v="41313"/>
    <n v="56575"/>
    <n v="174"/>
    <s v="IndieWave"/>
    <n v="5.2041730205988429E-2"/>
    <x v="0"/>
  </r>
  <r>
    <s v="SP217"/>
    <s v="Instagram"/>
    <d v="2025-05-31T00:00:00"/>
    <s v="Text"/>
    <s v="Whats your vibe today?"/>
    <n v="2169"/>
    <n v="240"/>
    <n v="57"/>
    <n v="26109"/>
    <n v="46667"/>
    <n v="133"/>
    <s v="ChillVibes"/>
    <n v="9.4450189589796618E-2"/>
    <x v="0"/>
  </r>
  <r>
    <s v="SP217"/>
    <s v="Instagram"/>
    <d v="2025-05-31T00:00:00"/>
    <s v="Text"/>
    <s v="Whats your vibe today?"/>
    <n v="2169"/>
    <n v="240"/>
    <n v="57"/>
    <n v="26109"/>
    <n v="46667"/>
    <n v="133"/>
    <s v="ChillVibes"/>
    <n v="9.4450189589796618E-2"/>
    <x v="1"/>
  </r>
  <r>
    <s v="SP218"/>
    <s v="Twitter"/>
    <d v="2024-10-14T00:00:00"/>
    <s v="Story"/>
    <s v="Explore the latest podcasts now."/>
    <n v="4303"/>
    <n v="306"/>
    <n v="302"/>
    <n v="39575"/>
    <n v="33762"/>
    <n v="265"/>
    <s v="ChillVibes"/>
    <n v="0.12409349336702463"/>
    <x v="2"/>
  </r>
  <r>
    <s v="SP218"/>
    <s v="Twitter"/>
    <d v="2024-10-14T00:00:00"/>
    <s v="Story"/>
    <s v="Explore the latest podcasts now."/>
    <n v="4303"/>
    <n v="306"/>
    <n v="302"/>
    <n v="39575"/>
    <n v="33762"/>
    <n v="265"/>
    <s v="ChillVibes"/>
    <n v="0.12409349336702463"/>
    <x v="3"/>
  </r>
  <r>
    <s v="SP219"/>
    <s v="Twitter"/>
    <d v="2024-02-10T00:00:00"/>
    <s v="Text"/>
    <s v="From pop to podcasts, its all here."/>
    <n v="1519"/>
    <n v="456"/>
    <n v="379"/>
    <n v="51611"/>
    <n v="45880"/>
    <n v="176"/>
    <s v="IndieWave"/>
    <n v="4.5610431884675749E-2"/>
    <x v="0"/>
  </r>
  <r>
    <s v="SP220"/>
    <s v="YouTube"/>
    <d v="2024-12-10T00:00:00"/>
    <s v="Text"/>
    <s v="Whats your vibe today?"/>
    <n v="2569"/>
    <n v="140"/>
    <n v="375"/>
    <n v="38372"/>
    <n v="22102"/>
    <n v="255"/>
    <s v="IndieWave"/>
    <n v="8.0371103929948923E-2"/>
    <x v="2"/>
  </r>
  <r>
    <s v="SP220"/>
    <s v="YouTube"/>
    <d v="2024-12-10T00:00:00"/>
    <s v="Text"/>
    <s v="Whats your vibe today?"/>
    <n v="2569"/>
    <n v="140"/>
    <n v="375"/>
    <n v="38372"/>
    <n v="22102"/>
    <n v="255"/>
    <s v="IndieWave"/>
    <n v="8.0371103929948923E-2"/>
    <x v="4"/>
  </r>
  <r>
    <s v="SP221"/>
    <s v="Twitter"/>
    <d v="2025-05-09T00:00:00"/>
    <s v="Story"/>
    <s v="Music that moves you only on Spotify."/>
    <n v="2778"/>
    <n v="241"/>
    <n v="317"/>
    <n v="26247"/>
    <n v="20677"/>
    <n v="282"/>
    <s v="ChillVibes"/>
    <n v="0.1271002400274317"/>
    <x v="3"/>
  </r>
  <r>
    <s v="SP221"/>
    <s v="Twitter"/>
    <d v="2025-05-09T00:00:00"/>
    <s v="Story"/>
    <s v="Music that moves you only on Spotify."/>
    <n v="2778"/>
    <n v="241"/>
    <n v="317"/>
    <n v="26247"/>
    <n v="20677"/>
    <n v="282"/>
    <s v="ChillVibes"/>
    <n v="0.1271002400274317"/>
    <x v="1"/>
  </r>
  <r>
    <s v="SP222"/>
    <s v="Twitter"/>
    <d v="2025-06-21T00:00:00"/>
    <s v="Text"/>
    <s v="Explore the latest podcasts now."/>
    <n v="3611"/>
    <n v="127"/>
    <n v="139"/>
    <n v="44768"/>
    <n v="29435"/>
    <n v="178"/>
    <s v="ChillVibes"/>
    <n v="8.6602037169406718E-2"/>
    <x v="1"/>
  </r>
  <r>
    <s v="SP223"/>
    <s v="Twitter"/>
    <d v="2024-06-19T00:00:00"/>
    <s v="Text"/>
    <s v="Whats your vibe today?"/>
    <n v="1224"/>
    <n v="168"/>
    <n v="199"/>
    <n v="54232"/>
    <n v="52844"/>
    <n v="271"/>
    <s v="IndieWave"/>
    <n v="2.9336922849977874E-2"/>
    <x v="0"/>
  </r>
  <r>
    <s v="SP224"/>
    <s v="Twitter"/>
    <d v="2024-12-10T00:00:00"/>
    <s v="Text"/>
    <s v="From pop to podcasts, its all here."/>
    <n v="4673"/>
    <n v="270"/>
    <n v="93"/>
    <n v="45260"/>
    <n v="57513"/>
    <n v="103"/>
    <s v="ChillVibes"/>
    <n v="0.11126822801590809"/>
    <x v="1"/>
  </r>
  <r>
    <s v="SP225"/>
    <s v="YouTube"/>
    <d v="2024-02-01T00:00:00"/>
    <s v="Text"/>
    <s v="Wrapped is here! Relive your top tracks"/>
    <n v="1432"/>
    <n v="437"/>
    <n v="267"/>
    <n v="40634"/>
    <n v="54511"/>
    <n v="197"/>
    <s v="IndieWave"/>
    <n v="5.2566815966924252E-2"/>
    <x v="2"/>
  </r>
  <r>
    <s v="SP225"/>
    <s v="YouTube"/>
    <d v="2024-02-01T00:00:00"/>
    <s v="Text"/>
    <s v="Wrapped is here! Relive your top tracks"/>
    <n v="1432"/>
    <n v="437"/>
    <n v="267"/>
    <n v="40634"/>
    <n v="54511"/>
    <n v="197"/>
    <s v="IndieWave"/>
    <n v="5.2566815966924252E-2"/>
    <x v="4"/>
  </r>
  <r>
    <s v="SP226"/>
    <s v="Twitter"/>
    <d v="2024-01-17T00:00:00"/>
    <s v="Story"/>
    <s v="New music just dropped. Hit play!"/>
    <n v="2174"/>
    <n v="499"/>
    <n v="212"/>
    <n v="54938"/>
    <n v="27190"/>
    <n v="265"/>
    <s v="ChillVibes"/>
    <n v="5.2513742764570971E-2"/>
    <x v="3"/>
  </r>
  <r>
    <s v="SP226"/>
    <s v="Twitter"/>
    <d v="2024-01-17T00:00:00"/>
    <s v="Story"/>
    <s v="New music just dropped. Hit play!"/>
    <n v="2174"/>
    <n v="499"/>
    <n v="212"/>
    <n v="54938"/>
    <n v="27190"/>
    <n v="265"/>
    <s v="ChillVibes"/>
    <n v="5.2513742764570971E-2"/>
    <x v="1"/>
  </r>
  <r>
    <s v="SP227"/>
    <s v="YouTube"/>
    <d v="2025-03-22T00:00:00"/>
    <s v="Text"/>
    <s v="Music that moves you only on Spotify."/>
    <n v="4308"/>
    <n v="171"/>
    <n v="106"/>
    <n v="36955"/>
    <n v="23949"/>
    <n v="294"/>
    <s v="IndieWave"/>
    <n v="0.12406981463942633"/>
    <x v="2"/>
  </r>
  <r>
    <s v="SP227"/>
    <s v="YouTube"/>
    <d v="2025-03-22T00:00:00"/>
    <s v="Text"/>
    <s v="Music that moves you only on Spotify."/>
    <n v="4308"/>
    <n v="171"/>
    <n v="106"/>
    <n v="36955"/>
    <n v="23949"/>
    <n v="294"/>
    <s v="IndieWave"/>
    <n v="0.12406981463942633"/>
    <x v="4"/>
  </r>
  <r>
    <s v="SP228"/>
    <s v="YouTube"/>
    <d v="2024-05-30T00:00:00"/>
    <s v="Reel"/>
    <s v="Whats your vibe today?"/>
    <n v="1060"/>
    <n v="442"/>
    <n v="319"/>
    <n v="57194"/>
    <n v="24258"/>
    <n v="101"/>
    <s v="SummerBeats"/>
    <n v="3.1839004091338254E-2"/>
    <x v="2"/>
  </r>
  <r>
    <s v="SP228"/>
    <s v="YouTube"/>
    <d v="2024-05-30T00:00:00"/>
    <s v="Reel"/>
    <s v="Whats your vibe today?"/>
    <n v="1060"/>
    <n v="442"/>
    <n v="319"/>
    <n v="57194"/>
    <n v="24258"/>
    <n v="101"/>
    <s v="SummerBeats"/>
    <n v="3.1839004091338254E-2"/>
    <x v="0"/>
  </r>
  <r>
    <s v="SP229"/>
    <s v="YouTube"/>
    <d v="2024-02-24T00:00:00"/>
    <s v="Text"/>
    <s v="Music that moves you only on Spotify."/>
    <n v="4653"/>
    <n v="226"/>
    <n v="349"/>
    <n v="56876"/>
    <n v="28452"/>
    <n v="257"/>
    <s v="IndieWave"/>
    <n v="9.191926295801392E-2"/>
    <x v="2"/>
  </r>
  <r>
    <s v="SP229"/>
    <s v="YouTube"/>
    <d v="2024-02-24T00:00:00"/>
    <s v="Text"/>
    <s v="Music that moves you only on Spotify."/>
    <n v="4653"/>
    <n v="226"/>
    <n v="349"/>
    <n v="56876"/>
    <n v="28452"/>
    <n v="257"/>
    <s v="IndieWave"/>
    <n v="9.191926295801392E-2"/>
    <x v="4"/>
  </r>
  <r>
    <s v="SP230"/>
    <s v="YouTube"/>
    <d v="2025-05-14T00:00:00"/>
    <s v="Text"/>
    <s v="Discover fresh beats on Spotify!"/>
    <n v="1701"/>
    <n v="272"/>
    <n v="385"/>
    <n v="47496"/>
    <n v="40832"/>
    <n v="246"/>
    <s v="IndieWave"/>
    <n v="4.9646286003031836E-2"/>
    <x v="2"/>
  </r>
  <r>
    <s v="SP230"/>
    <s v="YouTube"/>
    <d v="2025-05-14T00:00:00"/>
    <s v="Text"/>
    <s v="Discover fresh beats on Spotify!"/>
    <n v="1701"/>
    <n v="272"/>
    <n v="385"/>
    <n v="47496"/>
    <n v="40832"/>
    <n v="246"/>
    <s v="IndieWave"/>
    <n v="4.9646286003031836E-2"/>
    <x v="4"/>
  </r>
  <r>
    <s v="SP231"/>
    <s v="Instagram"/>
    <d v="2024-03-28T00:00:00"/>
    <s v="Text"/>
    <s v="Whats your vibe today?"/>
    <n v="1673"/>
    <n v="280"/>
    <n v="67"/>
    <n v="29847"/>
    <n v="48016"/>
    <n v="213"/>
    <s v="ChillVibes"/>
    <n v="6.76784936509532E-2"/>
    <x v="0"/>
  </r>
  <r>
    <s v="SP231"/>
    <s v="Instagram"/>
    <d v="2024-03-28T00:00:00"/>
    <s v="Text"/>
    <s v="Whats your vibe today?"/>
    <n v="1673"/>
    <n v="280"/>
    <n v="67"/>
    <n v="29847"/>
    <n v="48016"/>
    <n v="213"/>
    <s v="ChillVibes"/>
    <n v="6.76784936509532E-2"/>
    <x v="1"/>
  </r>
  <r>
    <s v="SP232"/>
    <s v="YouTube"/>
    <d v="2025-03-07T00:00:00"/>
    <s v="Text"/>
    <s v="Top trending tracks updated daily!"/>
    <n v="4310"/>
    <n v="284"/>
    <n v="306"/>
    <n v="44606"/>
    <n v="42604"/>
    <n v="290"/>
    <s v="IndieWave"/>
    <n v="0.10985069273191947"/>
    <x v="2"/>
  </r>
  <r>
    <s v="SP232"/>
    <s v="YouTube"/>
    <d v="2025-03-07T00:00:00"/>
    <s v="Text"/>
    <s v="Top trending tracks updated daily!"/>
    <n v="4310"/>
    <n v="284"/>
    <n v="306"/>
    <n v="44606"/>
    <n v="42604"/>
    <n v="290"/>
    <s v="IndieWave"/>
    <n v="0.10985069273191947"/>
    <x v="4"/>
  </r>
  <r>
    <s v="SP233"/>
    <s v="Twitter"/>
    <d v="2024-10-20T00:00:00"/>
    <s v="Text"/>
    <s v="From pop to podcasts, its all here."/>
    <n v="2752"/>
    <n v="309"/>
    <n v="91"/>
    <n v="39038"/>
    <n v="28095"/>
    <n v="277"/>
    <s v="ChillVibes"/>
    <n v="8.0741841282852611E-2"/>
    <x v="1"/>
  </r>
  <r>
    <s v="SP234"/>
    <s v="Twitter"/>
    <d v="2024-02-02T00:00:00"/>
    <s v="Text"/>
    <s v="From pop to podcasts, its all here."/>
    <n v="3818"/>
    <n v="115"/>
    <n v="286"/>
    <n v="25127"/>
    <n v="22277"/>
    <n v="263"/>
    <s v="ChillVibes"/>
    <n v="0.16790703227603773"/>
    <x v="1"/>
  </r>
  <r>
    <s v="SP235"/>
    <s v="YouTube"/>
    <d v="2024-09-07T00:00:00"/>
    <s v="Text"/>
    <s v="Your weekend playlist is waiting."/>
    <n v="2101"/>
    <n v="411"/>
    <n v="190"/>
    <n v="41791"/>
    <n v="57090"/>
    <n v="172"/>
    <s v="IndieWave"/>
    <n v="6.4655069273288512E-2"/>
    <x v="2"/>
  </r>
  <r>
    <s v="SP235"/>
    <s v="YouTube"/>
    <d v="2024-09-07T00:00:00"/>
    <s v="Text"/>
    <s v="Your weekend playlist is waiting."/>
    <n v="2101"/>
    <n v="411"/>
    <n v="190"/>
    <n v="41791"/>
    <n v="57090"/>
    <n v="172"/>
    <s v="IndieWave"/>
    <n v="6.4655069273288512E-2"/>
    <x v="4"/>
  </r>
  <r>
    <s v="SP236"/>
    <s v="Instagram"/>
    <d v="2024-12-20T00:00:00"/>
    <s v="Text"/>
    <s v="Discover fresh beats on Spotify!"/>
    <n v="2519"/>
    <n v="202"/>
    <n v="239"/>
    <n v="36245"/>
    <n v="48606"/>
    <n v="145"/>
    <s v="IndieWave"/>
    <n v="8.1666436749896543E-2"/>
    <x v="2"/>
  </r>
  <r>
    <s v="SP237"/>
    <s v="YouTube"/>
    <d v="2024-01-14T00:00:00"/>
    <s v="Text"/>
    <s v="Whats your vibe today?"/>
    <n v="4502"/>
    <n v="238"/>
    <n v="386"/>
    <n v="39198"/>
    <n v="25050"/>
    <n v="297"/>
    <s v="IndieWave"/>
    <n v="0.13077197816215114"/>
    <x v="2"/>
  </r>
  <r>
    <s v="SP237"/>
    <s v="YouTube"/>
    <d v="2024-01-14T00:00:00"/>
    <s v="Text"/>
    <s v="Whats your vibe today?"/>
    <n v="4502"/>
    <n v="238"/>
    <n v="386"/>
    <n v="39198"/>
    <n v="25050"/>
    <n v="297"/>
    <s v="IndieWave"/>
    <n v="0.13077197816215114"/>
    <x v="4"/>
  </r>
  <r>
    <s v="SP238"/>
    <s v="Instagram"/>
    <d v="2025-06-15T00:00:00"/>
    <s v="Text"/>
    <s v="Explore the latest podcasts now."/>
    <n v="2478"/>
    <n v="427"/>
    <n v="242"/>
    <n v="59272"/>
    <n v="37833"/>
    <n v="214"/>
    <s v="ChillVibes"/>
    <n v="5.3094209744904843E-2"/>
    <x v="0"/>
  </r>
  <r>
    <s v="SP238"/>
    <s v="Instagram"/>
    <d v="2025-06-15T00:00:00"/>
    <s v="Text"/>
    <s v="Explore the latest podcasts now."/>
    <n v="2478"/>
    <n v="427"/>
    <n v="242"/>
    <n v="59272"/>
    <n v="37833"/>
    <n v="214"/>
    <s v="ChillVibes"/>
    <n v="5.3094209744904843E-2"/>
    <x v="1"/>
  </r>
  <r>
    <s v="SP239"/>
    <s v="Twitter"/>
    <d v="2024-12-13T00:00:00"/>
    <s v="Story"/>
    <s v="New music just dropped. Hit play!"/>
    <n v="4984"/>
    <n v="300"/>
    <n v="338"/>
    <n v="32900"/>
    <n v="31691"/>
    <n v="160"/>
    <s v="ChillVibes"/>
    <n v="0.17088145896656534"/>
    <x v="3"/>
  </r>
  <r>
    <s v="SP239"/>
    <s v="Twitter"/>
    <d v="2024-12-13T00:00:00"/>
    <s v="Story"/>
    <s v="New music just dropped. Hit play!"/>
    <n v="4984"/>
    <n v="300"/>
    <n v="338"/>
    <n v="32900"/>
    <n v="31691"/>
    <n v="160"/>
    <s v="ChillVibes"/>
    <n v="0.17088145896656534"/>
    <x v="1"/>
  </r>
  <r>
    <s v="SP240"/>
    <s v="YouTube"/>
    <d v="2024-08-29T00:00:00"/>
    <s v="Text"/>
    <s v="Wrapped is here! Relive your top tracks"/>
    <n v="4774"/>
    <n v="389"/>
    <n v="358"/>
    <n v="52346"/>
    <n v="30518"/>
    <n v="277"/>
    <s v="IndieWave"/>
    <n v="0.10547128720437092"/>
    <x v="2"/>
  </r>
  <r>
    <s v="SP240"/>
    <s v="YouTube"/>
    <d v="2024-08-29T00:00:00"/>
    <s v="Text"/>
    <s v="Wrapped is here! Relive your top tracks"/>
    <n v="4774"/>
    <n v="389"/>
    <n v="358"/>
    <n v="52346"/>
    <n v="30518"/>
    <n v="277"/>
    <s v="IndieWave"/>
    <n v="0.10547128720437092"/>
    <x v="4"/>
  </r>
  <r>
    <s v="SP241"/>
    <s v="Twitter"/>
    <d v="2024-09-15T00:00:00"/>
    <s v="Text"/>
    <s v="Get into the groove with our new drop!"/>
    <n v="2145"/>
    <n v="340"/>
    <n v="85"/>
    <n v="53323"/>
    <n v="49938"/>
    <n v="104"/>
    <s v="ChillVibes"/>
    <n v="4.819683813738912E-2"/>
    <x v="1"/>
  </r>
  <r>
    <s v="SP242"/>
    <s v="Twitter"/>
    <d v="2025-04-12T00:00:00"/>
    <s v="Story"/>
    <s v="From pop to podcasts, its all here."/>
    <n v="4315"/>
    <n v="208"/>
    <n v="273"/>
    <n v="35780"/>
    <n v="44349"/>
    <n v="133"/>
    <s v="ChillVibes"/>
    <n v="0.13404136389044158"/>
    <x v="2"/>
  </r>
  <r>
    <s v="SP242"/>
    <s v="Twitter"/>
    <d v="2025-04-12T00:00:00"/>
    <s v="Story"/>
    <s v="From pop to podcasts, its all here."/>
    <n v="4315"/>
    <n v="208"/>
    <n v="273"/>
    <n v="35780"/>
    <n v="44349"/>
    <n v="133"/>
    <s v="ChillVibes"/>
    <n v="0.13404136389044158"/>
    <x v="3"/>
  </r>
  <r>
    <s v="SP243"/>
    <s v="Twitter"/>
    <d v="2024-12-10T00:00:00"/>
    <s v="Story"/>
    <s v="Wrapped is here! Relive your top tracks"/>
    <n v="2267"/>
    <n v="230"/>
    <n v="243"/>
    <n v="27904"/>
    <n v="69771"/>
    <n v="255"/>
    <s v="ChillVibes"/>
    <n v="9.8193807339449546E-2"/>
    <x v="2"/>
  </r>
  <r>
    <s v="SP243"/>
    <s v="Twitter"/>
    <d v="2024-12-10T00:00:00"/>
    <s v="Story"/>
    <s v="Wrapped is here! Relive your top tracks"/>
    <n v="2267"/>
    <n v="230"/>
    <n v="243"/>
    <n v="27904"/>
    <n v="69771"/>
    <n v="255"/>
    <s v="ChillVibes"/>
    <n v="9.8193807339449546E-2"/>
    <x v="3"/>
  </r>
  <r>
    <s v="SP244"/>
    <s v="YouTube"/>
    <d v="2025-06-08T00:00:00"/>
    <s v="Text"/>
    <s v="Music that moves you only on Spotify."/>
    <n v="4375"/>
    <n v="303"/>
    <n v="294"/>
    <n v="57468"/>
    <n v="53397"/>
    <n v="159"/>
    <s v="IndieWave"/>
    <n v="8.6517714206166912E-2"/>
    <x v="2"/>
  </r>
  <r>
    <s v="SP244"/>
    <s v="YouTube"/>
    <d v="2025-06-08T00:00:00"/>
    <s v="Text"/>
    <s v="Music that moves you only on Spotify."/>
    <n v="4375"/>
    <n v="303"/>
    <n v="294"/>
    <n v="57468"/>
    <n v="53397"/>
    <n v="159"/>
    <s v="IndieWave"/>
    <n v="8.6517714206166912E-2"/>
    <x v="4"/>
  </r>
  <r>
    <s v="SP245"/>
    <s v="Twitter"/>
    <d v="2025-01-09T00:00:00"/>
    <s v="Story"/>
    <s v="Your weekend playlist is waiting."/>
    <n v="3817"/>
    <n v="284"/>
    <n v="204"/>
    <n v="46434"/>
    <n v="53396"/>
    <n v="104"/>
    <s v="ChillVibes"/>
    <n v="9.2712236723090841E-2"/>
    <x v="3"/>
  </r>
  <r>
    <s v="SP245"/>
    <s v="Twitter"/>
    <d v="2025-01-09T00:00:00"/>
    <s v="Story"/>
    <s v="Your weekend playlist is waiting."/>
    <n v="3817"/>
    <n v="284"/>
    <n v="204"/>
    <n v="46434"/>
    <n v="53396"/>
    <n v="104"/>
    <s v="ChillVibes"/>
    <n v="9.2712236723090841E-2"/>
    <x v="1"/>
  </r>
  <r>
    <s v="SP246"/>
    <s v="Twitter"/>
    <d v="2024-07-08T00:00:00"/>
    <s v="Story"/>
    <s v="Top trending tracks updated daily!"/>
    <n v="2981"/>
    <n v="258"/>
    <n v="168"/>
    <n v="20677"/>
    <n v="68290"/>
    <n v="130"/>
    <s v="ChillVibes"/>
    <n v="0.16477245248343569"/>
    <x v="0"/>
  </r>
  <r>
    <s v="SP246"/>
    <s v="Twitter"/>
    <d v="2024-07-08T00:00:00"/>
    <s v="Story"/>
    <s v="Top trending tracks updated daily!"/>
    <n v="2981"/>
    <n v="258"/>
    <n v="168"/>
    <n v="20677"/>
    <n v="68290"/>
    <n v="130"/>
    <s v="ChillVibes"/>
    <n v="0.16477245248343569"/>
    <x v="1"/>
  </r>
  <r>
    <s v="SP247"/>
    <s v="Twitter"/>
    <d v="2024-09-16T00:00:00"/>
    <s v="Story"/>
    <s v="Your weekend playlist is waiting."/>
    <n v="3300"/>
    <n v="354"/>
    <n v="397"/>
    <n v="56773"/>
    <n v="72110"/>
    <n v="163"/>
    <s v="ChillVibes"/>
    <n v="7.1354340971940891E-2"/>
    <x v="2"/>
  </r>
  <r>
    <s v="SP247"/>
    <s v="Twitter"/>
    <d v="2024-09-16T00:00:00"/>
    <s v="Story"/>
    <s v="Your weekend playlist is waiting."/>
    <n v="3300"/>
    <n v="354"/>
    <n v="397"/>
    <n v="56773"/>
    <n v="72110"/>
    <n v="163"/>
    <s v="ChillVibes"/>
    <n v="7.1354340971940891E-2"/>
    <x v="3"/>
  </r>
  <r>
    <s v="SP248"/>
    <s v="YouTube"/>
    <d v="2024-06-14T00:00:00"/>
    <s v="Reel"/>
    <s v="Wrapped is here! Relive your top tracks"/>
    <n v="4722"/>
    <n v="310"/>
    <n v="344"/>
    <n v="27911"/>
    <n v="19000"/>
    <n v="225"/>
    <s v="SummerBeats"/>
    <n v="0.19261223173659131"/>
    <x v="2"/>
  </r>
  <r>
    <s v="SP248"/>
    <s v="YouTube"/>
    <d v="2024-06-14T00:00:00"/>
    <s v="Reel"/>
    <s v="Wrapped is here! Relive your top tracks"/>
    <n v="4722"/>
    <n v="310"/>
    <n v="344"/>
    <n v="27911"/>
    <n v="19000"/>
    <n v="225"/>
    <s v="SummerBeats"/>
    <n v="0.19261223173659131"/>
    <x v="0"/>
  </r>
  <r>
    <s v="SP249"/>
    <s v="Instagram"/>
    <d v="2024-03-06T00:00:00"/>
    <s v="Text"/>
    <s v="Whats your vibe today?"/>
    <n v="3529"/>
    <n v="263"/>
    <n v="107"/>
    <n v="26570"/>
    <n v="19367"/>
    <n v="96"/>
    <s v="IndieWave"/>
    <n v="0.14674444862627023"/>
    <x v="2"/>
  </r>
  <r>
    <s v="SP250"/>
    <s v="Twitter"/>
    <d v="2025-05-15T00:00:00"/>
    <s v="Text"/>
    <s v="Your weekend playlist is waiting."/>
    <n v="4782"/>
    <n v="210"/>
    <n v="311"/>
    <n v="29793"/>
    <n v="37543"/>
    <n v="145"/>
    <s v="ChillVibes"/>
    <n v="0.17799483100057059"/>
    <x v="1"/>
  </r>
  <r>
    <s v="SP251"/>
    <s v="Twitter"/>
    <d v="2024-07-07T00:00:00"/>
    <s v="Text"/>
    <s v="Whats your vibe today?"/>
    <n v="1848"/>
    <n v="417"/>
    <n v="294"/>
    <n v="57819"/>
    <n v="19798"/>
    <n v="262"/>
    <s v="IndieWave"/>
    <n v="4.4258807658382193E-2"/>
    <x v="0"/>
  </r>
  <r>
    <s v="SP252"/>
    <s v="YouTube"/>
    <d v="2024-10-26T00:00:00"/>
    <s v="Text"/>
    <s v="New music just dropped. Hit play!"/>
    <n v="4676"/>
    <n v="211"/>
    <n v="55"/>
    <n v="45917"/>
    <n v="73503"/>
    <n v="248"/>
    <s v="IndieWave"/>
    <n v="0.10762898272970794"/>
    <x v="2"/>
  </r>
  <r>
    <s v="SP252"/>
    <s v="YouTube"/>
    <d v="2024-10-26T00:00:00"/>
    <s v="Text"/>
    <s v="New music just dropped. Hit play!"/>
    <n v="4676"/>
    <n v="211"/>
    <n v="55"/>
    <n v="45917"/>
    <n v="73503"/>
    <n v="248"/>
    <s v="IndieWave"/>
    <n v="0.10762898272970794"/>
    <x v="4"/>
  </r>
  <r>
    <s v="SP253"/>
    <s v="YouTube"/>
    <d v="2024-08-08T00:00:00"/>
    <s v="Text"/>
    <s v="From pop to podcasts, its all here."/>
    <n v="1994"/>
    <n v="197"/>
    <n v="290"/>
    <n v="49500"/>
    <n v="23343"/>
    <n v="160"/>
    <s v="IndieWave"/>
    <n v="5.0121212121212122E-2"/>
    <x v="2"/>
  </r>
  <r>
    <s v="SP253"/>
    <s v="YouTube"/>
    <d v="2024-08-08T00:00:00"/>
    <s v="Text"/>
    <s v="From pop to podcasts, its all here."/>
    <n v="1994"/>
    <n v="197"/>
    <n v="290"/>
    <n v="49500"/>
    <n v="23343"/>
    <n v="160"/>
    <s v="IndieWave"/>
    <n v="5.0121212121212122E-2"/>
    <x v="4"/>
  </r>
  <r>
    <s v="SP254"/>
    <s v="Twitter"/>
    <d v="2025-02-03T00:00:00"/>
    <s v="Text"/>
    <s v="Whats your vibe today?"/>
    <n v="4995"/>
    <n v="231"/>
    <n v="94"/>
    <n v="34431"/>
    <n v="32560"/>
    <n v="262"/>
    <s v="ChillVibes"/>
    <n v="0.15451192239551567"/>
    <x v="1"/>
  </r>
  <r>
    <s v="SP255"/>
    <s v="Twitter"/>
    <d v="2024-04-03T00:00:00"/>
    <s v="Story"/>
    <s v="Top trending tracks updated daily!"/>
    <n v="2291"/>
    <n v="146"/>
    <n v="399"/>
    <n v="49319"/>
    <n v="28056"/>
    <n v="90"/>
    <s v="ChillVibes"/>
    <n v="5.7503193495407452E-2"/>
    <x v="2"/>
  </r>
  <r>
    <s v="SP255"/>
    <s v="Twitter"/>
    <d v="2024-04-03T00:00:00"/>
    <s v="Story"/>
    <s v="Top trending tracks updated daily!"/>
    <n v="2291"/>
    <n v="146"/>
    <n v="399"/>
    <n v="49319"/>
    <n v="28056"/>
    <n v="90"/>
    <s v="ChillVibes"/>
    <n v="5.7503193495407452E-2"/>
    <x v="3"/>
  </r>
  <r>
    <s v="SP256"/>
    <s v="Twitter"/>
    <d v="2024-07-08T00:00:00"/>
    <s v="Story"/>
    <s v="Wrapped is here! Relive your top tracks"/>
    <n v="2304"/>
    <n v="289"/>
    <n v="161"/>
    <n v="52645"/>
    <n v="66262"/>
    <n v="146"/>
    <s v="ChillVibes"/>
    <n v="5.2312660271630736E-2"/>
    <x v="3"/>
  </r>
  <r>
    <s v="SP256"/>
    <s v="Twitter"/>
    <d v="2024-07-08T00:00:00"/>
    <s v="Story"/>
    <s v="Wrapped is here! Relive your top tracks"/>
    <n v="2304"/>
    <n v="289"/>
    <n v="161"/>
    <n v="52645"/>
    <n v="66262"/>
    <n v="146"/>
    <s v="ChillVibes"/>
    <n v="5.2312660271630736E-2"/>
    <x v="1"/>
  </r>
  <r>
    <s v="SP257"/>
    <s v="Twitter"/>
    <d v="2024-06-08T00:00:00"/>
    <s v="Story"/>
    <s v="Top trending tracks updated daily!"/>
    <n v="3413"/>
    <n v="326"/>
    <n v="86"/>
    <n v="44680"/>
    <n v="52719"/>
    <n v="272"/>
    <s v="ChillVibes"/>
    <n v="8.5608773500447627E-2"/>
    <x v="2"/>
  </r>
  <r>
    <s v="SP257"/>
    <s v="Twitter"/>
    <d v="2024-06-08T00:00:00"/>
    <s v="Story"/>
    <s v="Top trending tracks updated daily!"/>
    <n v="3413"/>
    <n v="326"/>
    <n v="86"/>
    <n v="44680"/>
    <n v="52719"/>
    <n v="272"/>
    <s v="ChillVibes"/>
    <n v="8.5608773500447627E-2"/>
    <x v="3"/>
  </r>
  <r>
    <s v="SP258"/>
    <s v="YouTube"/>
    <d v="2025-03-20T00:00:00"/>
    <s v="Reel"/>
    <s v="From pop to podcasts, its all here."/>
    <n v="1453"/>
    <n v="156"/>
    <n v="178"/>
    <n v="52980"/>
    <n v="57180"/>
    <n v="286"/>
    <s v="SummerBeats"/>
    <n v="3.3729709324273313E-2"/>
    <x v="2"/>
  </r>
  <r>
    <s v="SP258"/>
    <s v="YouTube"/>
    <d v="2025-03-20T00:00:00"/>
    <s v="Reel"/>
    <s v="From pop to podcasts, its all here."/>
    <n v="1453"/>
    <n v="156"/>
    <n v="178"/>
    <n v="52980"/>
    <n v="57180"/>
    <n v="286"/>
    <s v="SummerBeats"/>
    <n v="3.3729709324273313E-2"/>
    <x v="0"/>
  </r>
  <r>
    <s v="SP259"/>
    <s v="Twitter"/>
    <d v="2025-01-19T00:00:00"/>
    <s v="Story"/>
    <s v="Music that moves you only on Spotify."/>
    <n v="1651"/>
    <n v="480"/>
    <n v="282"/>
    <n v="32140"/>
    <n v="70560"/>
    <n v="138"/>
    <s v="ChillVibes"/>
    <n v="7.5077784691972627E-2"/>
    <x v="0"/>
  </r>
  <r>
    <s v="SP259"/>
    <s v="Twitter"/>
    <d v="2025-01-19T00:00:00"/>
    <s v="Story"/>
    <s v="Music that moves you only on Spotify."/>
    <n v="1651"/>
    <n v="480"/>
    <n v="282"/>
    <n v="32140"/>
    <n v="70560"/>
    <n v="138"/>
    <s v="ChillVibes"/>
    <n v="7.5077784691972627E-2"/>
    <x v="1"/>
  </r>
  <r>
    <s v="SP260"/>
    <s v="Twitter"/>
    <d v="2025-01-05T00:00:00"/>
    <s v="Story"/>
    <s v="Explore the latest podcasts now."/>
    <n v="3341"/>
    <n v="154"/>
    <n v="123"/>
    <n v="43369"/>
    <n v="49035"/>
    <n v="128"/>
    <s v="ChillVibes"/>
    <n v="8.3423643616408028E-2"/>
    <x v="3"/>
  </r>
  <r>
    <s v="SP260"/>
    <s v="Twitter"/>
    <d v="2025-01-05T00:00:00"/>
    <s v="Story"/>
    <s v="Explore the latest podcasts now."/>
    <n v="3341"/>
    <n v="154"/>
    <n v="123"/>
    <n v="43369"/>
    <n v="49035"/>
    <n v="128"/>
    <s v="ChillVibes"/>
    <n v="8.3423643616408028E-2"/>
    <x v="1"/>
  </r>
  <r>
    <s v="SP261"/>
    <s v="Twitter"/>
    <d v="2024-11-16T00:00:00"/>
    <s v="Text"/>
    <s v="From pop to podcasts, its all here."/>
    <n v="2972"/>
    <n v="263"/>
    <n v="308"/>
    <n v="51740"/>
    <n v="28214"/>
    <n v="190"/>
    <s v="IndieWave"/>
    <n v="6.8477000386548123E-2"/>
    <x v="0"/>
  </r>
  <r>
    <s v="SP262"/>
    <s v="Twitter"/>
    <d v="2024-11-30T00:00:00"/>
    <s v="Story"/>
    <s v="Explore the latest podcasts now."/>
    <n v="4963"/>
    <n v="255"/>
    <n v="193"/>
    <n v="44386"/>
    <n v="28415"/>
    <n v="174"/>
    <s v="ChillVibes"/>
    <n v="0.12190780876853062"/>
    <x v="3"/>
  </r>
  <r>
    <s v="SP262"/>
    <s v="Twitter"/>
    <d v="2024-11-30T00:00:00"/>
    <s v="Story"/>
    <s v="Explore the latest podcasts now."/>
    <n v="4963"/>
    <n v="255"/>
    <n v="193"/>
    <n v="44386"/>
    <n v="28415"/>
    <n v="174"/>
    <s v="ChillVibes"/>
    <n v="0.12190780876853062"/>
    <x v="1"/>
  </r>
  <r>
    <s v="SP263"/>
    <s v="YouTube"/>
    <d v="2024-03-27T00:00:00"/>
    <s v="Text"/>
    <s v="Music that moves you only on Spotify."/>
    <n v="2399"/>
    <n v="191"/>
    <n v="221"/>
    <n v="51603"/>
    <n v="40033"/>
    <n v="173"/>
    <s v="IndieWave"/>
    <n v="5.4473577117609438E-2"/>
    <x v="2"/>
  </r>
  <r>
    <s v="SP263"/>
    <s v="YouTube"/>
    <d v="2024-03-27T00:00:00"/>
    <s v="Text"/>
    <s v="Music that moves you only on Spotify."/>
    <n v="2399"/>
    <n v="191"/>
    <n v="221"/>
    <n v="51603"/>
    <n v="40033"/>
    <n v="173"/>
    <s v="IndieWave"/>
    <n v="5.4473577117609438E-2"/>
    <x v="4"/>
  </r>
  <r>
    <s v="SP264"/>
    <s v="YouTube"/>
    <d v="2025-05-31T00:00:00"/>
    <s v="Reel"/>
    <s v="Get into the groove with our new drop!"/>
    <n v="2162"/>
    <n v="318"/>
    <n v="83"/>
    <n v="46719"/>
    <n v="20482"/>
    <n v="185"/>
    <s v="SummerBeats"/>
    <n v="5.4859907104176028E-2"/>
    <x v="2"/>
  </r>
  <r>
    <s v="SP264"/>
    <s v="YouTube"/>
    <d v="2025-05-31T00:00:00"/>
    <s v="Reel"/>
    <s v="Get into the groove with our new drop!"/>
    <n v="2162"/>
    <n v="318"/>
    <n v="83"/>
    <n v="46719"/>
    <n v="20482"/>
    <n v="185"/>
    <s v="SummerBeats"/>
    <n v="5.4859907104176028E-2"/>
    <x v="0"/>
  </r>
  <r>
    <s v="SP265"/>
    <s v="Twitter"/>
    <d v="2025-06-17T00:00:00"/>
    <s v="Story"/>
    <s v="Explore the latest podcasts now."/>
    <n v="4341"/>
    <n v="141"/>
    <n v="63"/>
    <n v="50081"/>
    <n v="27507"/>
    <n v="221"/>
    <s v="ChillVibes"/>
    <n v="9.0752980172121162E-2"/>
    <x v="2"/>
  </r>
  <r>
    <s v="SP265"/>
    <s v="Twitter"/>
    <d v="2025-06-17T00:00:00"/>
    <s v="Story"/>
    <s v="Explore the latest podcasts now."/>
    <n v="4341"/>
    <n v="141"/>
    <n v="63"/>
    <n v="50081"/>
    <n v="27507"/>
    <n v="221"/>
    <s v="ChillVibes"/>
    <n v="9.0752980172121162E-2"/>
    <x v="3"/>
  </r>
  <r>
    <s v="SP266"/>
    <s v="Instagram"/>
    <d v="2024-05-30T00:00:00"/>
    <s v="Story"/>
    <s v="Get into the groove with our new drop!"/>
    <n v="2448"/>
    <n v="464"/>
    <n v="98"/>
    <n v="25737"/>
    <n v="48545"/>
    <n v="246"/>
    <s v="Wrapped2024"/>
    <n v="0.11695224773672146"/>
    <x v="1"/>
  </r>
  <r>
    <s v="SP267"/>
    <s v="YouTube"/>
    <d v="2024-11-08T00:00:00"/>
    <s v="Text"/>
    <s v="Top trending tracks updated daily!"/>
    <n v="2471"/>
    <n v="166"/>
    <n v="320"/>
    <n v="48254"/>
    <n v="46900"/>
    <n v="111"/>
    <s v="IndieWave"/>
    <n v="6.1279893894806647E-2"/>
    <x v="2"/>
  </r>
  <r>
    <s v="SP267"/>
    <s v="YouTube"/>
    <d v="2024-11-08T00:00:00"/>
    <s v="Text"/>
    <s v="Top trending tracks updated daily!"/>
    <n v="2471"/>
    <n v="166"/>
    <n v="320"/>
    <n v="48254"/>
    <n v="46900"/>
    <n v="111"/>
    <s v="IndieWave"/>
    <n v="6.1279893894806647E-2"/>
    <x v="4"/>
  </r>
  <r>
    <s v="SP268"/>
    <s v="YouTube"/>
    <d v="2024-03-17T00:00:00"/>
    <s v="Reel"/>
    <s v="Explore the latest podcasts now."/>
    <n v="2692"/>
    <n v="446"/>
    <n v="216"/>
    <n v="45818"/>
    <n v="62723"/>
    <n v="85"/>
    <s v="SummerBeats"/>
    <n v="7.3202671439172376E-2"/>
    <x v="2"/>
  </r>
  <r>
    <s v="SP268"/>
    <s v="YouTube"/>
    <d v="2024-03-17T00:00:00"/>
    <s v="Reel"/>
    <s v="Explore the latest podcasts now."/>
    <n v="2692"/>
    <n v="446"/>
    <n v="216"/>
    <n v="45818"/>
    <n v="62723"/>
    <n v="85"/>
    <s v="SummerBeats"/>
    <n v="7.3202671439172376E-2"/>
    <x v="0"/>
  </r>
  <r>
    <s v="SP269"/>
    <s v="YouTube"/>
    <d v="2024-06-21T00:00:00"/>
    <s v="Reel"/>
    <s v="Music that moves you only on Spotify."/>
    <n v="4621"/>
    <n v="374"/>
    <n v="298"/>
    <n v="56979"/>
    <n v="24098"/>
    <n v="205"/>
    <s v="SummerBeats"/>
    <n v="9.2893873181347508E-2"/>
    <x v="2"/>
  </r>
  <r>
    <s v="SP269"/>
    <s v="YouTube"/>
    <d v="2024-06-21T00:00:00"/>
    <s v="Reel"/>
    <s v="Music that moves you only on Spotify."/>
    <n v="4621"/>
    <n v="374"/>
    <n v="298"/>
    <n v="56979"/>
    <n v="24098"/>
    <n v="205"/>
    <s v="SummerBeats"/>
    <n v="9.2893873181347508E-2"/>
    <x v="0"/>
  </r>
  <r>
    <s v="SP270"/>
    <s v="Twitter"/>
    <d v="2024-11-13T00:00:00"/>
    <s v="Story"/>
    <s v="New music just dropped. Hit play!"/>
    <n v="1409"/>
    <n v="466"/>
    <n v="105"/>
    <n v="58923"/>
    <n v="38753"/>
    <n v="265"/>
    <s v="ChillVibes"/>
    <n v="3.3603177027646251E-2"/>
    <x v="2"/>
  </r>
  <r>
    <s v="SP270"/>
    <s v="Twitter"/>
    <d v="2024-11-13T00:00:00"/>
    <s v="Story"/>
    <s v="New music just dropped. Hit play!"/>
    <n v="1409"/>
    <n v="466"/>
    <n v="105"/>
    <n v="58923"/>
    <n v="38753"/>
    <n v="265"/>
    <s v="ChillVibes"/>
    <n v="3.3603177027646251E-2"/>
    <x v="3"/>
  </r>
  <r>
    <s v="SP271"/>
    <s v="Twitter"/>
    <d v="2025-02-05T00:00:00"/>
    <s v="Story"/>
    <s v="Discover fresh beats on Spotify!"/>
    <n v="3029"/>
    <n v="440"/>
    <n v="66"/>
    <n v="23815"/>
    <n v="47895"/>
    <n v="210"/>
    <s v="ChillVibes"/>
    <n v="0.14843585975225698"/>
    <x v="2"/>
  </r>
  <r>
    <s v="SP271"/>
    <s v="Twitter"/>
    <d v="2025-02-05T00:00:00"/>
    <s v="Story"/>
    <s v="Discover fresh beats on Spotify!"/>
    <n v="3029"/>
    <n v="440"/>
    <n v="66"/>
    <n v="23815"/>
    <n v="47895"/>
    <n v="210"/>
    <s v="ChillVibes"/>
    <n v="0.14843585975225698"/>
    <x v="3"/>
  </r>
  <r>
    <s v="SP272"/>
    <s v="Twitter"/>
    <d v="2024-11-07T00:00:00"/>
    <s v="Text"/>
    <s v="Explore the latest podcasts now."/>
    <n v="2229"/>
    <n v="395"/>
    <n v="328"/>
    <n v="56921"/>
    <n v="37176"/>
    <n v="126"/>
    <s v="IndieWave"/>
    <n v="5.1861351697967357E-2"/>
    <x v="0"/>
  </r>
  <r>
    <s v="SP273"/>
    <s v="Twitter"/>
    <d v="2024-02-12T00:00:00"/>
    <s v="Text"/>
    <s v="Explore the latest podcasts now."/>
    <n v="2691"/>
    <n v="486"/>
    <n v="206"/>
    <n v="51133"/>
    <n v="44583"/>
    <n v="276"/>
    <s v="ChillVibes"/>
    <n v="6.6160796354604659E-2"/>
    <x v="1"/>
  </r>
  <r>
    <s v="SP274"/>
    <s v="Instagram"/>
    <d v="2024-10-08T00:00:00"/>
    <s v="Text"/>
    <s v="Explore the latest podcasts now."/>
    <n v="2110"/>
    <n v="384"/>
    <n v="236"/>
    <n v="49965"/>
    <n v="61555"/>
    <n v="195"/>
    <s v="IndieWave"/>
    <n v="5.4638246772740921E-2"/>
    <x v="2"/>
  </r>
  <r>
    <s v="SP275"/>
    <s v="Instagram"/>
    <d v="2024-02-19T00:00:00"/>
    <s v="Text"/>
    <s v="Wrapped is here! Relive your top tracks"/>
    <n v="4752"/>
    <n v="449"/>
    <n v="309"/>
    <n v="58530"/>
    <n v="26630"/>
    <n v="234"/>
    <s v="IndieWave"/>
    <n v="9.4139757389372969E-2"/>
    <x v="2"/>
  </r>
  <r>
    <s v="SP276"/>
    <s v="Twitter"/>
    <d v="2025-03-04T00:00:00"/>
    <s v="Text"/>
    <s v="Discover fresh beats on Spotify!"/>
    <n v="2177"/>
    <n v="258"/>
    <n v="292"/>
    <n v="47276"/>
    <n v="51324"/>
    <n v="143"/>
    <s v="ChillVibes"/>
    <n v="5.7682545054573146E-2"/>
    <x v="1"/>
  </r>
  <r>
    <s v="SP277"/>
    <s v="Instagram"/>
    <d v="2025-02-03T00:00:00"/>
    <s v="Story"/>
    <s v="New music just dropped. Hit play!"/>
    <n v="1205"/>
    <n v="486"/>
    <n v="269"/>
    <n v="23341"/>
    <n v="42411"/>
    <n v="184"/>
    <s v="Wrapped2024"/>
    <n v="8.3972409065592737E-2"/>
    <x v="1"/>
  </r>
  <r>
    <s v="SP278"/>
    <s v="Instagram"/>
    <d v="2024-12-02T00:00:00"/>
    <s v="Text"/>
    <s v="Top trending tracks updated daily!"/>
    <n v="3194"/>
    <n v="292"/>
    <n v="245"/>
    <n v="56371"/>
    <n v="65597"/>
    <n v="163"/>
    <s v="ChillVibes"/>
    <n v="6.6186514342481059E-2"/>
    <x v="0"/>
  </r>
  <r>
    <s v="SP278"/>
    <s v="Instagram"/>
    <d v="2024-12-02T00:00:00"/>
    <s v="Text"/>
    <s v="Top trending tracks updated daily!"/>
    <n v="3194"/>
    <n v="292"/>
    <n v="245"/>
    <n v="56371"/>
    <n v="65597"/>
    <n v="163"/>
    <s v="ChillVibes"/>
    <n v="6.6186514342481059E-2"/>
    <x v="1"/>
  </r>
  <r>
    <s v="SP279"/>
    <s v="Twitter"/>
    <d v="2025-01-19T00:00:00"/>
    <s v="Story"/>
    <s v="New music just dropped. Hit play!"/>
    <n v="3507"/>
    <n v="295"/>
    <n v="371"/>
    <n v="20410"/>
    <n v="53965"/>
    <n v="212"/>
    <s v="ChillVibes"/>
    <n v="0.20445859872611466"/>
    <x v="0"/>
  </r>
  <r>
    <s v="SP279"/>
    <s v="Twitter"/>
    <d v="2025-01-19T00:00:00"/>
    <s v="Story"/>
    <s v="New music just dropped. Hit play!"/>
    <n v="3507"/>
    <n v="295"/>
    <n v="371"/>
    <n v="20410"/>
    <n v="53965"/>
    <n v="212"/>
    <s v="ChillVibes"/>
    <n v="0.20445859872611466"/>
    <x v="1"/>
  </r>
  <r>
    <s v="SP280"/>
    <s v="Twitter"/>
    <d v="2024-09-28T00:00:00"/>
    <s v="Story"/>
    <s v="Wrapped is here! Relive your top tracks"/>
    <n v="4471"/>
    <n v="317"/>
    <n v="249"/>
    <n v="44862"/>
    <n v="33365"/>
    <n v="184"/>
    <s v="ChillVibes"/>
    <n v="0.1122776514644911"/>
    <x v="2"/>
  </r>
  <r>
    <s v="SP280"/>
    <s v="Twitter"/>
    <d v="2024-09-28T00:00:00"/>
    <s v="Story"/>
    <s v="Wrapped is here! Relive your top tracks"/>
    <n v="4471"/>
    <n v="317"/>
    <n v="249"/>
    <n v="44862"/>
    <n v="33365"/>
    <n v="184"/>
    <s v="ChillVibes"/>
    <n v="0.1122776514644911"/>
    <x v="3"/>
  </r>
  <r>
    <s v="SP281"/>
    <s v="Instagram"/>
    <d v="2024-01-07T00:00:00"/>
    <s v="Text"/>
    <s v="Top trending tracks updated daily!"/>
    <n v="4931"/>
    <n v="469"/>
    <n v="193"/>
    <n v="56701"/>
    <n v="69437"/>
    <n v="291"/>
    <s v="ChillVibes"/>
    <n v="9.8640235621946709E-2"/>
    <x v="0"/>
  </r>
  <r>
    <s v="SP281"/>
    <s v="Instagram"/>
    <d v="2024-01-07T00:00:00"/>
    <s v="Text"/>
    <s v="Top trending tracks updated daily!"/>
    <n v="4931"/>
    <n v="469"/>
    <n v="193"/>
    <n v="56701"/>
    <n v="69437"/>
    <n v="291"/>
    <s v="ChillVibes"/>
    <n v="9.8640235621946709E-2"/>
    <x v="1"/>
  </r>
  <r>
    <s v="SP282"/>
    <s v="Twitter"/>
    <d v="2024-02-21T00:00:00"/>
    <s v="Story"/>
    <s v="Get into the groove with our new drop!"/>
    <n v="2604"/>
    <n v="439"/>
    <n v="148"/>
    <n v="58468"/>
    <n v="39629"/>
    <n v="163"/>
    <s v="ChillVibes"/>
    <n v="5.4576862557296296E-2"/>
    <x v="3"/>
  </r>
  <r>
    <s v="SP282"/>
    <s v="Twitter"/>
    <d v="2024-02-21T00:00:00"/>
    <s v="Story"/>
    <s v="Get into the groove with our new drop!"/>
    <n v="2604"/>
    <n v="439"/>
    <n v="148"/>
    <n v="58468"/>
    <n v="39629"/>
    <n v="163"/>
    <s v="ChillVibes"/>
    <n v="5.4576862557296296E-2"/>
    <x v="1"/>
  </r>
  <r>
    <s v="SP283"/>
    <s v="Instagram"/>
    <d v="2024-08-27T00:00:00"/>
    <s v="Text"/>
    <s v="Music that moves you only on Spotify."/>
    <n v="4197"/>
    <n v="359"/>
    <n v="280"/>
    <n v="56048"/>
    <n v="70930"/>
    <n v="295"/>
    <s v="IndieWave"/>
    <n v="8.628318584070796E-2"/>
    <x v="2"/>
  </r>
  <r>
    <s v="SP284"/>
    <s v="Instagram"/>
    <d v="2024-10-24T00:00:00"/>
    <s v="Story"/>
    <s v="Top trending tracks updated daily!"/>
    <n v="1914"/>
    <n v="255"/>
    <n v="156"/>
    <n v="27660"/>
    <n v="47776"/>
    <n v="111"/>
    <s v="Wrapped2024"/>
    <n v="8.4056399132321047E-2"/>
    <x v="1"/>
  </r>
  <r>
    <s v="SP285"/>
    <s v="YouTube"/>
    <d v="2025-01-29T00:00:00"/>
    <s v="Text"/>
    <s v="New music just dropped. Hit play!"/>
    <n v="1334"/>
    <n v="357"/>
    <n v="257"/>
    <n v="56910"/>
    <n v="70606"/>
    <n v="228"/>
    <s v="IndieWave"/>
    <n v="3.4229485151994379E-2"/>
    <x v="2"/>
  </r>
  <r>
    <s v="SP285"/>
    <s v="YouTube"/>
    <d v="2025-01-29T00:00:00"/>
    <s v="Text"/>
    <s v="New music just dropped. Hit play!"/>
    <n v="1334"/>
    <n v="357"/>
    <n v="257"/>
    <n v="56910"/>
    <n v="70606"/>
    <n v="228"/>
    <s v="IndieWave"/>
    <n v="3.4229485151994379E-2"/>
    <x v="4"/>
  </r>
  <r>
    <s v="SP286"/>
    <s v="Instagram"/>
    <d v="2024-05-01T00:00:00"/>
    <s v="Text"/>
    <s v="Get into the groove with our new drop!"/>
    <n v="3359"/>
    <n v="137"/>
    <n v="387"/>
    <n v="33861"/>
    <n v="47257"/>
    <n v="198"/>
    <s v="IndieWave"/>
    <n v="0.11467469950680724"/>
    <x v="2"/>
  </r>
  <r>
    <s v="SP287"/>
    <s v="YouTube"/>
    <d v="2024-06-25T00:00:00"/>
    <s v="Text"/>
    <s v="Your weekend playlist is waiting."/>
    <n v="2172"/>
    <n v="338"/>
    <n v="70"/>
    <n v="30515"/>
    <n v="57853"/>
    <n v="156"/>
    <s v="IndieWave"/>
    <n v="8.4548582664263475E-2"/>
    <x v="2"/>
  </r>
  <r>
    <s v="SP287"/>
    <s v="YouTube"/>
    <d v="2024-06-25T00:00:00"/>
    <s v="Text"/>
    <s v="Your weekend playlist is waiting."/>
    <n v="2172"/>
    <n v="338"/>
    <n v="70"/>
    <n v="30515"/>
    <n v="57853"/>
    <n v="156"/>
    <s v="IndieWave"/>
    <n v="8.4548582664263475E-2"/>
    <x v="4"/>
  </r>
  <r>
    <s v="SP288"/>
    <s v="Twitter"/>
    <d v="2024-08-09T00:00:00"/>
    <s v="Story"/>
    <s v="From pop to podcasts, its all here."/>
    <n v="4877"/>
    <n v="442"/>
    <n v="236"/>
    <n v="52673"/>
    <n v="48241"/>
    <n v="114"/>
    <s v="ChillVibes"/>
    <n v="0.10546200140489435"/>
    <x v="2"/>
  </r>
  <r>
    <s v="SP288"/>
    <s v="Twitter"/>
    <d v="2024-08-09T00:00:00"/>
    <s v="Story"/>
    <s v="From pop to podcasts, its all here."/>
    <n v="4877"/>
    <n v="442"/>
    <n v="236"/>
    <n v="52673"/>
    <n v="48241"/>
    <n v="114"/>
    <s v="ChillVibes"/>
    <n v="0.10546200140489435"/>
    <x v="3"/>
  </r>
  <r>
    <s v="SP289"/>
    <s v="Instagram"/>
    <d v="2025-01-21T00:00:00"/>
    <s v="Story"/>
    <s v="New music just dropped. Hit play!"/>
    <n v="4918"/>
    <n v="440"/>
    <n v="149"/>
    <n v="53269"/>
    <n v="64370"/>
    <n v="269"/>
    <s v="Wrapped2024"/>
    <n v="0.10338095327488783"/>
    <x v="1"/>
  </r>
  <r>
    <s v="SP290"/>
    <s v="Twitter"/>
    <d v="2024-08-13T00:00:00"/>
    <s v="Text"/>
    <s v="Explore the latest podcasts now."/>
    <n v="3418"/>
    <n v="107"/>
    <n v="221"/>
    <n v="23927"/>
    <n v="26182"/>
    <n v="155"/>
    <s v="IndieWave"/>
    <n v="0.1565595352530614"/>
    <x v="0"/>
  </r>
  <r>
    <s v="SP291"/>
    <s v="Instagram"/>
    <d v="2024-06-29T00:00:00"/>
    <s v="Text"/>
    <s v="Your weekend playlist is waiting."/>
    <n v="2088"/>
    <n v="490"/>
    <n v="124"/>
    <n v="46544"/>
    <n v="69346"/>
    <n v="178"/>
    <s v="ChillVibes"/>
    <n v="5.8052595393606049E-2"/>
    <x v="0"/>
  </r>
  <r>
    <s v="SP291"/>
    <s v="Instagram"/>
    <d v="2024-06-29T00:00:00"/>
    <s v="Text"/>
    <s v="Your weekend playlist is waiting."/>
    <n v="2088"/>
    <n v="490"/>
    <n v="124"/>
    <n v="46544"/>
    <n v="69346"/>
    <n v="178"/>
    <s v="ChillVibes"/>
    <n v="5.8052595393606049E-2"/>
    <x v="1"/>
  </r>
  <r>
    <s v="SP292"/>
    <s v="Twitter"/>
    <d v="2024-11-03T00:00:00"/>
    <s v="Story"/>
    <s v="Explore the latest podcasts now."/>
    <n v="3061"/>
    <n v="320"/>
    <n v="76"/>
    <n v="26640"/>
    <n v="24306"/>
    <n v="112"/>
    <s v="ChillVibes"/>
    <n v="0.12976726726726726"/>
    <x v="3"/>
  </r>
  <r>
    <s v="SP292"/>
    <s v="Twitter"/>
    <d v="2024-11-03T00:00:00"/>
    <s v="Story"/>
    <s v="Explore the latest podcasts now."/>
    <n v="3061"/>
    <n v="320"/>
    <n v="76"/>
    <n v="26640"/>
    <n v="24306"/>
    <n v="112"/>
    <s v="ChillVibes"/>
    <n v="0.12976726726726726"/>
    <x v="1"/>
  </r>
  <r>
    <s v="SP293"/>
    <s v="YouTube"/>
    <d v="2025-04-18T00:00:00"/>
    <s v="Reel"/>
    <s v="Your weekend playlist is waiting."/>
    <n v="1265"/>
    <n v="230"/>
    <n v="364"/>
    <n v="41312"/>
    <n v="50382"/>
    <n v="106"/>
    <s v="SummerBeats"/>
    <n v="4.4999031758326875E-2"/>
    <x v="2"/>
  </r>
  <r>
    <s v="SP293"/>
    <s v="YouTube"/>
    <d v="2025-04-18T00:00:00"/>
    <s v="Reel"/>
    <s v="Your weekend playlist is waiting."/>
    <n v="1265"/>
    <n v="230"/>
    <n v="364"/>
    <n v="41312"/>
    <n v="50382"/>
    <n v="106"/>
    <s v="SummerBeats"/>
    <n v="4.4999031758326875E-2"/>
    <x v="0"/>
  </r>
  <r>
    <s v="SP294"/>
    <s v="Instagram"/>
    <d v="2024-12-27T00:00:00"/>
    <s v="Text"/>
    <s v="From pop to podcasts, its all here."/>
    <n v="1436"/>
    <n v="219"/>
    <n v="229"/>
    <n v="58488"/>
    <n v="24314"/>
    <n v="147"/>
    <s v="IndieWave"/>
    <n v="3.221173574066475E-2"/>
    <x v="2"/>
  </r>
  <r>
    <s v="SP295"/>
    <s v="Instagram"/>
    <d v="2025-03-08T00:00:00"/>
    <s v="Story"/>
    <s v="Top trending tracks updated daily!"/>
    <n v="2244"/>
    <n v="392"/>
    <n v="231"/>
    <n v="25834"/>
    <n v="50906"/>
    <n v="165"/>
    <s v="Wrapped2024"/>
    <n v="0.1109777812185492"/>
    <x v="1"/>
  </r>
  <r>
    <s v="SP296"/>
    <s v="Twitter"/>
    <d v="2025-03-20T00:00:00"/>
    <s v="Story"/>
    <s v="Your weekend playlist is waiting."/>
    <n v="3393"/>
    <n v="104"/>
    <n v="79"/>
    <n v="30025"/>
    <n v="21593"/>
    <n v="165"/>
    <s v="ChillVibes"/>
    <n v="0.1191007493755204"/>
    <x v="3"/>
  </r>
  <r>
    <s v="SP296"/>
    <s v="Twitter"/>
    <d v="2025-03-20T00:00:00"/>
    <s v="Story"/>
    <s v="Your weekend playlist is waiting."/>
    <n v="3393"/>
    <n v="104"/>
    <n v="79"/>
    <n v="30025"/>
    <n v="21593"/>
    <n v="165"/>
    <s v="ChillVibes"/>
    <n v="0.1191007493755204"/>
    <x v="1"/>
  </r>
  <r>
    <s v="SP297"/>
    <s v="Twitter"/>
    <d v="2024-11-16T00:00:00"/>
    <s v="Text"/>
    <s v="Explore the latest podcasts now."/>
    <n v="2901"/>
    <n v="108"/>
    <n v="86"/>
    <n v="51777"/>
    <n v="23773"/>
    <n v="160"/>
    <s v="IndieWave"/>
    <n v="5.9775576027966085E-2"/>
    <x v="0"/>
  </r>
  <r>
    <s v="SP298"/>
    <s v="Twitter"/>
    <d v="2025-06-30T00:00:00"/>
    <s v="Text"/>
    <s v="Whats your vibe today?"/>
    <n v="2275"/>
    <n v="285"/>
    <n v="125"/>
    <n v="43970"/>
    <n v="74761"/>
    <n v="83"/>
    <s v="ChillVibes"/>
    <n v="6.1064362065044349E-2"/>
    <x v="1"/>
  </r>
  <r>
    <s v="SP299"/>
    <s v="Twitter"/>
    <d v="2024-01-12T00:00:00"/>
    <s v="Story"/>
    <s v="Wrapped is here! Relive your top tracks"/>
    <n v="2227"/>
    <n v="494"/>
    <n v="161"/>
    <n v="51651"/>
    <n v="68074"/>
    <n v="240"/>
    <s v="ChillVibes"/>
    <n v="5.5797564422760453E-2"/>
    <x v="2"/>
  </r>
  <r>
    <s v="SP299"/>
    <s v="Twitter"/>
    <d v="2024-01-12T00:00:00"/>
    <s v="Story"/>
    <s v="Wrapped is here! Relive your top tracks"/>
    <n v="2227"/>
    <n v="494"/>
    <n v="161"/>
    <n v="51651"/>
    <n v="68074"/>
    <n v="240"/>
    <s v="ChillVibes"/>
    <n v="5.5797564422760453E-2"/>
    <x v="3"/>
  </r>
  <r>
    <s v="SP300"/>
    <s v="Instagram"/>
    <d v="2024-02-07T00:00:00"/>
    <s v="Text"/>
    <s v="Music that moves you only on Spotify."/>
    <n v="1883"/>
    <n v="432"/>
    <n v="397"/>
    <n v="28759"/>
    <n v="18691"/>
    <n v="270"/>
    <s v="ChillVibes"/>
    <n v="9.4300914496331587E-2"/>
    <x v="0"/>
  </r>
  <r>
    <s v="SP300"/>
    <s v="Instagram"/>
    <d v="2024-02-07T00:00:00"/>
    <s v="Text"/>
    <s v="Music that moves you only on Spotify."/>
    <n v="1883"/>
    <n v="432"/>
    <n v="397"/>
    <n v="28759"/>
    <n v="18691"/>
    <n v="270"/>
    <s v="ChillVibes"/>
    <n v="9.4300914496331587E-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9E05C-C63A-46B8-889D-B1E986B54A05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 rowHeaderCaption="Platform">
  <location ref="R3:S6" firstHeaderRow="1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Avg_Engagement Rate" fld="14" subtotal="average" baseField="1" baseItem="0" numFmtId="164"/>
  </dataFields>
  <formats count="14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" type="button" dataOnly="0" labelOnly="1" outline="0" axis="axisRow" fieldPosition="0"/>
    </format>
    <format dxfId="106">
      <pivotArea dataOnly="0" labelOnly="1" fieldPosition="0">
        <references count="1">
          <reference field="1" count="0"/>
        </references>
      </pivotArea>
    </format>
    <format dxfId="105">
      <pivotArea dataOnly="0" labelOnly="1" outline="0" axis="axisValues" fieldPosition="0"/>
    </format>
    <format dxfId="104">
      <pivotArea outline="0" collapsedLevelsAreSubtotals="1" fieldPosition="0"/>
    </format>
    <format dxfId="103">
      <pivotArea dataOnly="0" labelOnly="1" outline="0" axis="axisValues" fieldPosition="0"/>
    </format>
    <format dxfId="102">
      <pivotArea dataOnly="0" labelOnly="1" outline="0" axis="axisValues" fieldPosition="0"/>
    </format>
    <format dxfId="101">
      <pivotArea field="1" type="button" dataOnly="0" labelOnly="1" outline="0" axis="axisRow" fieldPosition="0"/>
    </format>
    <format dxfId="100">
      <pivotArea field="1" type="button" dataOnly="0" labelOnly="1" outline="0" axis="axisRow" fieldPosition="0"/>
    </format>
    <format dxfId="99">
      <pivotArea outline="0" collapsedLevelsAreSubtotals="1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fieldPosition="0">
        <references count="1">
          <reference field="1" count="0"/>
        </references>
      </pivotArea>
    </format>
    <format dxfId="9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0A0D5-7158-4698-A94C-C2A762B028FC}" name="Pivot for LIke,Share,Comment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ntent Type">
  <location ref="R4:U13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numFmtId="2" showAll="0"/>
  </pivotFields>
  <rowFields count="2">
    <field x="3"/>
    <field x="1"/>
  </rowFields>
  <rowItems count="9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formats count="6">
    <format dxfId="61">
      <pivotArea collapsedLevelsAreSubtotals="1" fieldPosition="0">
        <references count="3">
          <reference field="4294967294" count="1" selected="0">
            <x v="0"/>
          </reference>
          <reference field="1" count="1">
            <x v="2"/>
          </reference>
          <reference field="3" count="1" selected="0">
            <x v="0"/>
          </reference>
        </references>
      </pivotArea>
    </format>
    <format dxfId="60">
      <pivotArea collapsedLevelsAreSubtotals="1" fieldPosition="0">
        <references count="3">
          <reference field="4294967294" count="1" selected="0">
            <x v="0"/>
          </reference>
          <reference field="1" count="1">
            <x v="1"/>
          </reference>
          <reference field="3" count="1" selected="0">
            <x v="1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0"/>
          </reference>
          <reference field="1" count="1">
            <x v="0"/>
          </reference>
          <reference field="3" count="1" selected="0">
            <x v="2"/>
          </reference>
        </references>
      </pivotArea>
    </format>
    <format dxfId="58">
      <pivotArea collapsedLevelsAreSubtotals="1" fieldPosition="0">
        <references count="3">
          <reference field="4294967294" count="2" selected="0">
            <x v="1"/>
            <x v="2"/>
          </reference>
          <reference field="1" count="1">
            <x v="2"/>
          </reference>
          <reference field="3" count="1" selected="0">
            <x v="0"/>
          </reference>
        </references>
      </pivotArea>
    </format>
    <format dxfId="57">
      <pivotArea collapsedLevelsAreSubtotals="1" fieldPosition="0">
        <references count="3">
          <reference field="4294967294" count="2" selected="0">
            <x v="1"/>
            <x v="2"/>
          </reference>
          <reference field="1" count="1">
            <x v="1"/>
          </reference>
          <reference field="3" count="1" selected="0">
            <x v="1"/>
          </reference>
        </references>
      </pivotArea>
    </format>
    <format dxfId="56">
      <pivotArea collapsedLevelsAreSubtotals="1" fieldPosition="0">
        <references count="3">
          <reference field="4294967294" count="2" selected="0">
            <x v="1"/>
            <x v="2"/>
          </reference>
          <reference field="1" count="1">
            <x v="0"/>
          </reference>
          <reference field="3" count="1" selected="0"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0318F-606F-4E06-AFAF-352A66E55A5B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HashTags">
  <location ref="P4:Q9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5">
    <i>
      <x v="4"/>
    </i>
    <i>
      <x/>
    </i>
    <i>
      <x v="3"/>
    </i>
    <i>
      <x v="2"/>
    </i>
    <i>
      <x v="1"/>
    </i>
  </rowItems>
  <colItems count="1">
    <i/>
  </colItems>
  <dataFields count="1">
    <dataField name="Average of Clicks" fld="10" subtotal="average" baseField="13" baseItem="0" numFmtId="1"/>
  </dataFields>
  <formats count="3">
    <format dxfId="38">
      <pivotArea outline="0" collapsedLevelsAreSubtotals="1" fieldPosition="0"/>
    </format>
    <format dxfId="37">
      <pivotArea dataOnly="0" labelOnly="1" fieldPosition="0">
        <references count="1">
          <reference field="13" count="0"/>
        </references>
      </pivotArea>
    </format>
    <format dxfId="36">
      <pivotArea outline="0" collapsedLevelsAreSubtotals="1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E5F55-98EB-42DC-AF74-B0BC78534DE9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Hashtags">
  <location ref="P4:Q9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6">
        <item x="4"/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5">
    <i>
      <x/>
    </i>
    <i>
      <x v="4"/>
    </i>
    <i>
      <x v="1"/>
    </i>
    <i>
      <x v="2"/>
    </i>
    <i>
      <x v="3"/>
    </i>
  </rowItems>
  <colItems count="1">
    <i/>
  </colItems>
  <dataFields count="1">
    <dataField name="Average of Clicks" fld="10" subtotal="average" baseField="13" baseItem="0" numFmtId="1"/>
  </dataFields>
  <formats count="3">
    <format dxfId="28">
      <pivotArea outline="0" collapsedLevelsAreSubtotals="1" fieldPosition="0"/>
    </format>
    <format dxfId="27">
      <pivotArea dataOnly="0" labelOnly="1" fieldPosition="0">
        <references count="1">
          <reference field="13" count="0"/>
        </references>
      </pivotArea>
    </format>
    <format dxfId="26">
      <pivotArea outline="0" collapsedLevelsAreSubtotals="1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02EE6C-EE72-4DBE-9550-521A55559DEA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Campaign_Name" tableColumnId="12"/>
      <queryTableField id="13" name="Engagement Rate" tableColumnId="13"/>
      <queryTableField id="14" name="Hastag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538864C-C2F0-4291-AD29-A33991596A50}" autoFormatId="16" applyNumberFormats="0" applyBorderFormats="0" applyFontFormats="0" applyPatternFormats="0" applyAlignmentFormats="0" applyWidthHeightFormats="0">
  <queryTableRefresh nextId="16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Campaign_Name" tableColumnId="12"/>
      <queryTableField id="13" name="Engagement Rate" tableColumnId="13"/>
      <queryTableField id="14" name="Hastag" tableColumnId="1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328CB-3CF8-4CE9-8173-31A31811932B}" name="Table1" displayName="Table1" ref="A1:O301" totalsRowShown="0" headerRowDxfId="126" dataDxfId="125">
  <autoFilter ref="A1:O301" xr:uid="{CE7328CB-3CF8-4CE9-8173-31A31811932B}"/>
  <sortState xmlns:xlrd2="http://schemas.microsoft.com/office/spreadsheetml/2017/richdata2" ref="A2:O301">
    <sortCondition descending="1" ref="O1:O301"/>
  </sortState>
  <tableColumns count="15">
    <tableColumn id="1" xr3:uid="{50BE9EC5-6FF1-44F1-88A8-78C2A41C4D09}" name="Post ID" dataDxfId="124"/>
    <tableColumn id="2" xr3:uid="{9883916F-949A-4666-AEA5-FDC0F67CC906}" name="Platform" dataDxfId="123"/>
    <tableColumn id="3" xr3:uid="{AF010181-4110-4E71-B98B-FD29DB6651CF}" name="Date" dataDxfId="122"/>
    <tableColumn id="4" xr3:uid="{9103B60D-E65B-4ED3-B2F3-BEC4BF100C52}" name="Content Type" dataDxfId="121"/>
    <tableColumn id="5" xr3:uid="{BA501876-6374-44B9-B149-9711995BF42A}" name="Post Text" dataDxfId="120"/>
    <tableColumn id="6" xr3:uid="{01957983-48D8-473B-A5DE-A5CFC502F28D}" name="Likes" dataDxfId="119"/>
    <tableColumn id="7" xr3:uid="{6A03D69F-C971-40FB-9FF9-C02454951930}" name="Shares" dataDxfId="118"/>
    <tableColumn id="8" xr3:uid="{38CB7255-BA66-4820-AC40-68C7AB9B94C5}" name="Comments" dataDxfId="117"/>
    <tableColumn id="9" xr3:uid="{6951EC6B-7D45-48AC-B019-C857C62F8E26}" name="Impressions" dataDxfId="116"/>
    <tableColumn id="10" xr3:uid="{48B3BB3F-1BDA-4FFF-A50D-D3E568B926B7}" name="Reach" dataDxfId="115"/>
    <tableColumn id="11" xr3:uid="{8DACC315-A10E-4D3F-A1C5-73DB7466E79C}" name="Clicks" dataDxfId="114"/>
    <tableColumn id="12" xr3:uid="{84E6C39D-1056-4DA8-AF47-7B86F53495BE}" name="Hastag_1" dataDxfId="113"/>
    <tableColumn id="13" xr3:uid="{397EA6AB-AC59-42A7-B59A-F57E0D226D9B}" name="Hastag_2" dataDxfId="112"/>
    <tableColumn id="14" xr3:uid="{588814A8-B3D6-475B-A914-4DF55B38CABD}" name="Campaign_Name" dataDxfId="111"/>
    <tableColumn id="15" xr3:uid="{568493EF-4B5E-4F9C-AFAD-3CFDAC3DCBB1}" name="Engagement Rate" dataDxfId="110">
      <calculatedColumnFormula xml:space="preserve"> (F2+ G2 + H2) / I2</calculatedColumnFormula>
    </tableColumn>
  </tableColumns>
  <tableStyleInfo name="TableStyleMedium7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950B31-446A-4ADE-8C09-25EC9C4B1436}" name="Table17" displayName="Table17" ref="A1:O301" totalsRowShown="0" headerRowDxfId="95" dataDxfId="94">
  <autoFilter ref="A1:O301" xr:uid="{CE7328CB-3CF8-4CE9-8173-31A31811932B}"/>
  <tableColumns count="15">
    <tableColumn id="1" xr3:uid="{E0988268-A35D-475A-9B39-E75A4B154ECC}" name="Post ID" dataDxfId="93"/>
    <tableColumn id="2" xr3:uid="{09025078-FAA0-4532-B8D0-A188CC10A642}" name="Platform" dataDxfId="92"/>
    <tableColumn id="3" xr3:uid="{7DB6AB03-122F-4B0D-8B29-DEF6A6F20D39}" name="Date" dataDxfId="91"/>
    <tableColumn id="4" xr3:uid="{537E920F-8289-40B0-8E4C-DBC517BCE275}" name="Content Type" dataDxfId="90"/>
    <tableColumn id="5" xr3:uid="{A622EAE3-3B3A-495E-B8FA-40E849F1B829}" name="Post Text" dataDxfId="89"/>
    <tableColumn id="6" xr3:uid="{720715B6-955D-40B0-86A9-2F68E122C0EE}" name="Likes" dataDxfId="88"/>
    <tableColumn id="7" xr3:uid="{3FE855E8-3DCB-4645-9E74-7049E5273F00}" name="Shares" dataDxfId="87"/>
    <tableColumn id="8" xr3:uid="{9B9B8731-574D-4747-96F4-3EE5F3113046}" name="Comments" dataDxfId="86"/>
    <tableColumn id="9" xr3:uid="{8192CEF5-8552-4C44-BF0B-680B328857C3}" name="Impressions" dataDxfId="85"/>
    <tableColumn id="10" xr3:uid="{C63D356F-A0F6-4D86-95F3-0220836E8D72}" name="Reach" dataDxfId="84"/>
    <tableColumn id="11" xr3:uid="{8923711C-4152-467E-8E10-F180810173FA}" name="Clicks" dataDxfId="83"/>
    <tableColumn id="12" xr3:uid="{BB6534C5-85AD-4757-AF47-44E271D67DF6}" name="Hastag_1" dataDxfId="82"/>
    <tableColumn id="13" xr3:uid="{439B8CEC-B9D4-4133-A708-51FB950A249C}" name="Hastag_2" dataDxfId="81"/>
    <tableColumn id="14" xr3:uid="{43CC5C99-C5FD-4118-A77C-4F2F901EE0E3}" name="Campaign_Name" dataDxfId="80"/>
    <tableColumn id="15" xr3:uid="{EE0F30B9-FF4A-417E-8E7A-7AF42F26AE29}" name="Engagement Rate" dataDxfId="79">
      <calculatedColumnFormula xml:space="preserve"> (F2+ G2 + H2) / I2</calculatedColumnFormula>
    </tableColumn>
  </tableColumns>
  <tableStyleInfo name="TableStyleMedium7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F2672A-2C5E-45B5-A9B1-3BA051C9F95C}" name="Table178" displayName="Table178" ref="A1:O301" totalsRowShown="0" headerRowDxfId="78" dataDxfId="77">
  <autoFilter ref="A1:O301" xr:uid="{CE7328CB-3CF8-4CE9-8173-31A31811932B}"/>
  <sortState xmlns:xlrd2="http://schemas.microsoft.com/office/spreadsheetml/2017/richdata2" ref="A2:O301">
    <sortCondition descending="1" ref="O1:O301"/>
  </sortState>
  <tableColumns count="15">
    <tableColumn id="1" xr3:uid="{BF3A682E-055F-4076-AFBF-CFCA280716D0}" name="Post ID" dataDxfId="76"/>
    <tableColumn id="2" xr3:uid="{0147494F-77CC-4828-B95D-338DBD012662}" name="Platform" dataDxfId="75"/>
    <tableColumn id="3" xr3:uid="{5805D737-2D6A-44FF-859A-080611F26B1F}" name="Date" dataDxfId="74"/>
    <tableColumn id="4" xr3:uid="{AEF25AB5-62BB-4078-833A-890ED5698F3E}" name="Content Type" dataDxfId="73"/>
    <tableColumn id="5" xr3:uid="{BCD210C6-6BFA-46CD-939A-7BE6C0BF7C2E}" name="Post Text" dataDxfId="72"/>
    <tableColumn id="6" xr3:uid="{B8169A45-3439-4459-9A55-086EE3FAC313}" name="Likes" dataDxfId="71"/>
    <tableColumn id="7" xr3:uid="{8EF1F4DA-3873-4610-9AA3-FA2BCC2AC018}" name="Shares" dataDxfId="70"/>
    <tableColumn id="8" xr3:uid="{FEB8B9E4-1764-4A22-A99C-C2C0ED19153A}" name="Comments" dataDxfId="69"/>
    <tableColumn id="9" xr3:uid="{5DBA27DC-6A9B-4A12-9B4C-CB003146F7D2}" name="Impressions" dataDxfId="68"/>
    <tableColumn id="10" xr3:uid="{A6523AF0-4B03-4103-A6CA-D7D2E5B9EA64}" name="Reach" dataDxfId="67"/>
    <tableColumn id="11" xr3:uid="{E51E308A-7308-4728-8E70-8E4D76B0F54D}" name="Clicks" dataDxfId="66"/>
    <tableColumn id="12" xr3:uid="{E5006162-FAC1-4179-BC69-7C5CC46F618A}" name="Hastag_1" dataDxfId="65"/>
    <tableColumn id="13" xr3:uid="{0E87B191-A7EF-47E6-B474-1E94B8671882}" name="Hastag_2" dataDxfId="64"/>
    <tableColumn id="14" xr3:uid="{DE53E6B9-9651-433B-B385-EC0A34821A51}" name="Campaign_Name" dataDxfId="63"/>
    <tableColumn id="15" xr3:uid="{988F3D90-4BD4-45A5-B717-558D326FFACF}" name="Engagement Rate" dataDxfId="62" dataCellStyle="Percent">
      <calculatedColumnFormula xml:space="preserve"> (F2+ G2 + H2) / I2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0FE3FD-F9A1-4B7D-A9E1-6C26657FE9D4}" name="Table19" displayName="Table19" ref="A1:O301" totalsRowShown="0" headerRowDxfId="55" dataDxfId="54">
  <autoFilter ref="A1:O301" xr:uid="{CE7328CB-3CF8-4CE9-8173-31A31811932B}"/>
  <tableColumns count="15">
    <tableColumn id="1" xr3:uid="{F90E0FA0-16ED-4762-A138-2D745352665D}" name="Post ID" dataDxfId="53"/>
    <tableColumn id="2" xr3:uid="{F01AA9E6-800E-4CCD-8093-AF4FFC7C4E57}" name="Platform" dataDxfId="52"/>
    <tableColumn id="3" xr3:uid="{BCBC44E6-D02B-498A-A669-0703047F85D8}" name="Date" dataDxfId="51"/>
    <tableColumn id="4" xr3:uid="{9E498729-7C91-4398-959D-78F550359EF1}" name="Content Type" dataDxfId="50"/>
    <tableColumn id="5" xr3:uid="{2C845C6C-3C31-4CBF-868A-0CF41BF156E1}" name="Post Text" dataDxfId="49"/>
    <tableColumn id="6" xr3:uid="{1F337418-8B59-49FD-A466-C59C25553640}" name="Likes" dataDxfId="48"/>
    <tableColumn id="7" xr3:uid="{395711EC-07EE-4836-81FC-B75C9EE76CFA}" name="Shares" dataDxfId="47"/>
    <tableColumn id="8" xr3:uid="{C90FFCB4-F684-4557-A2DE-230F76505162}" name="Comments" dataDxfId="46"/>
    <tableColumn id="9" xr3:uid="{6E76D39A-1252-4F78-A891-99A4D5C32781}" name="Impressions" dataDxfId="45"/>
    <tableColumn id="10" xr3:uid="{1EACAA14-E99E-452A-866A-17A58E5CCC2E}" name="Reach" dataDxfId="44"/>
    <tableColumn id="11" xr3:uid="{0EB88C8B-F244-4B32-AC8B-AC7E88C7E89E}" name="Clicks" dataDxfId="43"/>
    <tableColumn id="12" xr3:uid="{C430B7FF-97D0-43E8-9561-E336AF143F87}" name="Hastag_1" dataDxfId="42"/>
    <tableColumn id="13" xr3:uid="{A2F58D10-4286-4047-88EE-63C9D35D562C}" name="Hastag_2" dataDxfId="41"/>
    <tableColumn id="14" xr3:uid="{80AB2F9C-4377-4EF7-BBE4-36EBAADB00AD}" name="Campaign_Name" dataDxfId="40"/>
    <tableColumn id="15" xr3:uid="{01D25122-0DB7-4C93-83B8-A7711C5C3E91}" name="Engagement Rate" dataDxfId="39">
      <calculatedColumnFormula xml:space="preserve"> (F2+ G2 + H2) / I2</calculatedColumnFormula>
    </tableColumn>
  </tableColumns>
  <tableStyleInfo name="TableStyleMedium7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D5D69A-9327-49B3-86CA-7F7148280CDA}" name="Table19_1" displayName="Table19_1" ref="A1:N484" tableType="queryTable" totalsRowShown="0">
  <autoFilter ref="A1:N484" xr:uid="{4AD5D69A-9327-49B3-86CA-7F7148280CDA}"/>
  <tableColumns count="14">
    <tableColumn id="1" xr3:uid="{984BB4EB-703A-49C4-B4B5-48A2D323A5CB}" uniqueName="1" name="Post ID" queryTableFieldId="1" dataDxfId="35"/>
    <tableColumn id="2" xr3:uid="{D2AFA859-D641-4D2F-B478-FF449781AC6B}" uniqueName="2" name="Platform" queryTableFieldId="2" dataDxfId="34"/>
    <tableColumn id="3" xr3:uid="{8D9BEBC5-AC1B-43F7-B161-3DB0D47C5DF1}" uniqueName="3" name="Date" queryTableFieldId="3" dataDxfId="33"/>
    <tableColumn id="4" xr3:uid="{44CD9982-D0CB-4CB4-8A2A-C642AA04551C}" uniqueName="4" name="Content Type" queryTableFieldId="4" dataDxfId="32"/>
    <tableColumn id="5" xr3:uid="{A08315F9-474C-4744-B748-D76D7C67ACCE}" uniqueName="5" name="Post Text" queryTableFieldId="5" dataDxfId="31"/>
    <tableColumn id="6" xr3:uid="{872C7017-DF97-4360-BBA1-11FED7D6537B}" uniqueName="6" name="Likes" queryTableFieldId="6"/>
    <tableColumn id="7" xr3:uid="{CF415807-1289-4042-8DDE-4836DB67F532}" uniqueName="7" name="Shares" queryTableFieldId="7"/>
    <tableColumn id="8" xr3:uid="{4BAF6456-1602-49CE-A75F-E8C17627174B}" uniqueName="8" name="Comments" queryTableFieldId="8"/>
    <tableColumn id="9" xr3:uid="{64072996-F61F-4FCA-BFDC-8C29CB8BC2E8}" uniqueName="9" name="Impressions" queryTableFieldId="9"/>
    <tableColumn id="10" xr3:uid="{8FDE986C-A838-4BAF-80AC-2E6880E45907}" uniqueName="10" name="Reach" queryTableFieldId="10"/>
    <tableColumn id="11" xr3:uid="{CB2401BF-6925-4E04-AA26-EA59FD812A89}" uniqueName="11" name="Clicks" queryTableFieldId="11"/>
    <tableColumn id="12" xr3:uid="{9A09D823-784D-4B7F-9621-2A3CF62EAC86}" uniqueName="12" name="Campaign_Name" queryTableFieldId="12" dataDxfId="30"/>
    <tableColumn id="13" xr3:uid="{BBE70E8A-A3A6-4580-9309-B02FF29E4750}" uniqueName="13" name="Engagement Rate" queryTableFieldId="13"/>
    <tableColumn id="14" xr3:uid="{DAFF95E5-EC86-46A7-95E7-EEEB360E0FA2}" uniqueName="14" name="Hastag" queryTableFieldId="14" dataDxfId="29"/>
  </tableColumns>
  <tableStyleInfo name="TableStyleMedium7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8E255A-5B73-480B-9BCE-84FD0A41B5E9}" name="Table19_111" displayName="Table19_111" ref="A1:N484" tableType="queryTable" totalsRowShown="0">
  <autoFilter ref="A1:N484" xr:uid="{4AD5D69A-9327-49B3-86CA-7F7148280CDA}"/>
  <sortState xmlns:xlrd2="http://schemas.microsoft.com/office/spreadsheetml/2017/richdata2" ref="A2:N484">
    <sortCondition descending="1" ref="K1:K484"/>
  </sortState>
  <tableColumns count="14">
    <tableColumn id="1" xr3:uid="{5DECC3E6-0772-4DCC-91A2-A0A12F90DC18}" uniqueName="1" name="Post ID" queryTableFieldId="1" dataDxfId="25"/>
    <tableColumn id="2" xr3:uid="{28CE30D7-1434-490D-B9FD-41DA2A7530AE}" uniqueName="2" name="Platform" queryTableFieldId="2" dataDxfId="24"/>
    <tableColumn id="3" xr3:uid="{DE79BCC4-37B4-4FC1-BD0F-DFBFF553A539}" uniqueName="3" name="Date" queryTableFieldId="3" dataDxfId="23"/>
    <tableColumn id="4" xr3:uid="{53588CA6-F922-44FA-B774-60605CA65CDE}" uniqueName="4" name="Content Type" queryTableFieldId="4" dataDxfId="22"/>
    <tableColumn id="5" xr3:uid="{15AC7442-61DD-41A2-A093-718A9420CA23}" uniqueName="5" name="Post Text" queryTableFieldId="5" dataDxfId="21"/>
    <tableColumn id="6" xr3:uid="{D4F1C156-EB09-40EF-A89D-A9F236870358}" uniqueName="6" name="Likes" queryTableFieldId="6"/>
    <tableColumn id="7" xr3:uid="{4F1EEADD-B02C-4AC9-ADDD-D6A989EDBFB7}" uniqueName="7" name="Shares" queryTableFieldId="7"/>
    <tableColumn id="8" xr3:uid="{A6BC74D7-2A02-4A06-984F-DCD48ADC9204}" uniqueName="8" name="Comments" queryTableFieldId="8"/>
    <tableColumn id="9" xr3:uid="{8BDC0817-5C88-4D7F-AC27-C73E09664E2C}" uniqueName="9" name="Impressions" queryTableFieldId="9"/>
    <tableColumn id="10" xr3:uid="{022D07D5-3586-45CF-9DB3-C57BD8577C80}" uniqueName="10" name="Reach" queryTableFieldId="10"/>
    <tableColumn id="11" xr3:uid="{90D46637-85D6-48A0-9067-1926739B0A5D}" uniqueName="11" name="Clicks" queryTableFieldId="11" dataDxfId="20"/>
    <tableColumn id="12" xr3:uid="{8A653B51-6127-4EF0-BC33-0F6145535E93}" uniqueName="12" name="Campaign_Name" queryTableFieldId="12" dataDxfId="19"/>
    <tableColumn id="13" xr3:uid="{5C0DCE2A-238F-4663-A5EB-C28690729D3A}" uniqueName="13" name="Engagement Rate" queryTableFieldId="13"/>
    <tableColumn id="14" xr3:uid="{064AF982-25DC-4CB3-9391-C97A2261B43C}" uniqueName="14" name="Hastag" queryTableFieldId="14" dataDxfId="18"/>
  </tableColumns>
  <tableStyleInfo name="TableStyleMedium7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4538A-C580-49AF-BC8A-0D92C4906E78}" name="Table2" displayName="Table2" ref="A1:G201" totalsRowShown="0" headerRowDxfId="17" dataDxfId="16">
  <autoFilter ref="A1:G201" xr:uid="{E084538A-C580-49AF-BC8A-0D92C4906E78}"/>
  <tableColumns count="7">
    <tableColumn id="1" xr3:uid="{94D3A589-E3C7-403E-9B3F-CD825E72BA2B}" name="Week_Start_Date" dataDxfId="15"/>
    <tableColumn id="2" xr3:uid="{849174EA-C6B1-48AF-A29C-FC776E8B12B2}" name="Platform" dataDxfId="14"/>
    <tableColumn id="3" xr3:uid="{4DC494A1-3DCC-46E9-B299-D13AC282DE1E}" name="New_Followers" dataDxfId="13"/>
    <tableColumn id="4" xr3:uid="{5A91DC21-51FC-4D19-AA3C-750471E3B59D}" name="Unfollows" dataDxfId="12"/>
    <tableColumn id="5" xr3:uid="{01DD98DC-26D4-4AE9-A785-C364BE290FD1}" name="Total_Followers" dataDxfId="11"/>
    <tableColumn id="6" xr3:uid="{526B28EB-F74C-4329-98EA-94820C31809E}" name="Engagement_Rate" dataDxfId="10"/>
    <tableColumn id="7" xr3:uid="{750BBAD2-5137-40BB-B918-A559F425F5B6}" name="Ad_Spend" dataDxf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ABD1CC-1AB4-4DF5-B8E0-AC4413E1F708}" name="Table5" displayName="Table5" ref="A1:H5" totalsRowShown="0">
  <autoFilter ref="A1:H5" xr:uid="{57ABD1CC-1AB4-4DF5-B8E0-AC4413E1F708}"/>
  <tableColumns count="8">
    <tableColumn id="1" xr3:uid="{52BC7565-1693-44E7-9FD2-066DE19ED893}" name="Campaign_Name" dataDxfId="8"/>
    <tableColumn id="2" xr3:uid="{0270FCF1-2971-4C25-930C-B09560C743DF}" name="Start_Date" dataDxfId="7"/>
    <tableColumn id="3" xr3:uid="{78F97C0E-D665-4555-BD2F-D2574D3D118E}" name="End_Date" dataDxfId="6"/>
    <tableColumn id="4" xr3:uid="{445CB235-B9CE-49C1-A357-C8FDEE5808F8}" name="Objective" dataDxfId="5"/>
    <tableColumn id="5" xr3:uid="{60CC0ADD-8ACC-4790-8384-43DD2083E276}" name="Total_Budget" dataDxfId="4"/>
    <tableColumn id="6" xr3:uid="{8E26B079-ADBE-48E6-9FA8-A0E2D39DC64F}" name="Target_Platforms" dataDxfId="3"/>
    <tableColumn id="7" xr3:uid="{EAA2E888-E2F6-4E89-92DB-CE62CB29A924}" name="Hastag_1" dataDxfId="2"/>
    <tableColumn id="8" xr3:uid="{EFB05805-BDF6-436D-892C-F15F724420DE}" name="Hastag_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1"/>
  <sheetViews>
    <sheetView tabSelected="1" topLeftCell="F1" zoomScaleNormal="100" workbookViewId="0">
      <pane ySplit="1" topLeftCell="A7" activePane="bottomLeft" state="frozen"/>
      <selection activeCell="N1" sqref="N1"/>
      <selection pane="bottomLeft" activeCell="Q24" sqref="Q24"/>
    </sheetView>
  </sheetViews>
  <sheetFormatPr defaultColWidth="14.42578125" defaultRowHeight="15.75"/>
  <cols>
    <col min="1" max="1" width="13.28515625" style="25" hidden="1" customWidth="1"/>
    <col min="2" max="2" width="14.7109375" style="25" hidden="1" customWidth="1"/>
    <col min="3" max="3" width="11.85546875" style="29" hidden="1" customWidth="1"/>
    <col min="4" max="4" width="19.42578125" style="30" hidden="1" customWidth="1"/>
    <col min="5" max="5" width="43.140625" style="30" hidden="1" customWidth="1"/>
    <col min="6" max="6" width="11.7109375" style="31" bestFit="1" customWidth="1"/>
    <col min="7" max="7" width="13.42578125" style="31" bestFit="1" customWidth="1"/>
    <col min="8" max="8" width="17" style="31" bestFit="1" customWidth="1"/>
    <col min="9" max="9" width="18.42578125" style="31" bestFit="1" customWidth="1"/>
    <col min="10" max="10" width="12.5703125" style="31" hidden="1" customWidth="1"/>
    <col min="11" max="11" width="12.42578125" style="31" hidden="1" customWidth="1"/>
    <col min="12" max="13" width="19.7109375" style="30" hidden="1" customWidth="1"/>
    <col min="14" max="14" width="23.140625" style="30" bestFit="1" customWidth="1"/>
    <col min="15" max="15" width="23.85546875" style="32" bestFit="1" customWidth="1"/>
    <col min="16" max="17" width="8.7109375" style="18" customWidth="1"/>
    <col min="18" max="18" width="13.28515625" style="18" bestFit="1" customWidth="1"/>
    <col min="19" max="19" width="27" style="25" bestFit="1" customWidth="1"/>
    <col min="20" max="28" width="8.7109375" style="25" customWidth="1"/>
    <col min="29" max="16384" width="14.42578125" style="25"/>
  </cols>
  <sheetData>
    <row r="1" spans="1:20" s="18" customFormat="1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3" t="s">
        <v>358</v>
      </c>
      <c r="M1" s="33" t="s">
        <v>359</v>
      </c>
      <c r="N1" s="33" t="s">
        <v>11</v>
      </c>
      <c r="O1" s="36" t="s">
        <v>368</v>
      </c>
      <c r="P1" s="17"/>
      <c r="Q1" s="17"/>
      <c r="R1" s="17"/>
      <c r="S1" s="17"/>
    </row>
    <row r="2" spans="1:20">
      <c r="A2" s="19" t="s">
        <v>29</v>
      </c>
      <c r="B2" s="19" t="s">
        <v>22</v>
      </c>
      <c r="C2" s="20">
        <v>45645</v>
      </c>
      <c r="D2" s="21" t="s">
        <v>23</v>
      </c>
      <c r="E2" s="22" t="s">
        <v>30</v>
      </c>
      <c r="F2" s="23">
        <v>4674</v>
      </c>
      <c r="G2" s="23">
        <v>409</v>
      </c>
      <c r="H2" s="23">
        <v>327</v>
      </c>
      <c r="I2" s="23">
        <v>20756</v>
      </c>
      <c r="J2" s="23">
        <v>63599</v>
      </c>
      <c r="K2" s="23">
        <v>212</v>
      </c>
      <c r="L2" s="21" t="s">
        <v>37</v>
      </c>
      <c r="M2" s="21" t="s">
        <v>34</v>
      </c>
      <c r="N2" s="21" t="s">
        <v>16</v>
      </c>
      <c r="O2" s="24">
        <f t="shared" ref="O2:O65" si="0" xml:space="preserve"> (F2+ G2 + H2) / I2</f>
        <v>0.26064752360763155</v>
      </c>
      <c r="P2" s="17"/>
      <c r="Q2" s="17"/>
      <c r="R2" s="17"/>
      <c r="S2" s="17"/>
      <c r="T2" s="54"/>
    </row>
    <row r="3" spans="1:20">
      <c r="A3" s="19" t="s">
        <v>136</v>
      </c>
      <c r="B3" s="19" t="s">
        <v>22</v>
      </c>
      <c r="C3" s="20">
        <v>45677</v>
      </c>
      <c r="D3" s="21" t="s">
        <v>23</v>
      </c>
      <c r="E3" s="22" t="s">
        <v>24</v>
      </c>
      <c r="F3" s="23">
        <v>4619</v>
      </c>
      <c r="G3" s="23">
        <v>272</v>
      </c>
      <c r="H3" s="23">
        <v>57</v>
      </c>
      <c r="I3" s="23">
        <v>21334</v>
      </c>
      <c r="J3" s="23">
        <v>46292</v>
      </c>
      <c r="K3" s="23">
        <v>91</v>
      </c>
      <c r="L3" s="21" t="s">
        <v>37</v>
      </c>
      <c r="M3" s="21" t="s">
        <v>34</v>
      </c>
      <c r="N3" s="21" t="s">
        <v>16</v>
      </c>
      <c r="O3" s="24">
        <f t="shared" si="0"/>
        <v>0.23193025217961938</v>
      </c>
      <c r="P3" s="17"/>
      <c r="Q3" s="17"/>
      <c r="R3"/>
      <c r="S3"/>
      <c r="T3" s="26"/>
    </row>
    <row r="4" spans="1:20">
      <c r="A4" s="19" t="s">
        <v>216</v>
      </c>
      <c r="B4" s="19" t="s">
        <v>22</v>
      </c>
      <c r="C4" s="20">
        <v>45459</v>
      </c>
      <c r="D4" s="21" t="s">
        <v>23</v>
      </c>
      <c r="E4" s="22" t="s">
        <v>18</v>
      </c>
      <c r="F4" s="23">
        <v>4618</v>
      </c>
      <c r="G4" s="23">
        <v>312</v>
      </c>
      <c r="H4" s="23">
        <v>254</v>
      </c>
      <c r="I4" s="23">
        <v>22571</v>
      </c>
      <c r="J4" s="23">
        <v>29453</v>
      </c>
      <c r="K4" s="23">
        <v>197</v>
      </c>
      <c r="L4" s="21" t="s">
        <v>364</v>
      </c>
      <c r="M4" s="21" t="s">
        <v>34</v>
      </c>
      <c r="N4" s="21" t="s">
        <v>16</v>
      </c>
      <c r="O4" s="24">
        <f t="shared" si="0"/>
        <v>0.22967524699836073</v>
      </c>
      <c r="P4" s="27"/>
      <c r="Q4" s="27"/>
      <c r="R4"/>
      <c r="S4"/>
      <c r="T4" s="26"/>
    </row>
    <row r="5" spans="1:20">
      <c r="A5" s="19" t="s">
        <v>309</v>
      </c>
      <c r="B5" s="19" t="s">
        <v>22</v>
      </c>
      <c r="C5" s="20">
        <v>45676</v>
      </c>
      <c r="D5" s="21" t="s">
        <v>23</v>
      </c>
      <c r="E5" s="22" t="s">
        <v>24</v>
      </c>
      <c r="F5" s="23">
        <v>3507</v>
      </c>
      <c r="G5" s="23">
        <v>295</v>
      </c>
      <c r="H5" s="23">
        <v>371</v>
      </c>
      <c r="I5" s="23">
        <v>20410</v>
      </c>
      <c r="J5" s="23">
        <v>53965</v>
      </c>
      <c r="K5" s="23">
        <v>212</v>
      </c>
      <c r="L5" s="21" t="s">
        <v>37</v>
      </c>
      <c r="M5" s="21" t="s">
        <v>34</v>
      </c>
      <c r="N5" s="21" t="s">
        <v>16</v>
      </c>
      <c r="O5" s="24">
        <f t="shared" si="0"/>
        <v>0.20445859872611466</v>
      </c>
      <c r="P5" s="27"/>
      <c r="Q5" s="27"/>
      <c r="R5"/>
      <c r="S5"/>
      <c r="T5" s="26"/>
    </row>
    <row r="6" spans="1:20">
      <c r="A6" s="19" t="s">
        <v>80</v>
      </c>
      <c r="B6" s="19" t="s">
        <v>22</v>
      </c>
      <c r="C6" s="20">
        <v>45769</v>
      </c>
      <c r="D6" s="21" t="s">
        <v>14</v>
      </c>
      <c r="E6" s="22" t="s">
        <v>15</v>
      </c>
      <c r="F6" s="23">
        <v>4401</v>
      </c>
      <c r="G6" s="23">
        <v>421</v>
      </c>
      <c r="H6" s="23">
        <v>216</v>
      </c>
      <c r="I6" s="23">
        <v>24890</v>
      </c>
      <c r="J6" s="23">
        <v>54361</v>
      </c>
      <c r="K6" s="23">
        <v>148</v>
      </c>
      <c r="L6" s="21" t="s">
        <v>34</v>
      </c>
      <c r="M6" s="21"/>
      <c r="N6" s="21" t="s">
        <v>16</v>
      </c>
      <c r="O6" s="24">
        <f t="shared" si="0"/>
        <v>0.20241060666934513</v>
      </c>
      <c r="P6" s="27"/>
      <c r="Q6" s="27"/>
      <c r="R6"/>
      <c r="S6"/>
      <c r="T6" s="26"/>
    </row>
    <row r="7" spans="1:20">
      <c r="A7" s="19" t="s">
        <v>52</v>
      </c>
      <c r="B7" s="19" t="s">
        <v>13</v>
      </c>
      <c r="C7" s="20">
        <v>45823</v>
      </c>
      <c r="D7" s="21" t="s">
        <v>14</v>
      </c>
      <c r="E7" s="22" t="s">
        <v>362</v>
      </c>
      <c r="F7" s="23">
        <v>4896</v>
      </c>
      <c r="G7" s="23">
        <v>466</v>
      </c>
      <c r="H7" s="23">
        <v>233</v>
      </c>
      <c r="I7" s="23">
        <v>28621</v>
      </c>
      <c r="J7" s="23">
        <v>34270</v>
      </c>
      <c r="K7" s="23">
        <v>84</v>
      </c>
      <c r="L7" s="21" t="s">
        <v>37</v>
      </c>
      <c r="M7" s="21" t="s">
        <v>34</v>
      </c>
      <c r="N7" s="21" t="s">
        <v>16</v>
      </c>
      <c r="O7" s="24">
        <f t="shared" si="0"/>
        <v>0.19548583208133888</v>
      </c>
      <c r="P7" s="27"/>
      <c r="Q7" s="27"/>
      <c r="R7" s="28"/>
      <c r="S7" s="28"/>
      <c r="T7" s="28"/>
    </row>
    <row r="8" spans="1:20">
      <c r="A8" s="19" t="s">
        <v>187</v>
      </c>
      <c r="B8" s="19" t="s">
        <v>27</v>
      </c>
      <c r="C8" s="20">
        <v>45718</v>
      </c>
      <c r="D8" s="21" t="s">
        <v>14</v>
      </c>
      <c r="E8" s="22" t="s">
        <v>363</v>
      </c>
      <c r="F8" s="23">
        <v>4425</v>
      </c>
      <c r="G8" s="23">
        <v>185</v>
      </c>
      <c r="H8" s="23">
        <v>162</v>
      </c>
      <c r="I8" s="23">
        <v>24610</v>
      </c>
      <c r="J8" s="23">
        <v>21342</v>
      </c>
      <c r="K8" s="23">
        <v>158</v>
      </c>
      <c r="L8" s="21" t="s">
        <v>19</v>
      </c>
      <c r="M8" s="21" t="s">
        <v>365</v>
      </c>
      <c r="N8" s="21" t="s">
        <v>20</v>
      </c>
      <c r="O8" s="24">
        <f t="shared" si="0"/>
        <v>0.19390491670052823</v>
      </c>
      <c r="P8" s="27"/>
      <c r="Q8" s="27"/>
      <c r="R8" s="28"/>
      <c r="S8" s="28"/>
      <c r="T8" s="28"/>
    </row>
    <row r="9" spans="1:20">
      <c r="A9" s="19" t="s">
        <v>278</v>
      </c>
      <c r="B9" s="19" t="s">
        <v>27</v>
      </c>
      <c r="C9" s="20">
        <v>45457</v>
      </c>
      <c r="D9" s="21" t="s">
        <v>48</v>
      </c>
      <c r="E9" s="22" t="s">
        <v>360</v>
      </c>
      <c r="F9" s="23">
        <v>4722</v>
      </c>
      <c r="G9" s="23">
        <v>310</v>
      </c>
      <c r="H9" s="23">
        <v>344</v>
      </c>
      <c r="I9" s="23">
        <v>27911</v>
      </c>
      <c r="J9" s="23">
        <v>19000</v>
      </c>
      <c r="K9" s="23">
        <v>225</v>
      </c>
      <c r="L9" s="21" t="s">
        <v>19</v>
      </c>
      <c r="M9" s="21" t="s">
        <v>37</v>
      </c>
      <c r="N9" s="21" t="s">
        <v>49</v>
      </c>
      <c r="O9" s="24">
        <f t="shared" si="0"/>
        <v>0.19261223173659131</v>
      </c>
      <c r="R9" s="28"/>
      <c r="S9" s="28"/>
      <c r="T9" s="28"/>
    </row>
    <row r="10" spans="1:20">
      <c r="A10" s="19" t="s">
        <v>166</v>
      </c>
      <c r="B10" s="19" t="s">
        <v>22</v>
      </c>
      <c r="C10" s="20">
        <v>45615</v>
      </c>
      <c r="D10" s="21" t="s">
        <v>14</v>
      </c>
      <c r="E10" s="22" t="s">
        <v>33</v>
      </c>
      <c r="F10" s="23">
        <v>3728</v>
      </c>
      <c r="G10" s="23">
        <v>271</v>
      </c>
      <c r="H10" s="23">
        <v>275</v>
      </c>
      <c r="I10" s="23">
        <v>22827</v>
      </c>
      <c r="J10" s="23">
        <v>37034</v>
      </c>
      <c r="K10" s="23">
        <v>199</v>
      </c>
      <c r="L10" s="21" t="s">
        <v>34</v>
      </c>
      <c r="M10" s="21"/>
      <c r="N10" s="21" t="s">
        <v>16</v>
      </c>
      <c r="O10" s="24">
        <f t="shared" si="0"/>
        <v>0.18723441538528934</v>
      </c>
      <c r="R10" s="28"/>
      <c r="S10" s="28"/>
      <c r="T10" s="28"/>
    </row>
    <row r="11" spans="1:20">
      <c r="A11" s="19" t="s">
        <v>98</v>
      </c>
      <c r="B11" s="19" t="s">
        <v>22</v>
      </c>
      <c r="C11" s="20">
        <v>45379</v>
      </c>
      <c r="D11" s="21" t="s">
        <v>14</v>
      </c>
      <c r="E11" s="22" t="s">
        <v>361</v>
      </c>
      <c r="F11" s="23">
        <v>3276</v>
      </c>
      <c r="G11" s="23">
        <v>421</v>
      </c>
      <c r="H11" s="23">
        <v>114</v>
      </c>
      <c r="I11" s="23">
        <v>20580</v>
      </c>
      <c r="J11" s="23">
        <v>30324</v>
      </c>
      <c r="K11" s="23">
        <v>221</v>
      </c>
      <c r="L11" s="21" t="s">
        <v>37</v>
      </c>
      <c r="M11" s="21"/>
      <c r="N11" s="21" t="s">
        <v>20</v>
      </c>
      <c r="O11" s="24">
        <f t="shared" si="0"/>
        <v>0.18517978620019437</v>
      </c>
      <c r="R11" s="26"/>
      <c r="S11" s="26"/>
      <c r="T11" s="26"/>
    </row>
    <row r="12" spans="1:20">
      <c r="A12" s="19" t="s">
        <v>118</v>
      </c>
      <c r="B12" s="19" t="s">
        <v>22</v>
      </c>
      <c r="C12" s="20">
        <v>45705</v>
      </c>
      <c r="D12" s="21" t="s">
        <v>23</v>
      </c>
      <c r="E12" s="22" t="s">
        <v>362</v>
      </c>
      <c r="F12" s="23">
        <v>4796</v>
      </c>
      <c r="G12" s="23">
        <v>427</v>
      </c>
      <c r="H12" s="23">
        <v>339</v>
      </c>
      <c r="I12" s="23">
        <v>30752</v>
      </c>
      <c r="J12" s="23">
        <v>33870</v>
      </c>
      <c r="K12" s="23">
        <v>298</v>
      </c>
      <c r="L12" s="21" t="s">
        <v>37</v>
      </c>
      <c r="M12" s="21" t="s">
        <v>34</v>
      </c>
      <c r="N12" s="21" t="s">
        <v>16</v>
      </c>
      <c r="O12" s="24">
        <f t="shared" si="0"/>
        <v>0.18086628511966701</v>
      </c>
      <c r="R12" s="26"/>
      <c r="S12" s="26"/>
      <c r="T12" s="26"/>
    </row>
    <row r="13" spans="1:20">
      <c r="A13" s="19" t="s">
        <v>243</v>
      </c>
      <c r="B13" s="19" t="s">
        <v>13</v>
      </c>
      <c r="C13" s="20">
        <v>45832</v>
      </c>
      <c r="D13" s="21" t="s">
        <v>23</v>
      </c>
      <c r="E13" s="22" t="s">
        <v>30</v>
      </c>
      <c r="F13" s="23">
        <v>4902</v>
      </c>
      <c r="G13" s="23">
        <v>422</v>
      </c>
      <c r="H13" s="23">
        <v>376</v>
      </c>
      <c r="I13" s="23">
        <v>31674</v>
      </c>
      <c r="J13" s="23">
        <v>53225</v>
      </c>
      <c r="K13" s="23">
        <v>147</v>
      </c>
      <c r="L13" s="21" t="s">
        <v>34</v>
      </c>
      <c r="M13" s="21"/>
      <c r="N13" s="21" t="s">
        <v>46</v>
      </c>
      <c r="O13" s="24">
        <f t="shared" si="0"/>
        <v>0.17995832544042431</v>
      </c>
      <c r="R13" s="26"/>
      <c r="S13" s="26"/>
      <c r="T13" s="26"/>
    </row>
    <row r="14" spans="1:20">
      <c r="A14" s="19" t="s">
        <v>280</v>
      </c>
      <c r="B14" s="19" t="s">
        <v>22</v>
      </c>
      <c r="C14" s="20">
        <v>45792</v>
      </c>
      <c r="D14" s="21" t="s">
        <v>14</v>
      </c>
      <c r="E14" s="22" t="s">
        <v>42</v>
      </c>
      <c r="F14" s="23">
        <v>4782</v>
      </c>
      <c r="G14" s="23">
        <v>210</v>
      </c>
      <c r="H14" s="23">
        <v>311</v>
      </c>
      <c r="I14" s="23">
        <v>29793</v>
      </c>
      <c r="J14" s="23">
        <v>37543</v>
      </c>
      <c r="K14" s="23">
        <v>145</v>
      </c>
      <c r="L14" s="21" t="s">
        <v>34</v>
      </c>
      <c r="M14" s="21"/>
      <c r="N14" s="21" t="s">
        <v>16</v>
      </c>
      <c r="O14" s="24">
        <f t="shared" si="0"/>
        <v>0.17799483100057059</v>
      </c>
      <c r="R14" s="26"/>
      <c r="S14" s="26"/>
      <c r="T14" s="26"/>
    </row>
    <row r="15" spans="1:20">
      <c r="A15" s="19" t="s">
        <v>97</v>
      </c>
      <c r="B15" s="19" t="s">
        <v>27</v>
      </c>
      <c r="C15" s="20">
        <v>45384</v>
      </c>
      <c r="D15" s="21" t="s">
        <v>48</v>
      </c>
      <c r="E15" s="22" t="s">
        <v>42</v>
      </c>
      <c r="F15" s="23">
        <v>4563</v>
      </c>
      <c r="G15" s="23">
        <v>488</v>
      </c>
      <c r="H15" s="23">
        <v>356</v>
      </c>
      <c r="I15" s="23">
        <v>30619</v>
      </c>
      <c r="J15" s="23">
        <v>23328</v>
      </c>
      <c r="K15" s="23">
        <v>267</v>
      </c>
      <c r="L15" s="21" t="s">
        <v>19</v>
      </c>
      <c r="M15" s="21" t="s">
        <v>37</v>
      </c>
      <c r="N15" s="21" t="s">
        <v>49</v>
      </c>
      <c r="O15" s="24">
        <f t="shared" si="0"/>
        <v>0.17658969920637513</v>
      </c>
      <c r="R15" s="26"/>
      <c r="S15" s="26"/>
      <c r="T15" s="26"/>
    </row>
    <row r="16" spans="1:20">
      <c r="A16" s="19" t="s">
        <v>120</v>
      </c>
      <c r="B16" s="19" t="s">
        <v>22</v>
      </c>
      <c r="C16" s="20">
        <v>45495</v>
      </c>
      <c r="D16" s="21" t="s">
        <v>23</v>
      </c>
      <c r="E16" s="22" t="s">
        <v>360</v>
      </c>
      <c r="F16" s="23">
        <v>3336</v>
      </c>
      <c r="G16" s="23">
        <v>229</v>
      </c>
      <c r="H16" s="23">
        <v>337</v>
      </c>
      <c r="I16" s="23">
        <v>22117</v>
      </c>
      <c r="J16" s="23">
        <v>26205</v>
      </c>
      <c r="K16" s="23">
        <v>160</v>
      </c>
      <c r="L16" s="21" t="s">
        <v>364</v>
      </c>
      <c r="M16" s="21" t="s">
        <v>34</v>
      </c>
      <c r="N16" s="21" t="s">
        <v>16</v>
      </c>
      <c r="O16" s="24">
        <f t="shared" si="0"/>
        <v>0.17642537414658407</v>
      </c>
      <c r="R16" s="26"/>
      <c r="S16" s="26"/>
      <c r="T16" s="26"/>
    </row>
    <row r="17" spans="1:20">
      <c r="A17" s="19" t="s">
        <v>207</v>
      </c>
      <c r="B17" s="19" t="s">
        <v>22</v>
      </c>
      <c r="C17" s="20">
        <v>45606</v>
      </c>
      <c r="D17" s="21" t="s">
        <v>14</v>
      </c>
      <c r="E17" s="22" t="s">
        <v>18</v>
      </c>
      <c r="F17" s="23">
        <v>4823</v>
      </c>
      <c r="G17" s="23">
        <v>489</v>
      </c>
      <c r="H17" s="23">
        <v>302</v>
      </c>
      <c r="I17" s="23">
        <v>32470</v>
      </c>
      <c r="J17" s="23">
        <v>31861</v>
      </c>
      <c r="K17" s="23">
        <v>178</v>
      </c>
      <c r="L17" s="21" t="s">
        <v>37</v>
      </c>
      <c r="M17" s="21"/>
      <c r="N17" s="21" t="s">
        <v>20</v>
      </c>
      <c r="O17" s="24">
        <f t="shared" si="0"/>
        <v>0.1728980597474592</v>
      </c>
      <c r="R17" s="26"/>
      <c r="S17" s="26"/>
      <c r="T17" s="26"/>
    </row>
    <row r="18" spans="1:20">
      <c r="A18" s="19" t="s">
        <v>269</v>
      </c>
      <c r="B18" s="19" t="s">
        <v>22</v>
      </c>
      <c r="C18" s="20">
        <v>45639</v>
      </c>
      <c r="D18" s="21" t="s">
        <v>23</v>
      </c>
      <c r="E18" s="22" t="s">
        <v>24</v>
      </c>
      <c r="F18" s="23">
        <v>4984</v>
      </c>
      <c r="G18" s="23">
        <v>300</v>
      </c>
      <c r="H18" s="23">
        <v>338</v>
      </c>
      <c r="I18" s="23">
        <v>32900</v>
      </c>
      <c r="J18" s="23">
        <v>31691</v>
      </c>
      <c r="K18" s="23">
        <v>160</v>
      </c>
      <c r="L18" s="21" t="s">
        <v>364</v>
      </c>
      <c r="M18" s="21" t="s">
        <v>34</v>
      </c>
      <c r="N18" s="21" t="s">
        <v>16</v>
      </c>
      <c r="O18" s="24">
        <f t="shared" si="0"/>
        <v>0.17088145896656534</v>
      </c>
      <c r="R18" s="17"/>
      <c r="S18" s="17"/>
      <c r="T18" s="26"/>
    </row>
    <row r="19" spans="1:20">
      <c r="A19" s="19" t="s">
        <v>264</v>
      </c>
      <c r="B19" s="19" t="s">
        <v>22</v>
      </c>
      <c r="C19" s="20">
        <v>45324</v>
      </c>
      <c r="D19" s="21" t="s">
        <v>14</v>
      </c>
      <c r="E19" s="22" t="s">
        <v>363</v>
      </c>
      <c r="F19" s="23">
        <v>3818</v>
      </c>
      <c r="G19" s="23">
        <v>115</v>
      </c>
      <c r="H19" s="23">
        <v>286</v>
      </c>
      <c r="I19" s="23">
        <v>25127</v>
      </c>
      <c r="J19" s="23">
        <v>22277</v>
      </c>
      <c r="K19" s="23">
        <v>263</v>
      </c>
      <c r="L19" s="21" t="s">
        <v>34</v>
      </c>
      <c r="M19" s="21"/>
      <c r="N19" s="21" t="s">
        <v>16</v>
      </c>
      <c r="O19" s="24">
        <f t="shared" si="0"/>
        <v>0.16790703227603773</v>
      </c>
      <c r="R19" s="17"/>
      <c r="S19" s="17"/>
      <c r="T19" s="26"/>
    </row>
    <row r="20" spans="1:20">
      <c r="A20" s="19" t="s">
        <v>213</v>
      </c>
      <c r="B20" s="19" t="s">
        <v>22</v>
      </c>
      <c r="C20" s="20">
        <v>45496</v>
      </c>
      <c r="D20" s="21" t="s">
        <v>14</v>
      </c>
      <c r="E20" s="22" t="s">
        <v>33</v>
      </c>
      <c r="F20" s="23">
        <v>3204</v>
      </c>
      <c r="G20" s="23">
        <v>398</v>
      </c>
      <c r="H20" s="23">
        <v>85</v>
      </c>
      <c r="I20" s="23">
        <v>22020</v>
      </c>
      <c r="J20" s="23">
        <v>58353</v>
      </c>
      <c r="K20" s="23">
        <v>286</v>
      </c>
      <c r="L20" s="21" t="s">
        <v>37</v>
      </c>
      <c r="M20" s="21"/>
      <c r="N20" s="21" t="s">
        <v>20</v>
      </c>
      <c r="O20" s="24">
        <f t="shared" si="0"/>
        <v>0.16743869209809265</v>
      </c>
      <c r="R20" s="26"/>
      <c r="S20" s="26"/>
      <c r="T20" s="26"/>
    </row>
    <row r="21" spans="1:20">
      <c r="A21" s="19" t="s">
        <v>141</v>
      </c>
      <c r="B21" s="19" t="s">
        <v>27</v>
      </c>
      <c r="C21" s="20">
        <v>45493</v>
      </c>
      <c r="D21" s="21" t="s">
        <v>48</v>
      </c>
      <c r="E21" s="22" t="s">
        <v>361</v>
      </c>
      <c r="F21" s="23">
        <v>4955</v>
      </c>
      <c r="G21" s="23">
        <v>299</v>
      </c>
      <c r="H21" s="23">
        <v>345</v>
      </c>
      <c r="I21" s="23">
        <v>33644</v>
      </c>
      <c r="J21" s="23">
        <v>43547</v>
      </c>
      <c r="K21" s="23">
        <v>194</v>
      </c>
      <c r="L21" s="21" t="s">
        <v>19</v>
      </c>
      <c r="M21" s="21" t="s">
        <v>37</v>
      </c>
      <c r="N21" s="21" t="s">
        <v>49</v>
      </c>
      <c r="O21" s="24">
        <f t="shared" si="0"/>
        <v>0.16641897515158721</v>
      </c>
    </row>
    <row r="22" spans="1:20">
      <c r="A22" s="19" t="s">
        <v>167</v>
      </c>
      <c r="B22" s="19" t="s">
        <v>22</v>
      </c>
      <c r="C22" s="20">
        <v>45387</v>
      </c>
      <c r="D22" s="21" t="s">
        <v>23</v>
      </c>
      <c r="E22" s="22" t="s">
        <v>24</v>
      </c>
      <c r="F22" s="23">
        <v>4965</v>
      </c>
      <c r="G22" s="23">
        <v>175</v>
      </c>
      <c r="H22" s="23">
        <v>307</v>
      </c>
      <c r="I22" s="23">
        <v>32793</v>
      </c>
      <c r="J22" s="23">
        <v>43412</v>
      </c>
      <c r="K22" s="23">
        <v>296</v>
      </c>
      <c r="L22" s="21" t="s">
        <v>37</v>
      </c>
      <c r="M22" s="21" t="s">
        <v>34</v>
      </c>
      <c r="N22" s="21" t="s">
        <v>16</v>
      </c>
      <c r="O22" s="24">
        <f t="shared" si="0"/>
        <v>0.16610252187966945</v>
      </c>
    </row>
    <row r="23" spans="1:20">
      <c r="A23" s="19" t="s">
        <v>276</v>
      </c>
      <c r="B23" s="19" t="s">
        <v>22</v>
      </c>
      <c r="C23" s="20">
        <v>45481</v>
      </c>
      <c r="D23" s="21" t="s">
        <v>23</v>
      </c>
      <c r="E23" s="22" t="s">
        <v>33</v>
      </c>
      <c r="F23" s="23">
        <v>2981</v>
      </c>
      <c r="G23" s="23">
        <v>258</v>
      </c>
      <c r="H23" s="23">
        <v>168</v>
      </c>
      <c r="I23" s="23">
        <v>20677</v>
      </c>
      <c r="J23" s="23">
        <v>68290</v>
      </c>
      <c r="K23" s="23">
        <v>130</v>
      </c>
      <c r="L23" s="21" t="s">
        <v>37</v>
      </c>
      <c r="M23" s="21" t="s">
        <v>34</v>
      </c>
      <c r="N23" s="21" t="s">
        <v>16</v>
      </c>
      <c r="O23" s="24">
        <f t="shared" si="0"/>
        <v>0.16477245248343569</v>
      </c>
    </row>
    <row r="24" spans="1:20">
      <c r="A24" s="19" t="s">
        <v>202</v>
      </c>
      <c r="B24" s="19" t="s">
        <v>27</v>
      </c>
      <c r="C24" s="20">
        <v>45400</v>
      </c>
      <c r="D24" s="21" t="s">
        <v>14</v>
      </c>
      <c r="E24" s="22" t="s">
        <v>18</v>
      </c>
      <c r="F24" s="23">
        <v>4023</v>
      </c>
      <c r="G24" s="23">
        <v>293</v>
      </c>
      <c r="H24" s="23">
        <v>91</v>
      </c>
      <c r="I24" s="23">
        <v>26795</v>
      </c>
      <c r="J24" s="23">
        <v>28924</v>
      </c>
      <c r="K24" s="23">
        <v>278</v>
      </c>
      <c r="L24" s="21" t="s">
        <v>19</v>
      </c>
      <c r="M24" s="21" t="s">
        <v>365</v>
      </c>
      <c r="N24" s="21" t="s">
        <v>20</v>
      </c>
      <c r="O24" s="24">
        <f t="shared" si="0"/>
        <v>0.16447098339242397</v>
      </c>
    </row>
    <row r="25" spans="1:20">
      <c r="A25" s="19" t="s">
        <v>114</v>
      </c>
      <c r="B25" s="19" t="s">
        <v>22</v>
      </c>
      <c r="C25" s="20">
        <v>45507</v>
      </c>
      <c r="D25" s="21" t="s">
        <v>14</v>
      </c>
      <c r="E25" s="22" t="s">
        <v>42</v>
      </c>
      <c r="F25" s="23">
        <v>4247</v>
      </c>
      <c r="G25" s="23">
        <v>390</v>
      </c>
      <c r="H25" s="23">
        <v>213</v>
      </c>
      <c r="I25" s="23">
        <v>29785</v>
      </c>
      <c r="J25" s="23">
        <v>57768</v>
      </c>
      <c r="K25" s="23">
        <v>122</v>
      </c>
      <c r="L25" s="21" t="s">
        <v>34</v>
      </c>
      <c r="M25" s="21"/>
      <c r="N25" s="21" t="s">
        <v>16</v>
      </c>
      <c r="O25" s="24">
        <f t="shared" si="0"/>
        <v>0.16283364109451065</v>
      </c>
    </row>
    <row r="26" spans="1:20">
      <c r="A26" s="19" t="s">
        <v>63</v>
      </c>
      <c r="B26" s="19" t="s">
        <v>22</v>
      </c>
      <c r="C26" s="20">
        <v>45574</v>
      </c>
      <c r="D26" s="21" t="s">
        <v>23</v>
      </c>
      <c r="E26" s="22" t="s">
        <v>15</v>
      </c>
      <c r="F26" s="23">
        <v>4929</v>
      </c>
      <c r="G26" s="23">
        <v>182</v>
      </c>
      <c r="H26" s="23">
        <v>95</v>
      </c>
      <c r="I26" s="23">
        <v>32181</v>
      </c>
      <c r="J26" s="23">
        <v>31084</v>
      </c>
      <c r="K26" s="23">
        <v>289</v>
      </c>
      <c r="L26" s="21" t="s">
        <v>19</v>
      </c>
      <c r="M26" s="21" t="s">
        <v>364</v>
      </c>
      <c r="N26" s="21" t="s">
        <v>16</v>
      </c>
      <c r="O26" s="24">
        <f t="shared" si="0"/>
        <v>0.16177247444144061</v>
      </c>
    </row>
    <row r="27" spans="1:20">
      <c r="A27" s="19" t="s">
        <v>197</v>
      </c>
      <c r="B27" s="19" t="s">
        <v>27</v>
      </c>
      <c r="C27" s="20">
        <v>45684</v>
      </c>
      <c r="D27" s="21" t="s">
        <v>14</v>
      </c>
      <c r="E27" s="22" t="s">
        <v>360</v>
      </c>
      <c r="F27" s="23">
        <v>4294</v>
      </c>
      <c r="G27" s="23">
        <v>423</v>
      </c>
      <c r="H27" s="23">
        <v>93</v>
      </c>
      <c r="I27" s="23">
        <v>29828</v>
      </c>
      <c r="J27" s="23">
        <v>73144</v>
      </c>
      <c r="K27" s="23">
        <v>298</v>
      </c>
      <c r="L27" s="21" t="s">
        <v>19</v>
      </c>
      <c r="M27" s="21" t="s">
        <v>365</v>
      </c>
      <c r="N27" s="21" t="s">
        <v>20</v>
      </c>
      <c r="O27" s="24">
        <f t="shared" si="0"/>
        <v>0.1612578785034196</v>
      </c>
    </row>
    <row r="28" spans="1:20">
      <c r="A28" s="19" t="s">
        <v>188</v>
      </c>
      <c r="B28" s="19" t="s">
        <v>22</v>
      </c>
      <c r="C28" s="20">
        <v>45737</v>
      </c>
      <c r="D28" s="21" t="s">
        <v>23</v>
      </c>
      <c r="E28" s="22" t="s">
        <v>24</v>
      </c>
      <c r="F28" s="23">
        <v>4609</v>
      </c>
      <c r="G28" s="23">
        <v>427</v>
      </c>
      <c r="H28" s="23">
        <v>395</v>
      </c>
      <c r="I28" s="23">
        <v>33698</v>
      </c>
      <c r="J28" s="23">
        <v>29259</v>
      </c>
      <c r="K28" s="23">
        <v>216</v>
      </c>
      <c r="L28" s="21" t="s">
        <v>19</v>
      </c>
      <c r="M28" s="21" t="s">
        <v>364</v>
      </c>
      <c r="N28" s="21" t="s">
        <v>16</v>
      </c>
      <c r="O28" s="24">
        <f t="shared" si="0"/>
        <v>0.16116683482699271</v>
      </c>
    </row>
    <row r="29" spans="1:20">
      <c r="A29" s="19" t="s">
        <v>101</v>
      </c>
      <c r="B29" s="19" t="s">
        <v>22</v>
      </c>
      <c r="C29" s="20">
        <v>45302</v>
      </c>
      <c r="D29" s="21" t="s">
        <v>14</v>
      </c>
      <c r="E29" s="22" t="s">
        <v>362</v>
      </c>
      <c r="F29" s="23">
        <v>4218</v>
      </c>
      <c r="G29" s="23">
        <v>247</v>
      </c>
      <c r="H29" s="23">
        <v>183</v>
      </c>
      <c r="I29" s="23">
        <v>28914</v>
      </c>
      <c r="J29" s="23">
        <v>18310</v>
      </c>
      <c r="K29" s="23">
        <v>135</v>
      </c>
      <c r="L29" s="21" t="s">
        <v>37</v>
      </c>
      <c r="M29" s="21"/>
      <c r="N29" s="21" t="s">
        <v>20</v>
      </c>
      <c r="O29" s="24">
        <f t="shared" si="0"/>
        <v>0.1607525766064882</v>
      </c>
    </row>
    <row r="30" spans="1:20">
      <c r="A30" s="19" t="s">
        <v>140</v>
      </c>
      <c r="B30" s="19" t="s">
        <v>13</v>
      </c>
      <c r="C30" s="20">
        <v>45469</v>
      </c>
      <c r="D30" s="21" t="s">
        <v>14</v>
      </c>
      <c r="E30" s="22" t="s">
        <v>24</v>
      </c>
      <c r="F30" s="23">
        <v>3253</v>
      </c>
      <c r="G30" s="23">
        <v>483</v>
      </c>
      <c r="H30" s="23">
        <v>336</v>
      </c>
      <c r="I30" s="23">
        <v>25397</v>
      </c>
      <c r="J30" s="23">
        <v>51485</v>
      </c>
      <c r="K30" s="23">
        <v>131</v>
      </c>
      <c r="L30" s="21" t="s">
        <v>19</v>
      </c>
      <c r="M30" s="21"/>
      <c r="N30" s="21" t="s">
        <v>20</v>
      </c>
      <c r="O30" s="24">
        <f t="shared" si="0"/>
        <v>0.16033389770445328</v>
      </c>
    </row>
    <row r="31" spans="1:20">
      <c r="A31" s="19" t="s">
        <v>78</v>
      </c>
      <c r="B31" s="19" t="s">
        <v>13</v>
      </c>
      <c r="C31" s="20">
        <v>45693</v>
      </c>
      <c r="D31" s="21" t="s">
        <v>23</v>
      </c>
      <c r="E31" s="22" t="s">
        <v>361</v>
      </c>
      <c r="F31" s="23">
        <v>3074</v>
      </c>
      <c r="G31" s="23">
        <v>371</v>
      </c>
      <c r="H31" s="23">
        <v>348</v>
      </c>
      <c r="I31" s="23">
        <v>24104</v>
      </c>
      <c r="J31" s="23">
        <v>57803</v>
      </c>
      <c r="K31" s="23">
        <v>213</v>
      </c>
      <c r="L31" s="21" t="s">
        <v>34</v>
      </c>
      <c r="M31" s="21"/>
      <c r="N31" s="21" t="s">
        <v>46</v>
      </c>
      <c r="O31" s="24">
        <f t="shared" si="0"/>
        <v>0.15735977431131762</v>
      </c>
    </row>
    <row r="32" spans="1:20">
      <c r="A32" s="19" t="s">
        <v>320</v>
      </c>
      <c r="B32" s="19" t="s">
        <v>22</v>
      </c>
      <c r="C32" s="20">
        <v>45517</v>
      </c>
      <c r="D32" s="21" t="s">
        <v>14</v>
      </c>
      <c r="E32" s="22" t="s">
        <v>18</v>
      </c>
      <c r="F32" s="23">
        <v>3418</v>
      </c>
      <c r="G32" s="23">
        <v>107</v>
      </c>
      <c r="H32" s="23">
        <v>221</v>
      </c>
      <c r="I32" s="23">
        <v>23927</v>
      </c>
      <c r="J32" s="23">
        <v>26182</v>
      </c>
      <c r="K32" s="23">
        <v>155</v>
      </c>
      <c r="L32" s="21" t="s">
        <v>37</v>
      </c>
      <c r="M32" s="21"/>
      <c r="N32" s="21" t="s">
        <v>20</v>
      </c>
      <c r="O32" s="24">
        <f t="shared" si="0"/>
        <v>0.1565595352530614</v>
      </c>
    </row>
    <row r="33" spans="1:15">
      <c r="A33" s="19" t="s">
        <v>191</v>
      </c>
      <c r="B33" s="19" t="s">
        <v>13</v>
      </c>
      <c r="C33" s="20">
        <v>45803</v>
      </c>
      <c r="D33" s="21" t="s">
        <v>14</v>
      </c>
      <c r="E33" s="22" t="s">
        <v>15</v>
      </c>
      <c r="F33" s="23">
        <v>3086</v>
      </c>
      <c r="G33" s="23">
        <v>148</v>
      </c>
      <c r="H33" s="23">
        <v>310</v>
      </c>
      <c r="I33" s="23">
        <v>22824</v>
      </c>
      <c r="J33" s="23">
        <v>58103</v>
      </c>
      <c r="K33" s="23">
        <v>275</v>
      </c>
      <c r="L33" s="21" t="s">
        <v>19</v>
      </c>
      <c r="M33" s="21"/>
      <c r="N33" s="21" t="s">
        <v>20</v>
      </c>
      <c r="O33" s="24">
        <f t="shared" si="0"/>
        <v>0.1552751489660007</v>
      </c>
    </row>
    <row r="34" spans="1:15">
      <c r="A34" s="19" t="s">
        <v>200</v>
      </c>
      <c r="B34" s="19" t="s">
        <v>22</v>
      </c>
      <c r="C34" s="20">
        <v>45619</v>
      </c>
      <c r="D34" s="21" t="s">
        <v>14</v>
      </c>
      <c r="E34" s="22" t="s">
        <v>24</v>
      </c>
      <c r="F34" s="23">
        <v>4318</v>
      </c>
      <c r="G34" s="23">
        <v>371</v>
      </c>
      <c r="H34" s="23">
        <v>329</v>
      </c>
      <c r="I34" s="23">
        <v>32347</v>
      </c>
      <c r="J34" s="23">
        <v>68956</v>
      </c>
      <c r="K34" s="23">
        <v>259</v>
      </c>
      <c r="L34" s="21" t="s">
        <v>37</v>
      </c>
      <c r="M34" s="21"/>
      <c r="N34" s="21" t="s">
        <v>20</v>
      </c>
      <c r="O34" s="24">
        <f t="shared" si="0"/>
        <v>0.15513030574705536</v>
      </c>
    </row>
    <row r="35" spans="1:15">
      <c r="A35" s="19" t="s">
        <v>284</v>
      </c>
      <c r="B35" s="19" t="s">
        <v>22</v>
      </c>
      <c r="C35" s="20">
        <v>45691</v>
      </c>
      <c r="D35" s="21" t="s">
        <v>14</v>
      </c>
      <c r="E35" s="22" t="s">
        <v>362</v>
      </c>
      <c r="F35" s="23">
        <v>4995</v>
      </c>
      <c r="G35" s="23">
        <v>231</v>
      </c>
      <c r="H35" s="23">
        <v>94</v>
      </c>
      <c r="I35" s="23">
        <v>34431</v>
      </c>
      <c r="J35" s="23">
        <v>32560</v>
      </c>
      <c r="K35" s="23">
        <v>262</v>
      </c>
      <c r="L35" s="21" t="s">
        <v>34</v>
      </c>
      <c r="M35" s="21"/>
      <c r="N35" s="21" t="s">
        <v>16</v>
      </c>
      <c r="O35" s="24">
        <f t="shared" si="0"/>
        <v>0.15451192239551567</v>
      </c>
    </row>
    <row r="36" spans="1:15">
      <c r="A36" s="19" t="s">
        <v>50</v>
      </c>
      <c r="B36" s="19" t="s">
        <v>13</v>
      </c>
      <c r="C36" s="20">
        <v>45478</v>
      </c>
      <c r="D36" s="21" t="s">
        <v>14</v>
      </c>
      <c r="E36" s="22" t="s">
        <v>42</v>
      </c>
      <c r="F36" s="23">
        <v>3753</v>
      </c>
      <c r="G36" s="23">
        <v>411</v>
      </c>
      <c r="H36" s="23">
        <v>308</v>
      </c>
      <c r="I36" s="23">
        <v>29138</v>
      </c>
      <c r="J36" s="23">
        <v>27678</v>
      </c>
      <c r="K36" s="23">
        <v>90</v>
      </c>
      <c r="L36" s="21" t="s">
        <v>19</v>
      </c>
      <c r="M36" s="21"/>
      <c r="N36" s="21" t="s">
        <v>20</v>
      </c>
      <c r="O36" s="24">
        <f t="shared" si="0"/>
        <v>0.15347655981879332</v>
      </c>
    </row>
    <row r="37" spans="1:15">
      <c r="A37" s="19" t="s">
        <v>82</v>
      </c>
      <c r="B37" s="19" t="s">
        <v>22</v>
      </c>
      <c r="C37" s="20">
        <v>45539</v>
      </c>
      <c r="D37" s="21" t="s">
        <v>23</v>
      </c>
      <c r="E37" s="22" t="s">
        <v>24</v>
      </c>
      <c r="F37" s="23">
        <v>2613</v>
      </c>
      <c r="G37" s="23">
        <v>455</v>
      </c>
      <c r="H37" s="23">
        <v>228</v>
      </c>
      <c r="I37" s="23">
        <v>21645</v>
      </c>
      <c r="J37" s="23">
        <v>61334</v>
      </c>
      <c r="K37" s="23">
        <v>261</v>
      </c>
      <c r="L37" s="21" t="s">
        <v>19</v>
      </c>
      <c r="M37" s="21" t="s">
        <v>364</v>
      </c>
      <c r="N37" s="21" t="s">
        <v>16</v>
      </c>
      <c r="O37" s="24">
        <f t="shared" si="0"/>
        <v>0.15227535227535227</v>
      </c>
    </row>
    <row r="38" spans="1:15">
      <c r="A38" s="19" t="s">
        <v>301</v>
      </c>
      <c r="B38" s="19" t="s">
        <v>22</v>
      </c>
      <c r="C38" s="20">
        <v>45693</v>
      </c>
      <c r="D38" s="21" t="s">
        <v>23</v>
      </c>
      <c r="E38" s="22" t="s">
        <v>15</v>
      </c>
      <c r="F38" s="23">
        <v>3029</v>
      </c>
      <c r="G38" s="23">
        <v>440</v>
      </c>
      <c r="H38" s="23">
        <v>66</v>
      </c>
      <c r="I38" s="23">
        <v>23815</v>
      </c>
      <c r="J38" s="23">
        <v>47895</v>
      </c>
      <c r="K38" s="23">
        <v>210</v>
      </c>
      <c r="L38" s="21" t="s">
        <v>19</v>
      </c>
      <c r="M38" s="21" t="s">
        <v>364</v>
      </c>
      <c r="N38" s="21" t="s">
        <v>16</v>
      </c>
      <c r="O38" s="24">
        <f t="shared" si="0"/>
        <v>0.14843585975225698</v>
      </c>
    </row>
    <row r="39" spans="1:15">
      <c r="A39" s="19" t="s">
        <v>113</v>
      </c>
      <c r="B39" s="19" t="s">
        <v>22</v>
      </c>
      <c r="C39" s="20">
        <v>45660</v>
      </c>
      <c r="D39" s="21" t="s">
        <v>23</v>
      </c>
      <c r="E39" s="22" t="s">
        <v>30</v>
      </c>
      <c r="F39" s="23">
        <v>4845</v>
      </c>
      <c r="G39" s="23">
        <v>158</v>
      </c>
      <c r="H39" s="23">
        <v>84</v>
      </c>
      <c r="I39" s="23">
        <v>34578</v>
      </c>
      <c r="J39" s="23">
        <v>51480</v>
      </c>
      <c r="K39" s="23">
        <v>180</v>
      </c>
      <c r="L39" s="21" t="s">
        <v>37</v>
      </c>
      <c r="M39" s="21" t="s">
        <v>34</v>
      </c>
      <c r="N39" s="21" t="s">
        <v>16</v>
      </c>
      <c r="O39" s="24">
        <f t="shared" si="0"/>
        <v>0.1471166637746544</v>
      </c>
    </row>
    <row r="40" spans="1:15">
      <c r="A40" s="19" t="s">
        <v>279</v>
      </c>
      <c r="B40" s="19" t="s">
        <v>13</v>
      </c>
      <c r="C40" s="20">
        <v>45357</v>
      </c>
      <c r="D40" s="21" t="s">
        <v>14</v>
      </c>
      <c r="E40" s="22" t="s">
        <v>362</v>
      </c>
      <c r="F40" s="23">
        <v>3529</v>
      </c>
      <c r="G40" s="23">
        <v>263</v>
      </c>
      <c r="H40" s="23">
        <v>107</v>
      </c>
      <c r="I40" s="23">
        <v>26570</v>
      </c>
      <c r="J40" s="23">
        <v>19367</v>
      </c>
      <c r="K40" s="23">
        <v>96</v>
      </c>
      <c r="L40" s="21" t="s">
        <v>19</v>
      </c>
      <c r="M40" s="21"/>
      <c r="N40" s="21" t="s">
        <v>20</v>
      </c>
      <c r="O40" s="24">
        <f t="shared" si="0"/>
        <v>0.14674444862627023</v>
      </c>
    </row>
    <row r="41" spans="1:15">
      <c r="A41" s="19" t="s">
        <v>76</v>
      </c>
      <c r="B41" s="19" t="s">
        <v>13</v>
      </c>
      <c r="C41" s="20">
        <v>45334</v>
      </c>
      <c r="D41" s="21" t="s">
        <v>14</v>
      </c>
      <c r="E41" s="22" t="s">
        <v>18</v>
      </c>
      <c r="F41" s="23">
        <v>2923</v>
      </c>
      <c r="G41" s="23">
        <v>330</v>
      </c>
      <c r="H41" s="23">
        <v>250</v>
      </c>
      <c r="I41" s="23">
        <v>23993</v>
      </c>
      <c r="J41" s="23">
        <v>74590</v>
      </c>
      <c r="K41" s="23">
        <v>92</v>
      </c>
      <c r="L41" s="21" t="s">
        <v>19</v>
      </c>
      <c r="M41" s="21"/>
      <c r="N41" s="21" t="s">
        <v>20</v>
      </c>
      <c r="O41" s="24">
        <f t="shared" si="0"/>
        <v>0.14600091693410577</v>
      </c>
    </row>
    <row r="42" spans="1:15">
      <c r="A42" s="19" t="s">
        <v>132</v>
      </c>
      <c r="B42" s="19" t="s">
        <v>22</v>
      </c>
      <c r="C42" s="20">
        <v>45591</v>
      </c>
      <c r="D42" s="21" t="s">
        <v>14</v>
      </c>
      <c r="E42" s="22" t="s">
        <v>15</v>
      </c>
      <c r="F42" s="23">
        <v>3036</v>
      </c>
      <c r="G42" s="23">
        <v>293</v>
      </c>
      <c r="H42" s="23">
        <v>115</v>
      </c>
      <c r="I42" s="23">
        <v>23776</v>
      </c>
      <c r="J42" s="23">
        <v>46386</v>
      </c>
      <c r="K42" s="23">
        <v>282</v>
      </c>
      <c r="L42" s="21" t="s">
        <v>34</v>
      </c>
      <c r="M42" s="21"/>
      <c r="N42" s="21" t="s">
        <v>16</v>
      </c>
      <c r="O42" s="24">
        <f t="shared" si="0"/>
        <v>0.14485195154777927</v>
      </c>
    </row>
    <row r="43" spans="1:15">
      <c r="A43" s="19" t="s">
        <v>70</v>
      </c>
      <c r="B43" s="19" t="s">
        <v>22</v>
      </c>
      <c r="C43" s="20">
        <v>45818</v>
      </c>
      <c r="D43" s="21" t="s">
        <v>14</v>
      </c>
      <c r="E43" s="22" t="s">
        <v>18</v>
      </c>
      <c r="F43" s="23">
        <v>3615</v>
      </c>
      <c r="G43" s="23">
        <v>192</v>
      </c>
      <c r="H43" s="23">
        <v>162</v>
      </c>
      <c r="I43" s="23">
        <v>27492</v>
      </c>
      <c r="J43" s="23">
        <v>35341</v>
      </c>
      <c r="K43" s="23">
        <v>125</v>
      </c>
      <c r="L43" s="21" t="s">
        <v>34</v>
      </c>
      <c r="M43" s="21"/>
      <c r="N43" s="21" t="s">
        <v>16</v>
      </c>
      <c r="O43" s="24">
        <f t="shared" si="0"/>
        <v>0.14436927106067218</v>
      </c>
    </row>
    <row r="44" spans="1:15">
      <c r="A44" s="19" t="s">
        <v>124</v>
      </c>
      <c r="B44" s="19" t="s">
        <v>22</v>
      </c>
      <c r="C44" s="20">
        <v>45609</v>
      </c>
      <c r="D44" s="21" t="s">
        <v>23</v>
      </c>
      <c r="E44" s="22" t="s">
        <v>33</v>
      </c>
      <c r="F44" s="23">
        <v>4628</v>
      </c>
      <c r="G44" s="23">
        <v>257</v>
      </c>
      <c r="H44" s="23">
        <v>397</v>
      </c>
      <c r="I44" s="23">
        <v>36686</v>
      </c>
      <c r="J44" s="23">
        <v>54683</v>
      </c>
      <c r="K44" s="23">
        <v>98</v>
      </c>
      <c r="L44" s="21" t="s">
        <v>37</v>
      </c>
      <c r="M44" s="21" t="s">
        <v>34</v>
      </c>
      <c r="N44" s="21" t="s">
        <v>16</v>
      </c>
      <c r="O44" s="24">
        <f t="shared" si="0"/>
        <v>0.1439786294499264</v>
      </c>
    </row>
    <row r="45" spans="1:15">
      <c r="A45" s="19" t="s">
        <v>109</v>
      </c>
      <c r="B45" s="19" t="s">
        <v>27</v>
      </c>
      <c r="C45" s="20">
        <v>45304</v>
      </c>
      <c r="D45" s="21" t="s">
        <v>48</v>
      </c>
      <c r="E45" s="22" t="s">
        <v>24</v>
      </c>
      <c r="F45" s="23">
        <v>4781</v>
      </c>
      <c r="G45" s="23">
        <v>191</v>
      </c>
      <c r="H45" s="23">
        <v>122</v>
      </c>
      <c r="I45" s="23">
        <v>35535</v>
      </c>
      <c r="J45" s="23">
        <v>50777</v>
      </c>
      <c r="K45" s="23">
        <v>128</v>
      </c>
      <c r="L45" s="21" t="s">
        <v>19</v>
      </c>
      <c r="M45" s="21" t="s">
        <v>37</v>
      </c>
      <c r="N45" s="21" t="s">
        <v>49</v>
      </c>
      <c r="O45" s="24">
        <f t="shared" si="0"/>
        <v>0.14335162515829464</v>
      </c>
    </row>
    <row r="46" spans="1:15">
      <c r="A46" s="19" t="s">
        <v>125</v>
      </c>
      <c r="B46" s="19" t="s">
        <v>13</v>
      </c>
      <c r="C46" s="20">
        <v>45373</v>
      </c>
      <c r="D46" s="21" t="s">
        <v>23</v>
      </c>
      <c r="E46" s="22" t="s">
        <v>15</v>
      </c>
      <c r="F46" s="23">
        <v>2319</v>
      </c>
      <c r="G46" s="23">
        <v>484</v>
      </c>
      <c r="H46" s="23">
        <v>193</v>
      </c>
      <c r="I46" s="23">
        <v>21202</v>
      </c>
      <c r="J46" s="23">
        <v>18091</v>
      </c>
      <c r="K46" s="23">
        <v>241</v>
      </c>
      <c r="L46" s="21" t="s">
        <v>34</v>
      </c>
      <c r="M46" s="21"/>
      <c r="N46" s="21" t="s">
        <v>46</v>
      </c>
      <c r="O46" s="24">
        <f t="shared" si="0"/>
        <v>0.14130742382794076</v>
      </c>
    </row>
    <row r="47" spans="1:15">
      <c r="A47" s="19" t="s">
        <v>45</v>
      </c>
      <c r="B47" s="19" t="s">
        <v>13</v>
      </c>
      <c r="C47" s="20">
        <v>45325</v>
      </c>
      <c r="D47" s="21" t="s">
        <v>23</v>
      </c>
      <c r="E47" s="22" t="s">
        <v>361</v>
      </c>
      <c r="F47" s="23">
        <v>4281</v>
      </c>
      <c r="G47" s="23">
        <v>101</v>
      </c>
      <c r="H47" s="23">
        <v>163</v>
      </c>
      <c r="I47" s="23">
        <v>32278</v>
      </c>
      <c r="J47" s="23">
        <v>53382</v>
      </c>
      <c r="K47" s="23">
        <v>235</v>
      </c>
      <c r="L47" s="21" t="s">
        <v>34</v>
      </c>
      <c r="M47" s="21"/>
      <c r="N47" s="21" t="s">
        <v>46</v>
      </c>
      <c r="O47" s="24">
        <f t="shared" si="0"/>
        <v>0.1408079806679472</v>
      </c>
    </row>
    <row r="48" spans="1:15">
      <c r="A48" s="19" t="s">
        <v>229</v>
      </c>
      <c r="B48" s="19" t="s">
        <v>22</v>
      </c>
      <c r="C48" s="20">
        <v>45484</v>
      </c>
      <c r="D48" s="21" t="s">
        <v>23</v>
      </c>
      <c r="E48" s="22" t="s">
        <v>30</v>
      </c>
      <c r="F48" s="23">
        <v>4247</v>
      </c>
      <c r="G48" s="23">
        <v>179</v>
      </c>
      <c r="H48" s="23">
        <v>175</v>
      </c>
      <c r="I48" s="23">
        <v>32991</v>
      </c>
      <c r="J48" s="23">
        <v>70120</v>
      </c>
      <c r="K48" s="23">
        <v>276</v>
      </c>
      <c r="L48" s="21" t="s">
        <v>37</v>
      </c>
      <c r="M48" s="21" t="s">
        <v>34</v>
      </c>
      <c r="N48" s="21" t="s">
        <v>16</v>
      </c>
      <c r="O48" s="24">
        <f t="shared" si="0"/>
        <v>0.13946227759085811</v>
      </c>
    </row>
    <row r="49" spans="1:15">
      <c r="A49" s="19" t="s">
        <v>86</v>
      </c>
      <c r="B49" s="19" t="s">
        <v>13</v>
      </c>
      <c r="C49" s="20">
        <v>45707</v>
      </c>
      <c r="D49" s="21" t="s">
        <v>23</v>
      </c>
      <c r="E49" s="22" t="s">
        <v>363</v>
      </c>
      <c r="F49" s="23">
        <v>2422</v>
      </c>
      <c r="G49" s="23">
        <v>455</v>
      </c>
      <c r="H49" s="23">
        <v>376</v>
      </c>
      <c r="I49" s="23">
        <v>23428</v>
      </c>
      <c r="J49" s="23">
        <v>46775</v>
      </c>
      <c r="K49" s="23">
        <v>259</v>
      </c>
      <c r="L49" s="21" t="s">
        <v>34</v>
      </c>
      <c r="M49" s="21"/>
      <c r="N49" s="21" t="s">
        <v>46</v>
      </c>
      <c r="O49" s="24">
        <f t="shared" si="0"/>
        <v>0.13885094758408742</v>
      </c>
    </row>
    <row r="50" spans="1:15">
      <c r="A50" s="19" t="s">
        <v>139</v>
      </c>
      <c r="B50" s="19" t="s">
        <v>13</v>
      </c>
      <c r="C50" s="20">
        <v>45617</v>
      </c>
      <c r="D50" s="21" t="s">
        <v>14</v>
      </c>
      <c r="E50" s="22" t="s">
        <v>361</v>
      </c>
      <c r="F50" s="23">
        <v>4581</v>
      </c>
      <c r="G50" s="23">
        <v>181</v>
      </c>
      <c r="H50" s="23">
        <v>112</v>
      </c>
      <c r="I50" s="23">
        <v>35221</v>
      </c>
      <c r="J50" s="23">
        <v>28797</v>
      </c>
      <c r="K50" s="23">
        <v>164</v>
      </c>
      <c r="L50" s="21" t="s">
        <v>37</v>
      </c>
      <c r="M50" s="21" t="s">
        <v>34</v>
      </c>
      <c r="N50" s="21" t="s">
        <v>16</v>
      </c>
      <c r="O50" s="24">
        <f t="shared" si="0"/>
        <v>0.13838335084182732</v>
      </c>
    </row>
    <row r="51" spans="1:15">
      <c r="A51" s="19" t="s">
        <v>126</v>
      </c>
      <c r="B51" s="19" t="s">
        <v>22</v>
      </c>
      <c r="C51" s="20">
        <v>45367</v>
      </c>
      <c r="D51" s="21" t="s">
        <v>23</v>
      </c>
      <c r="E51" s="22" t="s">
        <v>360</v>
      </c>
      <c r="F51" s="23">
        <v>2895</v>
      </c>
      <c r="G51" s="23">
        <v>292</v>
      </c>
      <c r="H51" s="23">
        <v>90</v>
      </c>
      <c r="I51" s="23">
        <v>24223</v>
      </c>
      <c r="J51" s="23">
        <v>54626</v>
      </c>
      <c r="K51" s="23">
        <v>114</v>
      </c>
      <c r="L51" s="21" t="s">
        <v>37</v>
      </c>
      <c r="M51" s="21" t="s">
        <v>34</v>
      </c>
      <c r="N51" s="21" t="s">
        <v>16</v>
      </c>
      <c r="O51" s="24">
        <f t="shared" si="0"/>
        <v>0.13528464682326713</v>
      </c>
    </row>
    <row r="52" spans="1:15">
      <c r="A52" s="19" t="s">
        <v>108</v>
      </c>
      <c r="B52" s="19" t="s">
        <v>22</v>
      </c>
      <c r="C52" s="20">
        <v>45678</v>
      </c>
      <c r="D52" s="21" t="s">
        <v>23</v>
      </c>
      <c r="E52" s="22" t="s">
        <v>15</v>
      </c>
      <c r="F52" s="23">
        <v>2494</v>
      </c>
      <c r="G52" s="23">
        <v>494</v>
      </c>
      <c r="H52" s="23">
        <v>55</v>
      </c>
      <c r="I52" s="23">
        <v>22580</v>
      </c>
      <c r="J52" s="23">
        <v>22214</v>
      </c>
      <c r="K52" s="23">
        <v>109</v>
      </c>
      <c r="L52" s="21" t="s">
        <v>364</v>
      </c>
      <c r="M52" s="21" t="s">
        <v>34</v>
      </c>
      <c r="N52" s="21" t="s">
        <v>16</v>
      </c>
      <c r="O52" s="24">
        <f t="shared" si="0"/>
        <v>0.13476527900797167</v>
      </c>
    </row>
    <row r="53" spans="1:15">
      <c r="A53" s="19" t="s">
        <v>272</v>
      </c>
      <c r="B53" s="19" t="s">
        <v>22</v>
      </c>
      <c r="C53" s="20">
        <v>45759</v>
      </c>
      <c r="D53" s="21" t="s">
        <v>23</v>
      </c>
      <c r="E53" s="22" t="s">
        <v>363</v>
      </c>
      <c r="F53" s="23">
        <v>4315</v>
      </c>
      <c r="G53" s="23">
        <v>208</v>
      </c>
      <c r="H53" s="23">
        <v>273</v>
      </c>
      <c r="I53" s="23">
        <v>35780</v>
      </c>
      <c r="J53" s="23">
        <v>44349</v>
      </c>
      <c r="K53" s="23">
        <v>133</v>
      </c>
      <c r="L53" s="21" t="s">
        <v>19</v>
      </c>
      <c r="M53" s="21" t="s">
        <v>364</v>
      </c>
      <c r="N53" s="21" t="s">
        <v>16</v>
      </c>
      <c r="O53" s="24">
        <f t="shared" si="0"/>
        <v>0.13404136389044158</v>
      </c>
    </row>
    <row r="54" spans="1:15">
      <c r="A54" s="19" t="s">
        <v>12</v>
      </c>
      <c r="B54" s="19" t="s">
        <v>13</v>
      </c>
      <c r="C54" s="20">
        <v>45781</v>
      </c>
      <c r="D54" s="21" t="s">
        <v>14</v>
      </c>
      <c r="E54" s="22" t="s">
        <v>15</v>
      </c>
      <c r="F54" s="23">
        <v>2414</v>
      </c>
      <c r="G54" s="23">
        <v>245</v>
      </c>
      <c r="H54" s="23">
        <v>137</v>
      </c>
      <c r="I54" s="23">
        <v>21181</v>
      </c>
      <c r="J54" s="23">
        <v>45292</v>
      </c>
      <c r="K54" s="23">
        <v>133</v>
      </c>
      <c r="L54" s="21" t="s">
        <v>37</v>
      </c>
      <c r="M54" s="21" t="s">
        <v>34</v>
      </c>
      <c r="N54" s="21" t="s">
        <v>16</v>
      </c>
      <c r="O54" s="24">
        <f t="shared" si="0"/>
        <v>0.13200509890939993</v>
      </c>
    </row>
    <row r="55" spans="1:15">
      <c r="A55" s="19" t="s">
        <v>26</v>
      </c>
      <c r="B55" s="19" t="s">
        <v>27</v>
      </c>
      <c r="C55" s="20">
        <v>45388</v>
      </c>
      <c r="D55" s="21" t="s">
        <v>14</v>
      </c>
      <c r="E55" s="22" t="s">
        <v>361</v>
      </c>
      <c r="F55" s="23">
        <v>2748</v>
      </c>
      <c r="G55" s="23">
        <v>145</v>
      </c>
      <c r="H55" s="23">
        <v>315</v>
      </c>
      <c r="I55" s="23">
        <v>24401</v>
      </c>
      <c r="J55" s="23">
        <v>61182</v>
      </c>
      <c r="K55" s="23">
        <v>200</v>
      </c>
      <c r="L55" s="21" t="s">
        <v>19</v>
      </c>
      <c r="M55" s="21" t="s">
        <v>365</v>
      </c>
      <c r="N55" s="21" t="s">
        <v>20</v>
      </c>
      <c r="O55" s="24">
        <f t="shared" si="0"/>
        <v>0.1314700217204213</v>
      </c>
    </row>
    <row r="56" spans="1:15">
      <c r="A56" s="19" t="s">
        <v>267</v>
      </c>
      <c r="B56" s="19" t="s">
        <v>27</v>
      </c>
      <c r="C56" s="20">
        <v>45305</v>
      </c>
      <c r="D56" s="21" t="s">
        <v>14</v>
      </c>
      <c r="E56" s="22" t="s">
        <v>362</v>
      </c>
      <c r="F56" s="23">
        <v>4502</v>
      </c>
      <c r="G56" s="23">
        <v>238</v>
      </c>
      <c r="H56" s="23">
        <v>386</v>
      </c>
      <c r="I56" s="23">
        <v>39198</v>
      </c>
      <c r="J56" s="23">
        <v>25050</v>
      </c>
      <c r="K56" s="23">
        <v>297</v>
      </c>
      <c r="L56" s="21" t="s">
        <v>19</v>
      </c>
      <c r="M56" s="21" t="s">
        <v>365</v>
      </c>
      <c r="N56" s="21" t="s">
        <v>20</v>
      </c>
      <c r="O56" s="24">
        <f t="shared" si="0"/>
        <v>0.13077197816215114</v>
      </c>
    </row>
    <row r="57" spans="1:15">
      <c r="A57" s="19" t="s">
        <v>35</v>
      </c>
      <c r="B57" s="19" t="s">
        <v>22</v>
      </c>
      <c r="C57" s="20">
        <v>45630</v>
      </c>
      <c r="D57" s="21" t="s">
        <v>14</v>
      </c>
      <c r="E57" s="22" t="s">
        <v>360</v>
      </c>
      <c r="F57" s="23">
        <v>2357</v>
      </c>
      <c r="G57" s="23">
        <v>274</v>
      </c>
      <c r="H57" s="23">
        <v>172</v>
      </c>
      <c r="I57" s="23">
        <v>21566</v>
      </c>
      <c r="J57" s="23">
        <v>66829</v>
      </c>
      <c r="K57" s="23">
        <v>284</v>
      </c>
      <c r="L57" s="21" t="s">
        <v>34</v>
      </c>
      <c r="M57" s="21"/>
      <c r="N57" s="21" t="s">
        <v>16</v>
      </c>
      <c r="O57" s="24">
        <f t="shared" si="0"/>
        <v>0.12997310581470833</v>
      </c>
    </row>
    <row r="58" spans="1:15">
      <c r="A58" s="19" t="s">
        <v>322</v>
      </c>
      <c r="B58" s="19" t="s">
        <v>22</v>
      </c>
      <c r="C58" s="20">
        <v>45599</v>
      </c>
      <c r="D58" s="21" t="s">
        <v>23</v>
      </c>
      <c r="E58" s="22" t="s">
        <v>18</v>
      </c>
      <c r="F58" s="23">
        <v>3061</v>
      </c>
      <c r="G58" s="23">
        <v>320</v>
      </c>
      <c r="H58" s="23">
        <v>76</v>
      </c>
      <c r="I58" s="23">
        <v>26640</v>
      </c>
      <c r="J58" s="23">
        <v>24306</v>
      </c>
      <c r="K58" s="23">
        <v>112</v>
      </c>
      <c r="L58" s="21" t="s">
        <v>364</v>
      </c>
      <c r="M58" s="21" t="s">
        <v>34</v>
      </c>
      <c r="N58" s="21" t="s">
        <v>16</v>
      </c>
      <c r="O58" s="24">
        <f t="shared" si="0"/>
        <v>0.12976726726726726</v>
      </c>
    </row>
    <row r="59" spans="1:15">
      <c r="A59" s="19" t="s">
        <v>217</v>
      </c>
      <c r="B59" s="19" t="s">
        <v>27</v>
      </c>
      <c r="C59" s="20">
        <v>45795</v>
      </c>
      <c r="D59" s="21" t="s">
        <v>48</v>
      </c>
      <c r="E59" s="22" t="s">
        <v>360</v>
      </c>
      <c r="F59" s="23">
        <v>4210</v>
      </c>
      <c r="G59" s="23">
        <v>319</v>
      </c>
      <c r="H59" s="23">
        <v>350</v>
      </c>
      <c r="I59" s="23">
        <v>37762</v>
      </c>
      <c r="J59" s="23">
        <v>55162</v>
      </c>
      <c r="K59" s="23">
        <v>204</v>
      </c>
      <c r="L59" s="21" t="s">
        <v>19</v>
      </c>
      <c r="M59" s="21" t="s">
        <v>37</v>
      </c>
      <c r="N59" s="21" t="s">
        <v>49</v>
      </c>
      <c r="O59" s="24">
        <f t="shared" si="0"/>
        <v>0.12920396165457337</v>
      </c>
    </row>
    <row r="60" spans="1:15">
      <c r="A60" s="19" t="s">
        <v>251</v>
      </c>
      <c r="B60" s="19" t="s">
        <v>22</v>
      </c>
      <c r="C60" s="20">
        <v>45786</v>
      </c>
      <c r="D60" s="21" t="s">
        <v>23</v>
      </c>
      <c r="E60" s="22" t="s">
        <v>361</v>
      </c>
      <c r="F60" s="23">
        <v>2778</v>
      </c>
      <c r="G60" s="23">
        <v>241</v>
      </c>
      <c r="H60" s="23">
        <v>317</v>
      </c>
      <c r="I60" s="23">
        <v>26247</v>
      </c>
      <c r="J60" s="23">
        <v>20677</v>
      </c>
      <c r="K60" s="23">
        <v>282</v>
      </c>
      <c r="L60" s="21" t="s">
        <v>364</v>
      </c>
      <c r="M60" s="21" t="s">
        <v>34</v>
      </c>
      <c r="N60" s="21" t="s">
        <v>16</v>
      </c>
      <c r="O60" s="24">
        <f t="shared" si="0"/>
        <v>0.1271002400274317</v>
      </c>
    </row>
    <row r="61" spans="1:15">
      <c r="A61" s="19" t="s">
        <v>244</v>
      </c>
      <c r="B61" s="19" t="s">
        <v>22</v>
      </c>
      <c r="C61" s="20">
        <v>45574</v>
      </c>
      <c r="D61" s="21" t="s">
        <v>14</v>
      </c>
      <c r="E61" s="22" t="s">
        <v>360</v>
      </c>
      <c r="F61" s="23">
        <v>2659</v>
      </c>
      <c r="G61" s="23">
        <v>167</v>
      </c>
      <c r="H61" s="23">
        <v>73</v>
      </c>
      <c r="I61" s="23">
        <v>23090</v>
      </c>
      <c r="J61" s="23">
        <v>25872</v>
      </c>
      <c r="K61" s="23">
        <v>293</v>
      </c>
      <c r="L61" s="21" t="s">
        <v>37</v>
      </c>
      <c r="M61" s="21"/>
      <c r="N61" s="21" t="s">
        <v>20</v>
      </c>
      <c r="O61" s="24">
        <f t="shared" si="0"/>
        <v>0.12555218709398008</v>
      </c>
    </row>
    <row r="62" spans="1:15">
      <c r="A62" s="19" t="s">
        <v>248</v>
      </c>
      <c r="B62" s="19" t="s">
        <v>22</v>
      </c>
      <c r="C62" s="20">
        <v>45579</v>
      </c>
      <c r="D62" s="21" t="s">
        <v>23</v>
      </c>
      <c r="E62" s="22" t="s">
        <v>18</v>
      </c>
      <c r="F62" s="23">
        <v>4303</v>
      </c>
      <c r="G62" s="23">
        <v>306</v>
      </c>
      <c r="H62" s="23">
        <v>302</v>
      </c>
      <c r="I62" s="23">
        <v>39575</v>
      </c>
      <c r="J62" s="23">
        <v>33762</v>
      </c>
      <c r="K62" s="23">
        <v>265</v>
      </c>
      <c r="L62" s="21" t="s">
        <v>19</v>
      </c>
      <c r="M62" s="21" t="s">
        <v>364</v>
      </c>
      <c r="N62" s="21" t="s">
        <v>16</v>
      </c>
      <c r="O62" s="24">
        <f t="shared" si="0"/>
        <v>0.12409349336702463</v>
      </c>
    </row>
    <row r="63" spans="1:15">
      <c r="A63" s="19" t="s">
        <v>257</v>
      </c>
      <c r="B63" s="19" t="s">
        <v>27</v>
      </c>
      <c r="C63" s="20">
        <v>45738</v>
      </c>
      <c r="D63" s="21" t="s">
        <v>14</v>
      </c>
      <c r="E63" s="22" t="s">
        <v>361</v>
      </c>
      <c r="F63" s="23">
        <v>4308</v>
      </c>
      <c r="G63" s="23">
        <v>171</v>
      </c>
      <c r="H63" s="23">
        <v>106</v>
      </c>
      <c r="I63" s="23">
        <v>36955</v>
      </c>
      <c r="J63" s="23">
        <v>23949</v>
      </c>
      <c r="K63" s="23">
        <v>294</v>
      </c>
      <c r="L63" s="21" t="s">
        <v>19</v>
      </c>
      <c r="M63" s="21" t="s">
        <v>365</v>
      </c>
      <c r="N63" s="21" t="s">
        <v>20</v>
      </c>
      <c r="O63" s="24">
        <f t="shared" si="0"/>
        <v>0.12406981463942633</v>
      </c>
    </row>
    <row r="64" spans="1:15">
      <c r="A64" s="19" t="s">
        <v>292</v>
      </c>
      <c r="B64" s="19" t="s">
        <v>22</v>
      </c>
      <c r="C64" s="20">
        <v>45626</v>
      </c>
      <c r="D64" s="21" t="s">
        <v>23</v>
      </c>
      <c r="E64" s="22" t="s">
        <v>18</v>
      </c>
      <c r="F64" s="23">
        <v>4963</v>
      </c>
      <c r="G64" s="23">
        <v>255</v>
      </c>
      <c r="H64" s="23">
        <v>193</v>
      </c>
      <c r="I64" s="23">
        <v>44386</v>
      </c>
      <c r="J64" s="23">
        <v>28415</v>
      </c>
      <c r="K64" s="23">
        <v>174</v>
      </c>
      <c r="L64" s="21" t="s">
        <v>364</v>
      </c>
      <c r="M64" s="21" t="s">
        <v>34</v>
      </c>
      <c r="N64" s="21" t="s">
        <v>16</v>
      </c>
      <c r="O64" s="24">
        <f t="shared" si="0"/>
        <v>0.12190780876853062</v>
      </c>
    </row>
    <row r="65" spans="1:15">
      <c r="A65" s="19" t="s">
        <v>25</v>
      </c>
      <c r="B65" s="19" t="s">
        <v>13</v>
      </c>
      <c r="C65" s="20">
        <v>45629</v>
      </c>
      <c r="D65" s="21" t="s">
        <v>14</v>
      </c>
      <c r="E65" s="22" t="s">
        <v>360</v>
      </c>
      <c r="F65" s="23">
        <v>3173</v>
      </c>
      <c r="G65" s="23">
        <v>229</v>
      </c>
      <c r="H65" s="23">
        <v>197</v>
      </c>
      <c r="I65" s="23">
        <v>29604</v>
      </c>
      <c r="J65" s="23">
        <v>21809</v>
      </c>
      <c r="K65" s="23">
        <v>272</v>
      </c>
      <c r="L65" s="21" t="s">
        <v>37</v>
      </c>
      <c r="M65" s="21" t="s">
        <v>34</v>
      </c>
      <c r="N65" s="21" t="s">
        <v>16</v>
      </c>
      <c r="O65" s="24">
        <f t="shared" si="0"/>
        <v>0.1215714092690177</v>
      </c>
    </row>
    <row r="66" spans="1:15">
      <c r="A66" s="19" t="s">
        <v>326</v>
      </c>
      <c r="B66" s="19" t="s">
        <v>22</v>
      </c>
      <c r="C66" s="20">
        <v>45736</v>
      </c>
      <c r="D66" s="21" t="s">
        <v>23</v>
      </c>
      <c r="E66" s="22" t="s">
        <v>42</v>
      </c>
      <c r="F66" s="23">
        <v>3393</v>
      </c>
      <c r="G66" s="23">
        <v>104</v>
      </c>
      <c r="H66" s="23">
        <v>79</v>
      </c>
      <c r="I66" s="23">
        <v>30025</v>
      </c>
      <c r="J66" s="23">
        <v>21593</v>
      </c>
      <c r="K66" s="23">
        <v>165</v>
      </c>
      <c r="L66" s="21" t="s">
        <v>364</v>
      </c>
      <c r="M66" s="21" t="s">
        <v>34</v>
      </c>
      <c r="N66" s="21" t="s">
        <v>16</v>
      </c>
      <c r="O66" s="24">
        <f t="shared" ref="O66:O129" si="1" xml:space="preserve"> (F66+ G66 + H66) / I66</f>
        <v>0.1191007493755204</v>
      </c>
    </row>
    <row r="67" spans="1:15">
      <c r="A67" s="19" t="s">
        <v>73</v>
      </c>
      <c r="B67" s="19" t="s">
        <v>13</v>
      </c>
      <c r="C67" s="20">
        <v>45702</v>
      </c>
      <c r="D67" s="21" t="s">
        <v>14</v>
      </c>
      <c r="E67" s="22" t="s">
        <v>33</v>
      </c>
      <c r="F67" s="23">
        <v>4891</v>
      </c>
      <c r="G67" s="23">
        <v>450</v>
      </c>
      <c r="H67" s="23">
        <v>387</v>
      </c>
      <c r="I67" s="23">
        <v>48746</v>
      </c>
      <c r="J67" s="23">
        <v>37312</v>
      </c>
      <c r="K67" s="23">
        <v>154</v>
      </c>
      <c r="L67" s="21" t="s">
        <v>37</v>
      </c>
      <c r="M67" s="21" t="s">
        <v>34</v>
      </c>
      <c r="N67" s="21" t="s">
        <v>16</v>
      </c>
      <c r="O67" s="24">
        <f t="shared" si="1"/>
        <v>0.11750707750379519</v>
      </c>
    </row>
    <row r="68" spans="1:15">
      <c r="A68" s="19" t="s">
        <v>172</v>
      </c>
      <c r="B68" s="19" t="s">
        <v>13</v>
      </c>
      <c r="C68" s="20">
        <v>45647</v>
      </c>
      <c r="D68" s="21" t="s">
        <v>23</v>
      </c>
      <c r="E68" s="22" t="s">
        <v>24</v>
      </c>
      <c r="F68" s="23">
        <v>4563</v>
      </c>
      <c r="G68" s="23">
        <v>398</v>
      </c>
      <c r="H68" s="23">
        <v>163</v>
      </c>
      <c r="I68" s="23">
        <v>43679</v>
      </c>
      <c r="J68" s="23">
        <v>48760</v>
      </c>
      <c r="K68" s="23">
        <v>92</v>
      </c>
      <c r="L68" s="21" t="s">
        <v>34</v>
      </c>
      <c r="M68" s="21"/>
      <c r="N68" s="21" t="s">
        <v>46</v>
      </c>
      <c r="O68" s="24">
        <f t="shared" si="1"/>
        <v>0.11731037798484398</v>
      </c>
    </row>
    <row r="69" spans="1:15">
      <c r="A69" s="19" t="s">
        <v>296</v>
      </c>
      <c r="B69" s="19" t="s">
        <v>13</v>
      </c>
      <c r="C69" s="20">
        <v>45442</v>
      </c>
      <c r="D69" s="21" t="s">
        <v>23</v>
      </c>
      <c r="E69" s="22" t="s">
        <v>30</v>
      </c>
      <c r="F69" s="23">
        <v>2448</v>
      </c>
      <c r="G69" s="23">
        <v>464</v>
      </c>
      <c r="H69" s="23">
        <v>98</v>
      </c>
      <c r="I69" s="23">
        <v>25737</v>
      </c>
      <c r="J69" s="23">
        <v>48545</v>
      </c>
      <c r="K69" s="23">
        <v>246</v>
      </c>
      <c r="L69" s="21" t="s">
        <v>34</v>
      </c>
      <c r="M69" s="21"/>
      <c r="N69" s="21" t="s">
        <v>46</v>
      </c>
      <c r="O69" s="24">
        <f t="shared" si="1"/>
        <v>0.11695224773672146</v>
      </c>
    </row>
    <row r="70" spans="1:15">
      <c r="A70" s="19" t="s">
        <v>169</v>
      </c>
      <c r="B70" s="19" t="s">
        <v>22</v>
      </c>
      <c r="C70" s="20">
        <v>45725</v>
      </c>
      <c r="D70" s="21" t="s">
        <v>14</v>
      </c>
      <c r="E70" s="22" t="s">
        <v>42</v>
      </c>
      <c r="F70" s="23">
        <v>2754</v>
      </c>
      <c r="G70" s="23">
        <v>215</v>
      </c>
      <c r="H70" s="23">
        <v>264</v>
      </c>
      <c r="I70" s="23">
        <v>27762</v>
      </c>
      <c r="J70" s="23">
        <v>70203</v>
      </c>
      <c r="K70" s="23">
        <v>289</v>
      </c>
      <c r="L70" s="21" t="s">
        <v>34</v>
      </c>
      <c r="M70" s="21"/>
      <c r="N70" s="21" t="s">
        <v>16</v>
      </c>
      <c r="O70" s="24">
        <f t="shared" si="1"/>
        <v>0.11645414595490239</v>
      </c>
    </row>
    <row r="71" spans="1:15">
      <c r="A71" s="19" t="s">
        <v>75</v>
      </c>
      <c r="B71" s="19" t="s">
        <v>27</v>
      </c>
      <c r="C71" s="20">
        <v>45487</v>
      </c>
      <c r="D71" s="21" t="s">
        <v>14</v>
      </c>
      <c r="E71" s="22" t="s">
        <v>42</v>
      </c>
      <c r="F71" s="23">
        <v>3806</v>
      </c>
      <c r="G71" s="23">
        <v>114</v>
      </c>
      <c r="H71" s="23">
        <v>278</v>
      </c>
      <c r="I71" s="23">
        <v>36148</v>
      </c>
      <c r="J71" s="23">
        <v>24209</v>
      </c>
      <c r="K71" s="23">
        <v>201</v>
      </c>
      <c r="L71" s="21" t="s">
        <v>19</v>
      </c>
      <c r="M71" s="21" t="s">
        <v>365</v>
      </c>
      <c r="N71" s="21" t="s">
        <v>20</v>
      </c>
      <c r="O71" s="24">
        <f t="shared" si="1"/>
        <v>0.11613367267898639</v>
      </c>
    </row>
    <row r="72" spans="1:15">
      <c r="A72" s="19" t="s">
        <v>175</v>
      </c>
      <c r="B72" s="19" t="s">
        <v>22</v>
      </c>
      <c r="C72" s="20">
        <v>45805</v>
      </c>
      <c r="D72" s="21" t="s">
        <v>23</v>
      </c>
      <c r="E72" s="22" t="s">
        <v>33</v>
      </c>
      <c r="F72" s="23">
        <v>4287</v>
      </c>
      <c r="G72" s="23">
        <v>273</v>
      </c>
      <c r="H72" s="23">
        <v>122</v>
      </c>
      <c r="I72" s="23">
        <v>40792</v>
      </c>
      <c r="J72" s="23">
        <v>23878</v>
      </c>
      <c r="K72" s="23">
        <v>277</v>
      </c>
      <c r="L72" s="21" t="s">
        <v>364</v>
      </c>
      <c r="M72" s="21" t="s">
        <v>34</v>
      </c>
      <c r="N72" s="21" t="s">
        <v>16</v>
      </c>
      <c r="O72" s="24">
        <f t="shared" si="1"/>
        <v>0.11477740733477153</v>
      </c>
    </row>
    <row r="73" spans="1:15">
      <c r="A73" s="19" t="s">
        <v>316</v>
      </c>
      <c r="B73" s="19" t="s">
        <v>13</v>
      </c>
      <c r="C73" s="20">
        <v>45413</v>
      </c>
      <c r="D73" s="21" t="s">
        <v>14</v>
      </c>
      <c r="E73" s="22" t="s">
        <v>30</v>
      </c>
      <c r="F73" s="23">
        <v>3359</v>
      </c>
      <c r="G73" s="23">
        <v>137</v>
      </c>
      <c r="H73" s="23">
        <v>387</v>
      </c>
      <c r="I73" s="23">
        <v>33861</v>
      </c>
      <c r="J73" s="23">
        <v>47257</v>
      </c>
      <c r="K73" s="23">
        <v>198</v>
      </c>
      <c r="L73" s="21" t="s">
        <v>19</v>
      </c>
      <c r="M73" s="21"/>
      <c r="N73" s="21" t="s">
        <v>20</v>
      </c>
      <c r="O73" s="24">
        <f t="shared" si="1"/>
        <v>0.11467469950680724</v>
      </c>
    </row>
    <row r="74" spans="1:15">
      <c r="A74" s="19" t="s">
        <v>57</v>
      </c>
      <c r="B74" s="19" t="s">
        <v>13</v>
      </c>
      <c r="C74" s="20">
        <v>45625</v>
      </c>
      <c r="D74" s="21" t="s">
        <v>14</v>
      </c>
      <c r="E74" s="22" t="s">
        <v>362</v>
      </c>
      <c r="F74" s="23">
        <v>2824</v>
      </c>
      <c r="G74" s="23">
        <v>425</v>
      </c>
      <c r="H74" s="23">
        <v>274</v>
      </c>
      <c r="I74" s="23">
        <v>31004</v>
      </c>
      <c r="J74" s="23">
        <v>53488</v>
      </c>
      <c r="K74" s="23">
        <v>268</v>
      </c>
      <c r="L74" s="21" t="s">
        <v>37</v>
      </c>
      <c r="M74" s="21" t="s">
        <v>34</v>
      </c>
      <c r="N74" s="21" t="s">
        <v>16</v>
      </c>
      <c r="O74" s="24">
        <f t="shared" si="1"/>
        <v>0.11363049929041415</v>
      </c>
    </row>
    <row r="75" spans="1:15">
      <c r="A75" s="19" t="s">
        <v>219</v>
      </c>
      <c r="B75" s="19" t="s">
        <v>27</v>
      </c>
      <c r="C75" s="20">
        <v>45708</v>
      </c>
      <c r="D75" s="21" t="s">
        <v>48</v>
      </c>
      <c r="E75" s="22" t="s">
        <v>30</v>
      </c>
      <c r="F75" s="23">
        <v>4957</v>
      </c>
      <c r="G75" s="23">
        <v>262</v>
      </c>
      <c r="H75" s="23">
        <v>365</v>
      </c>
      <c r="I75" s="23">
        <v>49199</v>
      </c>
      <c r="J75" s="23">
        <v>40314</v>
      </c>
      <c r="K75" s="23">
        <v>216</v>
      </c>
      <c r="L75" s="21" t="s">
        <v>19</v>
      </c>
      <c r="M75" s="21" t="s">
        <v>37</v>
      </c>
      <c r="N75" s="21" t="s">
        <v>49</v>
      </c>
      <c r="O75" s="24">
        <f t="shared" si="1"/>
        <v>0.11349824183418362</v>
      </c>
    </row>
    <row r="76" spans="1:15">
      <c r="A76" s="19" t="s">
        <v>41</v>
      </c>
      <c r="B76" s="19" t="s">
        <v>22</v>
      </c>
      <c r="C76" s="20">
        <v>45418</v>
      </c>
      <c r="D76" s="21" t="s">
        <v>14</v>
      </c>
      <c r="E76" s="22" t="s">
        <v>42</v>
      </c>
      <c r="F76" s="23">
        <v>3476</v>
      </c>
      <c r="G76" s="23">
        <v>355</v>
      </c>
      <c r="H76" s="23">
        <v>396</v>
      </c>
      <c r="I76" s="23">
        <v>37492</v>
      </c>
      <c r="J76" s="23">
        <v>27285</v>
      </c>
      <c r="K76" s="23">
        <v>179</v>
      </c>
      <c r="L76" s="21" t="s">
        <v>34</v>
      </c>
      <c r="M76" s="21"/>
      <c r="N76" s="21" t="s">
        <v>16</v>
      </c>
      <c r="O76" s="24">
        <f t="shared" si="1"/>
        <v>0.11274405206444041</v>
      </c>
    </row>
    <row r="77" spans="1:15">
      <c r="A77" s="19" t="s">
        <v>192</v>
      </c>
      <c r="B77" s="19" t="s">
        <v>13</v>
      </c>
      <c r="C77" s="20">
        <v>45610</v>
      </c>
      <c r="D77" s="21" t="s">
        <v>14</v>
      </c>
      <c r="E77" s="22" t="s">
        <v>361</v>
      </c>
      <c r="F77" s="23">
        <v>2422</v>
      </c>
      <c r="G77" s="23">
        <v>318</v>
      </c>
      <c r="H77" s="23">
        <v>118</v>
      </c>
      <c r="I77" s="23">
        <v>25386</v>
      </c>
      <c r="J77" s="23">
        <v>20873</v>
      </c>
      <c r="K77" s="23">
        <v>100</v>
      </c>
      <c r="L77" s="21" t="s">
        <v>37</v>
      </c>
      <c r="M77" s="21" t="s">
        <v>34</v>
      </c>
      <c r="N77" s="21" t="s">
        <v>16</v>
      </c>
      <c r="O77" s="24">
        <f t="shared" si="1"/>
        <v>0.11258173796580792</v>
      </c>
    </row>
    <row r="78" spans="1:15">
      <c r="A78" s="19" t="s">
        <v>310</v>
      </c>
      <c r="B78" s="19" t="s">
        <v>22</v>
      </c>
      <c r="C78" s="20">
        <v>45563</v>
      </c>
      <c r="D78" s="21" t="s">
        <v>23</v>
      </c>
      <c r="E78" s="22" t="s">
        <v>360</v>
      </c>
      <c r="F78" s="23">
        <v>4471</v>
      </c>
      <c r="G78" s="23">
        <v>317</v>
      </c>
      <c r="H78" s="23">
        <v>249</v>
      </c>
      <c r="I78" s="23">
        <v>44862</v>
      </c>
      <c r="J78" s="23">
        <v>33365</v>
      </c>
      <c r="K78" s="23">
        <v>184</v>
      </c>
      <c r="L78" s="21" t="s">
        <v>19</v>
      </c>
      <c r="M78" s="21" t="s">
        <v>364</v>
      </c>
      <c r="N78" s="21" t="s">
        <v>16</v>
      </c>
      <c r="O78" s="24">
        <f t="shared" si="1"/>
        <v>0.1122776514644911</v>
      </c>
    </row>
    <row r="79" spans="1:15">
      <c r="A79" s="19" t="s">
        <v>254</v>
      </c>
      <c r="B79" s="19" t="s">
        <v>22</v>
      </c>
      <c r="C79" s="20">
        <v>45636</v>
      </c>
      <c r="D79" s="21" t="s">
        <v>14</v>
      </c>
      <c r="E79" s="22" t="s">
        <v>363</v>
      </c>
      <c r="F79" s="23">
        <v>4673</v>
      </c>
      <c r="G79" s="23">
        <v>270</v>
      </c>
      <c r="H79" s="23">
        <v>93</v>
      </c>
      <c r="I79" s="23">
        <v>45260</v>
      </c>
      <c r="J79" s="23">
        <v>57513</v>
      </c>
      <c r="K79" s="23">
        <v>103</v>
      </c>
      <c r="L79" s="21" t="s">
        <v>34</v>
      </c>
      <c r="M79" s="21"/>
      <c r="N79" s="21" t="s">
        <v>16</v>
      </c>
      <c r="O79" s="24">
        <f t="shared" si="1"/>
        <v>0.11126822801590809</v>
      </c>
    </row>
    <row r="80" spans="1:15">
      <c r="A80" s="19" t="s">
        <v>90</v>
      </c>
      <c r="B80" s="19" t="s">
        <v>27</v>
      </c>
      <c r="C80" s="20">
        <v>45398</v>
      </c>
      <c r="D80" s="21" t="s">
        <v>14</v>
      </c>
      <c r="E80" s="22" t="s">
        <v>15</v>
      </c>
      <c r="F80" s="23">
        <v>4674</v>
      </c>
      <c r="G80" s="23">
        <v>326</v>
      </c>
      <c r="H80" s="23">
        <v>62</v>
      </c>
      <c r="I80" s="23">
        <v>45503</v>
      </c>
      <c r="J80" s="23">
        <v>46814</v>
      </c>
      <c r="K80" s="23">
        <v>116</v>
      </c>
      <c r="L80" s="21" t="s">
        <v>19</v>
      </c>
      <c r="M80" s="21" t="s">
        <v>365</v>
      </c>
      <c r="N80" s="21" t="s">
        <v>20</v>
      </c>
      <c r="O80" s="24">
        <f t="shared" si="1"/>
        <v>0.11124541239039185</v>
      </c>
    </row>
    <row r="81" spans="1:15">
      <c r="A81" s="19" t="s">
        <v>325</v>
      </c>
      <c r="B81" s="19" t="s">
        <v>13</v>
      </c>
      <c r="C81" s="20">
        <v>45724</v>
      </c>
      <c r="D81" s="21" t="s">
        <v>23</v>
      </c>
      <c r="E81" s="22" t="s">
        <v>33</v>
      </c>
      <c r="F81" s="23">
        <v>2244</v>
      </c>
      <c r="G81" s="23">
        <v>392</v>
      </c>
      <c r="H81" s="23">
        <v>231</v>
      </c>
      <c r="I81" s="23">
        <v>25834</v>
      </c>
      <c r="J81" s="23">
        <v>50906</v>
      </c>
      <c r="K81" s="23">
        <v>165</v>
      </c>
      <c r="L81" s="21" t="s">
        <v>34</v>
      </c>
      <c r="M81" s="21"/>
      <c r="N81" s="21" t="s">
        <v>46</v>
      </c>
      <c r="O81" s="24">
        <f t="shared" si="1"/>
        <v>0.1109777812185492</v>
      </c>
    </row>
    <row r="82" spans="1:15">
      <c r="A82" s="19" t="s">
        <v>193</v>
      </c>
      <c r="B82" s="19" t="s">
        <v>27</v>
      </c>
      <c r="C82" s="20">
        <v>45513</v>
      </c>
      <c r="D82" s="21" t="s">
        <v>48</v>
      </c>
      <c r="E82" s="22" t="s">
        <v>363</v>
      </c>
      <c r="F82" s="23">
        <v>3414</v>
      </c>
      <c r="G82" s="23">
        <v>154</v>
      </c>
      <c r="H82" s="23">
        <v>204</v>
      </c>
      <c r="I82" s="23">
        <v>34146</v>
      </c>
      <c r="J82" s="23">
        <v>44633</v>
      </c>
      <c r="K82" s="23">
        <v>256</v>
      </c>
      <c r="L82" s="21" t="s">
        <v>19</v>
      </c>
      <c r="M82" s="21" t="s">
        <v>37</v>
      </c>
      <c r="N82" s="21" t="s">
        <v>49</v>
      </c>
      <c r="O82" s="24">
        <f t="shared" si="1"/>
        <v>0.11046681895390383</v>
      </c>
    </row>
    <row r="83" spans="1:15">
      <c r="A83" s="19" t="s">
        <v>155</v>
      </c>
      <c r="B83" s="19" t="s">
        <v>22</v>
      </c>
      <c r="C83" s="20">
        <v>45602</v>
      </c>
      <c r="D83" s="21" t="s">
        <v>14</v>
      </c>
      <c r="E83" s="22" t="s">
        <v>363</v>
      </c>
      <c r="F83" s="23">
        <v>2956</v>
      </c>
      <c r="G83" s="23">
        <v>381</v>
      </c>
      <c r="H83" s="23">
        <v>345</v>
      </c>
      <c r="I83" s="23">
        <v>33347</v>
      </c>
      <c r="J83" s="23">
        <v>22558</v>
      </c>
      <c r="K83" s="23">
        <v>173</v>
      </c>
      <c r="L83" s="21" t="s">
        <v>34</v>
      </c>
      <c r="M83" s="21"/>
      <c r="N83" s="21" t="s">
        <v>16</v>
      </c>
      <c r="O83" s="24">
        <f t="shared" si="1"/>
        <v>0.11041472996071611</v>
      </c>
    </row>
    <row r="84" spans="1:15">
      <c r="A84" s="19" t="s">
        <v>54</v>
      </c>
      <c r="B84" s="19" t="s">
        <v>22</v>
      </c>
      <c r="C84" s="20">
        <v>45583</v>
      </c>
      <c r="D84" s="21" t="s">
        <v>14</v>
      </c>
      <c r="E84" s="22" t="s">
        <v>24</v>
      </c>
      <c r="F84" s="23">
        <v>2607</v>
      </c>
      <c r="G84" s="23">
        <v>379</v>
      </c>
      <c r="H84" s="23">
        <v>180</v>
      </c>
      <c r="I84" s="23">
        <v>28712</v>
      </c>
      <c r="J84" s="23">
        <v>61620</v>
      </c>
      <c r="K84" s="23">
        <v>174</v>
      </c>
      <c r="L84" s="21" t="s">
        <v>37</v>
      </c>
      <c r="M84" s="21"/>
      <c r="N84" s="21" t="s">
        <v>20</v>
      </c>
      <c r="O84" s="24">
        <f t="shared" si="1"/>
        <v>0.11026748397882419</v>
      </c>
    </row>
    <row r="85" spans="1:15">
      <c r="A85" s="19" t="s">
        <v>262</v>
      </c>
      <c r="B85" s="19" t="s">
        <v>27</v>
      </c>
      <c r="C85" s="20">
        <v>45723</v>
      </c>
      <c r="D85" s="21" t="s">
        <v>14</v>
      </c>
      <c r="E85" s="22" t="s">
        <v>33</v>
      </c>
      <c r="F85" s="23">
        <v>4310</v>
      </c>
      <c r="G85" s="23">
        <v>284</v>
      </c>
      <c r="H85" s="23">
        <v>306</v>
      </c>
      <c r="I85" s="23">
        <v>44606</v>
      </c>
      <c r="J85" s="23">
        <v>42604</v>
      </c>
      <c r="K85" s="23">
        <v>290</v>
      </c>
      <c r="L85" s="21" t="s">
        <v>19</v>
      </c>
      <c r="M85" s="21" t="s">
        <v>365</v>
      </c>
      <c r="N85" s="21" t="s">
        <v>20</v>
      </c>
      <c r="O85" s="24">
        <f t="shared" si="1"/>
        <v>0.10985069273191947</v>
      </c>
    </row>
    <row r="86" spans="1:15">
      <c r="A86" s="19" t="s">
        <v>138</v>
      </c>
      <c r="B86" s="19" t="s">
        <v>27</v>
      </c>
      <c r="C86" s="20">
        <v>45542</v>
      </c>
      <c r="D86" s="21" t="s">
        <v>48</v>
      </c>
      <c r="E86" s="22" t="s">
        <v>361</v>
      </c>
      <c r="F86" s="23">
        <v>3882</v>
      </c>
      <c r="G86" s="23">
        <v>342</v>
      </c>
      <c r="H86" s="23">
        <v>374</v>
      </c>
      <c r="I86" s="23">
        <v>41991</v>
      </c>
      <c r="J86" s="23">
        <v>48554</v>
      </c>
      <c r="K86" s="23">
        <v>118</v>
      </c>
      <c r="L86" s="21" t="s">
        <v>19</v>
      </c>
      <c r="M86" s="21" t="s">
        <v>37</v>
      </c>
      <c r="N86" s="21" t="s">
        <v>49</v>
      </c>
      <c r="O86" s="24">
        <f t="shared" si="1"/>
        <v>0.10949965468790931</v>
      </c>
    </row>
    <row r="87" spans="1:15">
      <c r="A87" s="19" t="s">
        <v>79</v>
      </c>
      <c r="B87" s="19" t="s">
        <v>22</v>
      </c>
      <c r="C87" s="20">
        <v>45533</v>
      </c>
      <c r="D87" s="21" t="s">
        <v>23</v>
      </c>
      <c r="E87" s="22" t="s">
        <v>30</v>
      </c>
      <c r="F87" s="23">
        <v>4276</v>
      </c>
      <c r="G87" s="23">
        <v>227</v>
      </c>
      <c r="H87" s="23">
        <v>223</v>
      </c>
      <c r="I87" s="23">
        <v>43443</v>
      </c>
      <c r="J87" s="23">
        <v>41005</v>
      </c>
      <c r="K87" s="23">
        <v>191</v>
      </c>
      <c r="L87" s="21" t="s">
        <v>19</v>
      </c>
      <c r="M87" s="21" t="s">
        <v>364</v>
      </c>
      <c r="N87" s="21" t="s">
        <v>16</v>
      </c>
      <c r="O87" s="24">
        <f t="shared" si="1"/>
        <v>0.1087862256289851</v>
      </c>
    </row>
    <row r="88" spans="1:15">
      <c r="A88" s="19" t="s">
        <v>71</v>
      </c>
      <c r="B88" s="19" t="s">
        <v>13</v>
      </c>
      <c r="C88" s="20">
        <v>45401</v>
      </c>
      <c r="D88" s="21" t="s">
        <v>14</v>
      </c>
      <c r="E88" s="22" t="s">
        <v>24</v>
      </c>
      <c r="F88" s="23">
        <v>4001</v>
      </c>
      <c r="G88" s="23">
        <v>353</v>
      </c>
      <c r="H88" s="23">
        <v>129</v>
      </c>
      <c r="I88" s="23">
        <v>41265</v>
      </c>
      <c r="J88" s="23">
        <v>37279</v>
      </c>
      <c r="K88" s="23">
        <v>275</v>
      </c>
      <c r="L88" s="21" t="s">
        <v>37</v>
      </c>
      <c r="M88" s="21" t="s">
        <v>34</v>
      </c>
      <c r="N88" s="21" t="s">
        <v>16</v>
      </c>
      <c r="O88" s="24">
        <f t="shared" si="1"/>
        <v>0.10863928268508422</v>
      </c>
    </row>
    <row r="89" spans="1:15">
      <c r="A89" s="19" t="s">
        <v>232</v>
      </c>
      <c r="B89" s="19" t="s">
        <v>22</v>
      </c>
      <c r="C89" s="20">
        <v>45302</v>
      </c>
      <c r="D89" s="21" t="s">
        <v>23</v>
      </c>
      <c r="E89" s="22" t="s">
        <v>360</v>
      </c>
      <c r="F89" s="23">
        <v>2340</v>
      </c>
      <c r="G89" s="23">
        <v>141</v>
      </c>
      <c r="H89" s="23">
        <v>206</v>
      </c>
      <c r="I89" s="23">
        <v>24916</v>
      </c>
      <c r="J89" s="23">
        <v>30582</v>
      </c>
      <c r="K89" s="23">
        <v>157</v>
      </c>
      <c r="L89" s="21" t="s">
        <v>37</v>
      </c>
      <c r="M89" s="21" t="s">
        <v>34</v>
      </c>
      <c r="N89" s="21" t="s">
        <v>16</v>
      </c>
      <c r="O89" s="24">
        <f t="shared" si="1"/>
        <v>0.10784235029699792</v>
      </c>
    </row>
    <row r="90" spans="1:15">
      <c r="A90" s="19" t="s">
        <v>67</v>
      </c>
      <c r="B90" s="19" t="s">
        <v>22</v>
      </c>
      <c r="C90" s="20">
        <v>45804</v>
      </c>
      <c r="D90" s="21" t="s">
        <v>23</v>
      </c>
      <c r="E90" s="22" t="s">
        <v>18</v>
      </c>
      <c r="F90" s="23">
        <v>4095</v>
      </c>
      <c r="G90" s="23">
        <v>385</v>
      </c>
      <c r="H90" s="23">
        <v>400</v>
      </c>
      <c r="I90" s="23">
        <v>45300</v>
      </c>
      <c r="J90" s="23">
        <v>31795</v>
      </c>
      <c r="K90" s="23">
        <v>80</v>
      </c>
      <c r="L90" s="21" t="s">
        <v>364</v>
      </c>
      <c r="M90" s="21" t="s">
        <v>34</v>
      </c>
      <c r="N90" s="21" t="s">
        <v>16</v>
      </c>
      <c r="O90" s="24">
        <f t="shared" si="1"/>
        <v>0.10772626931567329</v>
      </c>
    </row>
    <row r="91" spans="1:15">
      <c r="A91" s="19" t="s">
        <v>282</v>
      </c>
      <c r="B91" s="19" t="s">
        <v>27</v>
      </c>
      <c r="C91" s="20">
        <v>45591</v>
      </c>
      <c r="D91" s="21" t="s">
        <v>14</v>
      </c>
      <c r="E91" s="22" t="s">
        <v>24</v>
      </c>
      <c r="F91" s="23">
        <v>4676</v>
      </c>
      <c r="G91" s="23">
        <v>211</v>
      </c>
      <c r="H91" s="23">
        <v>55</v>
      </c>
      <c r="I91" s="23">
        <v>45917</v>
      </c>
      <c r="J91" s="23">
        <v>73503</v>
      </c>
      <c r="K91" s="23">
        <v>248</v>
      </c>
      <c r="L91" s="21" t="s">
        <v>19</v>
      </c>
      <c r="M91" s="21" t="s">
        <v>365</v>
      </c>
      <c r="N91" s="21" t="s">
        <v>20</v>
      </c>
      <c r="O91" s="24">
        <f t="shared" si="1"/>
        <v>0.10762898272970794</v>
      </c>
    </row>
    <row r="92" spans="1:15">
      <c r="A92" s="19" t="s">
        <v>225</v>
      </c>
      <c r="B92" s="19" t="s">
        <v>27</v>
      </c>
      <c r="C92" s="20">
        <v>45305</v>
      </c>
      <c r="D92" s="21" t="s">
        <v>14</v>
      </c>
      <c r="E92" s="22" t="s">
        <v>24</v>
      </c>
      <c r="F92" s="23">
        <v>3634</v>
      </c>
      <c r="G92" s="23">
        <v>280</v>
      </c>
      <c r="H92" s="23">
        <v>399</v>
      </c>
      <c r="I92" s="23">
        <v>40256</v>
      </c>
      <c r="J92" s="23">
        <v>52605</v>
      </c>
      <c r="K92" s="23">
        <v>213</v>
      </c>
      <c r="L92" s="21" t="s">
        <v>19</v>
      </c>
      <c r="M92" s="21" t="s">
        <v>365</v>
      </c>
      <c r="N92" s="21" t="s">
        <v>20</v>
      </c>
      <c r="O92" s="24">
        <f t="shared" si="1"/>
        <v>0.10713930842607314</v>
      </c>
    </row>
    <row r="93" spans="1:15">
      <c r="A93" s="19" t="s">
        <v>178</v>
      </c>
      <c r="B93" s="19" t="s">
        <v>22</v>
      </c>
      <c r="C93" s="20">
        <v>45696</v>
      </c>
      <c r="D93" s="21" t="s">
        <v>23</v>
      </c>
      <c r="E93" s="22" t="s">
        <v>42</v>
      </c>
      <c r="F93" s="23">
        <v>4752</v>
      </c>
      <c r="G93" s="23">
        <v>334</v>
      </c>
      <c r="H93" s="23">
        <v>56</v>
      </c>
      <c r="I93" s="23">
        <v>48017</v>
      </c>
      <c r="J93" s="23">
        <v>55534</v>
      </c>
      <c r="K93" s="23">
        <v>270</v>
      </c>
      <c r="L93" s="21" t="s">
        <v>19</v>
      </c>
      <c r="M93" s="21" t="s">
        <v>364</v>
      </c>
      <c r="N93" s="21" t="s">
        <v>16</v>
      </c>
      <c r="O93" s="24">
        <f t="shared" si="1"/>
        <v>0.10708707332819627</v>
      </c>
    </row>
    <row r="94" spans="1:15">
      <c r="A94" s="19" t="s">
        <v>100</v>
      </c>
      <c r="B94" s="19" t="s">
        <v>22</v>
      </c>
      <c r="C94" s="20">
        <v>45662</v>
      </c>
      <c r="D94" s="21" t="s">
        <v>14</v>
      </c>
      <c r="E94" s="22" t="s">
        <v>360</v>
      </c>
      <c r="F94" s="23">
        <v>4811</v>
      </c>
      <c r="G94" s="23">
        <v>473</v>
      </c>
      <c r="H94" s="23">
        <v>254</v>
      </c>
      <c r="I94" s="23">
        <v>51964</v>
      </c>
      <c r="J94" s="23">
        <v>68795</v>
      </c>
      <c r="K94" s="23">
        <v>107</v>
      </c>
      <c r="L94" s="21" t="s">
        <v>34</v>
      </c>
      <c r="M94" s="21"/>
      <c r="N94" s="21" t="s">
        <v>16</v>
      </c>
      <c r="O94" s="24">
        <f t="shared" si="1"/>
        <v>0.10657378184897237</v>
      </c>
    </row>
    <row r="95" spans="1:15">
      <c r="A95" s="19" t="s">
        <v>195</v>
      </c>
      <c r="B95" s="19" t="s">
        <v>13</v>
      </c>
      <c r="C95" s="20">
        <v>45420</v>
      </c>
      <c r="D95" s="21" t="s">
        <v>23</v>
      </c>
      <c r="E95" s="22" t="s">
        <v>361</v>
      </c>
      <c r="F95" s="23">
        <v>2414</v>
      </c>
      <c r="G95" s="23">
        <v>220</v>
      </c>
      <c r="H95" s="23">
        <v>280</v>
      </c>
      <c r="I95" s="23">
        <v>27355</v>
      </c>
      <c r="J95" s="23">
        <v>50562</v>
      </c>
      <c r="K95" s="23">
        <v>258</v>
      </c>
      <c r="L95" s="21" t="s">
        <v>34</v>
      </c>
      <c r="M95" s="21"/>
      <c r="N95" s="21" t="s">
        <v>46</v>
      </c>
      <c r="O95" s="24">
        <f t="shared" si="1"/>
        <v>0.10652531529884847</v>
      </c>
    </row>
    <row r="96" spans="1:15">
      <c r="A96" s="19" t="s">
        <v>87</v>
      </c>
      <c r="B96" s="19" t="s">
        <v>13</v>
      </c>
      <c r="C96" s="20">
        <v>45299</v>
      </c>
      <c r="D96" s="21" t="s">
        <v>14</v>
      </c>
      <c r="E96" s="22" t="s">
        <v>33</v>
      </c>
      <c r="F96" s="23">
        <v>2683</v>
      </c>
      <c r="G96" s="23">
        <v>405</v>
      </c>
      <c r="H96" s="23">
        <v>223</v>
      </c>
      <c r="I96" s="23">
        <v>31233</v>
      </c>
      <c r="J96" s="23">
        <v>58106</v>
      </c>
      <c r="K96" s="23">
        <v>291</v>
      </c>
      <c r="L96" s="21" t="s">
        <v>19</v>
      </c>
      <c r="M96" s="21"/>
      <c r="N96" s="21" t="s">
        <v>20</v>
      </c>
      <c r="O96" s="24">
        <f t="shared" si="1"/>
        <v>0.10600966926007749</v>
      </c>
    </row>
    <row r="97" spans="1:15">
      <c r="A97" s="19" t="s">
        <v>127</v>
      </c>
      <c r="B97" s="19" t="s">
        <v>13</v>
      </c>
      <c r="C97" s="20">
        <v>45317</v>
      </c>
      <c r="D97" s="21" t="s">
        <v>14</v>
      </c>
      <c r="E97" s="22" t="s">
        <v>362</v>
      </c>
      <c r="F97" s="23">
        <v>3878</v>
      </c>
      <c r="G97" s="23">
        <v>431</v>
      </c>
      <c r="H97" s="23">
        <v>97</v>
      </c>
      <c r="I97" s="23">
        <v>41763</v>
      </c>
      <c r="J97" s="23">
        <v>29729</v>
      </c>
      <c r="K97" s="23">
        <v>191</v>
      </c>
      <c r="L97" s="21" t="s">
        <v>19</v>
      </c>
      <c r="M97" s="21"/>
      <c r="N97" s="21" t="s">
        <v>20</v>
      </c>
      <c r="O97" s="24">
        <f t="shared" si="1"/>
        <v>0.10550008380623997</v>
      </c>
    </row>
    <row r="98" spans="1:15">
      <c r="A98" s="19" t="s">
        <v>270</v>
      </c>
      <c r="B98" s="19" t="s">
        <v>27</v>
      </c>
      <c r="C98" s="20">
        <v>45533</v>
      </c>
      <c r="D98" s="21" t="s">
        <v>14</v>
      </c>
      <c r="E98" s="22" t="s">
        <v>360</v>
      </c>
      <c r="F98" s="23">
        <v>4774</v>
      </c>
      <c r="G98" s="23">
        <v>389</v>
      </c>
      <c r="H98" s="23">
        <v>358</v>
      </c>
      <c r="I98" s="23">
        <v>52346</v>
      </c>
      <c r="J98" s="23">
        <v>30518</v>
      </c>
      <c r="K98" s="23">
        <v>277</v>
      </c>
      <c r="L98" s="21" t="s">
        <v>19</v>
      </c>
      <c r="M98" s="21" t="s">
        <v>365</v>
      </c>
      <c r="N98" s="21" t="s">
        <v>20</v>
      </c>
      <c r="O98" s="24">
        <f t="shared" si="1"/>
        <v>0.10547128720437092</v>
      </c>
    </row>
    <row r="99" spans="1:15">
      <c r="A99" s="19" t="s">
        <v>318</v>
      </c>
      <c r="B99" s="19" t="s">
        <v>22</v>
      </c>
      <c r="C99" s="20">
        <v>45513</v>
      </c>
      <c r="D99" s="21" t="s">
        <v>23</v>
      </c>
      <c r="E99" s="22" t="s">
        <v>363</v>
      </c>
      <c r="F99" s="23">
        <v>4877</v>
      </c>
      <c r="G99" s="23">
        <v>442</v>
      </c>
      <c r="H99" s="23">
        <v>236</v>
      </c>
      <c r="I99" s="23">
        <v>52673</v>
      </c>
      <c r="J99" s="23">
        <v>48241</v>
      </c>
      <c r="K99" s="23">
        <v>114</v>
      </c>
      <c r="L99" s="21" t="s">
        <v>19</v>
      </c>
      <c r="M99" s="21" t="s">
        <v>364</v>
      </c>
      <c r="N99" s="21" t="s">
        <v>16</v>
      </c>
      <c r="O99" s="24">
        <f t="shared" si="1"/>
        <v>0.10546200140489435</v>
      </c>
    </row>
    <row r="100" spans="1:15">
      <c r="A100" s="19" t="s">
        <v>158</v>
      </c>
      <c r="B100" s="19" t="s">
        <v>13</v>
      </c>
      <c r="C100" s="20">
        <v>45344</v>
      </c>
      <c r="D100" s="21" t="s">
        <v>14</v>
      </c>
      <c r="E100" s="22" t="s">
        <v>24</v>
      </c>
      <c r="F100" s="23">
        <v>1902</v>
      </c>
      <c r="G100" s="23">
        <v>394</v>
      </c>
      <c r="H100" s="23">
        <v>279</v>
      </c>
      <c r="I100" s="23">
        <v>24615</v>
      </c>
      <c r="J100" s="23">
        <v>51330</v>
      </c>
      <c r="K100" s="23">
        <v>176</v>
      </c>
      <c r="L100" s="21" t="s">
        <v>37</v>
      </c>
      <c r="M100" s="21" t="s">
        <v>34</v>
      </c>
      <c r="N100" s="21" t="s">
        <v>16</v>
      </c>
      <c r="O100" s="24">
        <f t="shared" si="1"/>
        <v>0.10461100954702417</v>
      </c>
    </row>
    <row r="101" spans="1:15">
      <c r="A101" s="19" t="s">
        <v>185</v>
      </c>
      <c r="B101" s="19" t="s">
        <v>13</v>
      </c>
      <c r="C101" s="20">
        <v>45407</v>
      </c>
      <c r="D101" s="21" t="s">
        <v>14</v>
      </c>
      <c r="E101" s="22" t="s">
        <v>361</v>
      </c>
      <c r="F101" s="23">
        <v>3563</v>
      </c>
      <c r="G101" s="23">
        <v>483</v>
      </c>
      <c r="H101" s="23">
        <v>227</v>
      </c>
      <c r="I101" s="23">
        <v>41085</v>
      </c>
      <c r="J101" s="23">
        <v>26393</v>
      </c>
      <c r="K101" s="23">
        <v>236</v>
      </c>
      <c r="L101" s="21" t="s">
        <v>37</v>
      </c>
      <c r="M101" s="21" t="s">
        <v>34</v>
      </c>
      <c r="N101" s="21" t="s">
        <v>16</v>
      </c>
      <c r="O101" s="24">
        <f t="shared" si="1"/>
        <v>0.10400389436534015</v>
      </c>
    </row>
    <row r="102" spans="1:15">
      <c r="A102" s="19" t="s">
        <v>60</v>
      </c>
      <c r="B102" s="19" t="s">
        <v>22</v>
      </c>
      <c r="C102" s="20">
        <v>45773</v>
      </c>
      <c r="D102" s="21" t="s">
        <v>14</v>
      </c>
      <c r="E102" s="22" t="s">
        <v>15</v>
      </c>
      <c r="F102" s="23">
        <v>2411</v>
      </c>
      <c r="G102" s="23">
        <v>194</v>
      </c>
      <c r="H102" s="23">
        <v>168</v>
      </c>
      <c r="I102" s="23">
        <v>26665</v>
      </c>
      <c r="J102" s="23">
        <v>71699</v>
      </c>
      <c r="K102" s="23">
        <v>197</v>
      </c>
      <c r="L102" s="21" t="s">
        <v>34</v>
      </c>
      <c r="M102" s="21"/>
      <c r="N102" s="21" t="s">
        <v>16</v>
      </c>
      <c r="O102" s="24">
        <f t="shared" si="1"/>
        <v>0.10399399962497656</v>
      </c>
    </row>
    <row r="103" spans="1:15">
      <c r="A103" s="19" t="s">
        <v>319</v>
      </c>
      <c r="B103" s="19" t="s">
        <v>13</v>
      </c>
      <c r="C103" s="20">
        <v>45678</v>
      </c>
      <c r="D103" s="21" t="s">
        <v>23</v>
      </c>
      <c r="E103" s="22" t="s">
        <v>24</v>
      </c>
      <c r="F103" s="23">
        <v>4918</v>
      </c>
      <c r="G103" s="23">
        <v>440</v>
      </c>
      <c r="H103" s="23">
        <v>149</v>
      </c>
      <c r="I103" s="23">
        <v>53269</v>
      </c>
      <c r="J103" s="23">
        <v>64370</v>
      </c>
      <c r="K103" s="23">
        <v>269</v>
      </c>
      <c r="L103" s="21" t="s">
        <v>34</v>
      </c>
      <c r="M103" s="21"/>
      <c r="N103" s="21" t="s">
        <v>46</v>
      </c>
      <c r="O103" s="24">
        <f t="shared" si="1"/>
        <v>0.10338095327488783</v>
      </c>
    </row>
    <row r="104" spans="1:15">
      <c r="A104" s="19" t="s">
        <v>204</v>
      </c>
      <c r="B104" s="19" t="s">
        <v>27</v>
      </c>
      <c r="C104" s="20">
        <v>45749</v>
      </c>
      <c r="D104" s="21" t="s">
        <v>14</v>
      </c>
      <c r="E104" s="22" t="s">
        <v>360</v>
      </c>
      <c r="F104" s="23">
        <v>4598</v>
      </c>
      <c r="G104" s="23">
        <v>455</v>
      </c>
      <c r="H104" s="23">
        <v>378</v>
      </c>
      <c r="I104" s="23">
        <v>52952</v>
      </c>
      <c r="J104" s="23">
        <v>58504</v>
      </c>
      <c r="K104" s="23">
        <v>269</v>
      </c>
      <c r="L104" s="21" t="s">
        <v>19</v>
      </c>
      <c r="M104" s="21" t="s">
        <v>365</v>
      </c>
      <c r="N104" s="21" t="s">
        <v>20</v>
      </c>
      <c r="O104" s="24">
        <f t="shared" si="1"/>
        <v>0.10256458679558846</v>
      </c>
    </row>
    <row r="105" spans="1:15">
      <c r="A105" s="19" t="s">
        <v>81</v>
      </c>
      <c r="B105" s="19" t="s">
        <v>27</v>
      </c>
      <c r="C105" s="20">
        <v>45425</v>
      </c>
      <c r="D105" s="21" t="s">
        <v>48</v>
      </c>
      <c r="E105" s="22" t="s">
        <v>18</v>
      </c>
      <c r="F105" s="23">
        <v>4161</v>
      </c>
      <c r="G105" s="23">
        <v>481</v>
      </c>
      <c r="H105" s="23">
        <v>61</v>
      </c>
      <c r="I105" s="23">
        <v>45884</v>
      </c>
      <c r="J105" s="23">
        <v>48955</v>
      </c>
      <c r="K105" s="23">
        <v>215</v>
      </c>
      <c r="L105" s="21" t="s">
        <v>19</v>
      </c>
      <c r="M105" s="21" t="s">
        <v>37</v>
      </c>
      <c r="N105" s="21" t="s">
        <v>49</v>
      </c>
      <c r="O105" s="24">
        <f t="shared" si="1"/>
        <v>0.10249760265016128</v>
      </c>
    </row>
    <row r="106" spans="1:15">
      <c r="A106" s="19" t="s">
        <v>221</v>
      </c>
      <c r="B106" s="19" t="s">
        <v>27</v>
      </c>
      <c r="C106" s="20">
        <v>45346</v>
      </c>
      <c r="D106" s="21" t="s">
        <v>48</v>
      </c>
      <c r="E106" s="22" t="s">
        <v>15</v>
      </c>
      <c r="F106" s="23">
        <v>4221</v>
      </c>
      <c r="G106" s="23">
        <v>307</v>
      </c>
      <c r="H106" s="23">
        <v>58</v>
      </c>
      <c r="I106" s="23">
        <v>45080</v>
      </c>
      <c r="J106" s="23">
        <v>37214</v>
      </c>
      <c r="K106" s="23">
        <v>240</v>
      </c>
      <c r="L106" s="21" t="s">
        <v>19</v>
      </c>
      <c r="M106" s="21" t="s">
        <v>37</v>
      </c>
      <c r="N106" s="21" t="s">
        <v>49</v>
      </c>
      <c r="O106" s="24">
        <f t="shared" si="1"/>
        <v>0.10173025732031943</v>
      </c>
    </row>
    <row r="107" spans="1:15">
      <c r="A107" s="19" t="s">
        <v>198</v>
      </c>
      <c r="B107" s="19" t="s">
        <v>13</v>
      </c>
      <c r="C107" s="20">
        <v>45385</v>
      </c>
      <c r="D107" s="21" t="s">
        <v>14</v>
      </c>
      <c r="E107" s="22" t="s">
        <v>33</v>
      </c>
      <c r="F107" s="23">
        <v>2762</v>
      </c>
      <c r="G107" s="23">
        <v>339</v>
      </c>
      <c r="H107" s="23">
        <v>323</v>
      </c>
      <c r="I107" s="23">
        <v>33757</v>
      </c>
      <c r="J107" s="23">
        <v>68511</v>
      </c>
      <c r="K107" s="23">
        <v>121</v>
      </c>
      <c r="L107" s="21" t="s">
        <v>37</v>
      </c>
      <c r="M107" s="21" t="s">
        <v>34</v>
      </c>
      <c r="N107" s="21" t="s">
        <v>16</v>
      </c>
      <c r="O107" s="24">
        <f t="shared" si="1"/>
        <v>0.10143081434961637</v>
      </c>
    </row>
    <row r="108" spans="1:15">
      <c r="A108" s="19" t="s">
        <v>130</v>
      </c>
      <c r="B108" s="19" t="s">
        <v>13</v>
      </c>
      <c r="C108" s="20">
        <v>45494</v>
      </c>
      <c r="D108" s="21" t="s">
        <v>14</v>
      </c>
      <c r="E108" s="22" t="s">
        <v>15</v>
      </c>
      <c r="F108" s="23">
        <v>3004</v>
      </c>
      <c r="G108" s="23">
        <v>415</v>
      </c>
      <c r="H108" s="23">
        <v>218</v>
      </c>
      <c r="I108" s="23">
        <v>36090</v>
      </c>
      <c r="J108" s="23">
        <v>37073</v>
      </c>
      <c r="K108" s="23">
        <v>181</v>
      </c>
      <c r="L108" s="21" t="s">
        <v>19</v>
      </c>
      <c r="M108" s="21"/>
      <c r="N108" s="21" t="s">
        <v>20</v>
      </c>
      <c r="O108" s="24">
        <f t="shared" si="1"/>
        <v>0.10077583818232197</v>
      </c>
    </row>
    <row r="109" spans="1:15">
      <c r="A109" s="19" t="s">
        <v>203</v>
      </c>
      <c r="B109" s="19" t="s">
        <v>13</v>
      </c>
      <c r="C109" s="20">
        <v>45447</v>
      </c>
      <c r="D109" s="21" t="s">
        <v>14</v>
      </c>
      <c r="E109" s="22" t="s">
        <v>30</v>
      </c>
      <c r="F109" s="23">
        <v>3948</v>
      </c>
      <c r="G109" s="23">
        <v>151</v>
      </c>
      <c r="H109" s="23">
        <v>249</v>
      </c>
      <c r="I109" s="23">
        <v>43147</v>
      </c>
      <c r="J109" s="23">
        <v>63136</v>
      </c>
      <c r="K109" s="23">
        <v>230</v>
      </c>
      <c r="L109" s="21" t="s">
        <v>19</v>
      </c>
      <c r="M109" s="21"/>
      <c r="N109" s="21" t="s">
        <v>20</v>
      </c>
      <c r="O109" s="24">
        <f t="shared" si="1"/>
        <v>0.10077178019329269</v>
      </c>
    </row>
    <row r="110" spans="1:15">
      <c r="A110" s="19" t="s">
        <v>119</v>
      </c>
      <c r="B110" s="19" t="s">
        <v>13</v>
      </c>
      <c r="C110" s="20">
        <v>45630</v>
      </c>
      <c r="D110" s="21" t="s">
        <v>14</v>
      </c>
      <c r="E110" s="22" t="s">
        <v>360</v>
      </c>
      <c r="F110" s="23">
        <v>2601</v>
      </c>
      <c r="G110" s="23">
        <v>336</v>
      </c>
      <c r="H110" s="23">
        <v>260</v>
      </c>
      <c r="I110" s="23">
        <v>32368</v>
      </c>
      <c r="J110" s="23">
        <v>49028</v>
      </c>
      <c r="K110" s="23">
        <v>120</v>
      </c>
      <c r="L110" s="21" t="s">
        <v>37</v>
      </c>
      <c r="M110" s="21" t="s">
        <v>34</v>
      </c>
      <c r="N110" s="21" t="s">
        <v>16</v>
      </c>
      <c r="O110" s="24">
        <f t="shared" si="1"/>
        <v>9.8770390509144837E-2</v>
      </c>
    </row>
    <row r="111" spans="1:15">
      <c r="A111" s="19" t="s">
        <v>311</v>
      </c>
      <c r="B111" s="19" t="s">
        <v>13</v>
      </c>
      <c r="C111" s="20">
        <v>45298</v>
      </c>
      <c r="D111" s="21" t="s">
        <v>14</v>
      </c>
      <c r="E111" s="22" t="s">
        <v>33</v>
      </c>
      <c r="F111" s="23">
        <v>4931</v>
      </c>
      <c r="G111" s="23">
        <v>469</v>
      </c>
      <c r="H111" s="23">
        <v>193</v>
      </c>
      <c r="I111" s="23">
        <v>56701</v>
      </c>
      <c r="J111" s="23">
        <v>69437</v>
      </c>
      <c r="K111" s="23">
        <v>291</v>
      </c>
      <c r="L111" s="21" t="s">
        <v>37</v>
      </c>
      <c r="M111" s="21" t="s">
        <v>34</v>
      </c>
      <c r="N111" s="21" t="s">
        <v>16</v>
      </c>
      <c r="O111" s="24">
        <f t="shared" si="1"/>
        <v>9.8640235621946709E-2</v>
      </c>
    </row>
    <row r="112" spans="1:15">
      <c r="A112" s="19" t="s">
        <v>218</v>
      </c>
      <c r="B112" s="19" t="s">
        <v>13</v>
      </c>
      <c r="C112" s="20">
        <v>45814</v>
      </c>
      <c r="D112" s="21" t="s">
        <v>14</v>
      </c>
      <c r="E112" s="22" t="s">
        <v>360</v>
      </c>
      <c r="F112" s="23">
        <v>3987</v>
      </c>
      <c r="G112" s="23">
        <v>171</v>
      </c>
      <c r="H112" s="23">
        <v>274</v>
      </c>
      <c r="I112" s="23">
        <v>45122</v>
      </c>
      <c r="J112" s="23">
        <v>65431</v>
      </c>
      <c r="K112" s="23">
        <v>168</v>
      </c>
      <c r="L112" s="21" t="s">
        <v>19</v>
      </c>
      <c r="M112" s="21"/>
      <c r="N112" s="21" t="s">
        <v>20</v>
      </c>
      <c r="O112" s="24">
        <f t="shared" si="1"/>
        <v>9.8222596516111871E-2</v>
      </c>
    </row>
    <row r="113" spans="1:15">
      <c r="A113" s="19" t="s">
        <v>273</v>
      </c>
      <c r="B113" s="19" t="s">
        <v>22</v>
      </c>
      <c r="C113" s="20">
        <v>45636</v>
      </c>
      <c r="D113" s="21" t="s">
        <v>23</v>
      </c>
      <c r="E113" s="22" t="s">
        <v>360</v>
      </c>
      <c r="F113" s="23">
        <v>2267</v>
      </c>
      <c r="G113" s="23">
        <v>230</v>
      </c>
      <c r="H113" s="23">
        <v>243</v>
      </c>
      <c r="I113" s="23">
        <v>27904</v>
      </c>
      <c r="J113" s="23">
        <v>69771</v>
      </c>
      <c r="K113" s="23">
        <v>255</v>
      </c>
      <c r="L113" s="21" t="s">
        <v>19</v>
      </c>
      <c r="M113" s="21" t="s">
        <v>364</v>
      </c>
      <c r="N113" s="21" t="s">
        <v>16</v>
      </c>
      <c r="O113" s="24">
        <f t="shared" si="1"/>
        <v>9.8193807339449546E-2</v>
      </c>
    </row>
    <row r="114" spans="1:15">
      <c r="A114" s="19" t="s">
        <v>77</v>
      </c>
      <c r="B114" s="19" t="s">
        <v>27</v>
      </c>
      <c r="C114" s="20">
        <v>45365</v>
      </c>
      <c r="D114" s="21" t="s">
        <v>48</v>
      </c>
      <c r="E114" s="22" t="s">
        <v>363</v>
      </c>
      <c r="F114" s="23">
        <v>3361</v>
      </c>
      <c r="G114" s="23">
        <v>188</v>
      </c>
      <c r="H114" s="23">
        <v>358</v>
      </c>
      <c r="I114" s="23">
        <v>39838</v>
      </c>
      <c r="J114" s="23">
        <v>24536</v>
      </c>
      <c r="K114" s="23">
        <v>120</v>
      </c>
      <c r="L114" s="21" t="s">
        <v>19</v>
      </c>
      <c r="M114" s="21" t="s">
        <v>37</v>
      </c>
      <c r="N114" s="21" t="s">
        <v>49</v>
      </c>
      <c r="O114" s="24">
        <f t="shared" si="1"/>
        <v>9.8072192379135503E-2</v>
      </c>
    </row>
    <row r="115" spans="1:15">
      <c r="A115" s="19" t="s">
        <v>201</v>
      </c>
      <c r="B115" s="19" t="s">
        <v>13</v>
      </c>
      <c r="C115" s="20">
        <v>45536</v>
      </c>
      <c r="D115" s="21" t="s">
        <v>23</v>
      </c>
      <c r="E115" s="22" t="s">
        <v>360</v>
      </c>
      <c r="F115" s="23">
        <v>2335</v>
      </c>
      <c r="G115" s="23">
        <v>150</v>
      </c>
      <c r="H115" s="23">
        <v>75</v>
      </c>
      <c r="I115" s="23">
        <v>26114</v>
      </c>
      <c r="J115" s="23">
        <v>57549</v>
      </c>
      <c r="K115" s="23">
        <v>135</v>
      </c>
      <c r="L115" s="21" t="s">
        <v>34</v>
      </c>
      <c r="M115" s="21"/>
      <c r="N115" s="21" t="s">
        <v>46</v>
      </c>
      <c r="O115" s="24">
        <f t="shared" si="1"/>
        <v>9.8031707130274953E-2</v>
      </c>
    </row>
    <row r="116" spans="1:15">
      <c r="A116" s="19" t="s">
        <v>234</v>
      </c>
      <c r="B116" s="19" t="s">
        <v>22</v>
      </c>
      <c r="C116" s="20">
        <v>45656</v>
      </c>
      <c r="D116" s="21" t="s">
        <v>14</v>
      </c>
      <c r="E116" s="22" t="s">
        <v>30</v>
      </c>
      <c r="F116" s="23">
        <v>4214</v>
      </c>
      <c r="G116" s="23">
        <v>286</v>
      </c>
      <c r="H116" s="23">
        <v>127</v>
      </c>
      <c r="I116" s="23">
        <v>47293</v>
      </c>
      <c r="J116" s="23">
        <v>27184</v>
      </c>
      <c r="K116" s="23">
        <v>232</v>
      </c>
      <c r="L116" s="21" t="s">
        <v>34</v>
      </c>
      <c r="M116" s="21"/>
      <c r="N116" s="21" t="s">
        <v>16</v>
      </c>
      <c r="O116" s="24">
        <f t="shared" si="1"/>
        <v>9.7836889180216949E-2</v>
      </c>
    </row>
    <row r="117" spans="1:15">
      <c r="A117" s="19" t="s">
        <v>65</v>
      </c>
      <c r="B117" s="19" t="s">
        <v>22</v>
      </c>
      <c r="C117" s="20">
        <v>45785</v>
      </c>
      <c r="D117" s="21" t="s">
        <v>23</v>
      </c>
      <c r="E117" s="22" t="s">
        <v>42</v>
      </c>
      <c r="F117" s="23">
        <v>3316</v>
      </c>
      <c r="G117" s="23">
        <v>332</v>
      </c>
      <c r="H117" s="23">
        <v>268</v>
      </c>
      <c r="I117" s="23">
        <v>40095</v>
      </c>
      <c r="J117" s="23">
        <v>36913</v>
      </c>
      <c r="K117" s="23">
        <v>265</v>
      </c>
      <c r="L117" s="21" t="s">
        <v>364</v>
      </c>
      <c r="M117" s="21" t="s">
        <v>34</v>
      </c>
      <c r="N117" s="21" t="s">
        <v>16</v>
      </c>
      <c r="O117" s="24">
        <f t="shared" si="1"/>
        <v>9.7668038408779148E-2</v>
      </c>
    </row>
    <row r="118" spans="1:15">
      <c r="A118" s="19" t="s">
        <v>165</v>
      </c>
      <c r="B118" s="19" t="s">
        <v>22</v>
      </c>
      <c r="C118" s="20">
        <v>45569</v>
      </c>
      <c r="D118" s="21" t="s">
        <v>23</v>
      </c>
      <c r="E118" s="22" t="s">
        <v>18</v>
      </c>
      <c r="F118" s="23">
        <v>2870</v>
      </c>
      <c r="G118" s="23">
        <v>380</v>
      </c>
      <c r="H118" s="23">
        <v>393</v>
      </c>
      <c r="I118" s="23">
        <v>37621</v>
      </c>
      <c r="J118" s="23">
        <v>71794</v>
      </c>
      <c r="K118" s="23">
        <v>127</v>
      </c>
      <c r="L118" s="21" t="s">
        <v>364</v>
      </c>
      <c r="M118" s="21" t="s">
        <v>34</v>
      </c>
      <c r="N118" s="21" t="s">
        <v>16</v>
      </c>
      <c r="O118" s="24">
        <f t="shared" si="1"/>
        <v>9.6834214933149046E-2</v>
      </c>
    </row>
    <row r="119" spans="1:15">
      <c r="A119" s="19" t="s">
        <v>107</v>
      </c>
      <c r="B119" s="19" t="s">
        <v>22</v>
      </c>
      <c r="C119" s="20">
        <v>45805</v>
      </c>
      <c r="D119" s="21" t="s">
        <v>14</v>
      </c>
      <c r="E119" s="22" t="s">
        <v>363</v>
      </c>
      <c r="F119" s="23">
        <v>2418</v>
      </c>
      <c r="G119" s="23">
        <v>161</v>
      </c>
      <c r="H119" s="23">
        <v>360</v>
      </c>
      <c r="I119" s="23">
        <v>30589</v>
      </c>
      <c r="J119" s="23">
        <v>41383</v>
      </c>
      <c r="K119" s="23">
        <v>88</v>
      </c>
      <c r="L119" s="21" t="s">
        <v>34</v>
      </c>
      <c r="M119" s="21"/>
      <c r="N119" s="21" t="s">
        <v>16</v>
      </c>
      <c r="O119" s="24">
        <f t="shared" si="1"/>
        <v>9.6080290300434801E-2</v>
      </c>
    </row>
    <row r="120" spans="1:15">
      <c r="A120" s="19" t="s">
        <v>84</v>
      </c>
      <c r="B120" s="19" t="s">
        <v>13</v>
      </c>
      <c r="C120" s="20">
        <v>45722</v>
      </c>
      <c r="D120" s="21" t="s">
        <v>14</v>
      </c>
      <c r="E120" s="22" t="s">
        <v>30</v>
      </c>
      <c r="F120" s="23">
        <v>4851</v>
      </c>
      <c r="G120" s="23">
        <v>460</v>
      </c>
      <c r="H120" s="23">
        <v>212</v>
      </c>
      <c r="I120" s="23">
        <v>58075</v>
      </c>
      <c r="J120" s="23">
        <v>59574</v>
      </c>
      <c r="K120" s="23">
        <v>239</v>
      </c>
      <c r="L120" s="21" t="s">
        <v>19</v>
      </c>
      <c r="M120" s="21"/>
      <c r="N120" s="21" t="s">
        <v>20</v>
      </c>
      <c r="O120" s="24">
        <f t="shared" si="1"/>
        <v>9.5101162290142052E-2</v>
      </c>
    </row>
    <row r="121" spans="1:15">
      <c r="A121" s="19" t="s">
        <v>180</v>
      </c>
      <c r="B121" s="19" t="s">
        <v>22</v>
      </c>
      <c r="C121" s="20">
        <v>45442</v>
      </c>
      <c r="D121" s="21" t="s">
        <v>23</v>
      </c>
      <c r="E121" s="22" t="s">
        <v>42</v>
      </c>
      <c r="F121" s="23">
        <v>2311</v>
      </c>
      <c r="G121" s="23">
        <v>207</v>
      </c>
      <c r="H121" s="23">
        <v>363</v>
      </c>
      <c r="I121" s="23">
        <v>30349</v>
      </c>
      <c r="J121" s="23">
        <v>32925</v>
      </c>
      <c r="K121" s="23">
        <v>88</v>
      </c>
      <c r="L121" s="21" t="s">
        <v>364</v>
      </c>
      <c r="M121" s="21" t="s">
        <v>34</v>
      </c>
      <c r="N121" s="21" t="s">
        <v>16</v>
      </c>
      <c r="O121" s="24">
        <f t="shared" si="1"/>
        <v>9.4928992718046723E-2</v>
      </c>
    </row>
    <row r="122" spans="1:15">
      <c r="A122" s="19" t="s">
        <v>128</v>
      </c>
      <c r="B122" s="19" t="s">
        <v>22</v>
      </c>
      <c r="C122" s="20">
        <v>45366</v>
      </c>
      <c r="D122" s="21" t="s">
        <v>23</v>
      </c>
      <c r="E122" s="22" t="s">
        <v>30</v>
      </c>
      <c r="F122" s="23">
        <v>4969</v>
      </c>
      <c r="G122" s="23">
        <v>433</v>
      </c>
      <c r="H122" s="23">
        <v>237</v>
      </c>
      <c r="I122" s="23">
        <v>59552</v>
      </c>
      <c r="J122" s="23">
        <v>23885</v>
      </c>
      <c r="K122" s="23">
        <v>157</v>
      </c>
      <c r="L122" s="21" t="s">
        <v>19</v>
      </c>
      <c r="M122" s="21" t="s">
        <v>364</v>
      </c>
      <c r="N122" s="21" t="s">
        <v>16</v>
      </c>
      <c r="O122" s="24">
        <f t="shared" si="1"/>
        <v>9.4690354648038683E-2</v>
      </c>
    </row>
    <row r="123" spans="1:15">
      <c r="A123" s="19" t="s">
        <v>247</v>
      </c>
      <c r="B123" s="19" t="s">
        <v>13</v>
      </c>
      <c r="C123" s="20">
        <v>45808</v>
      </c>
      <c r="D123" s="21" t="s">
        <v>14</v>
      </c>
      <c r="E123" s="22" t="s">
        <v>362</v>
      </c>
      <c r="F123" s="23">
        <v>2169</v>
      </c>
      <c r="G123" s="23">
        <v>240</v>
      </c>
      <c r="H123" s="23">
        <v>57</v>
      </c>
      <c r="I123" s="23">
        <v>26109</v>
      </c>
      <c r="J123" s="23">
        <v>46667</v>
      </c>
      <c r="K123" s="23">
        <v>133</v>
      </c>
      <c r="L123" s="21" t="s">
        <v>37</v>
      </c>
      <c r="M123" s="21" t="s">
        <v>34</v>
      </c>
      <c r="N123" s="21" t="s">
        <v>16</v>
      </c>
      <c r="O123" s="24">
        <f t="shared" si="1"/>
        <v>9.4450189589796618E-2</v>
      </c>
    </row>
    <row r="124" spans="1:15">
      <c r="A124" s="19" t="s">
        <v>330</v>
      </c>
      <c r="B124" s="19" t="s">
        <v>13</v>
      </c>
      <c r="C124" s="20">
        <v>45329</v>
      </c>
      <c r="D124" s="21" t="s">
        <v>14</v>
      </c>
      <c r="E124" s="22" t="s">
        <v>361</v>
      </c>
      <c r="F124" s="23">
        <v>1883</v>
      </c>
      <c r="G124" s="23">
        <v>432</v>
      </c>
      <c r="H124" s="23">
        <v>397</v>
      </c>
      <c r="I124" s="23">
        <v>28759</v>
      </c>
      <c r="J124" s="23">
        <v>18691</v>
      </c>
      <c r="K124" s="23">
        <v>270</v>
      </c>
      <c r="L124" s="21" t="s">
        <v>37</v>
      </c>
      <c r="M124" s="21" t="s">
        <v>34</v>
      </c>
      <c r="N124" s="21" t="s">
        <v>16</v>
      </c>
      <c r="O124" s="24">
        <f t="shared" si="1"/>
        <v>9.4300914496331587E-2</v>
      </c>
    </row>
    <row r="125" spans="1:15">
      <c r="A125" s="19" t="s">
        <v>220</v>
      </c>
      <c r="B125" s="19" t="s">
        <v>13</v>
      </c>
      <c r="C125" s="20">
        <v>45673</v>
      </c>
      <c r="D125" s="21" t="s">
        <v>14</v>
      </c>
      <c r="E125" s="22" t="s">
        <v>361</v>
      </c>
      <c r="F125" s="23">
        <v>2605</v>
      </c>
      <c r="G125" s="23">
        <v>282</v>
      </c>
      <c r="H125" s="23">
        <v>148</v>
      </c>
      <c r="I125" s="23">
        <v>32201</v>
      </c>
      <c r="J125" s="23">
        <v>49583</v>
      </c>
      <c r="K125" s="23">
        <v>241</v>
      </c>
      <c r="L125" s="21" t="s">
        <v>37</v>
      </c>
      <c r="M125" s="21" t="s">
        <v>34</v>
      </c>
      <c r="N125" s="21" t="s">
        <v>16</v>
      </c>
      <c r="O125" s="24">
        <f t="shared" si="1"/>
        <v>9.4251731312692155E-2</v>
      </c>
    </row>
    <row r="126" spans="1:15">
      <c r="A126" s="19" t="s">
        <v>305</v>
      </c>
      <c r="B126" s="19" t="s">
        <v>13</v>
      </c>
      <c r="C126" s="20">
        <v>45341</v>
      </c>
      <c r="D126" s="21" t="s">
        <v>14</v>
      </c>
      <c r="E126" s="22" t="s">
        <v>360</v>
      </c>
      <c r="F126" s="23">
        <v>4752</v>
      </c>
      <c r="G126" s="23">
        <v>449</v>
      </c>
      <c r="H126" s="23">
        <v>309</v>
      </c>
      <c r="I126" s="23">
        <v>58530</v>
      </c>
      <c r="J126" s="23">
        <v>26630</v>
      </c>
      <c r="K126" s="23">
        <v>234</v>
      </c>
      <c r="L126" s="21" t="s">
        <v>19</v>
      </c>
      <c r="M126" s="21"/>
      <c r="N126" s="21" t="s">
        <v>20</v>
      </c>
      <c r="O126" s="24">
        <f t="shared" si="1"/>
        <v>9.4139757389372969E-2</v>
      </c>
    </row>
    <row r="127" spans="1:15">
      <c r="A127" s="19" t="s">
        <v>151</v>
      </c>
      <c r="B127" s="19" t="s">
        <v>13</v>
      </c>
      <c r="C127" s="20">
        <v>45777</v>
      </c>
      <c r="D127" s="21" t="s">
        <v>23</v>
      </c>
      <c r="E127" s="22" t="s">
        <v>24</v>
      </c>
      <c r="F127" s="23">
        <v>3916</v>
      </c>
      <c r="G127" s="23">
        <v>459</v>
      </c>
      <c r="H127" s="23">
        <v>229</v>
      </c>
      <c r="I127" s="23">
        <v>48989</v>
      </c>
      <c r="J127" s="23">
        <v>39768</v>
      </c>
      <c r="K127" s="23">
        <v>200</v>
      </c>
      <c r="L127" s="21" t="s">
        <v>34</v>
      </c>
      <c r="M127" s="21"/>
      <c r="N127" s="21" t="s">
        <v>46</v>
      </c>
      <c r="O127" s="24">
        <f t="shared" si="1"/>
        <v>9.3980281287635997E-2</v>
      </c>
    </row>
    <row r="128" spans="1:15">
      <c r="A128" s="19" t="s">
        <v>43</v>
      </c>
      <c r="B128" s="19" t="s">
        <v>22</v>
      </c>
      <c r="C128" s="20">
        <v>45655</v>
      </c>
      <c r="D128" s="21" t="s">
        <v>23</v>
      </c>
      <c r="E128" s="22" t="s">
        <v>24</v>
      </c>
      <c r="F128" s="23">
        <v>4049</v>
      </c>
      <c r="G128" s="23">
        <v>377</v>
      </c>
      <c r="H128" s="23">
        <v>94</v>
      </c>
      <c r="I128" s="23">
        <v>48182</v>
      </c>
      <c r="J128" s="23">
        <v>42875</v>
      </c>
      <c r="K128" s="23">
        <v>172</v>
      </c>
      <c r="L128" s="21" t="s">
        <v>364</v>
      </c>
      <c r="M128" s="21" t="s">
        <v>34</v>
      </c>
      <c r="N128" s="21" t="s">
        <v>16</v>
      </c>
      <c r="O128" s="24">
        <f t="shared" si="1"/>
        <v>9.3810966751068869E-2</v>
      </c>
    </row>
    <row r="129" spans="1:15">
      <c r="A129" s="19" t="s">
        <v>72</v>
      </c>
      <c r="B129" s="19" t="s">
        <v>13</v>
      </c>
      <c r="C129" s="20">
        <v>45683</v>
      </c>
      <c r="D129" s="21" t="s">
        <v>23</v>
      </c>
      <c r="E129" s="22" t="s">
        <v>362</v>
      </c>
      <c r="F129" s="23">
        <v>3451</v>
      </c>
      <c r="G129" s="23">
        <v>363</v>
      </c>
      <c r="H129" s="23">
        <v>393</v>
      </c>
      <c r="I129" s="23">
        <v>44853</v>
      </c>
      <c r="J129" s="23">
        <v>69032</v>
      </c>
      <c r="K129" s="23">
        <v>211</v>
      </c>
      <c r="L129" s="21" t="s">
        <v>34</v>
      </c>
      <c r="M129" s="21"/>
      <c r="N129" s="21" t="s">
        <v>46</v>
      </c>
      <c r="O129" s="24">
        <f t="shared" si="1"/>
        <v>9.379528682585335E-2</v>
      </c>
    </row>
    <row r="130" spans="1:15">
      <c r="A130" s="19" t="s">
        <v>299</v>
      </c>
      <c r="B130" s="19" t="s">
        <v>27</v>
      </c>
      <c r="C130" s="20">
        <v>45464</v>
      </c>
      <c r="D130" s="21" t="s">
        <v>48</v>
      </c>
      <c r="E130" s="22" t="s">
        <v>361</v>
      </c>
      <c r="F130" s="23">
        <v>4621</v>
      </c>
      <c r="G130" s="23">
        <v>374</v>
      </c>
      <c r="H130" s="23">
        <v>298</v>
      </c>
      <c r="I130" s="23">
        <v>56979</v>
      </c>
      <c r="J130" s="23">
        <v>24098</v>
      </c>
      <c r="K130" s="23">
        <v>205</v>
      </c>
      <c r="L130" s="21" t="s">
        <v>19</v>
      </c>
      <c r="M130" s="21" t="s">
        <v>37</v>
      </c>
      <c r="N130" s="21" t="s">
        <v>49</v>
      </c>
      <c r="O130" s="24">
        <f t="shared" ref="O130:O193" si="2" xml:space="preserve"> (F130+ G130 + H130) / I130</f>
        <v>9.2893873181347508E-2</v>
      </c>
    </row>
    <row r="131" spans="1:15">
      <c r="A131" s="19" t="s">
        <v>275</v>
      </c>
      <c r="B131" s="19" t="s">
        <v>22</v>
      </c>
      <c r="C131" s="20">
        <v>45666</v>
      </c>
      <c r="D131" s="21" t="s">
        <v>23</v>
      </c>
      <c r="E131" s="22" t="s">
        <v>42</v>
      </c>
      <c r="F131" s="23">
        <v>3817</v>
      </c>
      <c r="G131" s="23">
        <v>284</v>
      </c>
      <c r="H131" s="23">
        <v>204</v>
      </c>
      <c r="I131" s="23">
        <v>46434</v>
      </c>
      <c r="J131" s="23">
        <v>53396</v>
      </c>
      <c r="K131" s="23">
        <v>104</v>
      </c>
      <c r="L131" s="21" t="s">
        <v>364</v>
      </c>
      <c r="M131" s="21" t="s">
        <v>34</v>
      </c>
      <c r="N131" s="21" t="s">
        <v>16</v>
      </c>
      <c r="O131" s="24">
        <f t="shared" si="2"/>
        <v>9.2712236723090841E-2</v>
      </c>
    </row>
    <row r="132" spans="1:15">
      <c r="A132" s="19" t="s">
        <v>173</v>
      </c>
      <c r="B132" s="19" t="s">
        <v>13</v>
      </c>
      <c r="C132" s="20">
        <v>45460</v>
      </c>
      <c r="D132" s="21" t="s">
        <v>14</v>
      </c>
      <c r="E132" s="22" t="s">
        <v>15</v>
      </c>
      <c r="F132" s="23">
        <v>4283</v>
      </c>
      <c r="G132" s="23">
        <v>471</v>
      </c>
      <c r="H132" s="23">
        <v>156</v>
      </c>
      <c r="I132" s="23">
        <v>53004</v>
      </c>
      <c r="J132" s="23">
        <v>25678</v>
      </c>
      <c r="K132" s="23">
        <v>105</v>
      </c>
      <c r="L132" s="21" t="s">
        <v>19</v>
      </c>
      <c r="M132" s="21"/>
      <c r="N132" s="21" t="s">
        <v>20</v>
      </c>
      <c r="O132" s="24">
        <f t="shared" si="2"/>
        <v>9.2634518149573616E-2</v>
      </c>
    </row>
    <row r="133" spans="1:15">
      <c r="A133" s="19" t="s">
        <v>162</v>
      </c>
      <c r="B133" s="19" t="s">
        <v>22</v>
      </c>
      <c r="C133" s="20">
        <v>45563</v>
      </c>
      <c r="D133" s="21" t="s">
        <v>14</v>
      </c>
      <c r="E133" s="22" t="s">
        <v>362</v>
      </c>
      <c r="F133" s="23">
        <v>4006</v>
      </c>
      <c r="G133" s="23">
        <v>420</v>
      </c>
      <c r="H133" s="23">
        <v>194</v>
      </c>
      <c r="I133" s="23">
        <v>49964</v>
      </c>
      <c r="J133" s="23">
        <v>20685</v>
      </c>
      <c r="K133" s="23">
        <v>148</v>
      </c>
      <c r="L133" s="21" t="s">
        <v>34</v>
      </c>
      <c r="M133" s="21"/>
      <c r="N133" s="21" t="s">
        <v>16</v>
      </c>
      <c r="O133" s="24">
        <f t="shared" si="2"/>
        <v>9.2466575934672959E-2</v>
      </c>
    </row>
    <row r="134" spans="1:15">
      <c r="A134" s="19" t="s">
        <v>182</v>
      </c>
      <c r="B134" s="19" t="s">
        <v>13</v>
      </c>
      <c r="C134" s="20">
        <v>45562</v>
      </c>
      <c r="D134" s="21" t="s">
        <v>14</v>
      </c>
      <c r="E134" s="22" t="s">
        <v>15</v>
      </c>
      <c r="F134" s="23">
        <v>3118</v>
      </c>
      <c r="G134" s="23">
        <v>116</v>
      </c>
      <c r="H134" s="23">
        <v>195</v>
      </c>
      <c r="I134" s="23">
        <v>37100</v>
      </c>
      <c r="J134" s="23">
        <v>62629</v>
      </c>
      <c r="K134" s="23">
        <v>272</v>
      </c>
      <c r="L134" s="21" t="s">
        <v>19</v>
      </c>
      <c r="M134" s="21"/>
      <c r="N134" s="21" t="s">
        <v>20</v>
      </c>
      <c r="O134" s="24">
        <f t="shared" si="2"/>
        <v>9.2425876010781671E-2</v>
      </c>
    </row>
    <row r="135" spans="1:15">
      <c r="A135" s="19" t="s">
        <v>196</v>
      </c>
      <c r="B135" s="19" t="s">
        <v>13</v>
      </c>
      <c r="C135" s="20">
        <v>45387</v>
      </c>
      <c r="D135" s="21" t="s">
        <v>14</v>
      </c>
      <c r="E135" s="22" t="s">
        <v>24</v>
      </c>
      <c r="F135" s="23">
        <v>4383</v>
      </c>
      <c r="G135" s="23">
        <v>352</v>
      </c>
      <c r="H135" s="23">
        <v>176</v>
      </c>
      <c r="I135" s="23">
        <v>53239</v>
      </c>
      <c r="J135" s="23">
        <v>34168</v>
      </c>
      <c r="K135" s="23">
        <v>288</v>
      </c>
      <c r="L135" s="21" t="s">
        <v>19</v>
      </c>
      <c r="M135" s="21"/>
      <c r="N135" s="21" t="s">
        <v>20</v>
      </c>
      <c r="O135" s="24">
        <f t="shared" si="2"/>
        <v>9.2244407295403744E-2</v>
      </c>
    </row>
    <row r="136" spans="1:15">
      <c r="A136" s="19" t="s">
        <v>94</v>
      </c>
      <c r="B136" s="19" t="s">
        <v>22</v>
      </c>
      <c r="C136" s="20">
        <v>45679</v>
      </c>
      <c r="D136" s="21" t="s">
        <v>23</v>
      </c>
      <c r="E136" s="22" t="s">
        <v>24</v>
      </c>
      <c r="F136" s="23">
        <v>4478</v>
      </c>
      <c r="G136" s="23">
        <v>101</v>
      </c>
      <c r="H136" s="23">
        <v>121</v>
      </c>
      <c r="I136" s="23">
        <v>51035</v>
      </c>
      <c r="J136" s="23">
        <v>58207</v>
      </c>
      <c r="K136" s="23">
        <v>205</v>
      </c>
      <c r="L136" s="21" t="s">
        <v>364</v>
      </c>
      <c r="M136" s="21" t="s">
        <v>34</v>
      </c>
      <c r="N136" s="21" t="s">
        <v>16</v>
      </c>
      <c r="O136" s="24">
        <f t="shared" si="2"/>
        <v>9.2093661212893113E-2</v>
      </c>
    </row>
    <row r="137" spans="1:15">
      <c r="A137" s="19" t="s">
        <v>259</v>
      </c>
      <c r="B137" s="19" t="s">
        <v>27</v>
      </c>
      <c r="C137" s="20">
        <v>45346</v>
      </c>
      <c r="D137" s="21" t="s">
        <v>14</v>
      </c>
      <c r="E137" s="22" t="s">
        <v>361</v>
      </c>
      <c r="F137" s="23">
        <v>4653</v>
      </c>
      <c r="G137" s="23">
        <v>226</v>
      </c>
      <c r="H137" s="23">
        <v>349</v>
      </c>
      <c r="I137" s="23">
        <v>56876</v>
      </c>
      <c r="J137" s="23">
        <v>28452</v>
      </c>
      <c r="K137" s="23">
        <v>257</v>
      </c>
      <c r="L137" s="21" t="s">
        <v>19</v>
      </c>
      <c r="M137" s="21" t="s">
        <v>365</v>
      </c>
      <c r="N137" s="21" t="s">
        <v>20</v>
      </c>
      <c r="O137" s="24">
        <f t="shared" si="2"/>
        <v>9.191926295801392E-2</v>
      </c>
    </row>
    <row r="138" spans="1:15">
      <c r="A138" s="19" t="s">
        <v>295</v>
      </c>
      <c r="B138" s="19" t="s">
        <v>22</v>
      </c>
      <c r="C138" s="20">
        <v>45825</v>
      </c>
      <c r="D138" s="21" t="s">
        <v>23</v>
      </c>
      <c r="E138" s="22" t="s">
        <v>18</v>
      </c>
      <c r="F138" s="23">
        <v>4341</v>
      </c>
      <c r="G138" s="23">
        <v>141</v>
      </c>
      <c r="H138" s="23">
        <v>63</v>
      </c>
      <c r="I138" s="23">
        <v>50081</v>
      </c>
      <c r="J138" s="23">
        <v>27507</v>
      </c>
      <c r="K138" s="23">
        <v>221</v>
      </c>
      <c r="L138" s="21" t="s">
        <v>19</v>
      </c>
      <c r="M138" s="21" t="s">
        <v>364</v>
      </c>
      <c r="N138" s="21" t="s">
        <v>16</v>
      </c>
      <c r="O138" s="24">
        <f t="shared" si="2"/>
        <v>9.0752980172121162E-2</v>
      </c>
    </row>
    <row r="139" spans="1:15">
      <c r="A139" s="19" t="s">
        <v>96</v>
      </c>
      <c r="B139" s="19" t="s">
        <v>13</v>
      </c>
      <c r="C139" s="20">
        <v>45763</v>
      </c>
      <c r="D139" s="21" t="s">
        <v>14</v>
      </c>
      <c r="E139" s="22" t="s">
        <v>360</v>
      </c>
      <c r="F139" s="23">
        <v>4836</v>
      </c>
      <c r="G139" s="23">
        <v>331</v>
      </c>
      <c r="H139" s="23">
        <v>140</v>
      </c>
      <c r="I139" s="23">
        <v>58792</v>
      </c>
      <c r="J139" s="23">
        <v>47711</v>
      </c>
      <c r="K139" s="23">
        <v>227</v>
      </c>
      <c r="L139" s="21" t="s">
        <v>37</v>
      </c>
      <c r="M139" s="21" t="s">
        <v>34</v>
      </c>
      <c r="N139" s="21" t="s">
        <v>16</v>
      </c>
      <c r="O139" s="24">
        <f t="shared" si="2"/>
        <v>9.0267383317458164E-2</v>
      </c>
    </row>
    <row r="140" spans="1:15">
      <c r="A140" s="19" t="s">
        <v>222</v>
      </c>
      <c r="B140" s="19" t="s">
        <v>22</v>
      </c>
      <c r="C140" s="20">
        <v>45551</v>
      </c>
      <c r="D140" s="21" t="s">
        <v>23</v>
      </c>
      <c r="E140" s="22" t="s">
        <v>362</v>
      </c>
      <c r="F140" s="23">
        <v>4422</v>
      </c>
      <c r="G140" s="23">
        <v>434</v>
      </c>
      <c r="H140" s="23">
        <v>156</v>
      </c>
      <c r="I140" s="23">
        <v>56165</v>
      </c>
      <c r="J140" s="23">
        <v>52431</v>
      </c>
      <c r="K140" s="23">
        <v>173</v>
      </c>
      <c r="L140" s="21" t="s">
        <v>19</v>
      </c>
      <c r="M140" s="21" t="s">
        <v>364</v>
      </c>
      <c r="N140" s="21" t="s">
        <v>16</v>
      </c>
      <c r="O140" s="24">
        <f t="shared" si="2"/>
        <v>8.9237069349238848E-2</v>
      </c>
    </row>
    <row r="141" spans="1:15">
      <c r="A141" s="19" t="s">
        <v>134</v>
      </c>
      <c r="B141" s="19" t="s">
        <v>22</v>
      </c>
      <c r="C141" s="20">
        <v>45413</v>
      </c>
      <c r="D141" s="21" t="s">
        <v>23</v>
      </c>
      <c r="E141" s="22" t="s">
        <v>362</v>
      </c>
      <c r="F141" s="23">
        <v>2587</v>
      </c>
      <c r="G141" s="23">
        <v>447</v>
      </c>
      <c r="H141" s="23">
        <v>183</v>
      </c>
      <c r="I141" s="23">
        <v>36266</v>
      </c>
      <c r="J141" s="23">
        <v>32877</v>
      </c>
      <c r="K141" s="23">
        <v>132</v>
      </c>
      <c r="L141" s="21" t="s">
        <v>19</v>
      </c>
      <c r="M141" s="21" t="s">
        <v>364</v>
      </c>
      <c r="N141" s="21" t="s">
        <v>16</v>
      </c>
      <c r="O141" s="24">
        <f t="shared" si="2"/>
        <v>8.8705674736667947E-2</v>
      </c>
    </row>
    <row r="142" spans="1:15">
      <c r="A142" s="19" t="s">
        <v>88</v>
      </c>
      <c r="B142" s="19" t="s">
        <v>27</v>
      </c>
      <c r="C142" s="20">
        <v>45490</v>
      </c>
      <c r="D142" s="21" t="s">
        <v>14</v>
      </c>
      <c r="E142" s="22" t="s">
        <v>33</v>
      </c>
      <c r="F142" s="23">
        <v>3135</v>
      </c>
      <c r="G142" s="23">
        <v>110</v>
      </c>
      <c r="H142" s="23">
        <v>215</v>
      </c>
      <c r="I142" s="23">
        <v>39192</v>
      </c>
      <c r="J142" s="23">
        <v>24744</v>
      </c>
      <c r="K142" s="23">
        <v>177</v>
      </c>
      <c r="L142" s="21" t="s">
        <v>19</v>
      </c>
      <c r="M142" s="21" t="s">
        <v>365</v>
      </c>
      <c r="N142" s="21" t="s">
        <v>20</v>
      </c>
      <c r="O142" s="24">
        <f t="shared" si="2"/>
        <v>8.8283323127168814E-2</v>
      </c>
    </row>
    <row r="143" spans="1:15">
      <c r="A143" s="19" t="s">
        <v>111</v>
      </c>
      <c r="B143" s="19" t="s">
        <v>22</v>
      </c>
      <c r="C143" s="20">
        <v>45723</v>
      </c>
      <c r="D143" s="21" t="s">
        <v>14</v>
      </c>
      <c r="E143" s="22" t="s">
        <v>30</v>
      </c>
      <c r="F143" s="23">
        <v>4234</v>
      </c>
      <c r="G143" s="23">
        <v>486</v>
      </c>
      <c r="H143" s="23">
        <v>276</v>
      </c>
      <c r="I143" s="23">
        <v>56623</v>
      </c>
      <c r="J143" s="23">
        <v>41343</v>
      </c>
      <c r="K143" s="23">
        <v>184</v>
      </c>
      <c r="L143" s="21" t="s">
        <v>37</v>
      </c>
      <c r="M143" s="21"/>
      <c r="N143" s="21" t="s">
        <v>20</v>
      </c>
      <c r="O143" s="24">
        <f t="shared" si="2"/>
        <v>8.8232696960599044E-2</v>
      </c>
    </row>
    <row r="144" spans="1:15">
      <c r="A144" s="19" t="s">
        <v>91</v>
      </c>
      <c r="B144" s="19" t="s">
        <v>27</v>
      </c>
      <c r="C144" s="20">
        <v>45292</v>
      </c>
      <c r="D144" s="21" t="s">
        <v>48</v>
      </c>
      <c r="E144" s="22" t="s">
        <v>18</v>
      </c>
      <c r="F144" s="23">
        <v>3437</v>
      </c>
      <c r="G144" s="23">
        <v>129</v>
      </c>
      <c r="H144" s="23">
        <v>359</v>
      </c>
      <c r="I144" s="23">
        <v>44558</v>
      </c>
      <c r="J144" s="23">
        <v>30854</v>
      </c>
      <c r="K144" s="23">
        <v>171</v>
      </c>
      <c r="L144" s="21" t="s">
        <v>19</v>
      </c>
      <c r="M144" s="21" t="s">
        <v>37</v>
      </c>
      <c r="N144" s="21" t="s">
        <v>49</v>
      </c>
      <c r="O144" s="24">
        <f t="shared" si="2"/>
        <v>8.8087436599488311E-2</v>
      </c>
    </row>
    <row r="145" spans="1:15">
      <c r="A145" s="19" t="s">
        <v>31</v>
      </c>
      <c r="B145" s="19" t="s">
        <v>22</v>
      </c>
      <c r="C145" s="20">
        <v>45421</v>
      </c>
      <c r="D145" s="21" t="s">
        <v>23</v>
      </c>
      <c r="E145" s="22" t="s">
        <v>360</v>
      </c>
      <c r="F145" s="23">
        <v>1428</v>
      </c>
      <c r="G145" s="23">
        <v>347</v>
      </c>
      <c r="H145" s="23">
        <v>67</v>
      </c>
      <c r="I145" s="23">
        <v>21148</v>
      </c>
      <c r="J145" s="23">
        <v>19712</v>
      </c>
      <c r="K145" s="23">
        <v>120</v>
      </c>
      <c r="L145" s="21" t="s">
        <v>19</v>
      </c>
      <c r="M145" s="21" t="s">
        <v>364</v>
      </c>
      <c r="N145" s="21" t="s">
        <v>16</v>
      </c>
      <c r="O145" s="24">
        <f t="shared" si="2"/>
        <v>8.7100435029317191E-2</v>
      </c>
    </row>
    <row r="146" spans="1:15">
      <c r="A146" s="19" t="s">
        <v>17</v>
      </c>
      <c r="B146" s="19" t="s">
        <v>13</v>
      </c>
      <c r="C146" s="20">
        <v>45689</v>
      </c>
      <c r="D146" s="21" t="s">
        <v>14</v>
      </c>
      <c r="E146" s="22" t="s">
        <v>18</v>
      </c>
      <c r="F146" s="23">
        <v>1934</v>
      </c>
      <c r="G146" s="23">
        <v>210</v>
      </c>
      <c r="H146" s="23">
        <v>393</v>
      </c>
      <c r="I146" s="23">
        <v>29129</v>
      </c>
      <c r="J146" s="23">
        <v>73287</v>
      </c>
      <c r="K146" s="23">
        <v>273</v>
      </c>
      <c r="L146" s="21" t="s">
        <v>19</v>
      </c>
      <c r="M146" s="21"/>
      <c r="N146" s="21" t="s">
        <v>20</v>
      </c>
      <c r="O146" s="24">
        <f t="shared" si="2"/>
        <v>8.7095334546328396E-2</v>
      </c>
    </row>
    <row r="147" spans="1:15">
      <c r="A147" s="19" t="s">
        <v>170</v>
      </c>
      <c r="B147" s="19" t="s">
        <v>22</v>
      </c>
      <c r="C147" s="20">
        <v>45531</v>
      </c>
      <c r="D147" s="21" t="s">
        <v>23</v>
      </c>
      <c r="E147" s="22" t="s">
        <v>24</v>
      </c>
      <c r="F147" s="23">
        <v>1856</v>
      </c>
      <c r="G147" s="23">
        <v>357</v>
      </c>
      <c r="H147" s="23">
        <v>348</v>
      </c>
      <c r="I147" s="23">
        <v>29428</v>
      </c>
      <c r="J147" s="23">
        <v>70206</v>
      </c>
      <c r="K147" s="23">
        <v>236</v>
      </c>
      <c r="L147" s="21" t="s">
        <v>364</v>
      </c>
      <c r="M147" s="21" t="s">
        <v>34</v>
      </c>
      <c r="N147" s="21" t="s">
        <v>16</v>
      </c>
      <c r="O147" s="24">
        <f t="shared" si="2"/>
        <v>8.702596166915863E-2</v>
      </c>
    </row>
    <row r="148" spans="1:15">
      <c r="A148" s="19" t="s">
        <v>145</v>
      </c>
      <c r="B148" s="19" t="s">
        <v>13</v>
      </c>
      <c r="C148" s="20">
        <v>45762</v>
      </c>
      <c r="D148" s="21" t="s">
        <v>14</v>
      </c>
      <c r="E148" s="22" t="s">
        <v>18</v>
      </c>
      <c r="F148" s="23">
        <v>4177</v>
      </c>
      <c r="G148" s="23">
        <v>489</v>
      </c>
      <c r="H148" s="23">
        <v>331</v>
      </c>
      <c r="I148" s="23">
        <v>57451</v>
      </c>
      <c r="J148" s="23">
        <v>73793</v>
      </c>
      <c r="K148" s="23">
        <v>251</v>
      </c>
      <c r="L148" s="21" t="s">
        <v>19</v>
      </c>
      <c r="M148" s="21"/>
      <c r="N148" s="21" t="s">
        <v>20</v>
      </c>
      <c r="O148" s="24">
        <f t="shared" si="2"/>
        <v>8.6978468608031198E-2</v>
      </c>
    </row>
    <row r="149" spans="1:15">
      <c r="A149" s="19" t="s">
        <v>252</v>
      </c>
      <c r="B149" s="19" t="s">
        <v>22</v>
      </c>
      <c r="C149" s="20">
        <v>45829</v>
      </c>
      <c r="D149" s="21" t="s">
        <v>14</v>
      </c>
      <c r="E149" s="22" t="s">
        <v>18</v>
      </c>
      <c r="F149" s="23">
        <v>3611</v>
      </c>
      <c r="G149" s="23">
        <v>127</v>
      </c>
      <c r="H149" s="23">
        <v>139</v>
      </c>
      <c r="I149" s="23">
        <v>44768</v>
      </c>
      <c r="J149" s="23">
        <v>29435</v>
      </c>
      <c r="K149" s="23">
        <v>178</v>
      </c>
      <c r="L149" s="21" t="s">
        <v>34</v>
      </c>
      <c r="M149" s="21"/>
      <c r="N149" s="21" t="s">
        <v>16</v>
      </c>
      <c r="O149" s="24">
        <f t="shared" si="2"/>
        <v>8.6602037169406718E-2</v>
      </c>
    </row>
    <row r="150" spans="1:15">
      <c r="A150" s="19" t="s">
        <v>137</v>
      </c>
      <c r="B150" s="19" t="s">
        <v>22</v>
      </c>
      <c r="C150" s="20">
        <v>45670</v>
      </c>
      <c r="D150" s="21" t="s">
        <v>14</v>
      </c>
      <c r="E150" s="22" t="s">
        <v>361</v>
      </c>
      <c r="F150" s="23">
        <v>4090</v>
      </c>
      <c r="G150" s="23">
        <v>209</v>
      </c>
      <c r="H150" s="23">
        <v>278</v>
      </c>
      <c r="I150" s="23">
        <v>52853</v>
      </c>
      <c r="J150" s="23">
        <v>57084</v>
      </c>
      <c r="K150" s="23">
        <v>102</v>
      </c>
      <c r="L150" s="21" t="s">
        <v>37</v>
      </c>
      <c r="M150" s="21"/>
      <c r="N150" s="21" t="s">
        <v>20</v>
      </c>
      <c r="O150" s="24">
        <f t="shared" si="2"/>
        <v>8.6598679355949518E-2</v>
      </c>
    </row>
    <row r="151" spans="1:15">
      <c r="A151" s="19" t="s">
        <v>274</v>
      </c>
      <c r="B151" s="19" t="s">
        <v>27</v>
      </c>
      <c r="C151" s="20">
        <v>45816</v>
      </c>
      <c r="D151" s="21" t="s">
        <v>14</v>
      </c>
      <c r="E151" s="22" t="s">
        <v>361</v>
      </c>
      <c r="F151" s="23">
        <v>4375</v>
      </c>
      <c r="G151" s="23">
        <v>303</v>
      </c>
      <c r="H151" s="23">
        <v>294</v>
      </c>
      <c r="I151" s="23">
        <v>57468</v>
      </c>
      <c r="J151" s="23">
        <v>53397</v>
      </c>
      <c r="K151" s="23">
        <v>159</v>
      </c>
      <c r="L151" s="21" t="s">
        <v>19</v>
      </c>
      <c r="M151" s="21" t="s">
        <v>365</v>
      </c>
      <c r="N151" s="21" t="s">
        <v>20</v>
      </c>
      <c r="O151" s="24">
        <f t="shared" si="2"/>
        <v>8.6517714206166912E-2</v>
      </c>
    </row>
    <row r="152" spans="1:15">
      <c r="A152" s="19" t="s">
        <v>313</v>
      </c>
      <c r="B152" s="19" t="s">
        <v>13</v>
      </c>
      <c r="C152" s="20">
        <v>45531</v>
      </c>
      <c r="D152" s="21" t="s">
        <v>14</v>
      </c>
      <c r="E152" s="22" t="s">
        <v>361</v>
      </c>
      <c r="F152" s="23">
        <v>4197</v>
      </c>
      <c r="G152" s="23">
        <v>359</v>
      </c>
      <c r="H152" s="23">
        <v>280</v>
      </c>
      <c r="I152" s="23">
        <v>56048</v>
      </c>
      <c r="J152" s="23">
        <v>70930</v>
      </c>
      <c r="K152" s="23">
        <v>295</v>
      </c>
      <c r="L152" s="21" t="s">
        <v>19</v>
      </c>
      <c r="M152" s="21"/>
      <c r="N152" s="21" t="s">
        <v>20</v>
      </c>
      <c r="O152" s="24">
        <f t="shared" si="2"/>
        <v>8.628318584070796E-2</v>
      </c>
    </row>
    <row r="153" spans="1:15">
      <c r="A153" s="19" t="s">
        <v>215</v>
      </c>
      <c r="B153" s="19" t="s">
        <v>27</v>
      </c>
      <c r="C153" s="20">
        <v>45769</v>
      </c>
      <c r="D153" s="21" t="s">
        <v>48</v>
      </c>
      <c r="E153" s="22" t="s">
        <v>24</v>
      </c>
      <c r="F153" s="23">
        <v>2733</v>
      </c>
      <c r="G153" s="23">
        <v>297</v>
      </c>
      <c r="H153" s="23">
        <v>235</v>
      </c>
      <c r="I153" s="23">
        <v>37980</v>
      </c>
      <c r="J153" s="23">
        <v>33058</v>
      </c>
      <c r="K153" s="23">
        <v>219</v>
      </c>
      <c r="L153" s="21" t="s">
        <v>19</v>
      </c>
      <c r="M153" s="21" t="s">
        <v>37</v>
      </c>
      <c r="N153" s="21" t="s">
        <v>49</v>
      </c>
      <c r="O153" s="24">
        <f t="shared" si="2"/>
        <v>8.5966298051606105E-2</v>
      </c>
    </row>
    <row r="154" spans="1:15">
      <c r="A154" s="19" t="s">
        <v>287</v>
      </c>
      <c r="B154" s="19" t="s">
        <v>22</v>
      </c>
      <c r="C154" s="20">
        <v>45451</v>
      </c>
      <c r="D154" s="21" t="s">
        <v>23</v>
      </c>
      <c r="E154" s="22" t="s">
        <v>33</v>
      </c>
      <c r="F154" s="23">
        <v>3413</v>
      </c>
      <c r="G154" s="23">
        <v>326</v>
      </c>
      <c r="H154" s="23">
        <v>86</v>
      </c>
      <c r="I154" s="23">
        <v>44680</v>
      </c>
      <c r="J154" s="23">
        <v>52719</v>
      </c>
      <c r="K154" s="23">
        <v>272</v>
      </c>
      <c r="L154" s="21" t="s">
        <v>19</v>
      </c>
      <c r="M154" s="21" t="s">
        <v>364</v>
      </c>
      <c r="N154" s="21" t="s">
        <v>16</v>
      </c>
      <c r="O154" s="24">
        <f t="shared" si="2"/>
        <v>8.5608773500447627E-2</v>
      </c>
    </row>
    <row r="155" spans="1:15">
      <c r="A155" s="19" t="s">
        <v>154</v>
      </c>
      <c r="B155" s="19" t="s">
        <v>22</v>
      </c>
      <c r="C155" s="20">
        <v>45421</v>
      </c>
      <c r="D155" s="21" t="s">
        <v>23</v>
      </c>
      <c r="E155" s="22" t="s">
        <v>24</v>
      </c>
      <c r="F155" s="23">
        <v>3277</v>
      </c>
      <c r="G155" s="23">
        <v>423</v>
      </c>
      <c r="H155" s="23">
        <v>259</v>
      </c>
      <c r="I155" s="23">
        <v>46328</v>
      </c>
      <c r="J155" s="23">
        <v>44293</v>
      </c>
      <c r="K155" s="23">
        <v>299</v>
      </c>
      <c r="L155" s="21" t="s">
        <v>37</v>
      </c>
      <c r="M155" s="21" t="s">
        <v>34</v>
      </c>
      <c r="N155" s="21" t="s">
        <v>16</v>
      </c>
      <c r="O155" s="24">
        <f t="shared" si="2"/>
        <v>8.5455879813503707E-2</v>
      </c>
    </row>
    <row r="156" spans="1:15">
      <c r="A156" s="19" t="s">
        <v>40</v>
      </c>
      <c r="B156" s="19" t="s">
        <v>22</v>
      </c>
      <c r="C156" s="20">
        <v>45573</v>
      </c>
      <c r="D156" s="21" t="s">
        <v>14</v>
      </c>
      <c r="E156" s="22" t="s">
        <v>363</v>
      </c>
      <c r="F156" s="23">
        <v>2460</v>
      </c>
      <c r="G156" s="23">
        <v>409</v>
      </c>
      <c r="H156" s="23">
        <v>253</v>
      </c>
      <c r="I156" s="23">
        <v>36702</v>
      </c>
      <c r="J156" s="23">
        <v>46122</v>
      </c>
      <c r="K156" s="23">
        <v>264</v>
      </c>
      <c r="L156" s="21" t="s">
        <v>34</v>
      </c>
      <c r="M156" s="21"/>
      <c r="N156" s="21" t="s">
        <v>16</v>
      </c>
      <c r="O156" s="24">
        <f t="shared" si="2"/>
        <v>8.5063484278785892E-2</v>
      </c>
    </row>
    <row r="157" spans="1:15">
      <c r="A157" s="19" t="s">
        <v>317</v>
      </c>
      <c r="B157" s="19" t="s">
        <v>27</v>
      </c>
      <c r="C157" s="20">
        <v>45468</v>
      </c>
      <c r="D157" s="21" t="s">
        <v>14</v>
      </c>
      <c r="E157" s="22" t="s">
        <v>42</v>
      </c>
      <c r="F157" s="23">
        <v>2172</v>
      </c>
      <c r="G157" s="23">
        <v>338</v>
      </c>
      <c r="H157" s="23">
        <v>70</v>
      </c>
      <c r="I157" s="23">
        <v>30515</v>
      </c>
      <c r="J157" s="23">
        <v>57853</v>
      </c>
      <c r="K157" s="23">
        <v>156</v>
      </c>
      <c r="L157" s="21" t="s">
        <v>19</v>
      </c>
      <c r="M157" s="21" t="s">
        <v>365</v>
      </c>
      <c r="N157" s="21" t="s">
        <v>20</v>
      </c>
      <c r="O157" s="24">
        <f t="shared" si="2"/>
        <v>8.4548582664263475E-2</v>
      </c>
    </row>
    <row r="158" spans="1:15">
      <c r="A158" s="19" t="s">
        <v>199</v>
      </c>
      <c r="B158" s="19" t="s">
        <v>27</v>
      </c>
      <c r="C158" s="20">
        <v>45660</v>
      </c>
      <c r="D158" s="21" t="s">
        <v>14</v>
      </c>
      <c r="E158" s="22" t="s">
        <v>24</v>
      </c>
      <c r="F158" s="23">
        <v>3782</v>
      </c>
      <c r="G158" s="23">
        <v>484</v>
      </c>
      <c r="H158" s="23">
        <v>144</v>
      </c>
      <c r="I158" s="23">
        <v>52172</v>
      </c>
      <c r="J158" s="23">
        <v>59386</v>
      </c>
      <c r="K158" s="23">
        <v>175</v>
      </c>
      <c r="L158" s="21" t="s">
        <v>19</v>
      </c>
      <c r="M158" s="21" t="s">
        <v>365</v>
      </c>
      <c r="N158" s="21" t="s">
        <v>20</v>
      </c>
      <c r="O158" s="24">
        <f t="shared" si="2"/>
        <v>8.4528099363643333E-2</v>
      </c>
    </row>
    <row r="159" spans="1:15">
      <c r="A159" s="19" t="s">
        <v>36</v>
      </c>
      <c r="B159" s="19" t="s">
        <v>22</v>
      </c>
      <c r="C159" s="20">
        <v>45357</v>
      </c>
      <c r="D159" s="21" t="s">
        <v>14</v>
      </c>
      <c r="E159" s="22" t="s">
        <v>15</v>
      </c>
      <c r="F159" s="23">
        <v>1971</v>
      </c>
      <c r="G159" s="23">
        <v>370</v>
      </c>
      <c r="H159" s="23">
        <v>306</v>
      </c>
      <c r="I159" s="23">
        <v>31316</v>
      </c>
      <c r="J159" s="23">
        <v>27897</v>
      </c>
      <c r="K159" s="23">
        <v>88</v>
      </c>
      <c r="L159" s="21" t="s">
        <v>37</v>
      </c>
      <c r="M159" s="21"/>
      <c r="N159" s="21" t="s">
        <v>20</v>
      </c>
      <c r="O159" s="24">
        <f t="shared" si="2"/>
        <v>8.4525482181632389E-2</v>
      </c>
    </row>
    <row r="160" spans="1:15">
      <c r="A160" s="19" t="s">
        <v>206</v>
      </c>
      <c r="B160" s="19" t="s">
        <v>13</v>
      </c>
      <c r="C160" s="20">
        <v>45475</v>
      </c>
      <c r="D160" s="21" t="s">
        <v>14</v>
      </c>
      <c r="E160" s="22" t="s">
        <v>33</v>
      </c>
      <c r="F160" s="23">
        <v>3469</v>
      </c>
      <c r="G160" s="23">
        <v>371</v>
      </c>
      <c r="H160" s="23">
        <v>76</v>
      </c>
      <c r="I160" s="23">
        <v>46493</v>
      </c>
      <c r="J160" s="23">
        <v>26906</v>
      </c>
      <c r="K160" s="23">
        <v>150</v>
      </c>
      <c r="L160" s="21" t="s">
        <v>37</v>
      </c>
      <c r="M160" s="21" t="s">
        <v>34</v>
      </c>
      <c r="N160" s="21" t="s">
        <v>16</v>
      </c>
      <c r="O160" s="24">
        <f t="shared" si="2"/>
        <v>8.4227733207149463E-2</v>
      </c>
    </row>
    <row r="161" spans="1:15">
      <c r="A161" s="19" t="s">
        <v>314</v>
      </c>
      <c r="B161" s="19" t="s">
        <v>13</v>
      </c>
      <c r="C161" s="20">
        <v>45589</v>
      </c>
      <c r="D161" s="21" t="s">
        <v>23</v>
      </c>
      <c r="E161" s="22" t="s">
        <v>33</v>
      </c>
      <c r="F161" s="23">
        <v>1914</v>
      </c>
      <c r="G161" s="23">
        <v>255</v>
      </c>
      <c r="H161" s="23">
        <v>156</v>
      </c>
      <c r="I161" s="23">
        <v>27660</v>
      </c>
      <c r="J161" s="23">
        <v>47776</v>
      </c>
      <c r="K161" s="23">
        <v>111</v>
      </c>
      <c r="L161" s="21" t="s">
        <v>34</v>
      </c>
      <c r="M161" s="21"/>
      <c r="N161" s="21" t="s">
        <v>46</v>
      </c>
      <c r="O161" s="24">
        <f t="shared" si="2"/>
        <v>8.4056399132321047E-2</v>
      </c>
    </row>
    <row r="162" spans="1:15">
      <c r="A162" s="19" t="s">
        <v>307</v>
      </c>
      <c r="B162" s="19" t="s">
        <v>13</v>
      </c>
      <c r="C162" s="20">
        <v>45691</v>
      </c>
      <c r="D162" s="21" t="s">
        <v>23</v>
      </c>
      <c r="E162" s="22" t="s">
        <v>24</v>
      </c>
      <c r="F162" s="23">
        <v>1205</v>
      </c>
      <c r="G162" s="23">
        <v>486</v>
      </c>
      <c r="H162" s="23">
        <v>269</v>
      </c>
      <c r="I162" s="23">
        <v>23341</v>
      </c>
      <c r="J162" s="23">
        <v>42411</v>
      </c>
      <c r="K162" s="23">
        <v>184</v>
      </c>
      <c r="L162" s="21" t="s">
        <v>34</v>
      </c>
      <c r="M162" s="21"/>
      <c r="N162" s="21" t="s">
        <v>46</v>
      </c>
      <c r="O162" s="24">
        <f t="shared" si="2"/>
        <v>8.3972409065592737E-2</v>
      </c>
    </row>
    <row r="163" spans="1:15">
      <c r="A163" s="19" t="s">
        <v>32</v>
      </c>
      <c r="B163" s="19" t="s">
        <v>22</v>
      </c>
      <c r="C163" s="20">
        <v>45823</v>
      </c>
      <c r="D163" s="21" t="s">
        <v>14</v>
      </c>
      <c r="E163" s="22" t="s">
        <v>33</v>
      </c>
      <c r="F163" s="23">
        <v>4432</v>
      </c>
      <c r="G163" s="23">
        <v>223</v>
      </c>
      <c r="H163" s="23">
        <v>299</v>
      </c>
      <c r="I163" s="23">
        <v>59016</v>
      </c>
      <c r="J163" s="23">
        <v>21742</v>
      </c>
      <c r="K163" s="23">
        <v>171</v>
      </c>
      <c r="L163" s="21" t="s">
        <v>34</v>
      </c>
      <c r="M163" s="21"/>
      <c r="N163" s="21" t="s">
        <v>16</v>
      </c>
      <c r="O163" s="24">
        <f t="shared" si="2"/>
        <v>8.3943337400027115E-2</v>
      </c>
    </row>
    <row r="164" spans="1:15">
      <c r="A164" s="19" t="s">
        <v>290</v>
      </c>
      <c r="B164" s="19" t="s">
        <v>22</v>
      </c>
      <c r="C164" s="20">
        <v>45662</v>
      </c>
      <c r="D164" s="21" t="s">
        <v>23</v>
      </c>
      <c r="E164" s="22" t="s">
        <v>18</v>
      </c>
      <c r="F164" s="23">
        <v>3341</v>
      </c>
      <c r="G164" s="23">
        <v>154</v>
      </c>
      <c r="H164" s="23">
        <v>123</v>
      </c>
      <c r="I164" s="23">
        <v>43369</v>
      </c>
      <c r="J164" s="23">
        <v>49035</v>
      </c>
      <c r="K164" s="23">
        <v>128</v>
      </c>
      <c r="L164" s="21" t="s">
        <v>364</v>
      </c>
      <c r="M164" s="21" t="s">
        <v>34</v>
      </c>
      <c r="N164" s="21" t="s">
        <v>16</v>
      </c>
      <c r="O164" s="24">
        <f t="shared" si="2"/>
        <v>8.3423643616408028E-2</v>
      </c>
    </row>
    <row r="165" spans="1:15">
      <c r="A165" s="19" t="s">
        <v>189</v>
      </c>
      <c r="B165" s="19" t="s">
        <v>13</v>
      </c>
      <c r="C165" s="20">
        <v>45394</v>
      </c>
      <c r="D165" s="21" t="s">
        <v>23</v>
      </c>
      <c r="E165" s="22" t="s">
        <v>30</v>
      </c>
      <c r="F165" s="23">
        <v>1558</v>
      </c>
      <c r="G165" s="23">
        <v>352</v>
      </c>
      <c r="H165" s="23">
        <v>202</v>
      </c>
      <c r="I165" s="23">
        <v>25405</v>
      </c>
      <c r="J165" s="23">
        <v>69941</v>
      </c>
      <c r="K165" s="23">
        <v>219</v>
      </c>
      <c r="L165" s="21" t="s">
        <v>34</v>
      </c>
      <c r="M165" s="21"/>
      <c r="N165" s="21" t="s">
        <v>46</v>
      </c>
      <c r="O165" s="24">
        <f t="shared" si="2"/>
        <v>8.3133241487896081E-2</v>
      </c>
    </row>
    <row r="166" spans="1:15">
      <c r="A166" s="19" t="s">
        <v>131</v>
      </c>
      <c r="B166" s="19" t="s">
        <v>22</v>
      </c>
      <c r="C166" s="20">
        <v>45577</v>
      </c>
      <c r="D166" s="21" t="s">
        <v>14</v>
      </c>
      <c r="E166" s="22" t="s">
        <v>30</v>
      </c>
      <c r="F166" s="23">
        <v>3169</v>
      </c>
      <c r="G166" s="23">
        <v>386</v>
      </c>
      <c r="H166" s="23">
        <v>175</v>
      </c>
      <c r="I166" s="23">
        <v>45012</v>
      </c>
      <c r="J166" s="23">
        <v>38508</v>
      </c>
      <c r="K166" s="23">
        <v>218</v>
      </c>
      <c r="L166" s="21" t="s">
        <v>34</v>
      </c>
      <c r="M166" s="21"/>
      <c r="N166" s="21" t="s">
        <v>16</v>
      </c>
      <c r="O166" s="24">
        <f t="shared" si="2"/>
        <v>8.2866791077934779E-2</v>
      </c>
    </row>
    <row r="167" spans="1:15">
      <c r="A167" s="19" t="s">
        <v>245</v>
      </c>
      <c r="B167" s="19" t="s">
        <v>27</v>
      </c>
      <c r="C167" s="20">
        <v>45672</v>
      </c>
      <c r="D167" s="21" t="s">
        <v>14</v>
      </c>
      <c r="E167" s="22" t="s">
        <v>42</v>
      </c>
      <c r="F167" s="23">
        <v>2599</v>
      </c>
      <c r="G167" s="23">
        <v>324</v>
      </c>
      <c r="H167" s="23">
        <v>182</v>
      </c>
      <c r="I167" s="23">
        <v>37525</v>
      </c>
      <c r="J167" s="23">
        <v>37216</v>
      </c>
      <c r="K167" s="23">
        <v>186</v>
      </c>
      <c r="L167" s="21" t="s">
        <v>19</v>
      </c>
      <c r="M167" s="21" t="s">
        <v>365</v>
      </c>
      <c r="N167" s="21" t="s">
        <v>20</v>
      </c>
      <c r="O167" s="24">
        <f t="shared" si="2"/>
        <v>8.2744836775483013E-2</v>
      </c>
    </row>
    <row r="168" spans="1:15">
      <c r="A168" s="19" t="s">
        <v>233</v>
      </c>
      <c r="B168" s="19" t="s">
        <v>13</v>
      </c>
      <c r="C168" s="20">
        <v>45571</v>
      </c>
      <c r="D168" s="21" t="s">
        <v>14</v>
      </c>
      <c r="E168" s="22" t="s">
        <v>33</v>
      </c>
      <c r="F168" s="23">
        <v>2080</v>
      </c>
      <c r="G168" s="23">
        <v>389</v>
      </c>
      <c r="H168" s="23">
        <v>92</v>
      </c>
      <c r="I168" s="23">
        <v>30971</v>
      </c>
      <c r="J168" s="23">
        <v>25347</v>
      </c>
      <c r="K168" s="23">
        <v>111</v>
      </c>
      <c r="L168" s="21" t="s">
        <v>19</v>
      </c>
      <c r="M168" s="21"/>
      <c r="N168" s="21" t="s">
        <v>20</v>
      </c>
      <c r="O168" s="24">
        <f t="shared" si="2"/>
        <v>8.2690258629040073E-2</v>
      </c>
    </row>
    <row r="169" spans="1:15">
      <c r="A169" s="19" t="s">
        <v>183</v>
      </c>
      <c r="B169" s="19" t="s">
        <v>22</v>
      </c>
      <c r="C169" s="20">
        <v>45819</v>
      </c>
      <c r="D169" s="21" t="s">
        <v>23</v>
      </c>
      <c r="E169" s="22" t="s">
        <v>18</v>
      </c>
      <c r="F169" s="23">
        <v>3805</v>
      </c>
      <c r="G169" s="23">
        <v>453</v>
      </c>
      <c r="H169" s="23">
        <v>63</v>
      </c>
      <c r="I169" s="23">
        <v>52395</v>
      </c>
      <c r="J169" s="23">
        <v>72934</v>
      </c>
      <c r="K169" s="23">
        <v>87</v>
      </c>
      <c r="L169" s="21" t="s">
        <v>19</v>
      </c>
      <c r="M169" s="21" t="s">
        <v>364</v>
      </c>
      <c r="N169" s="21" t="s">
        <v>16</v>
      </c>
      <c r="O169" s="24">
        <f t="shared" si="2"/>
        <v>8.2469701307376658E-2</v>
      </c>
    </row>
    <row r="170" spans="1:15">
      <c r="A170" s="19" t="s">
        <v>58</v>
      </c>
      <c r="B170" s="19" t="s">
        <v>27</v>
      </c>
      <c r="C170" s="20">
        <v>45356</v>
      </c>
      <c r="D170" s="21" t="s">
        <v>48</v>
      </c>
      <c r="E170" s="22" t="s">
        <v>18</v>
      </c>
      <c r="F170" s="23">
        <v>3558</v>
      </c>
      <c r="G170" s="23">
        <v>314</v>
      </c>
      <c r="H170" s="23">
        <v>199</v>
      </c>
      <c r="I170" s="23">
        <v>49612</v>
      </c>
      <c r="J170" s="23">
        <v>53929</v>
      </c>
      <c r="K170" s="23">
        <v>206</v>
      </c>
      <c r="L170" s="21" t="s">
        <v>19</v>
      </c>
      <c r="M170" s="21" t="s">
        <v>37</v>
      </c>
      <c r="N170" s="21" t="s">
        <v>49</v>
      </c>
      <c r="O170" s="24">
        <f t="shared" si="2"/>
        <v>8.205676046117874E-2</v>
      </c>
    </row>
    <row r="171" spans="1:15">
      <c r="A171" s="19" t="s">
        <v>266</v>
      </c>
      <c r="B171" s="19" t="s">
        <v>13</v>
      </c>
      <c r="C171" s="20">
        <v>45646</v>
      </c>
      <c r="D171" s="21" t="s">
        <v>14</v>
      </c>
      <c r="E171" s="22" t="s">
        <v>15</v>
      </c>
      <c r="F171" s="23">
        <v>2519</v>
      </c>
      <c r="G171" s="23">
        <v>202</v>
      </c>
      <c r="H171" s="23">
        <v>239</v>
      </c>
      <c r="I171" s="23">
        <v>36245</v>
      </c>
      <c r="J171" s="23">
        <v>48606</v>
      </c>
      <c r="K171" s="23">
        <v>145</v>
      </c>
      <c r="L171" s="21" t="s">
        <v>19</v>
      </c>
      <c r="M171" s="21"/>
      <c r="N171" s="21" t="s">
        <v>20</v>
      </c>
      <c r="O171" s="24">
        <f t="shared" si="2"/>
        <v>8.1666436749896543E-2</v>
      </c>
    </row>
    <row r="172" spans="1:15">
      <c r="A172" s="19" t="s">
        <v>102</v>
      </c>
      <c r="B172" s="19" t="s">
        <v>13</v>
      </c>
      <c r="C172" s="20">
        <v>45576</v>
      </c>
      <c r="D172" s="21" t="s">
        <v>14</v>
      </c>
      <c r="E172" s="22" t="s">
        <v>363</v>
      </c>
      <c r="F172" s="23">
        <v>1360</v>
      </c>
      <c r="G172" s="23">
        <v>249</v>
      </c>
      <c r="H172" s="23">
        <v>52</v>
      </c>
      <c r="I172" s="23">
        <v>20368</v>
      </c>
      <c r="J172" s="23">
        <v>42152</v>
      </c>
      <c r="K172" s="23">
        <v>193</v>
      </c>
      <c r="L172" s="21" t="s">
        <v>19</v>
      </c>
      <c r="M172" s="21"/>
      <c r="N172" s="21" t="s">
        <v>20</v>
      </c>
      <c r="O172" s="24">
        <f t="shared" si="2"/>
        <v>8.1549489395129612E-2</v>
      </c>
    </row>
    <row r="173" spans="1:15">
      <c r="A173" s="19" t="s">
        <v>176</v>
      </c>
      <c r="B173" s="19" t="s">
        <v>13</v>
      </c>
      <c r="C173" s="20">
        <v>45799</v>
      </c>
      <c r="D173" s="21" t="s">
        <v>14</v>
      </c>
      <c r="E173" s="22" t="s">
        <v>15</v>
      </c>
      <c r="F173" s="23">
        <v>2633</v>
      </c>
      <c r="G173" s="23">
        <v>318</v>
      </c>
      <c r="H173" s="23">
        <v>380</v>
      </c>
      <c r="I173" s="23">
        <v>40869</v>
      </c>
      <c r="J173" s="23">
        <v>64474</v>
      </c>
      <c r="K173" s="23">
        <v>245</v>
      </c>
      <c r="L173" s="21" t="s">
        <v>19</v>
      </c>
      <c r="M173" s="21"/>
      <c r="N173" s="21" t="s">
        <v>20</v>
      </c>
      <c r="O173" s="24">
        <f t="shared" si="2"/>
        <v>8.1504318676747664E-2</v>
      </c>
    </row>
    <row r="174" spans="1:15">
      <c r="A174" s="19" t="s">
        <v>179</v>
      </c>
      <c r="B174" s="19" t="s">
        <v>22</v>
      </c>
      <c r="C174" s="20">
        <v>45760</v>
      </c>
      <c r="D174" s="21" t="s">
        <v>14</v>
      </c>
      <c r="E174" s="22" t="s">
        <v>363</v>
      </c>
      <c r="F174" s="23">
        <v>3890</v>
      </c>
      <c r="G174" s="23">
        <v>408</v>
      </c>
      <c r="H174" s="23">
        <v>338</v>
      </c>
      <c r="I174" s="23">
        <v>56994</v>
      </c>
      <c r="J174" s="23">
        <v>32621</v>
      </c>
      <c r="K174" s="23">
        <v>286</v>
      </c>
      <c r="L174" s="21" t="s">
        <v>37</v>
      </c>
      <c r="M174" s="21"/>
      <c r="N174" s="21" t="s">
        <v>20</v>
      </c>
      <c r="O174" s="24">
        <f t="shared" si="2"/>
        <v>8.1341895638137346E-2</v>
      </c>
    </row>
    <row r="175" spans="1:15">
      <c r="A175" s="19" t="s">
        <v>55</v>
      </c>
      <c r="B175" s="19" t="s">
        <v>27</v>
      </c>
      <c r="C175" s="20">
        <v>45575</v>
      </c>
      <c r="D175" s="21" t="s">
        <v>48</v>
      </c>
      <c r="E175" s="22" t="s">
        <v>363</v>
      </c>
      <c r="F175" s="23">
        <v>4013</v>
      </c>
      <c r="G175" s="23">
        <v>320</v>
      </c>
      <c r="H175" s="23">
        <v>92</v>
      </c>
      <c r="I175" s="23">
        <v>54605</v>
      </c>
      <c r="J175" s="23">
        <v>60169</v>
      </c>
      <c r="K175" s="23">
        <v>232</v>
      </c>
      <c r="L175" s="21" t="s">
        <v>19</v>
      </c>
      <c r="M175" s="21" t="s">
        <v>37</v>
      </c>
      <c r="N175" s="21" t="s">
        <v>49</v>
      </c>
      <c r="O175" s="24">
        <f t="shared" si="2"/>
        <v>8.1036535115831879E-2</v>
      </c>
    </row>
    <row r="176" spans="1:15">
      <c r="A176" s="19" t="s">
        <v>263</v>
      </c>
      <c r="B176" s="19" t="s">
        <v>22</v>
      </c>
      <c r="C176" s="20">
        <v>45585</v>
      </c>
      <c r="D176" s="21" t="s">
        <v>14</v>
      </c>
      <c r="E176" s="22" t="s">
        <v>363</v>
      </c>
      <c r="F176" s="23">
        <v>2752</v>
      </c>
      <c r="G176" s="23">
        <v>309</v>
      </c>
      <c r="H176" s="23">
        <v>91</v>
      </c>
      <c r="I176" s="23">
        <v>39038</v>
      </c>
      <c r="J176" s="23">
        <v>28095</v>
      </c>
      <c r="K176" s="23">
        <v>277</v>
      </c>
      <c r="L176" s="21" t="s">
        <v>34</v>
      </c>
      <c r="M176" s="21"/>
      <c r="N176" s="21" t="s">
        <v>16</v>
      </c>
      <c r="O176" s="24">
        <f t="shared" si="2"/>
        <v>8.0741841282852611E-2</v>
      </c>
    </row>
    <row r="177" spans="1:15">
      <c r="A177" s="19" t="s">
        <v>61</v>
      </c>
      <c r="B177" s="19" t="s">
        <v>13</v>
      </c>
      <c r="C177" s="20">
        <v>45658</v>
      </c>
      <c r="D177" s="21" t="s">
        <v>14</v>
      </c>
      <c r="E177" s="22" t="s">
        <v>24</v>
      </c>
      <c r="F177" s="23">
        <v>4036</v>
      </c>
      <c r="G177" s="23">
        <v>112</v>
      </c>
      <c r="H177" s="23">
        <v>382</v>
      </c>
      <c r="I177" s="23">
        <v>56284</v>
      </c>
      <c r="J177" s="23">
        <v>29440</v>
      </c>
      <c r="K177" s="23">
        <v>279</v>
      </c>
      <c r="L177" s="21" t="s">
        <v>37</v>
      </c>
      <c r="M177" s="21" t="s">
        <v>34</v>
      </c>
      <c r="N177" s="21" t="s">
        <v>16</v>
      </c>
      <c r="O177" s="24">
        <f t="shared" si="2"/>
        <v>8.0484684812735408E-2</v>
      </c>
    </row>
    <row r="178" spans="1:15">
      <c r="A178" s="19" t="s">
        <v>250</v>
      </c>
      <c r="B178" s="19" t="s">
        <v>27</v>
      </c>
      <c r="C178" s="20">
        <v>45636</v>
      </c>
      <c r="D178" s="21" t="s">
        <v>14</v>
      </c>
      <c r="E178" s="22" t="s">
        <v>362</v>
      </c>
      <c r="F178" s="23">
        <v>2569</v>
      </c>
      <c r="G178" s="23">
        <v>140</v>
      </c>
      <c r="H178" s="23">
        <v>375</v>
      </c>
      <c r="I178" s="23">
        <v>38372</v>
      </c>
      <c r="J178" s="23">
        <v>22102</v>
      </c>
      <c r="K178" s="23">
        <v>255</v>
      </c>
      <c r="L178" s="21" t="s">
        <v>19</v>
      </c>
      <c r="M178" s="21" t="s">
        <v>365</v>
      </c>
      <c r="N178" s="21" t="s">
        <v>20</v>
      </c>
      <c r="O178" s="24">
        <f t="shared" si="2"/>
        <v>8.0371103929948923E-2</v>
      </c>
    </row>
    <row r="179" spans="1:15">
      <c r="A179" s="19" t="s">
        <v>53</v>
      </c>
      <c r="B179" s="19" t="s">
        <v>27</v>
      </c>
      <c r="C179" s="20">
        <v>45452</v>
      </c>
      <c r="D179" s="21" t="s">
        <v>48</v>
      </c>
      <c r="E179" s="22" t="s">
        <v>363</v>
      </c>
      <c r="F179" s="23">
        <v>2786</v>
      </c>
      <c r="G179" s="23">
        <v>368</v>
      </c>
      <c r="H179" s="23">
        <v>208</v>
      </c>
      <c r="I179" s="23">
        <v>42000</v>
      </c>
      <c r="J179" s="23">
        <v>39967</v>
      </c>
      <c r="K179" s="23">
        <v>103</v>
      </c>
      <c r="L179" s="21" t="s">
        <v>19</v>
      </c>
      <c r="M179" s="21" t="s">
        <v>37</v>
      </c>
      <c r="N179" s="21" t="s">
        <v>49</v>
      </c>
      <c r="O179" s="24">
        <f t="shared" si="2"/>
        <v>8.0047619047619048E-2</v>
      </c>
    </row>
    <row r="180" spans="1:15">
      <c r="A180" s="19" t="s">
        <v>159</v>
      </c>
      <c r="B180" s="19" t="s">
        <v>22</v>
      </c>
      <c r="C180" s="20">
        <v>45839</v>
      </c>
      <c r="D180" s="21" t="s">
        <v>23</v>
      </c>
      <c r="E180" s="22" t="s">
        <v>18</v>
      </c>
      <c r="F180" s="23">
        <v>3219</v>
      </c>
      <c r="G180" s="23">
        <v>424</v>
      </c>
      <c r="H180" s="23">
        <v>267</v>
      </c>
      <c r="I180" s="23">
        <v>48879</v>
      </c>
      <c r="J180" s="23">
        <v>37691</v>
      </c>
      <c r="K180" s="23">
        <v>224</v>
      </c>
      <c r="L180" s="21" t="s">
        <v>19</v>
      </c>
      <c r="M180" s="21" t="s">
        <v>364</v>
      </c>
      <c r="N180" s="21" t="s">
        <v>16</v>
      </c>
      <c r="O180" s="24">
        <f t="shared" si="2"/>
        <v>7.9993453221219743E-2</v>
      </c>
    </row>
    <row r="181" spans="1:15">
      <c r="A181" s="19" t="s">
        <v>236</v>
      </c>
      <c r="B181" s="19" t="s">
        <v>22</v>
      </c>
      <c r="C181" s="20">
        <v>45525</v>
      </c>
      <c r="D181" s="21" t="s">
        <v>23</v>
      </c>
      <c r="E181" s="22" t="s">
        <v>18</v>
      </c>
      <c r="F181" s="23">
        <v>3989</v>
      </c>
      <c r="G181" s="23">
        <v>476</v>
      </c>
      <c r="H181" s="23">
        <v>128</v>
      </c>
      <c r="I181" s="23">
        <v>57569</v>
      </c>
      <c r="J181" s="23">
        <v>40193</v>
      </c>
      <c r="K181" s="23">
        <v>222</v>
      </c>
      <c r="L181" s="21" t="s">
        <v>19</v>
      </c>
      <c r="M181" s="21" t="s">
        <v>364</v>
      </c>
      <c r="N181" s="21" t="s">
        <v>16</v>
      </c>
      <c r="O181" s="24">
        <f t="shared" si="2"/>
        <v>7.9782521843353188E-2</v>
      </c>
    </row>
    <row r="182" spans="1:15">
      <c r="A182" s="19" t="s">
        <v>122</v>
      </c>
      <c r="B182" s="19" t="s">
        <v>27</v>
      </c>
      <c r="C182" s="20">
        <v>45376</v>
      </c>
      <c r="D182" s="21" t="s">
        <v>48</v>
      </c>
      <c r="E182" s="22" t="s">
        <v>18</v>
      </c>
      <c r="F182" s="23">
        <v>1948</v>
      </c>
      <c r="G182" s="23">
        <v>155</v>
      </c>
      <c r="H182" s="23">
        <v>315</v>
      </c>
      <c r="I182" s="23">
        <v>30321</v>
      </c>
      <c r="J182" s="23">
        <v>57121</v>
      </c>
      <c r="K182" s="23">
        <v>82</v>
      </c>
      <c r="L182" s="21" t="s">
        <v>19</v>
      </c>
      <c r="M182" s="21" t="s">
        <v>37</v>
      </c>
      <c r="N182" s="21" t="s">
        <v>49</v>
      </c>
      <c r="O182" s="24">
        <f t="shared" si="2"/>
        <v>7.974671020085089E-2</v>
      </c>
    </row>
    <row r="183" spans="1:15">
      <c r="A183" s="19" t="s">
        <v>121</v>
      </c>
      <c r="B183" s="19" t="s">
        <v>22</v>
      </c>
      <c r="C183" s="20">
        <v>45774</v>
      </c>
      <c r="D183" s="21" t="s">
        <v>14</v>
      </c>
      <c r="E183" s="22" t="s">
        <v>18</v>
      </c>
      <c r="F183" s="23">
        <v>1165</v>
      </c>
      <c r="G183" s="23">
        <v>294</v>
      </c>
      <c r="H183" s="23">
        <v>163</v>
      </c>
      <c r="I183" s="23">
        <v>20659</v>
      </c>
      <c r="J183" s="23">
        <v>45926</v>
      </c>
      <c r="K183" s="23">
        <v>111</v>
      </c>
      <c r="L183" s="21" t="s">
        <v>37</v>
      </c>
      <c r="M183" s="21"/>
      <c r="N183" s="21" t="s">
        <v>20</v>
      </c>
      <c r="O183" s="24">
        <f t="shared" si="2"/>
        <v>7.8512996756861422E-2</v>
      </c>
    </row>
    <row r="184" spans="1:15">
      <c r="A184" s="19" t="s">
        <v>210</v>
      </c>
      <c r="B184" s="19" t="s">
        <v>22</v>
      </c>
      <c r="C184" s="20">
        <v>45777</v>
      </c>
      <c r="D184" s="21" t="s">
        <v>23</v>
      </c>
      <c r="E184" s="22" t="s">
        <v>360</v>
      </c>
      <c r="F184" s="23">
        <v>3929</v>
      </c>
      <c r="G184" s="23">
        <v>275</v>
      </c>
      <c r="H184" s="23">
        <v>330</v>
      </c>
      <c r="I184" s="23">
        <v>58329</v>
      </c>
      <c r="J184" s="23">
        <v>33196</v>
      </c>
      <c r="K184" s="23">
        <v>85</v>
      </c>
      <c r="L184" s="21" t="s">
        <v>364</v>
      </c>
      <c r="M184" s="21" t="s">
        <v>34</v>
      </c>
      <c r="N184" s="21" t="s">
        <v>16</v>
      </c>
      <c r="O184" s="24">
        <f t="shared" si="2"/>
        <v>7.7731488624869283E-2</v>
      </c>
    </row>
    <row r="185" spans="1:15">
      <c r="A185" s="19" t="s">
        <v>235</v>
      </c>
      <c r="B185" s="19" t="s">
        <v>22</v>
      </c>
      <c r="C185" s="20">
        <v>45763</v>
      </c>
      <c r="D185" s="21" t="s">
        <v>14</v>
      </c>
      <c r="E185" s="22" t="s">
        <v>360</v>
      </c>
      <c r="F185" s="23">
        <v>3792</v>
      </c>
      <c r="G185" s="23">
        <v>315</v>
      </c>
      <c r="H185" s="23">
        <v>120</v>
      </c>
      <c r="I185" s="23">
        <v>54592</v>
      </c>
      <c r="J185" s="23">
        <v>67886</v>
      </c>
      <c r="K185" s="23">
        <v>117</v>
      </c>
      <c r="L185" s="21" t="s">
        <v>37</v>
      </c>
      <c r="M185" s="21"/>
      <c r="N185" s="21" t="s">
        <v>20</v>
      </c>
      <c r="O185" s="24">
        <f t="shared" si="2"/>
        <v>7.7428927315357568E-2</v>
      </c>
    </row>
    <row r="186" spans="1:15">
      <c r="A186" s="19" t="s">
        <v>239</v>
      </c>
      <c r="B186" s="19" t="s">
        <v>22</v>
      </c>
      <c r="C186" s="20">
        <v>45492</v>
      </c>
      <c r="D186" s="21" t="s">
        <v>23</v>
      </c>
      <c r="E186" s="22" t="s">
        <v>362</v>
      </c>
      <c r="F186" s="23">
        <v>3071</v>
      </c>
      <c r="G186" s="23">
        <v>126</v>
      </c>
      <c r="H186" s="23">
        <v>200</v>
      </c>
      <c r="I186" s="23">
        <v>44013</v>
      </c>
      <c r="J186" s="23">
        <v>44679</v>
      </c>
      <c r="K186" s="23">
        <v>118</v>
      </c>
      <c r="L186" s="21" t="s">
        <v>19</v>
      </c>
      <c r="M186" s="21" t="s">
        <v>364</v>
      </c>
      <c r="N186" s="21" t="s">
        <v>16</v>
      </c>
      <c r="O186" s="24">
        <f t="shared" si="2"/>
        <v>7.7181741758116915E-2</v>
      </c>
    </row>
    <row r="187" spans="1:15">
      <c r="A187" s="19" t="s">
        <v>106</v>
      </c>
      <c r="B187" s="19" t="s">
        <v>13</v>
      </c>
      <c r="C187" s="20">
        <v>45487</v>
      </c>
      <c r="D187" s="21" t="s">
        <v>14</v>
      </c>
      <c r="E187" s="22" t="s">
        <v>360</v>
      </c>
      <c r="F187" s="23">
        <v>2464</v>
      </c>
      <c r="G187" s="23">
        <v>401</v>
      </c>
      <c r="H187" s="23">
        <v>78</v>
      </c>
      <c r="I187" s="23">
        <v>38665</v>
      </c>
      <c r="J187" s="23">
        <v>73593</v>
      </c>
      <c r="K187" s="23">
        <v>207</v>
      </c>
      <c r="L187" s="21" t="s">
        <v>19</v>
      </c>
      <c r="M187" s="21"/>
      <c r="N187" s="21" t="s">
        <v>20</v>
      </c>
      <c r="O187" s="24">
        <f t="shared" si="2"/>
        <v>7.611534979956032E-2</v>
      </c>
    </row>
    <row r="188" spans="1:15">
      <c r="A188" s="19" t="s">
        <v>62</v>
      </c>
      <c r="B188" s="19" t="s">
        <v>22</v>
      </c>
      <c r="C188" s="20">
        <v>45419</v>
      </c>
      <c r="D188" s="21" t="s">
        <v>23</v>
      </c>
      <c r="E188" s="22" t="s">
        <v>18</v>
      </c>
      <c r="F188" s="23">
        <v>2776</v>
      </c>
      <c r="G188" s="23">
        <v>307</v>
      </c>
      <c r="H188" s="23">
        <v>178</v>
      </c>
      <c r="I188" s="23">
        <v>43365</v>
      </c>
      <c r="J188" s="23">
        <v>48408</v>
      </c>
      <c r="K188" s="23">
        <v>138</v>
      </c>
      <c r="L188" s="21" t="s">
        <v>37</v>
      </c>
      <c r="M188" s="21" t="s">
        <v>34</v>
      </c>
      <c r="N188" s="21" t="s">
        <v>16</v>
      </c>
      <c r="O188" s="24">
        <f t="shared" si="2"/>
        <v>7.519889311656866E-2</v>
      </c>
    </row>
    <row r="189" spans="1:15">
      <c r="A189" s="19" t="s">
        <v>289</v>
      </c>
      <c r="B189" s="19" t="s">
        <v>22</v>
      </c>
      <c r="C189" s="20">
        <v>45676</v>
      </c>
      <c r="D189" s="21" t="s">
        <v>23</v>
      </c>
      <c r="E189" s="22" t="s">
        <v>361</v>
      </c>
      <c r="F189" s="23">
        <v>1651</v>
      </c>
      <c r="G189" s="23">
        <v>480</v>
      </c>
      <c r="H189" s="23">
        <v>282</v>
      </c>
      <c r="I189" s="23">
        <v>32140</v>
      </c>
      <c r="J189" s="23">
        <v>70560</v>
      </c>
      <c r="K189" s="23">
        <v>138</v>
      </c>
      <c r="L189" s="21" t="s">
        <v>37</v>
      </c>
      <c r="M189" s="21" t="s">
        <v>34</v>
      </c>
      <c r="N189" s="21" t="s">
        <v>16</v>
      </c>
      <c r="O189" s="24">
        <f t="shared" si="2"/>
        <v>7.5077784691972627E-2</v>
      </c>
    </row>
    <row r="190" spans="1:15">
      <c r="A190" s="19" t="s">
        <v>164</v>
      </c>
      <c r="B190" s="19" t="s">
        <v>22</v>
      </c>
      <c r="C190" s="20">
        <v>45792</v>
      </c>
      <c r="D190" s="21" t="s">
        <v>14</v>
      </c>
      <c r="E190" s="22" t="s">
        <v>24</v>
      </c>
      <c r="F190" s="23">
        <v>1583</v>
      </c>
      <c r="G190" s="23">
        <v>433</v>
      </c>
      <c r="H190" s="23">
        <v>249</v>
      </c>
      <c r="I190" s="23">
        <v>30256</v>
      </c>
      <c r="J190" s="23">
        <v>47066</v>
      </c>
      <c r="K190" s="23">
        <v>196</v>
      </c>
      <c r="L190" s="21" t="s">
        <v>34</v>
      </c>
      <c r="M190" s="21"/>
      <c r="N190" s="21" t="s">
        <v>16</v>
      </c>
      <c r="O190" s="24">
        <f t="shared" si="2"/>
        <v>7.4861184558434685E-2</v>
      </c>
    </row>
    <row r="191" spans="1:15">
      <c r="A191" s="19" t="s">
        <v>28</v>
      </c>
      <c r="B191" s="19" t="s">
        <v>27</v>
      </c>
      <c r="C191" s="20">
        <v>45456</v>
      </c>
      <c r="D191" s="21" t="s">
        <v>14</v>
      </c>
      <c r="E191" s="22" t="s">
        <v>362</v>
      </c>
      <c r="F191" s="23">
        <v>3882</v>
      </c>
      <c r="G191" s="23">
        <v>239</v>
      </c>
      <c r="H191" s="23">
        <v>275</v>
      </c>
      <c r="I191" s="23">
        <v>58748</v>
      </c>
      <c r="J191" s="23">
        <v>44646</v>
      </c>
      <c r="K191" s="23">
        <v>149</v>
      </c>
      <c r="L191" s="21" t="s">
        <v>19</v>
      </c>
      <c r="M191" s="21" t="s">
        <v>365</v>
      </c>
      <c r="N191" s="21" t="s">
        <v>20</v>
      </c>
      <c r="O191" s="24">
        <f t="shared" si="2"/>
        <v>7.4828079253761837E-2</v>
      </c>
    </row>
    <row r="192" spans="1:15">
      <c r="A192" s="19" t="s">
        <v>39</v>
      </c>
      <c r="B192" s="19" t="s">
        <v>22</v>
      </c>
      <c r="C192" s="20">
        <v>45826</v>
      </c>
      <c r="D192" s="21" t="s">
        <v>23</v>
      </c>
      <c r="E192" s="22" t="s">
        <v>15</v>
      </c>
      <c r="F192" s="23">
        <v>3956</v>
      </c>
      <c r="G192" s="23">
        <v>319</v>
      </c>
      <c r="H192" s="23">
        <v>61</v>
      </c>
      <c r="I192" s="23">
        <v>58162</v>
      </c>
      <c r="J192" s="23">
        <v>28720</v>
      </c>
      <c r="K192" s="23">
        <v>213</v>
      </c>
      <c r="L192" s="21" t="s">
        <v>364</v>
      </c>
      <c r="M192" s="21" t="s">
        <v>34</v>
      </c>
      <c r="N192" s="21" t="s">
        <v>16</v>
      </c>
      <c r="O192" s="24">
        <f t="shared" si="2"/>
        <v>7.4550393727863554E-2</v>
      </c>
    </row>
    <row r="193" spans="1:15">
      <c r="A193" s="19" t="s">
        <v>208</v>
      </c>
      <c r="B193" s="19" t="s">
        <v>13</v>
      </c>
      <c r="C193" s="20">
        <v>45640</v>
      </c>
      <c r="D193" s="21" t="s">
        <v>23</v>
      </c>
      <c r="E193" s="22" t="s">
        <v>363</v>
      </c>
      <c r="F193" s="23">
        <v>3812</v>
      </c>
      <c r="G193" s="23">
        <v>321</v>
      </c>
      <c r="H193" s="23">
        <v>289</v>
      </c>
      <c r="I193" s="23">
        <v>59838</v>
      </c>
      <c r="J193" s="23">
        <v>36337</v>
      </c>
      <c r="K193" s="23">
        <v>161</v>
      </c>
      <c r="L193" s="21" t="s">
        <v>34</v>
      </c>
      <c r="M193" s="21"/>
      <c r="N193" s="21" t="s">
        <v>46</v>
      </c>
      <c r="O193" s="24">
        <f t="shared" si="2"/>
        <v>7.3899528727564417E-2</v>
      </c>
    </row>
    <row r="194" spans="1:15">
      <c r="A194" s="19" t="s">
        <v>298</v>
      </c>
      <c r="B194" s="19" t="s">
        <v>27</v>
      </c>
      <c r="C194" s="20">
        <v>45368</v>
      </c>
      <c r="D194" s="21" t="s">
        <v>48</v>
      </c>
      <c r="E194" s="22" t="s">
        <v>18</v>
      </c>
      <c r="F194" s="23">
        <v>2692</v>
      </c>
      <c r="G194" s="23">
        <v>446</v>
      </c>
      <c r="H194" s="23">
        <v>216</v>
      </c>
      <c r="I194" s="23">
        <v>45818</v>
      </c>
      <c r="J194" s="23">
        <v>62723</v>
      </c>
      <c r="K194" s="23">
        <v>85</v>
      </c>
      <c r="L194" s="21" t="s">
        <v>19</v>
      </c>
      <c r="M194" s="21" t="s">
        <v>37</v>
      </c>
      <c r="N194" s="21" t="s">
        <v>49</v>
      </c>
      <c r="O194" s="24">
        <f t="shared" ref="O194:O257" si="3" xml:space="preserve"> (F194+ G194 + H194) / I194</f>
        <v>7.3202671439172376E-2</v>
      </c>
    </row>
    <row r="195" spans="1:15">
      <c r="A195" s="19" t="s">
        <v>110</v>
      </c>
      <c r="B195" s="19" t="s">
        <v>13</v>
      </c>
      <c r="C195" s="20">
        <v>45825</v>
      </c>
      <c r="D195" s="21" t="s">
        <v>14</v>
      </c>
      <c r="E195" s="22" t="s">
        <v>361</v>
      </c>
      <c r="F195" s="23">
        <v>2284</v>
      </c>
      <c r="G195" s="23">
        <v>187</v>
      </c>
      <c r="H195" s="23">
        <v>260</v>
      </c>
      <c r="I195" s="23">
        <v>37400</v>
      </c>
      <c r="J195" s="23">
        <v>65014</v>
      </c>
      <c r="K195" s="23">
        <v>157</v>
      </c>
      <c r="L195" s="21" t="s">
        <v>37</v>
      </c>
      <c r="M195" s="21" t="s">
        <v>34</v>
      </c>
      <c r="N195" s="21" t="s">
        <v>16</v>
      </c>
      <c r="O195" s="24">
        <f t="shared" si="3"/>
        <v>7.3021390374331557E-2</v>
      </c>
    </row>
    <row r="196" spans="1:15">
      <c r="A196" s="19" t="s">
        <v>212</v>
      </c>
      <c r="B196" s="19" t="s">
        <v>13</v>
      </c>
      <c r="C196" s="20">
        <v>45370</v>
      </c>
      <c r="D196" s="21" t="s">
        <v>14</v>
      </c>
      <c r="E196" s="22" t="s">
        <v>363</v>
      </c>
      <c r="F196" s="23">
        <v>2878</v>
      </c>
      <c r="G196" s="23">
        <v>278</v>
      </c>
      <c r="H196" s="23">
        <v>255</v>
      </c>
      <c r="I196" s="23">
        <v>47235</v>
      </c>
      <c r="J196" s="23">
        <v>57922</v>
      </c>
      <c r="K196" s="23">
        <v>112</v>
      </c>
      <c r="L196" s="21" t="s">
        <v>37</v>
      </c>
      <c r="M196" s="21" t="s">
        <v>34</v>
      </c>
      <c r="N196" s="21" t="s">
        <v>16</v>
      </c>
      <c r="O196" s="24">
        <f t="shared" si="3"/>
        <v>7.2213401079707848E-2</v>
      </c>
    </row>
    <row r="197" spans="1:15">
      <c r="A197" s="19" t="s">
        <v>177</v>
      </c>
      <c r="B197" s="19" t="s">
        <v>22</v>
      </c>
      <c r="C197" s="20">
        <v>45312</v>
      </c>
      <c r="D197" s="21" t="s">
        <v>23</v>
      </c>
      <c r="E197" s="22" t="s">
        <v>15</v>
      </c>
      <c r="F197" s="23">
        <v>2383</v>
      </c>
      <c r="G197" s="23">
        <v>136</v>
      </c>
      <c r="H197" s="23">
        <v>302</v>
      </c>
      <c r="I197" s="23">
        <v>39187</v>
      </c>
      <c r="J197" s="23">
        <v>22133</v>
      </c>
      <c r="K197" s="23">
        <v>208</v>
      </c>
      <c r="L197" s="21" t="s">
        <v>364</v>
      </c>
      <c r="M197" s="21" t="s">
        <v>34</v>
      </c>
      <c r="N197" s="21" t="s">
        <v>16</v>
      </c>
      <c r="O197" s="24">
        <f t="shared" si="3"/>
        <v>7.1988159338556151E-2</v>
      </c>
    </row>
    <row r="198" spans="1:15">
      <c r="A198" s="19" t="s">
        <v>277</v>
      </c>
      <c r="B198" s="19" t="s">
        <v>22</v>
      </c>
      <c r="C198" s="20">
        <v>45551</v>
      </c>
      <c r="D198" s="21" t="s">
        <v>23</v>
      </c>
      <c r="E198" s="22" t="s">
        <v>42</v>
      </c>
      <c r="F198" s="23">
        <v>3300</v>
      </c>
      <c r="G198" s="23">
        <v>354</v>
      </c>
      <c r="H198" s="23">
        <v>397</v>
      </c>
      <c r="I198" s="23">
        <v>56773</v>
      </c>
      <c r="J198" s="23">
        <v>72110</v>
      </c>
      <c r="K198" s="23">
        <v>163</v>
      </c>
      <c r="L198" s="21" t="s">
        <v>19</v>
      </c>
      <c r="M198" s="21" t="s">
        <v>364</v>
      </c>
      <c r="N198" s="21" t="s">
        <v>16</v>
      </c>
      <c r="O198" s="24">
        <f t="shared" si="3"/>
        <v>7.1354340971940891E-2</v>
      </c>
    </row>
    <row r="199" spans="1:15">
      <c r="A199" s="19" t="s">
        <v>237</v>
      </c>
      <c r="B199" s="19" t="s">
        <v>22</v>
      </c>
      <c r="C199" s="20">
        <v>45387</v>
      </c>
      <c r="D199" s="21" t="s">
        <v>23</v>
      </c>
      <c r="E199" s="22" t="s">
        <v>360</v>
      </c>
      <c r="F199" s="23">
        <v>2857</v>
      </c>
      <c r="G199" s="23">
        <v>443</v>
      </c>
      <c r="H199" s="23">
        <v>359</v>
      </c>
      <c r="I199" s="23">
        <v>51519</v>
      </c>
      <c r="J199" s="23">
        <v>28256</v>
      </c>
      <c r="K199" s="23">
        <v>155</v>
      </c>
      <c r="L199" s="21" t="s">
        <v>37</v>
      </c>
      <c r="M199" s="21" t="s">
        <v>34</v>
      </c>
      <c r="N199" s="21" t="s">
        <v>16</v>
      </c>
      <c r="O199" s="24">
        <f t="shared" si="3"/>
        <v>7.1022341272152026E-2</v>
      </c>
    </row>
    <row r="200" spans="1:15">
      <c r="A200" s="19" t="s">
        <v>209</v>
      </c>
      <c r="B200" s="19" t="s">
        <v>22</v>
      </c>
      <c r="C200" s="20">
        <v>45615</v>
      </c>
      <c r="D200" s="21" t="s">
        <v>14</v>
      </c>
      <c r="E200" s="22" t="s">
        <v>18</v>
      </c>
      <c r="F200" s="23">
        <v>2387</v>
      </c>
      <c r="G200" s="23">
        <v>353</v>
      </c>
      <c r="H200" s="23">
        <v>78</v>
      </c>
      <c r="I200" s="23">
        <v>39745</v>
      </c>
      <c r="J200" s="23">
        <v>69226</v>
      </c>
      <c r="K200" s="23">
        <v>208</v>
      </c>
      <c r="L200" s="21" t="s">
        <v>37</v>
      </c>
      <c r="M200" s="21"/>
      <c r="N200" s="21" t="s">
        <v>20</v>
      </c>
      <c r="O200" s="24">
        <f t="shared" si="3"/>
        <v>7.090200025160398E-2</v>
      </c>
    </row>
    <row r="201" spans="1:15">
      <c r="A201" s="19" t="s">
        <v>156</v>
      </c>
      <c r="B201" s="19" t="s">
        <v>22</v>
      </c>
      <c r="C201" s="20">
        <v>45295</v>
      </c>
      <c r="D201" s="21" t="s">
        <v>23</v>
      </c>
      <c r="E201" s="22" t="s">
        <v>362</v>
      </c>
      <c r="F201" s="23">
        <v>3208</v>
      </c>
      <c r="G201" s="23">
        <v>476</v>
      </c>
      <c r="H201" s="23">
        <v>277</v>
      </c>
      <c r="I201" s="23">
        <v>56072</v>
      </c>
      <c r="J201" s="23">
        <v>21061</v>
      </c>
      <c r="K201" s="23">
        <v>113</v>
      </c>
      <c r="L201" s="21" t="s">
        <v>364</v>
      </c>
      <c r="M201" s="21" t="s">
        <v>34</v>
      </c>
      <c r="N201" s="21" t="s">
        <v>16</v>
      </c>
      <c r="O201" s="24">
        <f t="shared" si="3"/>
        <v>7.064131830503638E-2</v>
      </c>
    </row>
    <row r="202" spans="1:15">
      <c r="A202" s="19" t="s">
        <v>171</v>
      </c>
      <c r="B202" s="19" t="s">
        <v>27</v>
      </c>
      <c r="C202" s="20">
        <v>45566</v>
      </c>
      <c r="D202" s="21" t="s">
        <v>48</v>
      </c>
      <c r="E202" s="22" t="s">
        <v>18</v>
      </c>
      <c r="F202" s="23">
        <v>3543</v>
      </c>
      <c r="G202" s="23">
        <v>334</v>
      </c>
      <c r="H202" s="23">
        <v>218</v>
      </c>
      <c r="I202" s="23">
        <v>58007</v>
      </c>
      <c r="J202" s="23">
        <v>24792</v>
      </c>
      <c r="K202" s="23">
        <v>273</v>
      </c>
      <c r="L202" s="21" t="s">
        <v>19</v>
      </c>
      <c r="M202" s="21" t="s">
        <v>37</v>
      </c>
      <c r="N202" s="21" t="s">
        <v>49</v>
      </c>
      <c r="O202" s="24">
        <f t="shared" si="3"/>
        <v>7.0594928198320889E-2</v>
      </c>
    </row>
    <row r="203" spans="1:15">
      <c r="A203" s="19" t="s">
        <v>21</v>
      </c>
      <c r="B203" s="19" t="s">
        <v>22</v>
      </c>
      <c r="C203" s="20">
        <v>45629</v>
      </c>
      <c r="D203" s="21" t="s">
        <v>23</v>
      </c>
      <c r="E203" s="22" t="s">
        <v>24</v>
      </c>
      <c r="F203" s="23">
        <v>3092</v>
      </c>
      <c r="G203" s="23">
        <v>177</v>
      </c>
      <c r="H203" s="23">
        <v>81</v>
      </c>
      <c r="I203" s="23">
        <v>47533</v>
      </c>
      <c r="J203" s="23">
        <v>29220</v>
      </c>
      <c r="K203" s="23">
        <v>121</v>
      </c>
      <c r="L203" s="21" t="s">
        <v>364</v>
      </c>
      <c r="M203" s="21" t="s">
        <v>34</v>
      </c>
      <c r="N203" s="21" t="s">
        <v>16</v>
      </c>
      <c r="O203" s="24">
        <f t="shared" si="3"/>
        <v>7.0477352576105018E-2</v>
      </c>
    </row>
    <row r="204" spans="1:15">
      <c r="A204" s="19" t="s">
        <v>59</v>
      </c>
      <c r="B204" s="19" t="s">
        <v>22</v>
      </c>
      <c r="C204" s="20">
        <v>45734</v>
      </c>
      <c r="D204" s="21" t="s">
        <v>23</v>
      </c>
      <c r="E204" s="22" t="s">
        <v>18</v>
      </c>
      <c r="F204" s="23">
        <v>3418</v>
      </c>
      <c r="G204" s="23">
        <v>188</v>
      </c>
      <c r="H204" s="23">
        <v>387</v>
      </c>
      <c r="I204" s="23">
        <v>57431</v>
      </c>
      <c r="J204" s="23">
        <v>36933</v>
      </c>
      <c r="K204" s="23">
        <v>202</v>
      </c>
      <c r="L204" s="21" t="s">
        <v>364</v>
      </c>
      <c r="M204" s="21" t="s">
        <v>34</v>
      </c>
      <c r="N204" s="21" t="s">
        <v>16</v>
      </c>
      <c r="O204" s="24">
        <f t="shared" si="3"/>
        <v>6.9526910553533799E-2</v>
      </c>
    </row>
    <row r="205" spans="1:15">
      <c r="A205" s="19" t="s">
        <v>181</v>
      </c>
      <c r="B205" s="19" t="s">
        <v>13</v>
      </c>
      <c r="C205" s="20">
        <v>45516</v>
      </c>
      <c r="D205" s="21" t="s">
        <v>23</v>
      </c>
      <c r="E205" s="22" t="s">
        <v>15</v>
      </c>
      <c r="F205" s="23">
        <v>2962</v>
      </c>
      <c r="G205" s="23">
        <v>400</v>
      </c>
      <c r="H205" s="23">
        <v>280</v>
      </c>
      <c r="I205" s="23">
        <v>52508</v>
      </c>
      <c r="J205" s="23">
        <v>58329</v>
      </c>
      <c r="K205" s="23">
        <v>219</v>
      </c>
      <c r="L205" s="21" t="s">
        <v>34</v>
      </c>
      <c r="M205" s="21"/>
      <c r="N205" s="21" t="s">
        <v>46</v>
      </c>
      <c r="O205" s="24">
        <f t="shared" si="3"/>
        <v>6.9360859297630834E-2</v>
      </c>
    </row>
    <row r="206" spans="1:15">
      <c r="A206" s="19" t="s">
        <v>129</v>
      </c>
      <c r="B206" s="19" t="s">
        <v>22</v>
      </c>
      <c r="C206" s="20">
        <v>45580</v>
      </c>
      <c r="D206" s="21" t="s">
        <v>14</v>
      </c>
      <c r="E206" s="22" t="s">
        <v>360</v>
      </c>
      <c r="F206" s="23">
        <v>1984</v>
      </c>
      <c r="G206" s="23">
        <v>481</v>
      </c>
      <c r="H206" s="23">
        <v>356</v>
      </c>
      <c r="I206" s="23">
        <v>40681</v>
      </c>
      <c r="J206" s="23">
        <v>63111</v>
      </c>
      <c r="K206" s="23">
        <v>258</v>
      </c>
      <c r="L206" s="21" t="s">
        <v>34</v>
      </c>
      <c r="M206" s="21"/>
      <c r="N206" s="21" t="s">
        <v>16</v>
      </c>
      <c r="O206" s="24">
        <f t="shared" si="3"/>
        <v>6.934441139598338E-2</v>
      </c>
    </row>
    <row r="207" spans="1:15">
      <c r="A207" s="19" t="s">
        <v>291</v>
      </c>
      <c r="B207" s="19" t="s">
        <v>22</v>
      </c>
      <c r="C207" s="20">
        <v>45612</v>
      </c>
      <c r="D207" s="21" t="s">
        <v>14</v>
      </c>
      <c r="E207" s="22" t="s">
        <v>363</v>
      </c>
      <c r="F207" s="23">
        <v>2972</v>
      </c>
      <c r="G207" s="23">
        <v>263</v>
      </c>
      <c r="H207" s="23">
        <v>308</v>
      </c>
      <c r="I207" s="23">
        <v>51740</v>
      </c>
      <c r="J207" s="23">
        <v>28214</v>
      </c>
      <c r="K207" s="23">
        <v>190</v>
      </c>
      <c r="L207" s="21" t="s">
        <v>37</v>
      </c>
      <c r="M207" s="21"/>
      <c r="N207" s="21" t="s">
        <v>20</v>
      </c>
      <c r="O207" s="24">
        <f t="shared" si="3"/>
        <v>6.8477000386548123E-2</v>
      </c>
    </row>
    <row r="208" spans="1:15">
      <c r="A208" s="19" t="s">
        <v>261</v>
      </c>
      <c r="B208" s="19" t="s">
        <v>13</v>
      </c>
      <c r="C208" s="20">
        <v>45379</v>
      </c>
      <c r="D208" s="21" t="s">
        <v>14</v>
      </c>
      <c r="E208" s="22" t="s">
        <v>362</v>
      </c>
      <c r="F208" s="23">
        <v>1673</v>
      </c>
      <c r="G208" s="23">
        <v>280</v>
      </c>
      <c r="H208" s="23">
        <v>67</v>
      </c>
      <c r="I208" s="23">
        <v>29847</v>
      </c>
      <c r="J208" s="23">
        <v>48016</v>
      </c>
      <c r="K208" s="23">
        <v>213</v>
      </c>
      <c r="L208" s="21" t="s">
        <v>37</v>
      </c>
      <c r="M208" s="21" t="s">
        <v>34</v>
      </c>
      <c r="N208" s="21" t="s">
        <v>16</v>
      </c>
      <c r="O208" s="24">
        <f t="shared" si="3"/>
        <v>6.76784936509532E-2</v>
      </c>
    </row>
    <row r="209" spans="1:15">
      <c r="A209" s="19" t="s">
        <v>133</v>
      </c>
      <c r="B209" s="19" t="s">
        <v>13</v>
      </c>
      <c r="C209" s="20">
        <v>45336</v>
      </c>
      <c r="D209" s="21" t="s">
        <v>14</v>
      </c>
      <c r="E209" s="22" t="s">
        <v>361</v>
      </c>
      <c r="F209" s="23">
        <v>1830</v>
      </c>
      <c r="G209" s="23">
        <v>112</v>
      </c>
      <c r="H209" s="23">
        <v>181</v>
      </c>
      <c r="I209" s="23">
        <v>31870</v>
      </c>
      <c r="J209" s="23">
        <v>55742</v>
      </c>
      <c r="K209" s="23">
        <v>263</v>
      </c>
      <c r="L209" s="21" t="s">
        <v>37</v>
      </c>
      <c r="M209" s="21" t="s">
        <v>34</v>
      </c>
      <c r="N209" s="21" t="s">
        <v>16</v>
      </c>
      <c r="O209" s="24">
        <f t="shared" si="3"/>
        <v>6.6614370881706936E-2</v>
      </c>
    </row>
    <row r="210" spans="1:15">
      <c r="A210" s="19" t="s">
        <v>308</v>
      </c>
      <c r="B210" s="19" t="s">
        <v>13</v>
      </c>
      <c r="C210" s="20">
        <v>45628</v>
      </c>
      <c r="D210" s="21" t="s">
        <v>14</v>
      </c>
      <c r="E210" s="22" t="s">
        <v>33</v>
      </c>
      <c r="F210" s="23">
        <v>3194</v>
      </c>
      <c r="G210" s="23">
        <v>292</v>
      </c>
      <c r="H210" s="23">
        <v>245</v>
      </c>
      <c r="I210" s="23">
        <v>56371</v>
      </c>
      <c r="J210" s="23">
        <v>65597</v>
      </c>
      <c r="K210" s="23">
        <v>163</v>
      </c>
      <c r="L210" s="21" t="s">
        <v>37</v>
      </c>
      <c r="M210" s="21" t="s">
        <v>34</v>
      </c>
      <c r="N210" s="21" t="s">
        <v>16</v>
      </c>
      <c r="O210" s="24">
        <f t="shared" si="3"/>
        <v>6.6186514342481059E-2</v>
      </c>
    </row>
    <row r="211" spans="1:15">
      <c r="A211" s="19" t="s">
        <v>303</v>
      </c>
      <c r="B211" s="19" t="s">
        <v>22</v>
      </c>
      <c r="C211" s="20">
        <v>45334</v>
      </c>
      <c r="D211" s="21" t="s">
        <v>14</v>
      </c>
      <c r="E211" s="22" t="s">
        <v>18</v>
      </c>
      <c r="F211" s="23">
        <v>2691</v>
      </c>
      <c r="G211" s="23">
        <v>486</v>
      </c>
      <c r="H211" s="23">
        <v>206</v>
      </c>
      <c r="I211" s="23">
        <v>51133</v>
      </c>
      <c r="J211" s="23">
        <v>44583</v>
      </c>
      <c r="K211" s="23">
        <v>276</v>
      </c>
      <c r="L211" s="21" t="s">
        <v>34</v>
      </c>
      <c r="M211" s="21"/>
      <c r="N211" s="21" t="s">
        <v>16</v>
      </c>
      <c r="O211" s="24">
        <f t="shared" si="3"/>
        <v>6.6160796354604659E-2</v>
      </c>
    </row>
    <row r="212" spans="1:15">
      <c r="A212" s="19" t="s">
        <v>223</v>
      </c>
      <c r="B212" s="19" t="s">
        <v>27</v>
      </c>
      <c r="C212" s="20">
        <v>45447</v>
      </c>
      <c r="D212" s="21" t="s">
        <v>48</v>
      </c>
      <c r="E212" s="22" t="s">
        <v>360</v>
      </c>
      <c r="F212" s="23">
        <v>1211</v>
      </c>
      <c r="G212" s="23">
        <v>431</v>
      </c>
      <c r="H212" s="23">
        <v>83</v>
      </c>
      <c r="I212" s="23">
        <v>26532</v>
      </c>
      <c r="J212" s="23">
        <v>47305</v>
      </c>
      <c r="K212" s="23">
        <v>232</v>
      </c>
      <c r="L212" s="21" t="s">
        <v>19</v>
      </c>
      <c r="M212" s="21" t="s">
        <v>37</v>
      </c>
      <c r="N212" s="21" t="s">
        <v>49</v>
      </c>
      <c r="O212" s="24">
        <f t="shared" si="3"/>
        <v>6.5015829941203071E-2</v>
      </c>
    </row>
    <row r="213" spans="1:15">
      <c r="A213" s="19" t="s">
        <v>265</v>
      </c>
      <c r="B213" s="19" t="s">
        <v>27</v>
      </c>
      <c r="C213" s="20">
        <v>45542</v>
      </c>
      <c r="D213" s="21" t="s">
        <v>14</v>
      </c>
      <c r="E213" s="22" t="s">
        <v>42</v>
      </c>
      <c r="F213" s="23">
        <v>2101</v>
      </c>
      <c r="G213" s="23">
        <v>411</v>
      </c>
      <c r="H213" s="23">
        <v>190</v>
      </c>
      <c r="I213" s="23">
        <v>41791</v>
      </c>
      <c r="J213" s="23">
        <v>57090</v>
      </c>
      <c r="K213" s="23">
        <v>172</v>
      </c>
      <c r="L213" s="21" t="s">
        <v>19</v>
      </c>
      <c r="M213" s="21" t="s">
        <v>365</v>
      </c>
      <c r="N213" s="21" t="s">
        <v>20</v>
      </c>
      <c r="O213" s="24">
        <f t="shared" si="3"/>
        <v>6.4655069273288512E-2</v>
      </c>
    </row>
    <row r="214" spans="1:15">
      <c r="A214" s="19" t="s">
        <v>47</v>
      </c>
      <c r="B214" s="19" t="s">
        <v>27</v>
      </c>
      <c r="C214" s="20">
        <v>45458</v>
      </c>
      <c r="D214" s="21" t="s">
        <v>48</v>
      </c>
      <c r="E214" s="22" t="s">
        <v>30</v>
      </c>
      <c r="F214" s="23">
        <v>1751</v>
      </c>
      <c r="G214" s="23">
        <v>143</v>
      </c>
      <c r="H214" s="23">
        <v>151</v>
      </c>
      <c r="I214" s="23">
        <v>31826</v>
      </c>
      <c r="J214" s="23">
        <v>47729</v>
      </c>
      <c r="K214" s="23">
        <v>95</v>
      </c>
      <c r="L214" s="21" t="s">
        <v>19</v>
      </c>
      <c r="M214" s="21" t="s">
        <v>37</v>
      </c>
      <c r="N214" s="21" t="s">
        <v>49</v>
      </c>
      <c r="O214" s="24">
        <f t="shared" si="3"/>
        <v>6.4255640042732362E-2</v>
      </c>
    </row>
    <row r="215" spans="1:15">
      <c r="A215" s="19" t="s">
        <v>123</v>
      </c>
      <c r="B215" s="19" t="s">
        <v>13</v>
      </c>
      <c r="C215" s="20">
        <v>45351</v>
      </c>
      <c r="D215" s="21" t="s">
        <v>14</v>
      </c>
      <c r="E215" s="22" t="s">
        <v>363</v>
      </c>
      <c r="F215" s="23">
        <v>1100</v>
      </c>
      <c r="G215" s="23">
        <v>229</v>
      </c>
      <c r="H215" s="23">
        <v>312</v>
      </c>
      <c r="I215" s="23">
        <v>25641</v>
      </c>
      <c r="J215" s="23">
        <v>34601</v>
      </c>
      <c r="K215" s="23">
        <v>169</v>
      </c>
      <c r="L215" s="21" t="s">
        <v>19</v>
      </c>
      <c r="M215" s="21"/>
      <c r="N215" s="21" t="s">
        <v>20</v>
      </c>
      <c r="O215" s="24">
        <f t="shared" si="3"/>
        <v>6.3999063999063993E-2</v>
      </c>
    </row>
    <row r="216" spans="1:15">
      <c r="A216" s="19" t="s">
        <v>66</v>
      </c>
      <c r="B216" s="19" t="s">
        <v>13</v>
      </c>
      <c r="C216" s="20">
        <v>45416</v>
      </c>
      <c r="D216" s="21" t="s">
        <v>14</v>
      </c>
      <c r="E216" s="22" t="s">
        <v>360</v>
      </c>
      <c r="F216" s="23">
        <v>2274</v>
      </c>
      <c r="G216" s="23">
        <v>243</v>
      </c>
      <c r="H216" s="23">
        <v>222</v>
      </c>
      <c r="I216" s="23">
        <v>43066</v>
      </c>
      <c r="J216" s="23">
        <v>59174</v>
      </c>
      <c r="K216" s="23">
        <v>80</v>
      </c>
      <c r="L216" s="21" t="s">
        <v>19</v>
      </c>
      <c r="M216" s="21"/>
      <c r="N216" s="21" t="s">
        <v>20</v>
      </c>
      <c r="O216" s="24">
        <f t="shared" si="3"/>
        <v>6.3600055728416843E-2</v>
      </c>
    </row>
    <row r="217" spans="1:15">
      <c r="A217" s="19" t="s">
        <v>231</v>
      </c>
      <c r="B217" s="19" t="s">
        <v>22</v>
      </c>
      <c r="C217" s="20">
        <v>45547</v>
      </c>
      <c r="D217" s="21" t="s">
        <v>23</v>
      </c>
      <c r="E217" s="22" t="s">
        <v>360</v>
      </c>
      <c r="F217" s="23">
        <v>1839</v>
      </c>
      <c r="G217" s="23">
        <v>223</v>
      </c>
      <c r="H217" s="23">
        <v>171</v>
      </c>
      <c r="I217" s="23">
        <v>35459</v>
      </c>
      <c r="J217" s="23">
        <v>69988</v>
      </c>
      <c r="K217" s="23">
        <v>114</v>
      </c>
      <c r="L217" s="21" t="s">
        <v>364</v>
      </c>
      <c r="M217" s="21" t="s">
        <v>34</v>
      </c>
      <c r="N217" s="21" t="s">
        <v>16</v>
      </c>
      <c r="O217" s="24">
        <f t="shared" si="3"/>
        <v>6.2974139146620034E-2</v>
      </c>
    </row>
    <row r="218" spans="1:15">
      <c r="A218" s="19" t="s">
        <v>214</v>
      </c>
      <c r="B218" s="19" t="s">
        <v>22</v>
      </c>
      <c r="C218" s="20">
        <v>45486</v>
      </c>
      <c r="D218" s="21" t="s">
        <v>23</v>
      </c>
      <c r="E218" s="22" t="s">
        <v>30</v>
      </c>
      <c r="F218" s="23">
        <v>2408</v>
      </c>
      <c r="G218" s="23">
        <v>323</v>
      </c>
      <c r="H218" s="23">
        <v>251</v>
      </c>
      <c r="I218" s="23">
        <v>47599</v>
      </c>
      <c r="J218" s="23">
        <v>35543</v>
      </c>
      <c r="K218" s="23">
        <v>287</v>
      </c>
      <c r="L218" s="21" t="s">
        <v>364</v>
      </c>
      <c r="M218" s="21" t="s">
        <v>34</v>
      </c>
      <c r="N218" s="21" t="s">
        <v>16</v>
      </c>
      <c r="O218" s="24">
        <f t="shared" si="3"/>
        <v>6.2648374965860634E-2</v>
      </c>
    </row>
    <row r="219" spans="1:15">
      <c r="A219" s="19" t="s">
        <v>135</v>
      </c>
      <c r="B219" s="19" t="s">
        <v>22</v>
      </c>
      <c r="C219" s="20">
        <v>45553</v>
      </c>
      <c r="D219" s="21" t="s">
        <v>14</v>
      </c>
      <c r="E219" s="22" t="s">
        <v>15</v>
      </c>
      <c r="F219" s="23">
        <v>2878</v>
      </c>
      <c r="G219" s="23">
        <v>265</v>
      </c>
      <c r="H219" s="23">
        <v>91</v>
      </c>
      <c r="I219" s="23">
        <v>52090</v>
      </c>
      <c r="J219" s="23">
        <v>28924</v>
      </c>
      <c r="K219" s="23">
        <v>133</v>
      </c>
      <c r="L219" s="21" t="s">
        <v>34</v>
      </c>
      <c r="M219" s="21"/>
      <c r="N219" s="21" t="s">
        <v>16</v>
      </c>
      <c r="O219" s="24">
        <f t="shared" si="3"/>
        <v>6.2084853138798232E-2</v>
      </c>
    </row>
    <row r="220" spans="1:15">
      <c r="A220" s="19" t="s">
        <v>297</v>
      </c>
      <c r="B220" s="19" t="s">
        <v>27</v>
      </c>
      <c r="C220" s="20">
        <v>45604</v>
      </c>
      <c r="D220" s="21" t="s">
        <v>14</v>
      </c>
      <c r="E220" s="22" t="s">
        <v>33</v>
      </c>
      <c r="F220" s="23">
        <v>2471</v>
      </c>
      <c r="G220" s="23">
        <v>166</v>
      </c>
      <c r="H220" s="23">
        <v>320</v>
      </c>
      <c r="I220" s="23">
        <v>48254</v>
      </c>
      <c r="J220" s="23">
        <v>46900</v>
      </c>
      <c r="K220" s="23">
        <v>111</v>
      </c>
      <c r="L220" s="21" t="s">
        <v>19</v>
      </c>
      <c r="M220" s="21" t="s">
        <v>365</v>
      </c>
      <c r="N220" s="21" t="s">
        <v>20</v>
      </c>
      <c r="O220" s="24">
        <f t="shared" si="3"/>
        <v>6.1279893894806647E-2</v>
      </c>
    </row>
    <row r="221" spans="1:15">
      <c r="A221" s="19" t="s">
        <v>117</v>
      </c>
      <c r="B221" s="19" t="s">
        <v>22</v>
      </c>
      <c r="C221" s="20">
        <v>45405</v>
      </c>
      <c r="D221" s="21" t="s">
        <v>23</v>
      </c>
      <c r="E221" s="22" t="s">
        <v>15</v>
      </c>
      <c r="F221" s="23">
        <v>2683</v>
      </c>
      <c r="G221" s="23">
        <v>496</v>
      </c>
      <c r="H221" s="23">
        <v>89</v>
      </c>
      <c r="I221" s="23">
        <v>53435</v>
      </c>
      <c r="J221" s="23">
        <v>30334</v>
      </c>
      <c r="K221" s="23">
        <v>160</v>
      </c>
      <c r="L221" s="21" t="s">
        <v>37</v>
      </c>
      <c r="M221" s="21" t="s">
        <v>34</v>
      </c>
      <c r="N221" s="21" t="s">
        <v>16</v>
      </c>
      <c r="O221" s="24">
        <f t="shared" si="3"/>
        <v>6.1158416768035934E-2</v>
      </c>
    </row>
    <row r="222" spans="1:15">
      <c r="A222" s="19" t="s">
        <v>328</v>
      </c>
      <c r="B222" s="19" t="s">
        <v>22</v>
      </c>
      <c r="C222" s="20">
        <v>45838</v>
      </c>
      <c r="D222" s="21" t="s">
        <v>14</v>
      </c>
      <c r="E222" s="22" t="s">
        <v>362</v>
      </c>
      <c r="F222" s="23">
        <v>2275</v>
      </c>
      <c r="G222" s="23">
        <v>285</v>
      </c>
      <c r="H222" s="23">
        <v>125</v>
      </c>
      <c r="I222" s="23">
        <v>43970</v>
      </c>
      <c r="J222" s="23">
        <v>74761</v>
      </c>
      <c r="K222" s="23">
        <v>83</v>
      </c>
      <c r="L222" s="21" t="s">
        <v>34</v>
      </c>
      <c r="M222" s="21"/>
      <c r="N222" s="21" t="s">
        <v>16</v>
      </c>
      <c r="O222" s="24">
        <f t="shared" si="3"/>
        <v>6.1064362065044349E-2</v>
      </c>
    </row>
    <row r="223" spans="1:15">
      <c r="A223" s="19" t="s">
        <v>174</v>
      </c>
      <c r="B223" s="19" t="s">
        <v>13</v>
      </c>
      <c r="C223" s="20">
        <v>45702</v>
      </c>
      <c r="D223" s="21" t="s">
        <v>14</v>
      </c>
      <c r="E223" s="22" t="s">
        <v>15</v>
      </c>
      <c r="F223" s="23">
        <v>2329</v>
      </c>
      <c r="G223" s="23">
        <v>373</v>
      </c>
      <c r="H223" s="23">
        <v>291</v>
      </c>
      <c r="I223" s="23">
        <v>49577</v>
      </c>
      <c r="J223" s="23">
        <v>28002</v>
      </c>
      <c r="K223" s="23">
        <v>82</v>
      </c>
      <c r="L223" s="21" t="s">
        <v>37</v>
      </c>
      <c r="M223" s="21" t="s">
        <v>34</v>
      </c>
      <c r="N223" s="21" t="s">
        <v>16</v>
      </c>
      <c r="O223" s="24">
        <f t="shared" si="3"/>
        <v>6.0370736430199488E-2</v>
      </c>
    </row>
    <row r="224" spans="1:15">
      <c r="A224" s="19" t="s">
        <v>115</v>
      </c>
      <c r="B224" s="19" t="s">
        <v>13</v>
      </c>
      <c r="C224" s="20">
        <v>45522</v>
      </c>
      <c r="D224" s="21" t="s">
        <v>14</v>
      </c>
      <c r="E224" s="22" t="s">
        <v>18</v>
      </c>
      <c r="F224" s="23">
        <v>2965</v>
      </c>
      <c r="G224" s="23">
        <v>328</v>
      </c>
      <c r="H224" s="23">
        <v>171</v>
      </c>
      <c r="I224" s="23">
        <v>57685</v>
      </c>
      <c r="J224" s="23">
        <v>67536</v>
      </c>
      <c r="K224" s="23">
        <v>264</v>
      </c>
      <c r="L224" s="21" t="s">
        <v>37</v>
      </c>
      <c r="M224" s="21" t="s">
        <v>34</v>
      </c>
      <c r="N224" s="21" t="s">
        <v>16</v>
      </c>
      <c r="O224" s="24">
        <f t="shared" si="3"/>
        <v>6.0050273034584378E-2</v>
      </c>
    </row>
    <row r="225" spans="1:15">
      <c r="A225" s="19" t="s">
        <v>327</v>
      </c>
      <c r="B225" s="19" t="s">
        <v>22</v>
      </c>
      <c r="C225" s="20">
        <v>45612</v>
      </c>
      <c r="D225" s="21" t="s">
        <v>14</v>
      </c>
      <c r="E225" s="22" t="s">
        <v>18</v>
      </c>
      <c r="F225" s="23">
        <v>2901</v>
      </c>
      <c r="G225" s="23">
        <v>108</v>
      </c>
      <c r="H225" s="23">
        <v>86</v>
      </c>
      <c r="I225" s="23">
        <v>51777</v>
      </c>
      <c r="J225" s="23">
        <v>23773</v>
      </c>
      <c r="K225" s="23">
        <v>160</v>
      </c>
      <c r="L225" s="21" t="s">
        <v>37</v>
      </c>
      <c r="M225" s="21"/>
      <c r="N225" s="21" t="s">
        <v>20</v>
      </c>
      <c r="O225" s="24">
        <f t="shared" si="3"/>
        <v>5.9775576027966085E-2</v>
      </c>
    </row>
    <row r="226" spans="1:15">
      <c r="A226" s="19" t="s">
        <v>184</v>
      </c>
      <c r="B226" s="19" t="s">
        <v>13</v>
      </c>
      <c r="C226" s="20">
        <v>45615</v>
      </c>
      <c r="D226" s="21" t="s">
        <v>14</v>
      </c>
      <c r="E226" s="22" t="s">
        <v>362</v>
      </c>
      <c r="F226" s="23">
        <v>2525</v>
      </c>
      <c r="G226" s="23">
        <v>272</v>
      </c>
      <c r="H226" s="23">
        <v>294</v>
      </c>
      <c r="I226" s="23">
        <v>51875</v>
      </c>
      <c r="J226" s="23">
        <v>24732</v>
      </c>
      <c r="K226" s="23">
        <v>92</v>
      </c>
      <c r="L226" s="21" t="s">
        <v>19</v>
      </c>
      <c r="M226" s="21"/>
      <c r="N226" s="21" t="s">
        <v>20</v>
      </c>
      <c r="O226" s="24">
        <f t="shared" si="3"/>
        <v>5.9585542168674697E-2</v>
      </c>
    </row>
    <row r="227" spans="1:15">
      <c r="A227" s="19" t="s">
        <v>112</v>
      </c>
      <c r="B227" s="19" t="s">
        <v>13</v>
      </c>
      <c r="C227" s="20">
        <v>45530</v>
      </c>
      <c r="D227" s="21" t="s">
        <v>14</v>
      </c>
      <c r="E227" s="22" t="s">
        <v>42</v>
      </c>
      <c r="F227" s="23">
        <v>2102</v>
      </c>
      <c r="G227" s="23">
        <v>181</v>
      </c>
      <c r="H227" s="23">
        <v>306</v>
      </c>
      <c r="I227" s="23">
        <v>43650</v>
      </c>
      <c r="J227" s="23">
        <v>50079</v>
      </c>
      <c r="K227" s="23">
        <v>182</v>
      </c>
      <c r="L227" s="21" t="s">
        <v>19</v>
      </c>
      <c r="M227" s="21"/>
      <c r="N227" s="21" t="s">
        <v>20</v>
      </c>
      <c r="O227" s="24">
        <f t="shared" si="3"/>
        <v>5.9312714776632303E-2</v>
      </c>
    </row>
    <row r="228" spans="1:15">
      <c r="A228" s="19" t="s">
        <v>153</v>
      </c>
      <c r="B228" s="19" t="s">
        <v>27</v>
      </c>
      <c r="C228" s="20">
        <v>45424</v>
      </c>
      <c r="D228" s="21" t="s">
        <v>14</v>
      </c>
      <c r="E228" s="22" t="s">
        <v>363</v>
      </c>
      <c r="F228" s="23">
        <v>2911</v>
      </c>
      <c r="G228" s="23">
        <v>467</v>
      </c>
      <c r="H228" s="23">
        <v>94</v>
      </c>
      <c r="I228" s="23">
        <v>59083</v>
      </c>
      <c r="J228" s="23">
        <v>49762</v>
      </c>
      <c r="K228" s="23">
        <v>236</v>
      </c>
      <c r="L228" s="21" t="s">
        <v>19</v>
      </c>
      <c r="M228" s="21" t="s">
        <v>365</v>
      </c>
      <c r="N228" s="21" t="s">
        <v>20</v>
      </c>
      <c r="O228" s="24">
        <f t="shared" si="3"/>
        <v>5.8764788517847777E-2</v>
      </c>
    </row>
    <row r="229" spans="1:15">
      <c r="A229" s="19" t="s">
        <v>83</v>
      </c>
      <c r="B229" s="19" t="s">
        <v>22</v>
      </c>
      <c r="C229" s="20">
        <v>45516</v>
      </c>
      <c r="D229" s="21" t="s">
        <v>23</v>
      </c>
      <c r="E229" s="22" t="s">
        <v>362</v>
      </c>
      <c r="F229" s="23">
        <v>2842</v>
      </c>
      <c r="G229" s="23">
        <v>213</v>
      </c>
      <c r="H229" s="23">
        <v>331</v>
      </c>
      <c r="I229" s="23">
        <v>57660</v>
      </c>
      <c r="J229" s="23">
        <v>68606</v>
      </c>
      <c r="K229" s="23">
        <v>87</v>
      </c>
      <c r="L229" s="21" t="s">
        <v>364</v>
      </c>
      <c r="M229" s="21" t="s">
        <v>34</v>
      </c>
      <c r="N229" s="21" t="s">
        <v>16</v>
      </c>
      <c r="O229" s="24">
        <f t="shared" si="3"/>
        <v>5.8723551855705859E-2</v>
      </c>
    </row>
    <row r="230" spans="1:15">
      <c r="A230" s="19" t="s">
        <v>321</v>
      </c>
      <c r="B230" s="19" t="s">
        <v>13</v>
      </c>
      <c r="C230" s="20">
        <v>45472</v>
      </c>
      <c r="D230" s="21" t="s">
        <v>14</v>
      </c>
      <c r="E230" s="22" t="s">
        <v>42</v>
      </c>
      <c r="F230" s="23">
        <v>2088</v>
      </c>
      <c r="G230" s="23">
        <v>490</v>
      </c>
      <c r="H230" s="23">
        <v>124</v>
      </c>
      <c r="I230" s="23">
        <v>46544</v>
      </c>
      <c r="J230" s="23">
        <v>69346</v>
      </c>
      <c r="K230" s="23">
        <v>178</v>
      </c>
      <c r="L230" s="21" t="s">
        <v>37</v>
      </c>
      <c r="M230" s="21" t="s">
        <v>34</v>
      </c>
      <c r="N230" s="21" t="s">
        <v>16</v>
      </c>
      <c r="O230" s="24">
        <f t="shared" si="3"/>
        <v>5.8052595393606049E-2</v>
      </c>
    </row>
    <row r="231" spans="1:15">
      <c r="A231" s="19" t="s">
        <v>149</v>
      </c>
      <c r="B231" s="19" t="s">
        <v>22</v>
      </c>
      <c r="C231" s="20">
        <v>45806</v>
      </c>
      <c r="D231" s="21" t="s">
        <v>23</v>
      </c>
      <c r="E231" s="22" t="s">
        <v>361</v>
      </c>
      <c r="F231" s="23">
        <v>2134</v>
      </c>
      <c r="G231" s="23">
        <v>322</v>
      </c>
      <c r="H231" s="23">
        <v>114</v>
      </c>
      <c r="I231" s="23">
        <v>44338</v>
      </c>
      <c r="J231" s="23">
        <v>52165</v>
      </c>
      <c r="K231" s="23">
        <v>176</v>
      </c>
      <c r="L231" s="21" t="s">
        <v>364</v>
      </c>
      <c r="M231" s="21" t="s">
        <v>34</v>
      </c>
      <c r="N231" s="21" t="s">
        <v>16</v>
      </c>
      <c r="O231" s="24">
        <f t="shared" si="3"/>
        <v>5.7963823356939871E-2</v>
      </c>
    </row>
    <row r="232" spans="1:15">
      <c r="A232" s="19" t="s">
        <v>306</v>
      </c>
      <c r="B232" s="19" t="s">
        <v>22</v>
      </c>
      <c r="C232" s="20">
        <v>45720</v>
      </c>
      <c r="D232" s="21" t="s">
        <v>14</v>
      </c>
      <c r="E232" s="22" t="s">
        <v>15</v>
      </c>
      <c r="F232" s="23">
        <v>2177</v>
      </c>
      <c r="G232" s="23">
        <v>258</v>
      </c>
      <c r="H232" s="23">
        <v>292</v>
      </c>
      <c r="I232" s="23">
        <v>47276</v>
      </c>
      <c r="J232" s="23">
        <v>51324</v>
      </c>
      <c r="K232" s="23">
        <v>143</v>
      </c>
      <c r="L232" s="21" t="s">
        <v>34</v>
      </c>
      <c r="M232" s="21"/>
      <c r="N232" s="21" t="s">
        <v>16</v>
      </c>
      <c r="O232" s="24">
        <f t="shared" si="3"/>
        <v>5.7682545054573146E-2</v>
      </c>
    </row>
    <row r="233" spans="1:15">
      <c r="A233" s="19" t="s">
        <v>285</v>
      </c>
      <c r="B233" s="19" t="s">
        <v>22</v>
      </c>
      <c r="C233" s="20">
        <v>45385</v>
      </c>
      <c r="D233" s="21" t="s">
        <v>23</v>
      </c>
      <c r="E233" s="22" t="s">
        <v>33</v>
      </c>
      <c r="F233" s="23">
        <v>2291</v>
      </c>
      <c r="G233" s="23">
        <v>146</v>
      </c>
      <c r="H233" s="23">
        <v>399</v>
      </c>
      <c r="I233" s="23">
        <v>49319</v>
      </c>
      <c r="J233" s="23">
        <v>28056</v>
      </c>
      <c r="K233" s="23">
        <v>90</v>
      </c>
      <c r="L233" s="21" t="s">
        <v>19</v>
      </c>
      <c r="M233" s="21" t="s">
        <v>364</v>
      </c>
      <c r="N233" s="21" t="s">
        <v>16</v>
      </c>
      <c r="O233" s="24">
        <f t="shared" si="3"/>
        <v>5.7503193495407452E-2</v>
      </c>
    </row>
    <row r="234" spans="1:15">
      <c r="A234" s="19" t="s">
        <v>205</v>
      </c>
      <c r="B234" s="19" t="s">
        <v>22</v>
      </c>
      <c r="C234" s="20">
        <v>45748</v>
      </c>
      <c r="D234" s="21" t="s">
        <v>23</v>
      </c>
      <c r="E234" s="22" t="s">
        <v>361</v>
      </c>
      <c r="F234" s="23">
        <v>2665</v>
      </c>
      <c r="G234" s="23">
        <v>143</v>
      </c>
      <c r="H234" s="23">
        <v>315</v>
      </c>
      <c r="I234" s="23">
        <v>54808</v>
      </c>
      <c r="J234" s="23">
        <v>29818</v>
      </c>
      <c r="K234" s="23">
        <v>98</v>
      </c>
      <c r="L234" s="21" t="s">
        <v>19</v>
      </c>
      <c r="M234" s="21" t="s">
        <v>364</v>
      </c>
      <c r="N234" s="21" t="s">
        <v>16</v>
      </c>
      <c r="O234" s="24">
        <f t="shared" si="3"/>
        <v>5.6980732739746021E-2</v>
      </c>
    </row>
    <row r="235" spans="1:15">
      <c r="A235" s="19" t="s">
        <v>224</v>
      </c>
      <c r="B235" s="19" t="s">
        <v>22</v>
      </c>
      <c r="C235" s="20">
        <v>45422</v>
      </c>
      <c r="D235" s="21" t="s">
        <v>23</v>
      </c>
      <c r="E235" s="22" t="s">
        <v>18</v>
      </c>
      <c r="F235" s="23">
        <v>2784</v>
      </c>
      <c r="G235" s="23">
        <v>111</v>
      </c>
      <c r="H235" s="23">
        <v>399</v>
      </c>
      <c r="I235" s="23">
        <v>58366</v>
      </c>
      <c r="J235" s="23">
        <v>69512</v>
      </c>
      <c r="K235" s="23">
        <v>269</v>
      </c>
      <c r="L235" s="21" t="s">
        <v>364</v>
      </c>
      <c r="M235" s="21" t="s">
        <v>34</v>
      </c>
      <c r="N235" s="21" t="s">
        <v>16</v>
      </c>
      <c r="O235" s="24">
        <f t="shared" si="3"/>
        <v>5.6436966727204191E-2</v>
      </c>
    </row>
    <row r="236" spans="1:15">
      <c r="A236" s="19" t="s">
        <v>329</v>
      </c>
      <c r="B236" s="19" t="s">
        <v>22</v>
      </c>
      <c r="C236" s="20">
        <v>45303</v>
      </c>
      <c r="D236" s="21" t="s">
        <v>23</v>
      </c>
      <c r="E236" s="22" t="s">
        <v>360</v>
      </c>
      <c r="F236" s="23">
        <v>2227</v>
      </c>
      <c r="G236" s="23">
        <v>494</v>
      </c>
      <c r="H236" s="23">
        <v>161</v>
      </c>
      <c r="I236" s="23">
        <v>51651</v>
      </c>
      <c r="J236" s="23">
        <v>68074</v>
      </c>
      <c r="K236" s="23">
        <v>240</v>
      </c>
      <c r="L236" s="21" t="s">
        <v>19</v>
      </c>
      <c r="M236" s="21" t="s">
        <v>364</v>
      </c>
      <c r="N236" s="21" t="s">
        <v>16</v>
      </c>
      <c r="O236" s="24">
        <f t="shared" si="3"/>
        <v>5.5797564422760453E-2</v>
      </c>
    </row>
    <row r="237" spans="1:15">
      <c r="A237" s="19" t="s">
        <v>294</v>
      </c>
      <c r="B237" s="19" t="s">
        <v>27</v>
      </c>
      <c r="C237" s="20">
        <v>45808</v>
      </c>
      <c r="D237" s="21" t="s">
        <v>48</v>
      </c>
      <c r="E237" s="22" t="s">
        <v>30</v>
      </c>
      <c r="F237" s="23">
        <v>2162</v>
      </c>
      <c r="G237" s="23">
        <v>318</v>
      </c>
      <c r="H237" s="23">
        <v>83</v>
      </c>
      <c r="I237" s="23">
        <v>46719</v>
      </c>
      <c r="J237" s="23">
        <v>20482</v>
      </c>
      <c r="K237" s="23">
        <v>185</v>
      </c>
      <c r="L237" s="21" t="s">
        <v>19</v>
      </c>
      <c r="M237" s="21" t="s">
        <v>37</v>
      </c>
      <c r="N237" s="21" t="s">
        <v>49</v>
      </c>
      <c r="O237" s="24">
        <f t="shared" si="3"/>
        <v>5.4859907104176028E-2</v>
      </c>
    </row>
    <row r="238" spans="1:15">
      <c r="A238" s="19" t="s">
        <v>304</v>
      </c>
      <c r="B238" s="19" t="s">
        <v>13</v>
      </c>
      <c r="C238" s="20">
        <v>45573</v>
      </c>
      <c r="D238" s="21" t="s">
        <v>14</v>
      </c>
      <c r="E238" s="22" t="s">
        <v>18</v>
      </c>
      <c r="F238" s="23">
        <v>2110</v>
      </c>
      <c r="G238" s="23">
        <v>384</v>
      </c>
      <c r="H238" s="23">
        <v>236</v>
      </c>
      <c r="I238" s="23">
        <v>49965</v>
      </c>
      <c r="J238" s="23">
        <v>61555</v>
      </c>
      <c r="K238" s="23">
        <v>195</v>
      </c>
      <c r="L238" s="21" t="s">
        <v>19</v>
      </c>
      <c r="M238" s="21"/>
      <c r="N238" s="21" t="s">
        <v>20</v>
      </c>
      <c r="O238" s="24">
        <f t="shared" si="3"/>
        <v>5.4638246772740921E-2</v>
      </c>
    </row>
    <row r="239" spans="1:15">
      <c r="A239" s="19" t="s">
        <v>161</v>
      </c>
      <c r="B239" s="19" t="s">
        <v>22</v>
      </c>
      <c r="C239" s="20">
        <v>45736</v>
      </c>
      <c r="D239" s="21" t="s">
        <v>14</v>
      </c>
      <c r="E239" s="22" t="s">
        <v>42</v>
      </c>
      <c r="F239" s="23">
        <v>1564</v>
      </c>
      <c r="G239" s="23">
        <v>362</v>
      </c>
      <c r="H239" s="23">
        <v>371</v>
      </c>
      <c r="I239" s="23">
        <v>42075</v>
      </c>
      <c r="J239" s="23">
        <v>66659</v>
      </c>
      <c r="K239" s="23">
        <v>205</v>
      </c>
      <c r="L239" s="21" t="s">
        <v>37</v>
      </c>
      <c r="M239" s="21"/>
      <c r="N239" s="21" t="s">
        <v>20</v>
      </c>
      <c r="O239" s="24">
        <f t="shared" si="3"/>
        <v>5.4592988710635768E-2</v>
      </c>
    </row>
    <row r="240" spans="1:15">
      <c r="A240" s="19" t="s">
        <v>312</v>
      </c>
      <c r="B240" s="19" t="s">
        <v>22</v>
      </c>
      <c r="C240" s="20">
        <v>45343</v>
      </c>
      <c r="D240" s="21" t="s">
        <v>23</v>
      </c>
      <c r="E240" s="22" t="s">
        <v>30</v>
      </c>
      <c r="F240" s="23">
        <v>2604</v>
      </c>
      <c r="G240" s="23">
        <v>439</v>
      </c>
      <c r="H240" s="23">
        <v>148</v>
      </c>
      <c r="I240" s="23">
        <v>58468</v>
      </c>
      <c r="J240" s="23">
        <v>39629</v>
      </c>
      <c r="K240" s="23">
        <v>163</v>
      </c>
      <c r="L240" s="21" t="s">
        <v>364</v>
      </c>
      <c r="M240" s="21" t="s">
        <v>34</v>
      </c>
      <c r="N240" s="21" t="s">
        <v>16</v>
      </c>
      <c r="O240" s="24">
        <f t="shared" si="3"/>
        <v>5.4576862557296296E-2</v>
      </c>
    </row>
    <row r="241" spans="1:15">
      <c r="A241" s="19" t="s">
        <v>293</v>
      </c>
      <c r="B241" s="19" t="s">
        <v>27</v>
      </c>
      <c r="C241" s="20">
        <v>45378</v>
      </c>
      <c r="D241" s="21" t="s">
        <v>14</v>
      </c>
      <c r="E241" s="22" t="s">
        <v>361</v>
      </c>
      <c r="F241" s="23">
        <v>2399</v>
      </c>
      <c r="G241" s="23">
        <v>191</v>
      </c>
      <c r="H241" s="23">
        <v>221</v>
      </c>
      <c r="I241" s="23">
        <v>51603</v>
      </c>
      <c r="J241" s="23">
        <v>40033</v>
      </c>
      <c r="K241" s="23">
        <v>173</v>
      </c>
      <c r="L241" s="21" t="s">
        <v>19</v>
      </c>
      <c r="M241" s="21" t="s">
        <v>365</v>
      </c>
      <c r="N241" s="21" t="s">
        <v>20</v>
      </c>
      <c r="O241" s="24">
        <f t="shared" si="3"/>
        <v>5.4473577117609438E-2</v>
      </c>
    </row>
    <row r="242" spans="1:15">
      <c r="A242" s="19" t="s">
        <v>38</v>
      </c>
      <c r="B242" s="19" t="s">
        <v>13</v>
      </c>
      <c r="C242" s="20">
        <v>45426</v>
      </c>
      <c r="D242" s="21" t="s">
        <v>14</v>
      </c>
      <c r="E242" s="22" t="s">
        <v>15</v>
      </c>
      <c r="F242" s="23">
        <v>1485</v>
      </c>
      <c r="G242" s="23">
        <v>353</v>
      </c>
      <c r="H242" s="23">
        <v>244</v>
      </c>
      <c r="I242" s="23">
        <v>38419</v>
      </c>
      <c r="J242" s="23">
        <v>38556</v>
      </c>
      <c r="K242" s="23">
        <v>86</v>
      </c>
      <c r="L242" s="21" t="s">
        <v>37</v>
      </c>
      <c r="M242" s="21" t="s">
        <v>34</v>
      </c>
      <c r="N242" s="21" t="s">
        <v>16</v>
      </c>
      <c r="O242" s="24">
        <f t="shared" si="3"/>
        <v>5.4191936281527367E-2</v>
      </c>
    </row>
    <row r="243" spans="1:15">
      <c r="A243" s="19" t="s">
        <v>268</v>
      </c>
      <c r="B243" s="19" t="s">
        <v>13</v>
      </c>
      <c r="C243" s="20">
        <v>45823</v>
      </c>
      <c r="D243" s="21" t="s">
        <v>14</v>
      </c>
      <c r="E243" s="22" t="s">
        <v>18</v>
      </c>
      <c r="F243" s="23">
        <v>2478</v>
      </c>
      <c r="G243" s="23">
        <v>427</v>
      </c>
      <c r="H243" s="23">
        <v>242</v>
      </c>
      <c r="I243" s="23">
        <v>59272</v>
      </c>
      <c r="J243" s="23">
        <v>37833</v>
      </c>
      <c r="K243" s="23">
        <v>214</v>
      </c>
      <c r="L243" s="21" t="s">
        <v>37</v>
      </c>
      <c r="M243" s="21" t="s">
        <v>34</v>
      </c>
      <c r="N243" s="21" t="s">
        <v>16</v>
      </c>
      <c r="O243" s="24">
        <f t="shared" si="3"/>
        <v>5.3094209744904843E-2</v>
      </c>
    </row>
    <row r="244" spans="1:15">
      <c r="A244" s="19" t="s">
        <v>142</v>
      </c>
      <c r="B244" s="19" t="s">
        <v>13</v>
      </c>
      <c r="C244" s="20">
        <v>45704</v>
      </c>
      <c r="D244" s="21" t="s">
        <v>14</v>
      </c>
      <c r="E244" s="22" t="s">
        <v>42</v>
      </c>
      <c r="F244" s="23">
        <v>1333</v>
      </c>
      <c r="G244" s="23">
        <v>286</v>
      </c>
      <c r="H244" s="23">
        <v>298</v>
      </c>
      <c r="I244" s="23">
        <v>36174</v>
      </c>
      <c r="J244" s="23">
        <v>34517</v>
      </c>
      <c r="K244" s="23">
        <v>170</v>
      </c>
      <c r="L244" s="21" t="s">
        <v>37</v>
      </c>
      <c r="M244" s="21" t="s">
        <v>34</v>
      </c>
      <c r="N244" s="21" t="s">
        <v>16</v>
      </c>
      <c r="O244" s="24">
        <f t="shared" si="3"/>
        <v>5.2993862995521647E-2</v>
      </c>
    </row>
    <row r="245" spans="1:15">
      <c r="A245" s="19" t="s">
        <v>255</v>
      </c>
      <c r="B245" s="19" t="s">
        <v>27</v>
      </c>
      <c r="C245" s="20">
        <v>45323</v>
      </c>
      <c r="D245" s="21" t="s">
        <v>14</v>
      </c>
      <c r="E245" s="22" t="s">
        <v>360</v>
      </c>
      <c r="F245" s="23">
        <v>1432</v>
      </c>
      <c r="G245" s="23">
        <v>437</v>
      </c>
      <c r="H245" s="23">
        <v>267</v>
      </c>
      <c r="I245" s="23">
        <v>40634</v>
      </c>
      <c r="J245" s="23">
        <v>54511</v>
      </c>
      <c r="K245" s="23">
        <v>197</v>
      </c>
      <c r="L245" s="21" t="s">
        <v>19</v>
      </c>
      <c r="M245" s="21" t="s">
        <v>365</v>
      </c>
      <c r="N245" s="21" t="s">
        <v>20</v>
      </c>
      <c r="O245" s="24">
        <f t="shared" si="3"/>
        <v>5.2566815966924252E-2</v>
      </c>
    </row>
    <row r="246" spans="1:15">
      <c r="A246" s="19" t="s">
        <v>256</v>
      </c>
      <c r="B246" s="19" t="s">
        <v>22</v>
      </c>
      <c r="C246" s="20">
        <v>45308</v>
      </c>
      <c r="D246" s="21" t="s">
        <v>23</v>
      </c>
      <c r="E246" s="22" t="s">
        <v>24</v>
      </c>
      <c r="F246" s="23">
        <v>2174</v>
      </c>
      <c r="G246" s="23">
        <v>499</v>
      </c>
      <c r="H246" s="23">
        <v>212</v>
      </c>
      <c r="I246" s="23">
        <v>54938</v>
      </c>
      <c r="J246" s="23">
        <v>27190</v>
      </c>
      <c r="K246" s="23">
        <v>265</v>
      </c>
      <c r="L246" s="21" t="s">
        <v>364</v>
      </c>
      <c r="M246" s="21" t="s">
        <v>34</v>
      </c>
      <c r="N246" s="21" t="s">
        <v>16</v>
      </c>
      <c r="O246" s="24">
        <f t="shared" si="3"/>
        <v>5.2513742764570971E-2</v>
      </c>
    </row>
    <row r="247" spans="1:15">
      <c r="A247" s="19" t="s">
        <v>286</v>
      </c>
      <c r="B247" s="19" t="s">
        <v>22</v>
      </c>
      <c r="C247" s="20">
        <v>45481</v>
      </c>
      <c r="D247" s="21" t="s">
        <v>23</v>
      </c>
      <c r="E247" s="22" t="s">
        <v>360</v>
      </c>
      <c r="F247" s="23">
        <v>2304</v>
      </c>
      <c r="G247" s="23">
        <v>289</v>
      </c>
      <c r="H247" s="23">
        <v>161</v>
      </c>
      <c r="I247" s="23">
        <v>52645</v>
      </c>
      <c r="J247" s="23">
        <v>66262</v>
      </c>
      <c r="K247" s="23">
        <v>146</v>
      </c>
      <c r="L247" s="21" t="s">
        <v>364</v>
      </c>
      <c r="M247" s="21" t="s">
        <v>34</v>
      </c>
      <c r="N247" s="21" t="s">
        <v>16</v>
      </c>
      <c r="O247" s="24">
        <f t="shared" si="3"/>
        <v>5.2312660271630736E-2</v>
      </c>
    </row>
    <row r="248" spans="1:15">
      <c r="A248" s="19" t="s">
        <v>103</v>
      </c>
      <c r="B248" s="19" t="s">
        <v>27</v>
      </c>
      <c r="C248" s="20">
        <v>45783</v>
      </c>
      <c r="D248" s="21" t="s">
        <v>48</v>
      </c>
      <c r="E248" s="22" t="s">
        <v>15</v>
      </c>
      <c r="F248" s="23">
        <v>1085</v>
      </c>
      <c r="G248" s="23">
        <v>496</v>
      </c>
      <c r="H248" s="23">
        <v>320</v>
      </c>
      <c r="I248" s="23">
        <v>36528</v>
      </c>
      <c r="J248" s="23">
        <v>38599</v>
      </c>
      <c r="K248" s="23">
        <v>270</v>
      </c>
      <c r="L248" s="21" t="s">
        <v>19</v>
      </c>
      <c r="M248" s="21" t="s">
        <v>37</v>
      </c>
      <c r="N248" s="21" t="s">
        <v>49</v>
      </c>
      <c r="O248" s="24">
        <f t="shared" si="3"/>
        <v>5.2042268944371438E-2</v>
      </c>
    </row>
    <row r="249" spans="1:15">
      <c r="A249" s="19" t="s">
        <v>246</v>
      </c>
      <c r="B249" s="19" t="s">
        <v>22</v>
      </c>
      <c r="C249" s="20">
        <v>45669</v>
      </c>
      <c r="D249" s="21" t="s">
        <v>14</v>
      </c>
      <c r="E249" s="22" t="s">
        <v>361</v>
      </c>
      <c r="F249" s="23">
        <v>1765</v>
      </c>
      <c r="G249" s="23">
        <v>285</v>
      </c>
      <c r="H249" s="23">
        <v>100</v>
      </c>
      <c r="I249" s="23">
        <v>41313</v>
      </c>
      <c r="J249" s="23">
        <v>56575</v>
      </c>
      <c r="K249" s="23">
        <v>174</v>
      </c>
      <c r="L249" s="21" t="s">
        <v>37</v>
      </c>
      <c r="M249" s="21"/>
      <c r="N249" s="21" t="s">
        <v>20</v>
      </c>
      <c r="O249" s="24">
        <f t="shared" si="3"/>
        <v>5.2041730205988429E-2</v>
      </c>
    </row>
    <row r="250" spans="1:15">
      <c r="A250" s="19" t="s">
        <v>302</v>
      </c>
      <c r="B250" s="19" t="s">
        <v>22</v>
      </c>
      <c r="C250" s="20">
        <v>45603</v>
      </c>
      <c r="D250" s="21" t="s">
        <v>14</v>
      </c>
      <c r="E250" s="22" t="s">
        <v>18</v>
      </c>
      <c r="F250" s="23">
        <v>2229</v>
      </c>
      <c r="G250" s="23">
        <v>395</v>
      </c>
      <c r="H250" s="23">
        <v>328</v>
      </c>
      <c r="I250" s="23">
        <v>56921</v>
      </c>
      <c r="J250" s="23">
        <v>37176</v>
      </c>
      <c r="K250" s="23">
        <v>126</v>
      </c>
      <c r="L250" s="21" t="s">
        <v>37</v>
      </c>
      <c r="M250" s="21"/>
      <c r="N250" s="21" t="s">
        <v>20</v>
      </c>
      <c r="O250" s="24">
        <f t="shared" si="3"/>
        <v>5.1861351697967357E-2</v>
      </c>
    </row>
    <row r="251" spans="1:15">
      <c r="A251" s="19" t="s">
        <v>226</v>
      </c>
      <c r="B251" s="19" t="s">
        <v>13</v>
      </c>
      <c r="C251" s="20">
        <v>45669</v>
      </c>
      <c r="D251" s="21" t="s">
        <v>14</v>
      </c>
      <c r="E251" s="22" t="s">
        <v>363</v>
      </c>
      <c r="F251" s="23">
        <v>1771</v>
      </c>
      <c r="G251" s="23">
        <v>487</v>
      </c>
      <c r="H251" s="23">
        <v>272</v>
      </c>
      <c r="I251" s="23">
        <v>48810</v>
      </c>
      <c r="J251" s="23">
        <v>48084</v>
      </c>
      <c r="K251" s="23">
        <v>272</v>
      </c>
      <c r="L251" s="21" t="s">
        <v>37</v>
      </c>
      <c r="M251" s="21" t="s">
        <v>34</v>
      </c>
      <c r="N251" s="21" t="s">
        <v>16</v>
      </c>
      <c r="O251" s="24">
        <f t="shared" si="3"/>
        <v>5.1833640647408315E-2</v>
      </c>
    </row>
    <row r="252" spans="1:15">
      <c r="A252" s="19" t="s">
        <v>56</v>
      </c>
      <c r="B252" s="19" t="s">
        <v>22</v>
      </c>
      <c r="C252" s="20">
        <v>45791</v>
      </c>
      <c r="D252" s="21" t="s">
        <v>23</v>
      </c>
      <c r="E252" s="22" t="s">
        <v>363</v>
      </c>
      <c r="F252" s="23">
        <v>2707</v>
      </c>
      <c r="G252" s="23">
        <v>103</v>
      </c>
      <c r="H252" s="23">
        <v>51</v>
      </c>
      <c r="I252" s="23">
        <v>55302</v>
      </c>
      <c r="J252" s="23">
        <v>18801</v>
      </c>
      <c r="K252" s="23">
        <v>147</v>
      </c>
      <c r="L252" s="21" t="s">
        <v>19</v>
      </c>
      <c r="M252" s="21" t="s">
        <v>364</v>
      </c>
      <c r="N252" s="21" t="s">
        <v>16</v>
      </c>
      <c r="O252" s="24">
        <f t="shared" si="3"/>
        <v>5.173411449857148E-2</v>
      </c>
    </row>
    <row r="253" spans="1:15">
      <c r="A253" s="19" t="s">
        <v>105</v>
      </c>
      <c r="B253" s="19" t="s">
        <v>22</v>
      </c>
      <c r="C253" s="20">
        <v>45313</v>
      </c>
      <c r="D253" s="21" t="s">
        <v>23</v>
      </c>
      <c r="E253" s="22" t="s">
        <v>363</v>
      </c>
      <c r="F253" s="23">
        <v>1554</v>
      </c>
      <c r="G253" s="23">
        <v>455</v>
      </c>
      <c r="H253" s="23">
        <v>158</v>
      </c>
      <c r="I253" s="23">
        <v>41947</v>
      </c>
      <c r="J253" s="23">
        <v>48578</v>
      </c>
      <c r="K253" s="23">
        <v>101</v>
      </c>
      <c r="L253" s="21" t="s">
        <v>37</v>
      </c>
      <c r="M253" s="21" t="s">
        <v>34</v>
      </c>
      <c r="N253" s="21" t="s">
        <v>16</v>
      </c>
      <c r="O253" s="24">
        <f t="shared" si="3"/>
        <v>5.1660428636136076E-2</v>
      </c>
    </row>
    <row r="254" spans="1:15">
      <c r="A254" s="19" t="s">
        <v>144</v>
      </c>
      <c r="B254" s="19" t="s">
        <v>22</v>
      </c>
      <c r="C254" s="20">
        <v>45489</v>
      </c>
      <c r="D254" s="21" t="s">
        <v>14</v>
      </c>
      <c r="E254" s="22" t="s">
        <v>33</v>
      </c>
      <c r="F254" s="23">
        <v>1803</v>
      </c>
      <c r="G254" s="23">
        <v>273</v>
      </c>
      <c r="H254" s="23">
        <v>287</v>
      </c>
      <c r="I254" s="23">
        <v>46176</v>
      </c>
      <c r="J254" s="23">
        <v>25488</v>
      </c>
      <c r="K254" s="23">
        <v>141</v>
      </c>
      <c r="L254" s="21" t="s">
        <v>34</v>
      </c>
      <c r="M254" s="21"/>
      <c r="N254" s="21" t="s">
        <v>16</v>
      </c>
      <c r="O254" s="24">
        <f t="shared" si="3"/>
        <v>5.1173769923769923E-2</v>
      </c>
    </row>
    <row r="255" spans="1:15">
      <c r="A255" s="19" t="s">
        <v>283</v>
      </c>
      <c r="B255" s="19" t="s">
        <v>27</v>
      </c>
      <c r="C255" s="20">
        <v>45512</v>
      </c>
      <c r="D255" s="21" t="s">
        <v>14</v>
      </c>
      <c r="E255" s="22" t="s">
        <v>363</v>
      </c>
      <c r="F255" s="23">
        <v>1994</v>
      </c>
      <c r="G255" s="23">
        <v>197</v>
      </c>
      <c r="H255" s="23">
        <v>290</v>
      </c>
      <c r="I255" s="23">
        <v>49500</v>
      </c>
      <c r="J255" s="23">
        <v>23343</v>
      </c>
      <c r="K255" s="23">
        <v>160</v>
      </c>
      <c r="L255" s="21" t="s">
        <v>19</v>
      </c>
      <c r="M255" s="21" t="s">
        <v>365</v>
      </c>
      <c r="N255" s="21" t="s">
        <v>20</v>
      </c>
      <c r="O255" s="24">
        <f t="shared" si="3"/>
        <v>5.0121212121212122E-2</v>
      </c>
    </row>
    <row r="256" spans="1:15">
      <c r="A256" s="19" t="s">
        <v>190</v>
      </c>
      <c r="B256" s="19" t="s">
        <v>27</v>
      </c>
      <c r="C256" s="20">
        <v>45330</v>
      </c>
      <c r="D256" s="21" t="s">
        <v>48</v>
      </c>
      <c r="E256" s="22" t="s">
        <v>33</v>
      </c>
      <c r="F256" s="23">
        <v>1889</v>
      </c>
      <c r="G256" s="23">
        <v>298</v>
      </c>
      <c r="H256" s="23">
        <v>122</v>
      </c>
      <c r="I256" s="23">
        <v>46225</v>
      </c>
      <c r="J256" s="23">
        <v>74305</v>
      </c>
      <c r="K256" s="23">
        <v>293</v>
      </c>
      <c r="L256" s="21" t="s">
        <v>19</v>
      </c>
      <c r="M256" s="21" t="s">
        <v>37</v>
      </c>
      <c r="N256" s="21" t="s">
        <v>49</v>
      </c>
      <c r="O256" s="24">
        <f t="shared" si="3"/>
        <v>4.9951325040562468E-2</v>
      </c>
    </row>
    <row r="257" spans="1:15">
      <c r="A257" s="19" t="s">
        <v>146</v>
      </c>
      <c r="B257" s="19" t="s">
        <v>13</v>
      </c>
      <c r="C257" s="20">
        <v>45781</v>
      </c>
      <c r="D257" s="21" t="s">
        <v>23</v>
      </c>
      <c r="E257" s="22" t="s">
        <v>24</v>
      </c>
      <c r="F257" s="23">
        <v>1311</v>
      </c>
      <c r="G257" s="23">
        <v>181</v>
      </c>
      <c r="H257" s="23">
        <v>361</v>
      </c>
      <c r="I257" s="23">
        <v>37148</v>
      </c>
      <c r="J257" s="23">
        <v>44875</v>
      </c>
      <c r="K257" s="23">
        <v>245</v>
      </c>
      <c r="L257" s="21" t="s">
        <v>34</v>
      </c>
      <c r="M257" s="21"/>
      <c r="N257" s="21" t="s">
        <v>46</v>
      </c>
      <c r="O257" s="24">
        <f t="shared" si="3"/>
        <v>4.9881554861634543E-2</v>
      </c>
    </row>
    <row r="258" spans="1:15">
      <c r="A258" s="19" t="s">
        <v>260</v>
      </c>
      <c r="B258" s="19" t="s">
        <v>27</v>
      </c>
      <c r="C258" s="20">
        <v>45791</v>
      </c>
      <c r="D258" s="21" t="s">
        <v>14</v>
      </c>
      <c r="E258" s="22" t="s">
        <v>15</v>
      </c>
      <c r="F258" s="23">
        <v>1701</v>
      </c>
      <c r="G258" s="23">
        <v>272</v>
      </c>
      <c r="H258" s="23">
        <v>385</v>
      </c>
      <c r="I258" s="23">
        <v>47496</v>
      </c>
      <c r="J258" s="23">
        <v>40832</v>
      </c>
      <c r="K258" s="23">
        <v>246</v>
      </c>
      <c r="L258" s="21" t="s">
        <v>19</v>
      </c>
      <c r="M258" s="21" t="s">
        <v>365</v>
      </c>
      <c r="N258" s="21" t="s">
        <v>20</v>
      </c>
      <c r="O258" s="24">
        <f t="shared" ref="O258:O301" si="4" xml:space="preserve"> (F258+ G258 + H258) / I258</f>
        <v>4.9646286003031836E-2</v>
      </c>
    </row>
    <row r="259" spans="1:15">
      <c r="A259" s="19" t="s">
        <v>271</v>
      </c>
      <c r="B259" s="19" t="s">
        <v>22</v>
      </c>
      <c r="C259" s="20">
        <v>45550</v>
      </c>
      <c r="D259" s="21" t="s">
        <v>14</v>
      </c>
      <c r="E259" s="22" t="s">
        <v>30</v>
      </c>
      <c r="F259" s="23">
        <v>2145</v>
      </c>
      <c r="G259" s="23">
        <v>340</v>
      </c>
      <c r="H259" s="23">
        <v>85</v>
      </c>
      <c r="I259" s="23">
        <v>53323</v>
      </c>
      <c r="J259" s="23">
        <v>49938</v>
      </c>
      <c r="K259" s="23">
        <v>104</v>
      </c>
      <c r="L259" s="21" t="s">
        <v>34</v>
      </c>
      <c r="M259" s="21"/>
      <c r="N259" s="21" t="s">
        <v>16</v>
      </c>
      <c r="O259" s="24">
        <f t="shared" si="4"/>
        <v>4.819683813738912E-2</v>
      </c>
    </row>
    <row r="260" spans="1:15">
      <c r="A260" s="19" t="s">
        <v>85</v>
      </c>
      <c r="B260" s="19" t="s">
        <v>22</v>
      </c>
      <c r="C260" s="20">
        <v>45420</v>
      </c>
      <c r="D260" s="21" t="s">
        <v>14</v>
      </c>
      <c r="E260" s="22" t="s">
        <v>18</v>
      </c>
      <c r="F260" s="23">
        <v>1828</v>
      </c>
      <c r="G260" s="23">
        <v>450</v>
      </c>
      <c r="H260" s="23">
        <v>214</v>
      </c>
      <c r="I260" s="23">
        <v>52115</v>
      </c>
      <c r="J260" s="23">
        <v>19166</v>
      </c>
      <c r="K260" s="23">
        <v>190</v>
      </c>
      <c r="L260" s="21" t="s">
        <v>34</v>
      </c>
      <c r="M260" s="21"/>
      <c r="N260" s="21" t="s">
        <v>16</v>
      </c>
      <c r="O260" s="24">
        <f t="shared" si="4"/>
        <v>4.781732706514439E-2</v>
      </c>
    </row>
    <row r="261" spans="1:15">
      <c r="A261" s="19" t="s">
        <v>163</v>
      </c>
      <c r="B261" s="19" t="s">
        <v>27</v>
      </c>
      <c r="C261" s="20">
        <v>45318</v>
      </c>
      <c r="D261" s="21" t="s">
        <v>14</v>
      </c>
      <c r="E261" s="22" t="s">
        <v>42</v>
      </c>
      <c r="F261" s="23">
        <v>1976</v>
      </c>
      <c r="G261" s="23">
        <v>262</v>
      </c>
      <c r="H261" s="23">
        <v>218</v>
      </c>
      <c r="I261" s="23">
        <v>51696</v>
      </c>
      <c r="J261" s="23">
        <v>44846</v>
      </c>
      <c r="K261" s="23">
        <v>139</v>
      </c>
      <c r="L261" s="21" t="s">
        <v>19</v>
      </c>
      <c r="M261" s="21" t="s">
        <v>365</v>
      </c>
      <c r="N261" s="21" t="s">
        <v>20</v>
      </c>
      <c r="O261" s="24">
        <f t="shared" si="4"/>
        <v>4.7508511296812134E-2</v>
      </c>
    </row>
    <row r="262" spans="1:15">
      <c r="A262" s="19" t="s">
        <v>44</v>
      </c>
      <c r="B262" s="19" t="s">
        <v>22</v>
      </c>
      <c r="C262" s="20">
        <v>45453</v>
      </c>
      <c r="D262" s="21" t="s">
        <v>14</v>
      </c>
      <c r="E262" s="22" t="s">
        <v>362</v>
      </c>
      <c r="F262" s="23">
        <v>1514</v>
      </c>
      <c r="G262" s="23">
        <v>164</v>
      </c>
      <c r="H262" s="23">
        <v>275</v>
      </c>
      <c r="I262" s="23">
        <v>41364</v>
      </c>
      <c r="J262" s="23">
        <v>44389</v>
      </c>
      <c r="K262" s="23">
        <v>83</v>
      </c>
      <c r="L262" s="21" t="s">
        <v>34</v>
      </c>
      <c r="M262" s="21"/>
      <c r="N262" s="21" t="s">
        <v>16</v>
      </c>
      <c r="O262" s="24">
        <f t="shared" si="4"/>
        <v>4.7214969538729328E-2</v>
      </c>
    </row>
    <row r="263" spans="1:15">
      <c r="A263" s="19" t="s">
        <v>150</v>
      </c>
      <c r="B263" s="19" t="s">
        <v>13</v>
      </c>
      <c r="C263" s="20">
        <v>45674</v>
      </c>
      <c r="D263" s="21" t="s">
        <v>14</v>
      </c>
      <c r="E263" s="22" t="s">
        <v>33</v>
      </c>
      <c r="F263" s="23">
        <v>2266</v>
      </c>
      <c r="G263" s="23">
        <v>126</v>
      </c>
      <c r="H263" s="23">
        <v>140</v>
      </c>
      <c r="I263" s="23">
        <v>53759</v>
      </c>
      <c r="J263" s="23">
        <v>46834</v>
      </c>
      <c r="K263" s="23">
        <v>277</v>
      </c>
      <c r="L263" s="21" t="s">
        <v>19</v>
      </c>
      <c r="M263" s="21"/>
      <c r="N263" s="21" t="s">
        <v>20</v>
      </c>
      <c r="O263" s="24">
        <f t="shared" si="4"/>
        <v>4.7099090384865788E-2</v>
      </c>
    </row>
    <row r="264" spans="1:15">
      <c r="A264" s="19" t="s">
        <v>99</v>
      </c>
      <c r="B264" s="19" t="s">
        <v>22</v>
      </c>
      <c r="C264" s="20">
        <v>45643</v>
      </c>
      <c r="D264" s="21" t="s">
        <v>23</v>
      </c>
      <c r="E264" s="22" t="s">
        <v>361</v>
      </c>
      <c r="F264" s="23">
        <v>1316</v>
      </c>
      <c r="G264" s="23">
        <v>472</v>
      </c>
      <c r="H264" s="23">
        <v>286</v>
      </c>
      <c r="I264" s="23">
        <v>44692</v>
      </c>
      <c r="J264" s="23">
        <v>53343</v>
      </c>
      <c r="K264" s="23">
        <v>227</v>
      </c>
      <c r="L264" s="21" t="s">
        <v>19</v>
      </c>
      <c r="M264" s="21" t="s">
        <v>364</v>
      </c>
      <c r="N264" s="21" t="s">
        <v>16</v>
      </c>
      <c r="O264" s="24">
        <f t="shared" si="4"/>
        <v>4.6406515707509172E-2</v>
      </c>
    </row>
    <row r="265" spans="1:15">
      <c r="A265" s="19" t="s">
        <v>249</v>
      </c>
      <c r="B265" s="19" t="s">
        <v>22</v>
      </c>
      <c r="C265" s="20">
        <v>45332</v>
      </c>
      <c r="D265" s="21" t="s">
        <v>14</v>
      </c>
      <c r="E265" s="22" t="s">
        <v>363</v>
      </c>
      <c r="F265" s="23">
        <v>1519</v>
      </c>
      <c r="G265" s="23">
        <v>456</v>
      </c>
      <c r="H265" s="23">
        <v>379</v>
      </c>
      <c r="I265" s="23">
        <v>51611</v>
      </c>
      <c r="J265" s="23">
        <v>45880</v>
      </c>
      <c r="K265" s="23">
        <v>176</v>
      </c>
      <c r="L265" s="21" t="s">
        <v>37</v>
      </c>
      <c r="M265" s="21"/>
      <c r="N265" s="21" t="s">
        <v>20</v>
      </c>
      <c r="O265" s="24">
        <f t="shared" si="4"/>
        <v>4.5610431884675749E-2</v>
      </c>
    </row>
    <row r="266" spans="1:15">
      <c r="A266" s="19" t="s">
        <v>230</v>
      </c>
      <c r="B266" s="19" t="s">
        <v>22</v>
      </c>
      <c r="C266" s="20">
        <v>45369</v>
      </c>
      <c r="D266" s="21" t="s">
        <v>14</v>
      </c>
      <c r="E266" s="22" t="s">
        <v>24</v>
      </c>
      <c r="F266" s="23">
        <v>2033</v>
      </c>
      <c r="G266" s="23">
        <v>420</v>
      </c>
      <c r="H266" s="23">
        <v>94</v>
      </c>
      <c r="I266" s="23">
        <v>56290</v>
      </c>
      <c r="J266" s="23">
        <v>57391</v>
      </c>
      <c r="K266" s="23">
        <v>196</v>
      </c>
      <c r="L266" s="21" t="s">
        <v>34</v>
      </c>
      <c r="M266" s="21"/>
      <c r="N266" s="21" t="s">
        <v>16</v>
      </c>
      <c r="O266" s="24">
        <f t="shared" si="4"/>
        <v>4.5247823769763724E-2</v>
      </c>
    </row>
    <row r="267" spans="1:15">
      <c r="A267" s="19" t="s">
        <v>323</v>
      </c>
      <c r="B267" s="19" t="s">
        <v>27</v>
      </c>
      <c r="C267" s="20">
        <v>45765</v>
      </c>
      <c r="D267" s="21" t="s">
        <v>48</v>
      </c>
      <c r="E267" s="22" t="s">
        <v>42</v>
      </c>
      <c r="F267" s="23">
        <v>1265</v>
      </c>
      <c r="G267" s="23">
        <v>230</v>
      </c>
      <c r="H267" s="23">
        <v>364</v>
      </c>
      <c r="I267" s="23">
        <v>41312</v>
      </c>
      <c r="J267" s="23">
        <v>50382</v>
      </c>
      <c r="K267" s="23">
        <v>106</v>
      </c>
      <c r="L267" s="21" t="s">
        <v>19</v>
      </c>
      <c r="M267" s="21" t="s">
        <v>37</v>
      </c>
      <c r="N267" s="21" t="s">
        <v>49</v>
      </c>
      <c r="O267" s="24">
        <f t="shared" si="4"/>
        <v>4.4999031758326875E-2</v>
      </c>
    </row>
    <row r="268" spans="1:15">
      <c r="A268" s="19" t="s">
        <v>116</v>
      </c>
      <c r="B268" s="19" t="s">
        <v>22</v>
      </c>
      <c r="C268" s="20">
        <v>45791</v>
      </c>
      <c r="D268" s="21" t="s">
        <v>23</v>
      </c>
      <c r="E268" s="22" t="s">
        <v>360</v>
      </c>
      <c r="F268" s="23">
        <v>1371</v>
      </c>
      <c r="G268" s="23">
        <v>139</v>
      </c>
      <c r="H268" s="23">
        <v>96</v>
      </c>
      <c r="I268" s="23">
        <v>36140</v>
      </c>
      <c r="J268" s="23">
        <v>39395</v>
      </c>
      <c r="K268" s="23">
        <v>169</v>
      </c>
      <c r="L268" s="21" t="s">
        <v>37</v>
      </c>
      <c r="M268" s="21" t="s">
        <v>34</v>
      </c>
      <c r="N268" s="21" t="s">
        <v>16</v>
      </c>
      <c r="O268" s="24">
        <f t="shared" si="4"/>
        <v>4.4438295517432211E-2</v>
      </c>
    </row>
    <row r="269" spans="1:15">
      <c r="A269" s="19" t="s">
        <v>64</v>
      </c>
      <c r="B269" s="19" t="s">
        <v>13</v>
      </c>
      <c r="C269" s="20">
        <v>45666</v>
      </c>
      <c r="D269" s="21" t="s">
        <v>14</v>
      </c>
      <c r="E269" s="22" t="s">
        <v>24</v>
      </c>
      <c r="F269" s="23">
        <v>1015</v>
      </c>
      <c r="G269" s="23">
        <v>366</v>
      </c>
      <c r="H269" s="23">
        <v>308</v>
      </c>
      <c r="I269" s="23">
        <v>38127</v>
      </c>
      <c r="J269" s="23">
        <v>63790</v>
      </c>
      <c r="K269" s="23">
        <v>287</v>
      </c>
      <c r="L269" s="21" t="s">
        <v>37</v>
      </c>
      <c r="M269" s="21" t="s">
        <v>34</v>
      </c>
      <c r="N269" s="21" t="s">
        <v>16</v>
      </c>
      <c r="O269" s="24">
        <f t="shared" si="4"/>
        <v>4.4299315445747112E-2</v>
      </c>
    </row>
    <row r="270" spans="1:15">
      <c r="A270" s="19" t="s">
        <v>281</v>
      </c>
      <c r="B270" s="19" t="s">
        <v>22</v>
      </c>
      <c r="C270" s="20">
        <v>45480</v>
      </c>
      <c r="D270" s="21" t="s">
        <v>14</v>
      </c>
      <c r="E270" s="22" t="s">
        <v>362</v>
      </c>
      <c r="F270" s="23">
        <v>1848</v>
      </c>
      <c r="G270" s="23">
        <v>417</v>
      </c>
      <c r="H270" s="23">
        <v>294</v>
      </c>
      <c r="I270" s="23">
        <v>57819</v>
      </c>
      <c r="J270" s="23">
        <v>19798</v>
      </c>
      <c r="K270" s="23">
        <v>262</v>
      </c>
      <c r="L270" s="21" t="s">
        <v>37</v>
      </c>
      <c r="M270" s="21"/>
      <c r="N270" s="21" t="s">
        <v>20</v>
      </c>
      <c r="O270" s="24">
        <f t="shared" si="4"/>
        <v>4.4258807658382193E-2</v>
      </c>
    </row>
    <row r="271" spans="1:15">
      <c r="A271" s="19" t="s">
        <v>92</v>
      </c>
      <c r="B271" s="19" t="s">
        <v>22</v>
      </c>
      <c r="C271" s="20">
        <v>45599</v>
      </c>
      <c r="D271" s="21" t="s">
        <v>23</v>
      </c>
      <c r="E271" s="22" t="s">
        <v>360</v>
      </c>
      <c r="F271" s="23">
        <v>1959</v>
      </c>
      <c r="G271" s="23">
        <v>316</v>
      </c>
      <c r="H271" s="23">
        <v>82</v>
      </c>
      <c r="I271" s="23">
        <v>54036</v>
      </c>
      <c r="J271" s="23">
        <v>69015</v>
      </c>
      <c r="K271" s="23">
        <v>182</v>
      </c>
      <c r="L271" s="21" t="s">
        <v>364</v>
      </c>
      <c r="M271" s="21" t="s">
        <v>34</v>
      </c>
      <c r="N271" s="21" t="s">
        <v>16</v>
      </c>
      <c r="O271" s="24">
        <f t="shared" si="4"/>
        <v>4.3619068768968837E-2</v>
      </c>
    </row>
    <row r="272" spans="1:15">
      <c r="A272" s="19" t="s">
        <v>51</v>
      </c>
      <c r="B272" s="19" t="s">
        <v>13</v>
      </c>
      <c r="C272" s="20">
        <v>45603</v>
      </c>
      <c r="D272" s="21" t="s">
        <v>23</v>
      </c>
      <c r="E272" s="22" t="s">
        <v>360</v>
      </c>
      <c r="F272" s="23">
        <v>1678</v>
      </c>
      <c r="G272" s="23">
        <v>423</v>
      </c>
      <c r="H272" s="23">
        <v>323</v>
      </c>
      <c r="I272" s="23">
        <v>55668</v>
      </c>
      <c r="J272" s="23">
        <v>37945</v>
      </c>
      <c r="K272" s="23">
        <v>230</v>
      </c>
      <c r="L272" s="21" t="s">
        <v>34</v>
      </c>
      <c r="M272" s="21"/>
      <c r="N272" s="21" t="s">
        <v>46</v>
      </c>
      <c r="O272" s="24">
        <f t="shared" si="4"/>
        <v>4.3543867212761371E-2</v>
      </c>
    </row>
    <row r="273" spans="1:15">
      <c r="A273" s="19" t="s">
        <v>211</v>
      </c>
      <c r="B273" s="19" t="s">
        <v>22</v>
      </c>
      <c r="C273" s="20">
        <v>45370</v>
      </c>
      <c r="D273" s="21" t="s">
        <v>14</v>
      </c>
      <c r="E273" s="22" t="s">
        <v>363</v>
      </c>
      <c r="F273" s="23">
        <v>2191</v>
      </c>
      <c r="G273" s="23">
        <v>288</v>
      </c>
      <c r="H273" s="23">
        <v>83</v>
      </c>
      <c r="I273" s="23">
        <v>59606</v>
      </c>
      <c r="J273" s="23">
        <v>24765</v>
      </c>
      <c r="K273" s="23">
        <v>281</v>
      </c>
      <c r="L273" s="21" t="s">
        <v>37</v>
      </c>
      <c r="M273" s="21"/>
      <c r="N273" s="21" t="s">
        <v>20</v>
      </c>
      <c r="O273" s="24">
        <f t="shared" si="4"/>
        <v>4.2982250109049422E-2</v>
      </c>
    </row>
    <row r="274" spans="1:15">
      <c r="A274" s="19" t="s">
        <v>148</v>
      </c>
      <c r="B274" s="19" t="s">
        <v>22</v>
      </c>
      <c r="C274" s="20">
        <v>45428</v>
      </c>
      <c r="D274" s="21" t="s">
        <v>23</v>
      </c>
      <c r="E274" s="22" t="s">
        <v>361</v>
      </c>
      <c r="F274" s="23">
        <v>2023</v>
      </c>
      <c r="G274" s="23">
        <v>124</v>
      </c>
      <c r="H274" s="23">
        <v>99</v>
      </c>
      <c r="I274" s="23">
        <v>54524</v>
      </c>
      <c r="J274" s="23">
        <v>34790</v>
      </c>
      <c r="K274" s="23">
        <v>195</v>
      </c>
      <c r="L274" s="21" t="s">
        <v>19</v>
      </c>
      <c r="M274" s="21" t="s">
        <v>364</v>
      </c>
      <c r="N274" s="21" t="s">
        <v>16</v>
      </c>
      <c r="O274" s="24">
        <f t="shared" si="4"/>
        <v>4.1192869195216787E-2</v>
      </c>
    </row>
    <row r="275" spans="1:15">
      <c r="A275" s="19" t="s">
        <v>104</v>
      </c>
      <c r="B275" s="19" t="s">
        <v>22</v>
      </c>
      <c r="C275" s="20">
        <v>45431</v>
      </c>
      <c r="D275" s="21" t="s">
        <v>23</v>
      </c>
      <c r="E275" s="22" t="s">
        <v>30</v>
      </c>
      <c r="F275" s="23">
        <v>1763</v>
      </c>
      <c r="G275" s="23">
        <v>206</v>
      </c>
      <c r="H275" s="23">
        <v>187</v>
      </c>
      <c r="I275" s="23">
        <v>53342</v>
      </c>
      <c r="J275" s="23">
        <v>25095</v>
      </c>
      <c r="K275" s="23">
        <v>88</v>
      </c>
      <c r="L275" s="21" t="s">
        <v>19</v>
      </c>
      <c r="M275" s="21" t="s">
        <v>364</v>
      </c>
      <c r="N275" s="21" t="s">
        <v>16</v>
      </c>
      <c r="O275" s="24">
        <f t="shared" si="4"/>
        <v>4.0418432004799221E-2</v>
      </c>
    </row>
    <row r="276" spans="1:15">
      <c r="A276" s="19" t="s">
        <v>242</v>
      </c>
      <c r="B276" s="19" t="s">
        <v>22</v>
      </c>
      <c r="C276" s="20">
        <v>45827</v>
      </c>
      <c r="D276" s="21" t="s">
        <v>23</v>
      </c>
      <c r="E276" s="22" t="s">
        <v>362</v>
      </c>
      <c r="F276" s="23">
        <v>1433</v>
      </c>
      <c r="G276" s="23">
        <v>452</v>
      </c>
      <c r="H276" s="23">
        <v>305</v>
      </c>
      <c r="I276" s="23">
        <v>54541</v>
      </c>
      <c r="J276" s="23">
        <v>63700</v>
      </c>
      <c r="K276" s="23">
        <v>296</v>
      </c>
      <c r="L276" s="21" t="s">
        <v>19</v>
      </c>
      <c r="M276" s="21" t="s">
        <v>364</v>
      </c>
      <c r="N276" s="21" t="s">
        <v>16</v>
      </c>
      <c r="O276" s="24">
        <f t="shared" si="4"/>
        <v>4.0153279184466734E-2</v>
      </c>
    </row>
    <row r="277" spans="1:15">
      <c r="A277" s="19" t="s">
        <v>74</v>
      </c>
      <c r="B277" s="19" t="s">
        <v>13</v>
      </c>
      <c r="C277" s="20">
        <v>45541</v>
      </c>
      <c r="D277" s="21" t="s">
        <v>14</v>
      </c>
      <c r="E277" s="22" t="s">
        <v>24</v>
      </c>
      <c r="F277" s="23">
        <v>1452</v>
      </c>
      <c r="G277" s="23">
        <v>281</v>
      </c>
      <c r="H277" s="23">
        <v>326</v>
      </c>
      <c r="I277" s="23">
        <v>51556</v>
      </c>
      <c r="J277" s="23">
        <v>62599</v>
      </c>
      <c r="K277" s="23">
        <v>290</v>
      </c>
      <c r="L277" s="21" t="s">
        <v>19</v>
      </c>
      <c r="M277" s="21"/>
      <c r="N277" s="21" t="s">
        <v>20</v>
      </c>
      <c r="O277" s="24">
        <f t="shared" si="4"/>
        <v>3.9937155714174881E-2</v>
      </c>
    </row>
    <row r="278" spans="1:15">
      <c r="A278" s="19" t="s">
        <v>69</v>
      </c>
      <c r="B278" s="19" t="s">
        <v>13</v>
      </c>
      <c r="C278" s="20">
        <v>45621</v>
      </c>
      <c r="D278" s="21" t="s">
        <v>14</v>
      </c>
      <c r="E278" s="22" t="s">
        <v>363</v>
      </c>
      <c r="F278" s="23">
        <v>1341</v>
      </c>
      <c r="G278" s="23">
        <v>472</v>
      </c>
      <c r="H278" s="23">
        <v>238</v>
      </c>
      <c r="I278" s="23">
        <v>51386</v>
      </c>
      <c r="J278" s="23">
        <v>51706</v>
      </c>
      <c r="K278" s="23">
        <v>133</v>
      </c>
      <c r="L278" s="21" t="s">
        <v>19</v>
      </c>
      <c r="M278" s="21"/>
      <c r="N278" s="21" t="s">
        <v>20</v>
      </c>
      <c r="O278" s="24">
        <f t="shared" si="4"/>
        <v>3.9913595142645857E-2</v>
      </c>
    </row>
    <row r="279" spans="1:15">
      <c r="A279" s="19" t="s">
        <v>143</v>
      </c>
      <c r="B279" s="19" t="s">
        <v>13</v>
      </c>
      <c r="C279" s="20">
        <v>45544</v>
      </c>
      <c r="D279" s="21" t="s">
        <v>14</v>
      </c>
      <c r="E279" s="22" t="s">
        <v>24</v>
      </c>
      <c r="F279" s="23">
        <v>1616</v>
      </c>
      <c r="G279" s="23">
        <v>360</v>
      </c>
      <c r="H279" s="23">
        <v>180</v>
      </c>
      <c r="I279" s="23">
        <v>54342</v>
      </c>
      <c r="J279" s="23">
        <v>18796</v>
      </c>
      <c r="K279" s="23">
        <v>282</v>
      </c>
      <c r="L279" s="21" t="s">
        <v>37</v>
      </c>
      <c r="M279" s="21" t="s">
        <v>34</v>
      </c>
      <c r="N279" s="21" t="s">
        <v>16</v>
      </c>
      <c r="O279" s="24">
        <f t="shared" si="4"/>
        <v>3.9674653122814763E-2</v>
      </c>
    </row>
    <row r="280" spans="1:15">
      <c r="A280" s="19" t="s">
        <v>238</v>
      </c>
      <c r="B280" s="19" t="s">
        <v>22</v>
      </c>
      <c r="C280" s="20">
        <v>45754</v>
      </c>
      <c r="D280" s="21" t="s">
        <v>14</v>
      </c>
      <c r="E280" s="22" t="s">
        <v>363</v>
      </c>
      <c r="F280" s="23">
        <v>1403</v>
      </c>
      <c r="G280" s="23">
        <v>385</v>
      </c>
      <c r="H280" s="23">
        <v>344</v>
      </c>
      <c r="I280" s="23">
        <v>54223</v>
      </c>
      <c r="J280" s="23">
        <v>72595</v>
      </c>
      <c r="K280" s="23">
        <v>239</v>
      </c>
      <c r="L280" s="21" t="s">
        <v>37</v>
      </c>
      <c r="M280" s="21"/>
      <c r="N280" s="21" t="s">
        <v>20</v>
      </c>
      <c r="O280" s="24">
        <f t="shared" si="4"/>
        <v>3.9319108127547353E-2</v>
      </c>
    </row>
    <row r="281" spans="1:15">
      <c r="A281" s="19" t="s">
        <v>68</v>
      </c>
      <c r="B281" s="19" t="s">
        <v>13</v>
      </c>
      <c r="C281" s="20">
        <v>45545</v>
      </c>
      <c r="D281" s="21" t="s">
        <v>23</v>
      </c>
      <c r="E281" s="22" t="s">
        <v>24</v>
      </c>
      <c r="F281" s="23">
        <v>1230</v>
      </c>
      <c r="G281" s="23">
        <v>309</v>
      </c>
      <c r="H281" s="23">
        <v>207</v>
      </c>
      <c r="I281" s="23">
        <v>44629</v>
      </c>
      <c r="J281" s="23">
        <v>40699</v>
      </c>
      <c r="K281" s="23">
        <v>195</v>
      </c>
      <c r="L281" s="21" t="s">
        <v>34</v>
      </c>
      <c r="M281" s="21"/>
      <c r="N281" s="21" t="s">
        <v>46</v>
      </c>
      <c r="O281" s="24">
        <f t="shared" si="4"/>
        <v>3.9122543637545096E-2</v>
      </c>
    </row>
    <row r="282" spans="1:15">
      <c r="A282" s="19" t="s">
        <v>186</v>
      </c>
      <c r="B282" s="19" t="s">
        <v>27</v>
      </c>
      <c r="C282" s="20">
        <v>45538</v>
      </c>
      <c r="D282" s="21" t="s">
        <v>48</v>
      </c>
      <c r="E282" s="22" t="s">
        <v>362</v>
      </c>
      <c r="F282" s="23">
        <v>1437</v>
      </c>
      <c r="G282" s="23">
        <v>494</v>
      </c>
      <c r="H282" s="23">
        <v>129</v>
      </c>
      <c r="I282" s="23">
        <v>53048</v>
      </c>
      <c r="J282" s="23">
        <v>44090</v>
      </c>
      <c r="K282" s="23">
        <v>230</v>
      </c>
      <c r="L282" s="21" t="s">
        <v>19</v>
      </c>
      <c r="M282" s="21" t="s">
        <v>37</v>
      </c>
      <c r="N282" s="21" t="s">
        <v>49</v>
      </c>
      <c r="O282" s="24">
        <f t="shared" si="4"/>
        <v>3.8832755240536872E-2</v>
      </c>
    </row>
    <row r="283" spans="1:15">
      <c r="A283" s="19" t="s">
        <v>93</v>
      </c>
      <c r="B283" s="19" t="s">
        <v>22</v>
      </c>
      <c r="C283" s="20">
        <v>45480</v>
      </c>
      <c r="D283" s="21" t="s">
        <v>14</v>
      </c>
      <c r="E283" s="22" t="s">
        <v>24</v>
      </c>
      <c r="F283" s="23">
        <v>1035</v>
      </c>
      <c r="G283" s="23">
        <v>137</v>
      </c>
      <c r="H283" s="23">
        <v>184</v>
      </c>
      <c r="I283" s="23">
        <v>37302</v>
      </c>
      <c r="J283" s="23">
        <v>68953</v>
      </c>
      <c r="K283" s="23">
        <v>237</v>
      </c>
      <c r="L283" s="21" t="s">
        <v>37</v>
      </c>
      <c r="M283" s="21"/>
      <c r="N283" s="21" t="s">
        <v>20</v>
      </c>
      <c r="O283" s="24">
        <f t="shared" si="4"/>
        <v>3.6351938233874857E-2</v>
      </c>
    </row>
    <row r="284" spans="1:15">
      <c r="A284" s="19" t="s">
        <v>152</v>
      </c>
      <c r="B284" s="19" t="s">
        <v>22</v>
      </c>
      <c r="C284" s="20">
        <v>45346</v>
      </c>
      <c r="D284" s="21" t="s">
        <v>23</v>
      </c>
      <c r="E284" s="22" t="s">
        <v>361</v>
      </c>
      <c r="F284" s="23">
        <v>1022</v>
      </c>
      <c r="G284" s="23">
        <v>463</v>
      </c>
      <c r="H284" s="23">
        <v>360</v>
      </c>
      <c r="I284" s="23">
        <v>51468</v>
      </c>
      <c r="J284" s="23">
        <v>24279</v>
      </c>
      <c r="K284" s="23">
        <v>230</v>
      </c>
      <c r="L284" s="21" t="s">
        <v>19</v>
      </c>
      <c r="M284" s="21" t="s">
        <v>364</v>
      </c>
      <c r="N284" s="21" t="s">
        <v>16</v>
      </c>
      <c r="O284" s="24">
        <f t="shared" si="4"/>
        <v>3.5847516903707161E-2</v>
      </c>
    </row>
    <row r="285" spans="1:15">
      <c r="A285" s="19" t="s">
        <v>227</v>
      </c>
      <c r="B285" s="19" t="s">
        <v>27</v>
      </c>
      <c r="C285" s="20">
        <v>45634</v>
      </c>
      <c r="D285" s="21" t="s">
        <v>14</v>
      </c>
      <c r="E285" s="22" t="s">
        <v>33</v>
      </c>
      <c r="F285" s="23">
        <v>1424</v>
      </c>
      <c r="G285" s="23">
        <v>396</v>
      </c>
      <c r="H285" s="23">
        <v>312</v>
      </c>
      <c r="I285" s="23">
        <v>59517</v>
      </c>
      <c r="J285" s="23">
        <v>46102</v>
      </c>
      <c r="K285" s="23">
        <v>239</v>
      </c>
      <c r="L285" s="21" t="s">
        <v>19</v>
      </c>
      <c r="M285" s="21" t="s">
        <v>365</v>
      </c>
      <c r="N285" s="21" t="s">
        <v>20</v>
      </c>
      <c r="O285" s="24">
        <f t="shared" si="4"/>
        <v>3.5821698002251455E-2</v>
      </c>
    </row>
    <row r="286" spans="1:15">
      <c r="A286" s="19" t="s">
        <v>95</v>
      </c>
      <c r="B286" s="19" t="s">
        <v>27</v>
      </c>
      <c r="C286" s="20">
        <v>45438</v>
      </c>
      <c r="D286" s="21" t="s">
        <v>14</v>
      </c>
      <c r="E286" s="22" t="s">
        <v>363</v>
      </c>
      <c r="F286" s="23">
        <v>1488</v>
      </c>
      <c r="G286" s="23">
        <v>327</v>
      </c>
      <c r="H286" s="23">
        <v>110</v>
      </c>
      <c r="I286" s="23">
        <v>53805</v>
      </c>
      <c r="J286" s="23">
        <v>30239</v>
      </c>
      <c r="K286" s="23">
        <v>109</v>
      </c>
      <c r="L286" s="21" t="s">
        <v>19</v>
      </c>
      <c r="M286" s="21" t="s">
        <v>365</v>
      </c>
      <c r="N286" s="21" t="s">
        <v>20</v>
      </c>
      <c r="O286" s="24">
        <f t="shared" si="4"/>
        <v>3.5777344113000653E-2</v>
      </c>
    </row>
    <row r="287" spans="1:15">
      <c r="A287" s="19" t="s">
        <v>194</v>
      </c>
      <c r="B287" s="19" t="s">
        <v>13</v>
      </c>
      <c r="C287" s="20">
        <v>45835</v>
      </c>
      <c r="D287" s="21" t="s">
        <v>23</v>
      </c>
      <c r="E287" s="22" t="s">
        <v>362</v>
      </c>
      <c r="F287" s="23">
        <v>1342</v>
      </c>
      <c r="G287" s="23">
        <v>332</v>
      </c>
      <c r="H287" s="23">
        <v>163</v>
      </c>
      <c r="I287" s="23">
        <v>51712</v>
      </c>
      <c r="J287" s="23">
        <v>57922</v>
      </c>
      <c r="K287" s="23">
        <v>168</v>
      </c>
      <c r="L287" s="21" t="s">
        <v>34</v>
      </c>
      <c r="M287" s="21"/>
      <c r="N287" s="21" t="s">
        <v>46</v>
      </c>
      <c r="O287" s="24">
        <f t="shared" si="4"/>
        <v>3.5523669554455448E-2</v>
      </c>
    </row>
    <row r="288" spans="1:15">
      <c r="A288" s="19" t="s">
        <v>228</v>
      </c>
      <c r="B288" s="19" t="s">
        <v>22</v>
      </c>
      <c r="C288" s="20">
        <v>45689</v>
      </c>
      <c r="D288" s="21" t="s">
        <v>23</v>
      </c>
      <c r="E288" s="22" t="s">
        <v>33</v>
      </c>
      <c r="F288" s="23">
        <v>1079</v>
      </c>
      <c r="G288" s="23">
        <v>265</v>
      </c>
      <c r="H288" s="23">
        <v>190</v>
      </c>
      <c r="I288" s="23">
        <v>43786</v>
      </c>
      <c r="J288" s="23">
        <v>72428</v>
      </c>
      <c r="K288" s="23">
        <v>222</v>
      </c>
      <c r="L288" s="21" t="s">
        <v>37</v>
      </c>
      <c r="M288" s="21" t="s">
        <v>34</v>
      </c>
      <c r="N288" s="21" t="s">
        <v>16</v>
      </c>
      <c r="O288" s="24">
        <f t="shared" si="4"/>
        <v>3.5034029141734799E-2</v>
      </c>
    </row>
    <row r="289" spans="1:15">
      <c r="A289" s="19" t="s">
        <v>147</v>
      </c>
      <c r="B289" s="19" t="s">
        <v>13</v>
      </c>
      <c r="C289" s="20">
        <v>45340</v>
      </c>
      <c r="D289" s="21" t="s">
        <v>23</v>
      </c>
      <c r="E289" s="22" t="s">
        <v>363</v>
      </c>
      <c r="F289" s="23">
        <v>1516</v>
      </c>
      <c r="G289" s="23">
        <v>215</v>
      </c>
      <c r="H289" s="23">
        <v>332</v>
      </c>
      <c r="I289" s="23">
        <v>58981</v>
      </c>
      <c r="J289" s="23">
        <v>36118</v>
      </c>
      <c r="K289" s="23">
        <v>211</v>
      </c>
      <c r="L289" s="21" t="s">
        <v>34</v>
      </c>
      <c r="M289" s="21"/>
      <c r="N289" s="21" t="s">
        <v>46</v>
      </c>
      <c r="O289" s="24">
        <f t="shared" si="4"/>
        <v>3.4977365592309385E-2</v>
      </c>
    </row>
    <row r="290" spans="1:15">
      <c r="A290" s="19" t="s">
        <v>157</v>
      </c>
      <c r="B290" s="19" t="s">
        <v>22</v>
      </c>
      <c r="C290" s="20">
        <v>45319</v>
      </c>
      <c r="D290" s="21" t="s">
        <v>14</v>
      </c>
      <c r="E290" s="22" t="s">
        <v>361</v>
      </c>
      <c r="F290" s="23">
        <v>1456</v>
      </c>
      <c r="G290" s="23">
        <v>265</v>
      </c>
      <c r="H290" s="23">
        <v>137</v>
      </c>
      <c r="I290" s="23">
        <v>53485</v>
      </c>
      <c r="J290" s="23">
        <v>59729</v>
      </c>
      <c r="K290" s="23">
        <v>145</v>
      </c>
      <c r="L290" s="21" t="s">
        <v>37</v>
      </c>
      <c r="M290" s="21"/>
      <c r="N290" s="21" t="s">
        <v>20</v>
      </c>
      <c r="O290" s="24">
        <f t="shared" si="4"/>
        <v>3.4738711788351875E-2</v>
      </c>
    </row>
    <row r="291" spans="1:15">
      <c r="A291" s="19" t="s">
        <v>315</v>
      </c>
      <c r="B291" s="19" t="s">
        <v>27</v>
      </c>
      <c r="C291" s="20">
        <v>45686</v>
      </c>
      <c r="D291" s="21" t="s">
        <v>14</v>
      </c>
      <c r="E291" s="22" t="s">
        <v>24</v>
      </c>
      <c r="F291" s="23">
        <v>1334</v>
      </c>
      <c r="G291" s="23">
        <v>357</v>
      </c>
      <c r="H291" s="23">
        <v>257</v>
      </c>
      <c r="I291" s="23">
        <v>56910</v>
      </c>
      <c r="J291" s="23">
        <v>70606</v>
      </c>
      <c r="K291" s="23">
        <v>228</v>
      </c>
      <c r="L291" s="21" t="s">
        <v>19</v>
      </c>
      <c r="M291" s="21" t="s">
        <v>365</v>
      </c>
      <c r="N291" s="21" t="s">
        <v>20</v>
      </c>
      <c r="O291" s="24">
        <f t="shared" si="4"/>
        <v>3.4229485151994379E-2</v>
      </c>
    </row>
    <row r="292" spans="1:15">
      <c r="A292" s="19" t="s">
        <v>240</v>
      </c>
      <c r="B292" s="19" t="s">
        <v>22</v>
      </c>
      <c r="C292" s="20">
        <v>45780</v>
      </c>
      <c r="D292" s="21" t="s">
        <v>23</v>
      </c>
      <c r="E292" s="22" t="s">
        <v>33</v>
      </c>
      <c r="F292" s="23">
        <v>1010</v>
      </c>
      <c r="G292" s="23">
        <v>361</v>
      </c>
      <c r="H292" s="23">
        <v>240</v>
      </c>
      <c r="I292" s="23">
        <v>47229</v>
      </c>
      <c r="J292" s="23">
        <v>72573</v>
      </c>
      <c r="K292" s="23">
        <v>275</v>
      </c>
      <c r="L292" s="21" t="s">
        <v>37</v>
      </c>
      <c r="M292" s="21" t="s">
        <v>34</v>
      </c>
      <c r="N292" s="21" t="s">
        <v>16</v>
      </c>
      <c r="O292" s="24">
        <f t="shared" si="4"/>
        <v>3.4110398272247981E-2</v>
      </c>
    </row>
    <row r="293" spans="1:15">
      <c r="A293" s="19" t="s">
        <v>288</v>
      </c>
      <c r="B293" s="19" t="s">
        <v>27</v>
      </c>
      <c r="C293" s="20">
        <v>45736</v>
      </c>
      <c r="D293" s="21" t="s">
        <v>48</v>
      </c>
      <c r="E293" s="22" t="s">
        <v>363</v>
      </c>
      <c r="F293" s="23">
        <v>1453</v>
      </c>
      <c r="G293" s="23">
        <v>156</v>
      </c>
      <c r="H293" s="23">
        <v>178</v>
      </c>
      <c r="I293" s="23">
        <v>52980</v>
      </c>
      <c r="J293" s="23">
        <v>57180</v>
      </c>
      <c r="K293" s="23">
        <v>286</v>
      </c>
      <c r="L293" s="21" t="s">
        <v>19</v>
      </c>
      <c r="M293" s="21" t="s">
        <v>37</v>
      </c>
      <c r="N293" s="21" t="s">
        <v>49</v>
      </c>
      <c r="O293" s="24">
        <f t="shared" si="4"/>
        <v>3.3729709324273313E-2</v>
      </c>
    </row>
    <row r="294" spans="1:15">
      <c r="A294" s="19" t="s">
        <v>300</v>
      </c>
      <c r="B294" s="19" t="s">
        <v>22</v>
      </c>
      <c r="C294" s="20">
        <v>45609</v>
      </c>
      <c r="D294" s="21" t="s">
        <v>23</v>
      </c>
      <c r="E294" s="22" t="s">
        <v>24</v>
      </c>
      <c r="F294" s="23">
        <v>1409</v>
      </c>
      <c r="G294" s="23">
        <v>466</v>
      </c>
      <c r="H294" s="23">
        <v>105</v>
      </c>
      <c r="I294" s="23">
        <v>58923</v>
      </c>
      <c r="J294" s="23">
        <v>38753</v>
      </c>
      <c r="K294" s="23">
        <v>265</v>
      </c>
      <c r="L294" s="21" t="s">
        <v>19</v>
      </c>
      <c r="M294" s="21" t="s">
        <v>364</v>
      </c>
      <c r="N294" s="21" t="s">
        <v>16</v>
      </c>
      <c r="O294" s="24">
        <f t="shared" si="4"/>
        <v>3.3603177027646251E-2</v>
      </c>
    </row>
    <row r="295" spans="1:15">
      <c r="A295" s="19" t="s">
        <v>324</v>
      </c>
      <c r="B295" s="19" t="s">
        <v>13</v>
      </c>
      <c r="C295" s="20">
        <v>45653</v>
      </c>
      <c r="D295" s="21" t="s">
        <v>14</v>
      </c>
      <c r="E295" s="22" t="s">
        <v>363</v>
      </c>
      <c r="F295" s="23">
        <v>1436</v>
      </c>
      <c r="G295" s="23">
        <v>219</v>
      </c>
      <c r="H295" s="23">
        <v>229</v>
      </c>
      <c r="I295" s="23">
        <v>58488</v>
      </c>
      <c r="J295" s="23">
        <v>24314</v>
      </c>
      <c r="K295" s="23">
        <v>147</v>
      </c>
      <c r="L295" s="21" t="s">
        <v>19</v>
      </c>
      <c r="M295" s="21"/>
      <c r="N295" s="21" t="s">
        <v>20</v>
      </c>
      <c r="O295" s="24">
        <f t="shared" si="4"/>
        <v>3.221173574066475E-2</v>
      </c>
    </row>
    <row r="296" spans="1:15">
      <c r="A296" s="19" t="s">
        <v>258</v>
      </c>
      <c r="B296" s="19" t="s">
        <v>27</v>
      </c>
      <c r="C296" s="20">
        <v>45442</v>
      </c>
      <c r="D296" s="21" t="s">
        <v>48</v>
      </c>
      <c r="E296" s="22" t="s">
        <v>362</v>
      </c>
      <c r="F296" s="23">
        <v>1060</v>
      </c>
      <c r="G296" s="23">
        <v>442</v>
      </c>
      <c r="H296" s="23">
        <v>319</v>
      </c>
      <c r="I296" s="23">
        <v>57194</v>
      </c>
      <c r="J296" s="23">
        <v>24258</v>
      </c>
      <c r="K296" s="23">
        <v>101</v>
      </c>
      <c r="L296" s="21" t="s">
        <v>19</v>
      </c>
      <c r="M296" s="21" t="s">
        <v>37</v>
      </c>
      <c r="N296" s="21" t="s">
        <v>49</v>
      </c>
      <c r="O296" s="24">
        <f t="shared" si="4"/>
        <v>3.1839004091338254E-2</v>
      </c>
    </row>
    <row r="297" spans="1:15">
      <c r="A297" s="19" t="s">
        <v>241</v>
      </c>
      <c r="B297" s="19" t="s">
        <v>22</v>
      </c>
      <c r="C297" s="20">
        <v>45396</v>
      </c>
      <c r="D297" s="21" t="s">
        <v>23</v>
      </c>
      <c r="E297" s="22" t="s">
        <v>15</v>
      </c>
      <c r="F297" s="23">
        <v>1295</v>
      </c>
      <c r="G297" s="23">
        <v>153</v>
      </c>
      <c r="H297" s="23">
        <v>81</v>
      </c>
      <c r="I297" s="23">
        <v>48350</v>
      </c>
      <c r="J297" s="23">
        <v>61033</v>
      </c>
      <c r="K297" s="23">
        <v>232</v>
      </c>
      <c r="L297" s="21" t="s">
        <v>19</v>
      </c>
      <c r="M297" s="21" t="s">
        <v>364</v>
      </c>
      <c r="N297" s="21" t="s">
        <v>16</v>
      </c>
      <c r="O297" s="24">
        <f t="shared" si="4"/>
        <v>3.1623578076525334E-2</v>
      </c>
    </row>
    <row r="298" spans="1:15">
      <c r="A298" s="19" t="s">
        <v>253</v>
      </c>
      <c r="B298" s="19" t="s">
        <v>22</v>
      </c>
      <c r="C298" s="20">
        <v>45462</v>
      </c>
      <c r="D298" s="21" t="s">
        <v>14</v>
      </c>
      <c r="E298" s="22" t="s">
        <v>362</v>
      </c>
      <c r="F298" s="23">
        <v>1224</v>
      </c>
      <c r="G298" s="23">
        <v>168</v>
      </c>
      <c r="H298" s="23">
        <v>199</v>
      </c>
      <c r="I298" s="23">
        <v>54232</v>
      </c>
      <c r="J298" s="23">
        <v>52844</v>
      </c>
      <c r="K298" s="23">
        <v>271</v>
      </c>
      <c r="L298" s="21" t="s">
        <v>37</v>
      </c>
      <c r="M298" s="21"/>
      <c r="N298" s="21" t="s">
        <v>20</v>
      </c>
      <c r="O298" s="24">
        <f t="shared" si="4"/>
        <v>2.9336922849977874E-2</v>
      </c>
    </row>
    <row r="299" spans="1:15">
      <c r="A299" s="19" t="s">
        <v>160</v>
      </c>
      <c r="B299" s="19" t="s">
        <v>27</v>
      </c>
      <c r="C299" s="20">
        <v>45301</v>
      </c>
      <c r="D299" s="21" t="s">
        <v>14</v>
      </c>
      <c r="E299" s="22" t="s">
        <v>18</v>
      </c>
      <c r="F299" s="23">
        <v>1261</v>
      </c>
      <c r="G299" s="23">
        <v>190</v>
      </c>
      <c r="H299" s="23">
        <v>233</v>
      </c>
      <c r="I299" s="23">
        <v>59888</v>
      </c>
      <c r="J299" s="23">
        <v>51449</v>
      </c>
      <c r="K299" s="23">
        <v>205</v>
      </c>
      <c r="L299" s="21" t="s">
        <v>19</v>
      </c>
      <c r="M299" s="21" t="s">
        <v>365</v>
      </c>
      <c r="N299" s="21" t="s">
        <v>20</v>
      </c>
      <c r="O299" s="24">
        <f t="shared" si="4"/>
        <v>2.811915575741384E-2</v>
      </c>
    </row>
    <row r="300" spans="1:15">
      <c r="A300" s="19" t="s">
        <v>168</v>
      </c>
      <c r="B300" s="19" t="s">
        <v>22</v>
      </c>
      <c r="C300" s="20">
        <v>45624</v>
      </c>
      <c r="D300" s="21" t="s">
        <v>23</v>
      </c>
      <c r="E300" s="22" t="s">
        <v>24</v>
      </c>
      <c r="F300" s="23">
        <v>1131</v>
      </c>
      <c r="G300" s="23">
        <v>100</v>
      </c>
      <c r="H300" s="23">
        <v>116</v>
      </c>
      <c r="I300" s="23">
        <v>48437</v>
      </c>
      <c r="J300" s="23">
        <v>72704</v>
      </c>
      <c r="K300" s="23">
        <v>236</v>
      </c>
      <c r="L300" s="21" t="s">
        <v>19</v>
      </c>
      <c r="M300" s="21" t="s">
        <v>364</v>
      </c>
      <c r="N300" s="21" t="s">
        <v>16</v>
      </c>
      <c r="O300" s="24">
        <f t="shared" si="4"/>
        <v>2.7809319322005904E-2</v>
      </c>
    </row>
    <row r="301" spans="1:15">
      <c r="A301" s="19" t="s">
        <v>89</v>
      </c>
      <c r="B301" s="19" t="s">
        <v>27</v>
      </c>
      <c r="C301" s="20">
        <v>45514</v>
      </c>
      <c r="D301" s="21" t="s">
        <v>14</v>
      </c>
      <c r="E301" s="22" t="s">
        <v>363</v>
      </c>
      <c r="F301" s="23">
        <v>1105</v>
      </c>
      <c r="G301" s="23">
        <v>181</v>
      </c>
      <c r="H301" s="23">
        <v>55</v>
      </c>
      <c r="I301" s="23">
        <v>53581</v>
      </c>
      <c r="J301" s="23">
        <v>74048</v>
      </c>
      <c r="K301" s="23">
        <v>220</v>
      </c>
      <c r="L301" s="21" t="s">
        <v>19</v>
      </c>
      <c r="M301" s="21" t="s">
        <v>365</v>
      </c>
      <c r="N301" s="21" t="s">
        <v>20</v>
      </c>
      <c r="O301" s="24">
        <f t="shared" si="4"/>
        <v>2.50275284149232E-2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A001-CFE8-433D-9B1A-8E72A71E602B}">
  <dimension ref="A1:V301"/>
  <sheetViews>
    <sheetView topLeftCell="B1" zoomScale="70" zoomScaleNormal="70" workbookViewId="0">
      <pane ySplit="1" topLeftCell="A2" activePane="bottomLeft" state="frozen"/>
      <selection activeCell="B1" sqref="B1"/>
      <selection pane="bottomLeft" activeCell="S8" sqref="S8"/>
    </sheetView>
  </sheetViews>
  <sheetFormatPr defaultColWidth="14.42578125" defaultRowHeight="15.75"/>
  <cols>
    <col min="1" max="1" width="13.28515625" style="25" hidden="1" customWidth="1"/>
    <col min="2" max="2" width="14.7109375" style="25" bestFit="1" customWidth="1"/>
    <col min="3" max="3" width="11.85546875" style="29" hidden="1" customWidth="1"/>
    <col min="4" max="4" width="19.42578125" style="30" hidden="1" customWidth="1"/>
    <col min="5" max="5" width="43.140625" style="30" hidden="1" customWidth="1"/>
    <col min="6" max="6" width="11.7109375" style="31" bestFit="1" customWidth="1"/>
    <col min="7" max="7" width="13.42578125" style="31" bestFit="1" customWidth="1"/>
    <col min="8" max="8" width="17" style="31" bestFit="1" customWidth="1"/>
    <col min="9" max="9" width="18.42578125" style="31" bestFit="1" customWidth="1"/>
    <col min="10" max="10" width="12.5703125" style="31" hidden="1" customWidth="1"/>
    <col min="11" max="11" width="12.42578125" style="31" hidden="1" customWidth="1"/>
    <col min="12" max="13" width="19.7109375" style="30" hidden="1" customWidth="1"/>
    <col min="14" max="14" width="23.140625" style="30" hidden="1" customWidth="1"/>
    <col min="15" max="15" width="23.85546875" style="32" bestFit="1" customWidth="1"/>
    <col min="16" max="17" width="8.7109375" style="18" customWidth="1"/>
    <col min="18" max="18" width="13.28515625" style="18" bestFit="1" customWidth="1"/>
    <col min="19" max="19" width="27" style="25" bestFit="1" customWidth="1"/>
    <col min="20" max="28" width="8.7109375" style="25" customWidth="1"/>
    <col min="29" max="16384" width="14.42578125" style="25"/>
  </cols>
  <sheetData>
    <row r="1" spans="1:20" s="18" customFormat="1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3" t="s">
        <v>358</v>
      </c>
      <c r="M1" s="33" t="s">
        <v>359</v>
      </c>
      <c r="N1" s="33" t="s">
        <v>11</v>
      </c>
      <c r="O1" s="36" t="s">
        <v>368</v>
      </c>
      <c r="P1" s="17"/>
      <c r="Q1" s="17"/>
      <c r="R1" s="17"/>
      <c r="S1" s="17"/>
    </row>
    <row r="2" spans="1:20">
      <c r="A2" s="19" t="s">
        <v>12</v>
      </c>
      <c r="B2" s="19" t="s">
        <v>13</v>
      </c>
      <c r="C2" s="20">
        <v>45781</v>
      </c>
      <c r="D2" s="21" t="s">
        <v>14</v>
      </c>
      <c r="E2" s="22" t="s">
        <v>15</v>
      </c>
      <c r="F2" s="23">
        <v>2414</v>
      </c>
      <c r="G2" s="23">
        <v>245</v>
      </c>
      <c r="H2" s="23">
        <v>137</v>
      </c>
      <c r="I2" s="23">
        <v>21181</v>
      </c>
      <c r="J2" s="23">
        <v>45292</v>
      </c>
      <c r="K2" s="23">
        <v>133</v>
      </c>
      <c r="L2" s="21" t="s">
        <v>37</v>
      </c>
      <c r="M2" s="21" t="s">
        <v>34</v>
      </c>
      <c r="N2" s="21" t="s">
        <v>16</v>
      </c>
      <c r="O2" s="24">
        <f t="shared" ref="O2:O65" si="0" xml:space="preserve"> (F2+ G2 + H2) / I2</f>
        <v>0.13200509890939993</v>
      </c>
      <c r="P2" s="17"/>
      <c r="Q2" s="17"/>
      <c r="R2" s="17"/>
      <c r="S2" s="17"/>
    </row>
    <row r="3" spans="1:20">
      <c r="A3" s="19" t="s">
        <v>17</v>
      </c>
      <c r="B3" s="19" t="s">
        <v>13</v>
      </c>
      <c r="C3" s="20">
        <v>45689</v>
      </c>
      <c r="D3" s="21" t="s">
        <v>14</v>
      </c>
      <c r="E3" s="22" t="s">
        <v>18</v>
      </c>
      <c r="F3" s="23">
        <v>1934</v>
      </c>
      <c r="G3" s="23">
        <v>210</v>
      </c>
      <c r="H3" s="23">
        <v>393</v>
      </c>
      <c r="I3" s="23">
        <v>29129</v>
      </c>
      <c r="J3" s="23">
        <v>73287</v>
      </c>
      <c r="K3" s="23">
        <v>273</v>
      </c>
      <c r="L3" s="21" t="s">
        <v>19</v>
      </c>
      <c r="M3" s="21"/>
      <c r="N3" s="21" t="s">
        <v>20</v>
      </c>
      <c r="O3" s="24">
        <f t="shared" si="0"/>
        <v>8.7095334546328396E-2</v>
      </c>
      <c r="P3" s="17"/>
      <c r="Q3" s="17"/>
      <c r="R3" s="25" t="s">
        <v>1</v>
      </c>
      <c r="S3" s="25" t="s">
        <v>375</v>
      </c>
      <c r="T3" s="26"/>
    </row>
    <row r="4" spans="1:20">
      <c r="A4" s="19" t="s">
        <v>21</v>
      </c>
      <c r="B4" s="19" t="s">
        <v>22</v>
      </c>
      <c r="C4" s="20">
        <v>45629</v>
      </c>
      <c r="D4" s="21" t="s">
        <v>23</v>
      </c>
      <c r="E4" s="22" t="s">
        <v>24</v>
      </c>
      <c r="F4" s="23">
        <v>3092</v>
      </c>
      <c r="G4" s="23">
        <v>177</v>
      </c>
      <c r="H4" s="23">
        <v>81</v>
      </c>
      <c r="I4" s="23">
        <v>47533</v>
      </c>
      <c r="J4" s="23">
        <v>29220</v>
      </c>
      <c r="K4" s="23">
        <v>121</v>
      </c>
      <c r="L4" s="21" t="s">
        <v>364</v>
      </c>
      <c r="M4" s="21" t="s">
        <v>34</v>
      </c>
      <c r="N4" s="21" t="s">
        <v>16</v>
      </c>
      <c r="O4" s="24">
        <f t="shared" si="0"/>
        <v>7.0477352576105018E-2</v>
      </c>
      <c r="P4" s="27"/>
      <c r="Q4" s="27"/>
      <c r="R4" s="61" t="s">
        <v>13</v>
      </c>
      <c r="S4" s="64">
        <v>9.0794830422286865E-2</v>
      </c>
      <c r="T4" s="26"/>
    </row>
    <row r="5" spans="1:20">
      <c r="A5" s="19" t="s">
        <v>25</v>
      </c>
      <c r="B5" s="19" t="s">
        <v>13</v>
      </c>
      <c r="C5" s="20">
        <v>45629</v>
      </c>
      <c r="D5" s="21" t="s">
        <v>14</v>
      </c>
      <c r="E5" s="22" t="s">
        <v>360</v>
      </c>
      <c r="F5" s="23">
        <v>3173</v>
      </c>
      <c r="G5" s="23">
        <v>229</v>
      </c>
      <c r="H5" s="23">
        <v>197</v>
      </c>
      <c r="I5" s="23">
        <v>29604</v>
      </c>
      <c r="J5" s="23">
        <v>21809</v>
      </c>
      <c r="K5" s="23">
        <v>272</v>
      </c>
      <c r="L5" s="21" t="s">
        <v>37</v>
      </c>
      <c r="M5" s="21" t="s">
        <v>34</v>
      </c>
      <c r="N5" s="21" t="s">
        <v>16</v>
      </c>
      <c r="O5" s="24">
        <f t="shared" si="0"/>
        <v>0.1215714092690177</v>
      </c>
      <c r="P5" s="27"/>
      <c r="Q5" s="27"/>
      <c r="R5" s="62" t="s">
        <v>22</v>
      </c>
      <c r="S5" s="65">
        <v>9.6034606364774039E-2</v>
      </c>
      <c r="T5" s="26"/>
    </row>
    <row r="6" spans="1:20">
      <c r="A6" s="19" t="s">
        <v>26</v>
      </c>
      <c r="B6" s="19" t="s">
        <v>27</v>
      </c>
      <c r="C6" s="20">
        <v>45388</v>
      </c>
      <c r="D6" s="21" t="s">
        <v>14</v>
      </c>
      <c r="E6" s="22" t="s">
        <v>361</v>
      </c>
      <c r="F6" s="23">
        <v>2748</v>
      </c>
      <c r="G6" s="23">
        <v>145</v>
      </c>
      <c r="H6" s="23">
        <v>315</v>
      </c>
      <c r="I6" s="23">
        <v>24401</v>
      </c>
      <c r="J6" s="23">
        <v>61182</v>
      </c>
      <c r="K6" s="23">
        <v>200</v>
      </c>
      <c r="L6" s="21" t="s">
        <v>19</v>
      </c>
      <c r="M6" s="21" t="s">
        <v>365</v>
      </c>
      <c r="N6" s="21" t="s">
        <v>20</v>
      </c>
      <c r="O6" s="24">
        <f t="shared" si="0"/>
        <v>0.1314700217204213</v>
      </c>
      <c r="P6" s="27"/>
      <c r="Q6" s="27"/>
      <c r="R6" s="63" t="s">
        <v>27</v>
      </c>
      <c r="S6" s="66">
        <v>8.8108118547634104E-2</v>
      </c>
      <c r="T6" s="26"/>
    </row>
    <row r="7" spans="1:20">
      <c r="A7" s="19" t="s">
        <v>28</v>
      </c>
      <c r="B7" s="19" t="s">
        <v>27</v>
      </c>
      <c r="C7" s="20">
        <v>45456</v>
      </c>
      <c r="D7" s="21" t="s">
        <v>14</v>
      </c>
      <c r="E7" s="22" t="s">
        <v>362</v>
      </c>
      <c r="F7" s="23">
        <v>3882</v>
      </c>
      <c r="G7" s="23">
        <v>239</v>
      </c>
      <c r="H7" s="23">
        <v>275</v>
      </c>
      <c r="I7" s="23">
        <v>58748</v>
      </c>
      <c r="J7" s="23">
        <v>44646</v>
      </c>
      <c r="K7" s="23">
        <v>149</v>
      </c>
      <c r="L7" s="21" t="s">
        <v>19</v>
      </c>
      <c r="M7" s="21" t="s">
        <v>365</v>
      </c>
      <c r="N7" s="21" t="s">
        <v>20</v>
      </c>
      <c r="O7" s="24">
        <f t="shared" si="0"/>
        <v>7.4828079253761837E-2</v>
      </c>
      <c r="P7" s="27"/>
      <c r="Q7" s="27"/>
      <c r="R7" s="28"/>
      <c r="S7" s="28"/>
      <c r="T7" s="28"/>
    </row>
    <row r="8" spans="1:20">
      <c r="A8" s="19" t="s">
        <v>29</v>
      </c>
      <c r="B8" s="19" t="s">
        <v>22</v>
      </c>
      <c r="C8" s="20">
        <v>45645</v>
      </c>
      <c r="D8" s="21" t="s">
        <v>23</v>
      </c>
      <c r="E8" s="22" t="s">
        <v>30</v>
      </c>
      <c r="F8" s="23">
        <v>4674</v>
      </c>
      <c r="G8" s="23">
        <v>409</v>
      </c>
      <c r="H8" s="23">
        <v>327</v>
      </c>
      <c r="I8" s="23">
        <v>20756</v>
      </c>
      <c r="J8" s="23">
        <v>63599</v>
      </c>
      <c r="K8" s="23">
        <v>212</v>
      </c>
      <c r="L8" s="21" t="s">
        <v>37</v>
      </c>
      <c r="M8" s="21" t="s">
        <v>34</v>
      </c>
      <c r="N8" s="21" t="s">
        <v>16</v>
      </c>
      <c r="O8" s="24">
        <f t="shared" si="0"/>
        <v>0.26064752360763155</v>
      </c>
      <c r="P8" s="27"/>
      <c r="Q8" s="27"/>
      <c r="R8" s="28"/>
      <c r="S8" s="28"/>
      <c r="T8" s="28"/>
    </row>
    <row r="9" spans="1:20">
      <c r="A9" s="19" t="s">
        <v>31</v>
      </c>
      <c r="B9" s="19" t="s">
        <v>22</v>
      </c>
      <c r="C9" s="20">
        <v>45421</v>
      </c>
      <c r="D9" s="21" t="s">
        <v>23</v>
      </c>
      <c r="E9" s="22" t="s">
        <v>360</v>
      </c>
      <c r="F9" s="23">
        <v>1428</v>
      </c>
      <c r="G9" s="23">
        <v>347</v>
      </c>
      <c r="H9" s="23">
        <v>67</v>
      </c>
      <c r="I9" s="23">
        <v>21148</v>
      </c>
      <c r="J9" s="23">
        <v>19712</v>
      </c>
      <c r="K9" s="23">
        <v>120</v>
      </c>
      <c r="L9" s="21" t="s">
        <v>19</v>
      </c>
      <c r="M9" s="21" t="s">
        <v>364</v>
      </c>
      <c r="N9" s="21" t="s">
        <v>16</v>
      </c>
      <c r="O9" s="24">
        <f t="shared" si="0"/>
        <v>8.7100435029317191E-2</v>
      </c>
      <c r="R9" s="28"/>
      <c r="S9" s="28"/>
      <c r="T9" s="28"/>
    </row>
    <row r="10" spans="1:20">
      <c r="A10" s="19" t="s">
        <v>32</v>
      </c>
      <c r="B10" s="19" t="s">
        <v>22</v>
      </c>
      <c r="C10" s="20">
        <v>45823</v>
      </c>
      <c r="D10" s="21" t="s">
        <v>14</v>
      </c>
      <c r="E10" s="22" t="s">
        <v>33</v>
      </c>
      <c r="F10" s="23">
        <v>4432</v>
      </c>
      <c r="G10" s="23">
        <v>223</v>
      </c>
      <c r="H10" s="23">
        <v>299</v>
      </c>
      <c r="I10" s="23">
        <v>59016</v>
      </c>
      <c r="J10" s="23">
        <v>21742</v>
      </c>
      <c r="K10" s="23">
        <v>171</v>
      </c>
      <c r="L10" s="21" t="s">
        <v>34</v>
      </c>
      <c r="M10" s="21"/>
      <c r="N10" s="21" t="s">
        <v>16</v>
      </c>
      <c r="O10" s="24">
        <f t="shared" si="0"/>
        <v>8.3943337400027115E-2</v>
      </c>
      <c r="R10" s="28"/>
      <c r="S10" s="28"/>
      <c r="T10" s="28"/>
    </row>
    <row r="11" spans="1:20">
      <c r="A11" s="19" t="s">
        <v>35</v>
      </c>
      <c r="B11" s="19" t="s">
        <v>22</v>
      </c>
      <c r="C11" s="20">
        <v>45630</v>
      </c>
      <c r="D11" s="21" t="s">
        <v>14</v>
      </c>
      <c r="E11" s="22" t="s">
        <v>360</v>
      </c>
      <c r="F11" s="23">
        <v>2357</v>
      </c>
      <c r="G11" s="23">
        <v>274</v>
      </c>
      <c r="H11" s="23">
        <v>172</v>
      </c>
      <c r="I11" s="23">
        <v>21566</v>
      </c>
      <c r="J11" s="23">
        <v>66829</v>
      </c>
      <c r="K11" s="23">
        <v>284</v>
      </c>
      <c r="L11" s="21" t="s">
        <v>34</v>
      </c>
      <c r="M11" s="21"/>
      <c r="N11" s="21" t="s">
        <v>16</v>
      </c>
      <c r="O11" s="24">
        <f t="shared" si="0"/>
        <v>0.12997310581470833</v>
      </c>
      <c r="R11" s="26"/>
      <c r="S11" s="26"/>
      <c r="T11" s="26"/>
    </row>
    <row r="12" spans="1:20">
      <c r="A12" s="19" t="s">
        <v>36</v>
      </c>
      <c r="B12" s="19" t="s">
        <v>22</v>
      </c>
      <c r="C12" s="20">
        <v>45357</v>
      </c>
      <c r="D12" s="21" t="s">
        <v>14</v>
      </c>
      <c r="E12" s="22" t="s">
        <v>15</v>
      </c>
      <c r="F12" s="23">
        <v>1971</v>
      </c>
      <c r="G12" s="23">
        <v>370</v>
      </c>
      <c r="H12" s="23">
        <v>306</v>
      </c>
      <c r="I12" s="23">
        <v>31316</v>
      </c>
      <c r="J12" s="23">
        <v>27897</v>
      </c>
      <c r="K12" s="23">
        <v>88</v>
      </c>
      <c r="L12" s="21" t="s">
        <v>37</v>
      </c>
      <c r="M12" s="21"/>
      <c r="N12" s="21" t="s">
        <v>20</v>
      </c>
      <c r="O12" s="24">
        <f t="shared" si="0"/>
        <v>8.4525482181632389E-2</v>
      </c>
      <c r="R12" s="26"/>
      <c r="S12" s="26"/>
      <c r="T12" s="26"/>
    </row>
    <row r="13" spans="1:20">
      <c r="A13" s="19" t="s">
        <v>38</v>
      </c>
      <c r="B13" s="19" t="s">
        <v>13</v>
      </c>
      <c r="C13" s="20">
        <v>45426</v>
      </c>
      <c r="D13" s="21" t="s">
        <v>14</v>
      </c>
      <c r="E13" s="22" t="s">
        <v>15</v>
      </c>
      <c r="F13" s="23">
        <v>1485</v>
      </c>
      <c r="G13" s="23">
        <v>353</v>
      </c>
      <c r="H13" s="23">
        <v>244</v>
      </c>
      <c r="I13" s="23">
        <v>38419</v>
      </c>
      <c r="J13" s="23">
        <v>38556</v>
      </c>
      <c r="K13" s="23">
        <v>86</v>
      </c>
      <c r="L13" s="21" t="s">
        <v>37</v>
      </c>
      <c r="M13" s="21" t="s">
        <v>34</v>
      </c>
      <c r="N13" s="21" t="s">
        <v>16</v>
      </c>
      <c r="O13" s="24">
        <f t="shared" si="0"/>
        <v>5.4191936281527367E-2</v>
      </c>
      <c r="R13" s="26"/>
      <c r="S13" s="26"/>
      <c r="T13" s="26"/>
    </row>
    <row r="14" spans="1:20">
      <c r="A14" s="19" t="s">
        <v>39</v>
      </c>
      <c r="B14" s="19" t="s">
        <v>22</v>
      </c>
      <c r="C14" s="20">
        <v>45826</v>
      </c>
      <c r="D14" s="21" t="s">
        <v>23</v>
      </c>
      <c r="E14" s="22" t="s">
        <v>15</v>
      </c>
      <c r="F14" s="23">
        <v>3956</v>
      </c>
      <c r="G14" s="23">
        <v>319</v>
      </c>
      <c r="H14" s="23">
        <v>61</v>
      </c>
      <c r="I14" s="23">
        <v>58162</v>
      </c>
      <c r="J14" s="23">
        <v>28720</v>
      </c>
      <c r="K14" s="23">
        <v>213</v>
      </c>
      <c r="L14" s="21" t="s">
        <v>364</v>
      </c>
      <c r="M14" s="21" t="s">
        <v>34</v>
      </c>
      <c r="N14" s="21" t="s">
        <v>16</v>
      </c>
      <c r="O14" s="24">
        <f t="shared" si="0"/>
        <v>7.4550393727863554E-2</v>
      </c>
      <c r="R14" s="26"/>
      <c r="S14" s="26"/>
      <c r="T14" s="26"/>
    </row>
    <row r="15" spans="1:20">
      <c r="A15" s="19" t="s">
        <v>40</v>
      </c>
      <c r="B15" s="19" t="s">
        <v>22</v>
      </c>
      <c r="C15" s="20">
        <v>45573</v>
      </c>
      <c r="D15" s="21" t="s">
        <v>14</v>
      </c>
      <c r="E15" s="22" t="s">
        <v>363</v>
      </c>
      <c r="F15" s="23">
        <v>2460</v>
      </c>
      <c r="G15" s="23">
        <v>409</v>
      </c>
      <c r="H15" s="23">
        <v>253</v>
      </c>
      <c r="I15" s="23">
        <v>36702</v>
      </c>
      <c r="J15" s="23">
        <v>46122</v>
      </c>
      <c r="K15" s="23">
        <v>264</v>
      </c>
      <c r="L15" s="21" t="s">
        <v>34</v>
      </c>
      <c r="M15" s="21"/>
      <c r="N15" s="21" t="s">
        <v>16</v>
      </c>
      <c r="O15" s="24">
        <f t="shared" si="0"/>
        <v>8.5063484278785892E-2</v>
      </c>
      <c r="R15" s="26"/>
      <c r="S15" s="26"/>
      <c r="T15" s="26"/>
    </row>
    <row r="16" spans="1:20">
      <c r="A16" s="19" t="s">
        <v>41</v>
      </c>
      <c r="B16" s="19" t="s">
        <v>22</v>
      </c>
      <c r="C16" s="20">
        <v>45418</v>
      </c>
      <c r="D16" s="21" t="s">
        <v>14</v>
      </c>
      <c r="E16" s="22" t="s">
        <v>42</v>
      </c>
      <c r="F16" s="23">
        <v>3476</v>
      </c>
      <c r="G16" s="23">
        <v>355</v>
      </c>
      <c r="H16" s="23">
        <v>396</v>
      </c>
      <c r="I16" s="23">
        <v>37492</v>
      </c>
      <c r="J16" s="23">
        <v>27285</v>
      </c>
      <c r="K16" s="23">
        <v>179</v>
      </c>
      <c r="L16" s="21" t="s">
        <v>34</v>
      </c>
      <c r="M16" s="21"/>
      <c r="N16" s="21" t="s">
        <v>16</v>
      </c>
      <c r="O16" s="24">
        <f t="shared" si="0"/>
        <v>0.11274405206444041</v>
      </c>
      <c r="R16" s="26"/>
      <c r="S16" s="26"/>
      <c r="T16" s="26"/>
    </row>
    <row r="17" spans="1:22">
      <c r="A17" s="19" t="s">
        <v>43</v>
      </c>
      <c r="B17" s="19" t="s">
        <v>22</v>
      </c>
      <c r="C17" s="20">
        <v>45655</v>
      </c>
      <c r="D17" s="21" t="s">
        <v>23</v>
      </c>
      <c r="E17" s="22" t="s">
        <v>24</v>
      </c>
      <c r="F17" s="23">
        <v>4049</v>
      </c>
      <c r="G17" s="23">
        <v>377</v>
      </c>
      <c r="H17" s="23">
        <v>94</v>
      </c>
      <c r="I17" s="23">
        <v>48182</v>
      </c>
      <c r="J17" s="23">
        <v>42875</v>
      </c>
      <c r="K17" s="23">
        <v>172</v>
      </c>
      <c r="L17" s="21" t="s">
        <v>364</v>
      </c>
      <c r="M17" s="21" t="s">
        <v>34</v>
      </c>
      <c r="N17" s="21" t="s">
        <v>16</v>
      </c>
      <c r="O17" s="24">
        <f t="shared" si="0"/>
        <v>9.3810966751068869E-2</v>
      </c>
      <c r="R17" s="26"/>
      <c r="S17" s="26"/>
      <c r="T17" s="26"/>
    </row>
    <row r="18" spans="1:22">
      <c r="A18" s="19" t="s">
        <v>44</v>
      </c>
      <c r="B18" s="19" t="s">
        <v>22</v>
      </c>
      <c r="C18" s="20">
        <v>45453</v>
      </c>
      <c r="D18" s="21" t="s">
        <v>14</v>
      </c>
      <c r="E18" s="22" t="s">
        <v>362</v>
      </c>
      <c r="F18" s="23">
        <v>1514</v>
      </c>
      <c r="G18" s="23">
        <v>164</v>
      </c>
      <c r="H18" s="23">
        <v>275</v>
      </c>
      <c r="I18" s="23">
        <v>41364</v>
      </c>
      <c r="J18" s="23">
        <v>44389</v>
      </c>
      <c r="K18" s="23">
        <v>83</v>
      </c>
      <c r="L18" s="21" t="s">
        <v>34</v>
      </c>
      <c r="M18" s="21"/>
      <c r="N18" s="21" t="s">
        <v>16</v>
      </c>
      <c r="O18" s="24">
        <f t="shared" si="0"/>
        <v>4.7214969538729328E-2</v>
      </c>
      <c r="R18" s="17"/>
      <c r="S18" s="17"/>
      <c r="T18" s="17"/>
      <c r="U18" s="17"/>
      <c r="V18" s="17"/>
    </row>
    <row r="19" spans="1:22">
      <c r="A19" s="19" t="s">
        <v>45</v>
      </c>
      <c r="B19" s="19" t="s">
        <v>13</v>
      </c>
      <c r="C19" s="20">
        <v>45325</v>
      </c>
      <c r="D19" s="21" t="s">
        <v>23</v>
      </c>
      <c r="E19" s="22" t="s">
        <v>361</v>
      </c>
      <c r="F19" s="23">
        <v>4281</v>
      </c>
      <c r="G19" s="23">
        <v>101</v>
      </c>
      <c r="H19" s="23">
        <v>163</v>
      </c>
      <c r="I19" s="23">
        <v>32278</v>
      </c>
      <c r="J19" s="23">
        <v>53382</v>
      </c>
      <c r="K19" s="23">
        <v>235</v>
      </c>
      <c r="L19" s="21" t="s">
        <v>34</v>
      </c>
      <c r="M19" s="21"/>
      <c r="N19" s="21" t="s">
        <v>46</v>
      </c>
      <c r="O19" s="24">
        <f t="shared" si="0"/>
        <v>0.1408079806679472</v>
      </c>
      <c r="R19" s="60"/>
      <c r="S19" s="60"/>
      <c r="T19" s="60"/>
      <c r="U19" s="60"/>
      <c r="V19" s="60"/>
    </row>
    <row r="20" spans="1:22">
      <c r="A20" s="19" t="s">
        <v>47</v>
      </c>
      <c r="B20" s="19" t="s">
        <v>27</v>
      </c>
      <c r="C20" s="20">
        <v>45458</v>
      </c>
      <c r="D20" s="21" t="s">
        <v>48</v>
      </c>
      <c r="E20" s="22" t="s">
        <v>30</v>
      </c>
      <c r="F20" s="23">
        <v>1751</v>
      </c>
      <c r="G20" s="23">
        <v>143</v>
      </c>
      <c r="H20" s="23">
        <v>151</v>
      </c>
      <c r="I20" s="23">
        <v>31826</v>
      </c>
      <c r="J20" s="23">
        <v>47729</v>
      </c>
      <c r="K20" s="23">
        <v>95</v>
      </c>
      <c r="L20" s="21" t="s">
        <v>19</v>
      </c>
      <c r="M20" s="21" t="s">
        <v>37</v>
      </c>
      <c r="N20" s="21" t="s">
        <v>49</v>
      </c>
      <c r="O20" s="24">
        <f t="shared" si="0"/>
        <v>6.4255640042732362E-2</v>
      </c>
      <c r="R20" s="26"/>
      <c r="S20" s="26"/>
      <c r="T20" s="26"/>
    </row>
    <row r="21" spans="1:22">
      <c r="A21" s="19" t="s">
        <v>50</v>
      </c>
      <c r="B21" s="19" t="s">
        <v>13</v>
      </c>
      <c r="C21" s="20">
        <v>45478</v>
      </c>
      <c r="D21" s="21" t="s">
        <v>14</v>
      </c>
      <c r="E21" s="22" t="s">
        <v>42</v>
      </c>
      <c r="F21" s="23">
        <v>3753</v>
      </c>
      <c r="G21" s="23">
        <v>411</v>
      </c>
      <c r="H21" s="23">
        <v>308</v>
      </c>
      <c r="I21" s="23">
        <v>29138</v>
      </c>
      <c r="J21" s="23">
        <v>27678</v>
      </c>
      <c r="K21" s="23">
        <v>90</v>
      </c>
      <c r="L21" s="21" t="s">
        <v>19</v>
      </c>
      <c r="M21" s="21"/>
      <c r="N21" s="21" t="s">
        <v>20</v>
      </c>
      <c r="O21" s="24">
        <f t="shared" si="0"/>
        <v>0.15347655981879332</v>
      </c>
    </row>
    <row r="22" spans="1:22">
      <c r="A22" s="19" t="s">
        <v>51</v>
      </c>
      <c r="B22" s="19" t="s">
        <v>13</v>
      </c>
      <c r="C22" s="20">
        <v>45603</v>
      </c>
      <c r="D22" s="21" t="s">
        <v>23</v>
      </c>
      <c r="E22" s="22" t="s">
        <v>360</v>
      </c>
      <c r="F22" s="23">
        <v>1678</v>
      </c>
      <c r="G22" s="23">
        <v>423</v>
      </c>
      <c r="H22" s="23">
        <v>323</v>
      </c>
      <c r="I22" s="23">
        <v>55668</v>
      </c>
      <c r="J22" s="23">
        <v>37945</v>
      </c>
      <c r="K22" s="23">
        <v>230</v>
      </c>
      <c r="L22" s="21" t="s">
        <v>34</v>
      </c>
      <c r="M22" s="21"/>
      <c r="N22" s="21" t="s">
        <v>46</v>
      </c>
      <c r="O22" s="24">
        <f t="shared" si="0"/>
        <v>4.3543867212761371E-2</v>
      </c>
    </row>
    <row r="23" spans="1:22">
      <c r="A23" s="19" t="s">
        <v>52</v>
      </c>
      <c r="B23" s="19" t="s">
        <v>13</v>
      </c>
      <c r="C23" s="20">
        <v>45823</v>
      </c>
      <c r="D23" s="21" t="s">
        <v>14</v>
      </c>
      <c r="E23" s="22" t="s">
        <v>362</v>
      </c>
      <c r="F23" s="23">
        <v>4896</v>
      </c>
      <c r="G23" s="23">
        <v>466</v>
      </c>
      <c r="H23" s="23">
        <v>233</v>
      </c>
      <c r="I23" s="23">
        <v>28621</v>
      </c>
      <c r="J23" s="23">
        <v>34270</v>
      </c>
      <c r="K23" s="23">
        <v>84</v>
      </c>
      <c r="L23" s="21" t="s">
        <v>37</v>
      </c>
      <c r="M23" s="21" t="s">
        <v>34</v>
      </c>
      <c r="N23" s="21" t="s">
        <v>16</v>
      </c>
      <c r="O23" s="24">
        <f t="shared" si="0"/>
        <v>0.19548583208133888</v>
      </c>
    </row>
    <row r="24" spans="1:22">
      <c r="A24" s="19" t="s">
        <v>53</v>
      </c>
      <c r="B24" s="19" t="s">
        <v>27</v>
      </c>
      <c r="C24" s="20">
        <v>45452</v>
      </c>
      <c r="D24" s="21" t="s">
        <v>48</v>
      </c>
      <c r="E24" s="22" t="s">
        <v>363</v>
      </c>
      <c r="F24" s="23">
        <v>2786</v>
      </c>
      <c r="G24" s="23">
        <v>368</v>
      </c>
      <c r="H24" s="23">
        <v>208</v>
      </c>
      <c r="I24" s="23">
        <v>42000</v>
      </c>
      <c r="J24" s="23">
        <v>39967</v>
      </c>
      <c r="K24" s="23">
        <v>103</v>
      </c>
      <c r="L24" s="21" t="s">
        <v>19</v>
      </c>
      <c r="M24" s="21" t="s">
        <v>37</v>
      </c>
      <c r="N24" s="21" t="s">
        <v>49</v>
      </c>
      <c r="O24" s="24">
        <f t="shared" si="0"/>
        <v>8.0047619047619048E-2</v>
      </c>
    </row>
    <row r="25" spans="1:22">
      <c r="A25" s="19" t="s">
        <v>54</v>
      </c>
      <c r="B25" s="19" t="s">
        <v>22</v>
      </c>
      <c r="C25" s="20">
        <v>45583</v>
      </c>
      <c r="D25" s="21" t="s">
        <v>14</v>
      </c>
      <c r="E25" s="22" t="s">
        <v>24</v>
      </c>
      <c r="F25" s="23">
        <v>2607</v>
      </c>
      <c r="G25" s="23">
        <v>379</v>
      </c>
      <c r="H25" s="23">
        <v>180</v>
      </c>
      <c r="I25" s="23">
        <v>28712</v>
      </c>
      <c r="J25" s="23">
        <v>61620</v>
      </c>
      <c r="K25" s="23">
        <v>174</v>
      </c>
      <c r="L25" s="21" t="s">
        <v>37</v>
      </c>
      <c r="M25" s="21"/>
      <c r="N25" s="21" t="s">
        <v>20</v>
      </c>
      <c r="O25" s="24">
        <f t="shared" si="0"/>
        <v>0.11026748397882419</v>
      </c>
    </row>
    <row r="26" spans="1:22">
      <c r="A26" s="19" t="s">
        <v>55</v>
      </c>
      <c r="B26" s="19" t="s">
        <v>27</v>
      </c>
      <c r="C26" s="20">
        <v>45575</v>
      </c>
      <c r="D26" s="21" t="s">
        <v>48</v>
      </c>
      <c r="E26" s="22" t="s">
        <v>363</v>
      </c>
      <c r="F26" s="23">
        <v>4013</v>
      </c>
      <c r="G26" s="23">
        <v>320</v>
      </c>
      <c r="H26" s="23">
        <v>92</v>
      </c>
      <c r="I26" s="23">
        <v>54605</v>
      </c>
      <c r="J26" s="23">
        <v>60169</v>
      </c>
      <c r="K26" s="23">
        <v>232</v>
      </c>
      <c r="L26" s="21" t="s">
        <v>19</v>
      </c>
      <c r="M26" s="21" t="s">
        <v>37</v>
      </c>
      <c r="N26" s="21" t="s">
        <v>49</v>
      </c>
      <c r="O26" s="24">
        <f t="shared" si="0"/>
        <v>8.1036535115831879E-2</v>
      </c>
    </row>
    <row r="27" spans="1:22">
      <c r="A27" s="19" t="s">
        <v>56</v>
      </c>
      <c r="B27" s="19" t="s">
        <v>22</v>
      </c>
      <c r="C27" s="20">
        <v>45791</v>
      </c>
      <c r="D27" s="21" t="s">
        <v>23</v>
      </c>
      <c r="E27" s="22" t="s">
        <v>363</v>
      </c>
      <c r="F27" s="23">
        <v>2707</v>
      </c>
      <c r="G27" s="23">
        <v>103</v>
      </c>
      <c r="H27" s="23">
        <v>51</v>
      </c>
      <c r="I27" s="23">
        <v>55302</v>
      </c>
      <c r="J27" s="23">
        <v>18801</v>
      </c>
      <c r="K27" s="23">
        <v>147</v>
      </c>
      <c r="L27" s="21" t="s">
        <v>19</v>
      </c>
      <c r="M27" s="21" t="s">
        <v>364</v>
      </c>
      <c r="N27" s="21" t="s">
        <v>16</v>
      </c>
      <c r="O27" s="24">
        <f t="shared" si="0"/>
        <v>5.173411449857148E-2</v>
      </c>
    </row>
    <row r="28" spans="1:22">
      <c r="A28" s="19" t="s">
        <v>57</v>
      </c>
      <c r="B28" s="19" t="s">
        <v>13</v>
      </c>
      <c r="C28" s="20">
        <v>45625</v>
      </c>
      <c r="D28" s="21" t="s">
        <v>14</v>
      </c>
      <c r="E28" s="22" t="s">
        <v>362</v>
      </c>
      <c r="F28" s="23">
        <v>2824</v>
      </c>
      <c r="G28" s="23">
        <v>425</v>
      </c>
      <c r="H28" s="23">
        <v>274</v>
      </c>
      <c r="I28" s="23">
        <v>31004</v>
      </c>
      <c r="J28" s="23">
        <v>53488</v>
      </c>
      <c r="K28" s="23">
        <v>268</v>
      </c>
      <c r="L28" s="21" t="s">
        <v>37</v>
      </c>
      <c r="M28" s="21" t="s">
        <v>34</v>
      </c>
      <c r="N28" s="21" t="s">
        <v>16</v>
      </c>
      <c r="O28" s="24">
        <f t="shared" si="0"/>
        <v>0.11363049929041415</v>
      </c>
    </row>
    <row r="29" spans="1:22">
      <c r="A29" s="19" t="s">
        <v>58</v>
      </c>
      <c r="B29" s="19" t="s">
        <v>27</v>
      </c>
      <c r="C29" s="20">
        <v>45356</v>
      </c>
      <c r="D29" s="21" t="s">
        <v>48</v>
      </c>
      <c r="E29" s="22" t="s">
        <v>18</v>
      </c>
      <c r="F29" s="23">
        <v>3558</v>
      </c>
      <c r="G29" s="23">
        <v>314</v>
      </c>
      <c r="H29" s="23">
        <v>199</v>
      </c>
      <c r="I29" s="23">
        <v>49612</v>
      </c>
      <c r="J29" s="23">
        <v>53929</v>
      </c>
      <c r="K29" s="23">
        <v>206</v>
      </c>
      <c r="L29" s="21" t="s">
        <v>19</v>
      </c>
      <c r="M29" s="21" t="s">
        <v>37</v>
      </c>
      <c r="N29" s="21" t="s">
        <v>49</v>
      </c>
      <c r="O29" s="24">
        <f t="shared" si="0"/>
        <v>8.205676046117874E-2</v>
      </c>
    </row>
    <row r="30" spans="1:22">
      <c r="A30" s="19" t="s">
        <v>59</v>
      </c>
      <c r="B30" s="19" t="s">
        <v>22</v>
      </c>
      <c r="C30" s="20">
        <v>45734</v>
      </c>
      <c r="D30" s="21" t="s">
        <v>23</v>
      </c>
      <c r="E30" s="22" t="s">
        <v>18</v>
      </c>
      <c r="F30" s="23">
        <v>3418</v>
      </c>
      <c r="G30" s="23">
        <v>188</v>
      </c>
      <c r="H30" s="23">
        <v>387</v>
      </c>
      <c r="I30" s="23">
        <v>57431</v>
      </c>
      <c r="J30" s="23">
        <v>36933</v>
      </c>
      <c r="K30" s="23">
        <v>202</v>
      </c>
      <c r="L30" s="21" t="s">
        <v>364</v>
      </c>
      <c r="M30" s="21" t="s">
        <v>34</v>
      </c>
      <c r="N30" s="21" t="s">
        <v>16</v>
      </c>
      <c r="O30" s="24">
        <f t="shared" si="0"/>
        <v>6.9526910553533799E-2</v>
      </c>
    </row>
    <row r="31" spans="1:22">
      <c r="A31" s="19" t="s">
        <v>60</v>
      </c>
      <c r="B31" s="19" t="s">
        <v>22</v>
      </c>
      <c r="C31" s="20">
        <v>45773</v>
      </c>
      <c r="D31" s="21" t="s">
        <v>14</v>
      </c>
      <c r="E31" s="22" t="s">
        <v>15</v>
      </c>
      <c r="F31" s="23">
        <v>2411</v>
      </c>
      <c r="G31" s="23">
        <v>194</v>
      </c>
      <c r="H31" s="23">
        <v>168</v>
      </c>
      <c r="I31" s="23">
        <v>26665</v>
      </c>
      <c r="J31" s="23">
        <v>71699</v>
      </c>
      <c r="K31" s="23">
        <v>197</v>
      </c>
      <c r="L31" s="21" t="s">
        <v>34</v>
      </c>
      <c r="M31" s="21"/>
      <c r="N31" s="21" t="s">
        <v>16</v>
      </c>
      <c r="O31" s="24">
        <f t="shared" si="0"/>
        <v>0.10399399962497656</v>
      </c>
    </row>
    <row r="32" spans="1:22">
      <c r="A32" s="19" t="s">
        <v>61</v>
      </c>
      <c r="B32" s="19" t="s">
        <v>13</v>
      </c>
      <c r="C32" s="20">
        <v>45658</v>
      </c>
      <c r="D32" s="21" t="s">
        <v>14</v>
      </c>
      <c r="E32" s="22" t="s">
        <v>24</v>
      </c>
      <c r="F32" s="23">
        <v>4036</v>
      </c>
      <c r="G32" s="23">
        <v>112</v>
      </c>
      <c r="H32" s="23">
        <v>382</v>
      </c>
      <c r="I32" s="23">
        <v>56284</v>
      </c>
      <c r="J32" s="23">
        <v>29440</v>
      </c>
      <c r="K32" s="23">
        <v>279</v>
      </c>
      <c r="L32" s="21" t="s">
        <v>37</v>
      </c>
      <c r="M32" s="21" t="s">
        <v>34</v>
      </c>
      <c r="N32" s="21" t="s">
        <v>16</v>
      </c>
      <c r="O32" s="24">
        <f t="shared" si="0"/>
        <v>8.0484684812735408E-2</v>
      </c>
    </row>
    <row r="33" spans="1:15">
      <c r="A33" s="19" t="s">
        <v>62</v>
      </c>
      <c r="B33" s="19" t="s">
        <v>22</v>
      </c>
      <c r="C33" s="20">
        <v>45419</v>
      </c>
      <c r="D33" s="21" t="s">
        <v>23</v>
      </c>
      <c r="E33" s="22" t="s">
        <v>18</v>
      </c>
      <c r="F33" s="23">
        <v>2776</v>
      </c>
      <c r="G33" s="23">
        <v>307</v>
      </c>
      <c r="H33" s="23">
        <v>178</v>
      </c>
      <c r="I33" s="23">
        <v>43365</v>
      </c>
      <c r="J33" s="23">
        <v>48408</v>
      </c>
      <c r="K33" s="23">
        <v>138</v>
      </c>
      <c r="L33" s="21" t="s">
        <v>37</v>
      </c>
      <c r="M33" s="21" t="s">
        <v>34</v>
      </c>
      <c r="N33" s="21" t="s">
        <v>16</v>
      </c>
      <c r="O33" s="24">
        <f t="shared" si="0"/>
        <v>7.519889311656866E-2</v>
      </c>
    </row>
    <row r="34" spans="1:15">
      <c r="A34" s="19" t="s">
        <v>63</v>
      </c>
      <c r="B34" s="19" t="s">
        <v>22</v>
      </c>
      <c r="C34" s="20">
        <v>45574</v>
      </c>
      <c r="D34" s="21" t="s">
        <v>23</v>
      </c>
      <c r="E34" s="22" t="s">
        <v>15</v>
      </c>
      <c r="F34" s="23">
        <v>4929</v>
      </c>
      <c r="G34" s="23">
        <v>182</v>
      </c>
      <c r="H34" s="23">
        <v>95</v>
      </c>
      <c r="I34" s="23">
        <v>32181</v>
      </c>
      <c r="J34" s="23">
        <v>31084</v>
      </c>
      <c r="K34" s="23">
        <v>289</v>
      </c>
      <c r="L34" s="21" t="s">
        <v>19</v>
      </c>
      <c r="M34" s="21" t="s">
        <v>364</v>
      </c>
      <c r="N34" s="21" t="s">
        <v>16</v>
      </c>
      <c r="O34" s="24">
        <f t="shared" si="0"/>
        <v>0.16177247444144061</v>
      </c>
    </row>
    <row r="35" spans="1:15">
      <c r="A35" s="19" t="s">
        <v>64</v>
      </c>
      <c r="B35" s="19" t="s">
        <v>13</v>
      </c>
      <c r="C35" s="20">
        <v>45666</v>
      </c>
      <c r="D35" s="21" t="s">
        <v>14</v>
      </c>
      <c r="E35" s="22" t="s">
        <v>24</v>
      </c>
      <c r="F35" s="23">
        <v>1015</v>
      </c>
      <c r="G35" s="23">
        <v>366</v>
      </c>
      <c r="H35" s="23">
        <v>308</v>
      </c>
      <c r="I35" s="23">
        <v>38127</v>
      </c>
      <c r="J35" s="23">
        <v>63790</v>
      </c>
      <c r="K35" s="23">
        <v>287</v>
      </c>
      <c r="L35" s="21" t="s">
        <v>37</v>
      </c>
      <c r="M35" s="21" t="s">
        <v>34</v>
      </c>
      <c r="N35" s="21" t="s">
        <v>16</v>
      </c>
      <c r="O35" s="24">
        <f t="shared" si="0"/>
        <v>4.4299315445747112E-2</v>
      </c>
    </row>
    <row r="36" spans="1:15">
      <c r="A36" s="19" t="s">
        <v>65</v>
      </c>
      <c r="B36" s="19" t="s">
        <v>22</v>
      </c>
      <c r="C36" s="20">
        <v>45785</v>
      </c>
      <c r="D36" s="21" t="s">
        <v>23</v>
      </c>
      <c r="E36" s="22" t="s">
        <v>42</v>
      </c>
      <c r="F36" s="23">
        <v>3316</v>
      </c>
      <c r="G36" s="23">
        <v>332</v>
      </c>
      <c r="H36" s="23">
        <v>268</v>
      </c>
      <c r="I36" s="23">
        <v>40095</v>
      </c>
      <c r="J36" s="23">
        <v>36913</v>
      </c>
      <c r="K36" s="23">
        <v>265</v>
      </c>
      <c r="L36" s="21" t="s">
        <v>364</v>
      </c>
      <c r="M36" s="21" t="s">
        <v>34</v>
      </c>
      <c r="N36" s="21" t="s">
        <v>16</v>
      </c>
      <c r="O36" s="24">
        <f t="shared" si="0"/>
        <v>9.7668038408779148E-2</v>
      </c>
    </row>
    <row r="37" spans="1:15">
      <c r="A37" s="19" t="s">
        <v>66</v>
      </c>
      <c r="B37" s="19" t="s">
        <v>13</v>
      </c>
      <c r="C37" s="20">
        <v>45416</v>
      </c>
      <c r="D37" s="21" t="s">
        <v>14</v>
      </c>
      <c r="E37" s="22" t="s">
        <v>360</v>
      </c>
      <c r="F37" s="23">
        <v>2274</v>
      </c>
      <c r="G37" s="23">
        <v>243</v>
      </c>
      <c r="H37" s="23">
        <v>222</v>
      </c>
      <c r="I37" s="23">
        <v>43066</v>
      </c>
      <c r="J37" s="23">
        <v>59174</v>
      </c>
      <c r="K37" s="23">
        <v>80</v>
      </c>
      <c r="L37" s="21" t="s">
        <v>19</v>
      </c>
      <c r="M37" s="21"/>
      <c r="N37" s="21" t="s">
        <v>20</v>
      </c>
      <c r="O37" s="24">
        <f t="shared" si="0"/>
        <v>6.3600055728416843E-2</v>
      </c>
    </row>
    <row r="38" spans="1:15">
      <c r="A38" s="19" t="s">
        <v>67</v>
      </c>
      <c r="B38" s="19" t="s">
        <v>22</v>
      </c>
      <c r="C38" s="20">
        <v>45804</v>
      </c>
      <c r="D38" s="21" t="s">
        <v>23</v>
      </c>
      <c r="E38" s="22" t="s">
        <v>18</v>
      </c>
      <c r="F38" s="23">
        <v>4095</v>
      </c>
      <c r="G38" s="23">
        <v>385</v>
      </c>
      <c r="H38" s="23">
        <v>400</v>
      </c>
      <c r="I38" s="23">
        <v>45300</v>
      </c>
      <c r="J38" s="23">
        <v>31795</v>
      </c>
      <c r="K38" s="23">
        <v>80</v>
      </c>
      <c r="L38" s="21" t="s">
        <v>364</v>
      </c>
      <c r="M38" s="21" t="s">
        <v>34</v>
      </c>
      <c r="N38" s="21" t="s">
        <v>16</v>
      </c>
      <c r="O38" s="24">
        <f t="shared" si="0"/>
        <v>0.10772626931567329</v>
      </c>
    </row>
    <row r="39" spans="1:15">
      <c r="A39" s="19" t="s">
        <v>68</v>
      </c>
      <c r="B39" s="19" t="s">
        <v>13</v>
      </c>
      <c r="C39" s="20">
        <v>45545</v>
      </c>
      <c r="D39" s="21" t="s">
        <v>23</v>
      </c>
      <c r="E39" s="22" t="s">
        <v>24</v>
      </c>
      <c r="F39" s="23">
        <v>1230</v>
      </c>
      <c r="G39" s="23">
        <v>309</v>
      </c>
      <c r="H39" s="23">
        <v>207</v>
      </c>
      <c r="I39" s="23">
        <v>44629</v>
      </c>
      <c r="J39" s="23">
        <v>40699</v>
      </c>
      <c r="K39" s="23">
        <v>195</v>
      </c>
      <c r="L39" s="21" t="s">
        <v>34</v>
      </c>
      <c r="M39" s="21"/>
      <c r="N39" s="21" t="s">
        <v>46</v>
      </c>
      <c r="O39" s="24">
        <f t="shared" si="0"/>
        <v>3.9122543637545096E-2</v>
      </c>
    </row>
    <row r="40" spans="1:15">
      <c r="A40" s="19" t="s">
        <v>69</v>
      </c>
      <c r="B40" s="19" t="s">
        <v>13</v>
      </c>
      <c r="C40" s="20">
        <v>45621</v>
      </c>
      <c r="D40" s="21" t="s">
        <v>14</v>
      </c>
      <c r="E40" s="22" t="s">
        <v>363</v>
      </c>
      <c r="F40" s="23">
        <v>1341</v>
      </c>
      <c r="G40" s="23">
        <v>472</v>
      </c>
      <c r="H40" s="23">
        <v>238</v>
      </c>
      <c r="I40" s="23">
        <v>51386</v>
      </c>
      <c r="J40" s="23">
        <v>51706</v>
      </c>
      <c r="K40" s="23">
        <v>133</v>
      </c>
      <c r="L40" s="21" t="s">
        <v>19</v>
      </c>
      <c r="M40" s="21"/>
      <c r="N40" s="21" t="s">
        <v>20</v>
      </c>
      <c r="O40" s="24">
        <f t="shared" si="0"/>
        <v>3.9913595142645857E-2</v>
      </c>
    </row>
    <row r="41" spans="1:15">
      <c r="A41" s="19" t="s">
        <v>70</v>
      </c>
      <c r="B41" s="19" t="s">
        <v>22</v>
      </c>
      <c r="C41" s="20">
        <v>45818</v>
      </c>
      <c r="D41" s="21" t="s">
        <v>14</v>
      </c>
      <c r="E41" s="22" t="s">
        <v>18</v>
      </c>
      <c r="F41" s="23">
        <v>3615</v>
      </c>
      <c r="G41" s="23">
        <v>192</v>
      </c>
      <c r="H41" s="23">
        <v>162</v>
      </c>
      <c r="I41" s="23">
        <v>27492</v>
      </c>
      <c r="J41" s="23">
        <v>35341</v>
      </c>
      <c r="K41" s="23">
        <v>125</v>
      </c>
      <c r="L41" s="21" t="s">
        <v>34</v>
      </c>
      <c r="M41" s="21"/>
      <c r="N41" s="21" t="s">
        <v>16</v>
      </c>
      <c r="O41" s="24">
        <f t="shared" si="0"/>
        <v>0.14436927106067218</v>
      </c>
    </row>
    <row r="42" spans="1:15">
      <c r="A42" s="19" t="s">
        <v>71</v>
      </c>
      <c r="B42" s="19" t="s">
        <v>13</v>
      </c>
      <c r="C42" s="20">
        <v>45401</v>
      </c>
      <c r="D42" s="21" t="s">
        <v>14</v>
      </c>
      <c r="E42" s="22" t="s">
        <v>24</v>
      </c>
      <c r="F42" s="23">
        <v>4001</v>
      </c>
      <c r="G42" s="23">
        <v>353</v>
      </c>
      <c r="H42" s="23">
        <v>129</v>
      </c>
      <c r="I42" s="23">
        <v>41265</v>
      </c>
      <c r="J42" s="23">
        <v>37279</v>
      </c>
      <c r="K42" s="23">
        <v>275</v>
      </c>
      <c r="L42" s="21" t="s">
        <v>37</v>
      </c>
      <c r="M42" s="21" t="s">
        <v>34</v>
      </c>
      <c r="N42" s="21" t="s">
        <v>16</v>
      </c>
      <c r="O42" s="24">
        <f t="shared" si="0"/>
        <v>0.10863928268508422</v>
      </c>
    </row>
    <row r="43" spans="1:15">
      <c r="A43" s="19" t="s">
        <v>72</v>
      </c>
      <c r="B43" s="19" t="s">
        <v>13</v>
      </c>
      <c r="C43" s="20">
        <v>45683</v>
      </c>
      <c r="D43" s="21" t="s">
        <v>23</v>
      </c>
      <c r="E43" s="22" t="s">
        <v>362</v>
      </c>
      <c r="F43" s="23">
        <v>3451</v>
      </c>
      <c r="G43" s="23">
        <v>363</v>
      </c>
      <c r="H43" s="23">
        <v>393</v>
      </c>
      <c r="I43" s="23">
        <v>44853</v>
      </c>
      <c r="J43" s="23">
        <v>69032</v>
      </c>
      <c r="K43" s="23">
        <v>211</v>
      </c>
      <c r="L43" s="21" t="s">
        <v>34</v>
      </c>
      <c r="M43" s="21"/>
      <c r="N43" s="21" t="s">
        <v>46</v>
      </c>
      <c r="O43" s="24">
        <f t="shared" si="0"/>
        <v>9.379528682585335E-2</v>
      </c>
    </row>
    <row r="44" spans="1:15">
      <c r="A44" s="19" t="s">
        <v>73</v>
      </c>
      <c r="B44" s="19" t="s">
        <v>13</v>
      </c>
      <c r="C44" s="20">
        <v>45702</v>
      </c>
      <c r="D44" s="21" t="s">
        <v>14</v>
      </c>
      <c r="E44" s="22" t="s">
        <v>33</v>
      </c>
      <c r="F44" s="23">
        <v>4891</v>
      </c>
      <c r="G44" s="23">
        <v>450</v>
      </c>
      <c r="H44" s="23">
        <v>387</v>
      </c>
      <c r="I44" s="23">
        <v>48746</v>
      </c>
      <c r="J44" s="23">
        <v>37312</v>
      </c>
      <c r="K44" s="23">
        <v>154</v>
      </c>
      <c r="L44" s="21" t="s">
        <v>37</v>
      </c>
      <c r="M44" s="21" t="s">
        <v>34</v>
      </c>
      <c r="N44" s="21" t="s">
        <v>16</v>
      </c>
      <c r="O44" s="24">
        <f t="shared" si="0"/>
        <v>0.11750707750379519</v>
      </c>
    </row>
    <row r="45" spans="1:15">
      <c r="A45" s="19" t="s">
        <v>74</v>
      </c>
      <c r="B45" s="19" t="s">
        <v>13</v>
      </c>
      <c r="C45" s="20">
        <v>45541</v>
      </c>
      <c r="D45" s="21" t="s">
        <v>14</v>
      </c>
      <c r="E45" s="22" t="s">
        <v>24</v>
      </c>
      <c r="F45" s="23">
        <v>1452</v>
      </c>
      <c r="G45" s="23">
        <v>281</v>
      </c>
      <c r="H45" s="23">
        <v>326</v>
      </c>
      <c r="I45" s="23">
        <v>51556</v>
      </c>
      <c r="J45" s="23">
        <v>62599</v>
      </c>
      <c r="K45" s="23">
        <v>290</v>
      </c>
      <c r="L45" s="21" t="s">
        <v>19</v>
      </c>
      <c r="M45" s="21"/>
      <c r="N45" s="21" t="s">
        <v>20</v>
      </c>
      <c r="O45" s="24">
        <f t="shared" si="0"/>
        <v>3.9937155714174881E-2</v>
      </c>
    </row>
    <row r="46" spans="1:15">
      <c r="A46" s="19" t="s">
        <v>75</v>
      </c>
      <c r="B46" s="19" t="s">
        <v>27</v>
      </c>
      <c r="C46" s="20">
        <v>45487</v>
      </c>
      <c r="D46" s="21" t="s">
        <v>14</v>
      </c>
      <c r="E46" s="22" t="s">
        <v>42</v>
      </c>
      <c r="F46" s="23">
        <v>3806</v>
      </c>
      <c r="G46" s="23">
        <v>114</v>
      </c>
      <c r="H46" s="23">
        <v>278</v>
      </c>
      <c r="I46" s="23">
        <v>36148</v>
      </c>
      <c r="J46" s="23">
        <v>24209</v>
      </c>
      <c r="K46" s="23">
        <v>201</v>
      </c>
      <c r="L46" s="21" t="s">
        <v>19</v>
      </c>
      <c r="M46" s="21" t="s">
        <v>365</v>
      </c>
      <c r="N46" s="21" t="s">
        <v>20</v>
      </c>
      <c r="O46" s="24">
        <f t="shared" si="0"/>
        <v>0.11613367267898639</v>
      </c>
    </row>
    <row r="47" spans="1:15">
      <c r="A47" s="19" t="s">
        <v>76</v>
      </c>
      <c r="B47" s="19" t="s">
        <v>13</v>
      </c>
      <c r="C47" s="20">
        <v>45334</v>
      </c>
      <c r="D47" s="21" t="s">
        <v>14</v>
      </c>
      <c r="E47" s="22" t="s">
        <v>18</v>
      </c>
      <c r="F47" s="23">
        <v>2923</v>
      </c>
      <c r="G47" s="23">
        <v>330</v>
      </c>
      <c r="H47" s="23">
        <v>250</v>
      </c>
      <c r="I47" s="23">
        <v>23993</v>
      </c>
      <c r="J47" s="23">
        <v>74590</v>
      </c>
      <c r="K47" s="23">
        <v>92</v>
      </c>
      <c r="L47" s="21" t="s">
        <v>19</v>
      </c>
      <c r="M47" s="21"/>
      <c r="N47" s="21" t="s">
        <v>20</v>
      </c>
      <c r="O47" s="24">
        <f t="shared" si="0"/>
        <v>0.14600091693410577</v>
      </c>
    </row>
    <row r="48" spans="1:15">
      <c r="A48" s="19" t="s">
        <v>77</v>
      </c>
      <c r="B48" s="19" t="s">
        <v>27</v>
      </c>
      <c r="C48" s="20">
        <v>45365</v>
      </c>
      <c r="D48" s="21" t="s">
        <v>48</v>
      </c>
      <c r="E48" s="22" t="s">
        <v>363</v>
      </c>
      <c r="F48" s="23">
        <v>3361</v>
      </c>
      <c r="G48" s="23">
        <v>188</v>
      </c>
      <c r="H48" s="23">
        <v>358</v>
      </c>
      <c r="I48" s="23">
        <v>39838</v>
      </c>
      <c r="J48" s="23">
        <v>24536</v>
      </c>
      <c r="K48" s="23">
        <v>120</v>
      </c>
      <c r="L48" s="21" t="s">
        <v>19</v>
      </c>
      <c r="M48" s="21" t="s">
        <v>37</v>
      </c>
      <c r="N48" s="21" t="s">
        <v>49</v>
      </c>
      <c r="O48" s="24">
        <f t="shared" si="0"/>
        <v>9.8072192379135503E-2</v>
      </c>
    </row>
    <row r="49" spans="1:15">
      <c r="A49" s="19" t="s">
        <v>78</v>
      </c>
      <c r="B49" s="19" t="s">
        <v>13</v>
      </c>
      <c r="C49" s="20">
        <v>45693</v>
      </c>
      <c r="D49" s="21" t="s">
        <v>23</v>
      </c>
      <c r="E49" s="22" t="s">
        <v>361</v>
      </c>
      <c r="F49" s="23">
        <v>3074</v>
      </c>
      <c r="G49" s="23">
        <v>371</v>
      </c>
      <c r="H49" s="23">
        <v>348</v>
      </c>
      <c r="I49" s="23">
        <v>24104</v>
      </c>
      <c r="J49" s="23">
        <v>57803</v>
      </c>
      <c r="K49" s="23">
        <v>213</v>
      </c>
      <c r="L49" s="21" t="s">
        <v>34</v>
      </c>
      <c r="M49" s="21"/>
      <c r="N49" s="21" t="s">
        <v>46</v>
      </c>
      <c r="O49" s="24">
        <f t="shared" si="0"/>
        <v>0.15735977431131762</v>
      </c>
    </row>
    <row r="50" spans="1:15">
      <c r="A50" s="19" t="s">
        <v>79</v>
      </c>
      <c r="B50" s="19" t="s">
        <v>22</v>
      </c>
      <c r="C50" s="20">
        <v>45533</v>
      </c>
      <c r="D50" s="21" t="s">
        <v>23</v>
      </c>
      <c r="E50" s="22" t="s">
        <v>30</v>
      </c>
      <c r="F50" s="23">
        <v>4276</v>
      </c>
      <c r="G50" s="23">
        <v>227</v>
      </c>
      <c r="H50" s="23">
        <v>223</v>
      </c>
      <c r="I50" s="23">
        <v>43443</v>
      </c>
      <c r="J50" s="23">
        <v>41005</v>
      </c>
      <c r="K50" s="23">
        <v>191</v>
      </c>
      <c r="L50" s="21" t="s">
        <v>19</v>
      </c>
      <c r="M50" s="21" t="s">
        <v>364</v>
      </c>
      <c r="N50" s="21" t="s">
        <v>16</v>
      </c>
      <c r="O50" s="24">
        <f t="shared" si="0"/>
        <v>0.1087862256289851</v>
      </c>
    </row>
    <row r="51" spans="1:15">
      <c r="A51" s="19" t="s">
        <v>80</v>
      </c>
      <c r="B51" s="19" t="s">
        <v>22</v>
      </c>
      <c r="C51" s="20">
        <v>45769</v>
      </c>
      <c r="D51" s="21" t="s">
        <v>14</v>
      </c>
      <c r="E51" s="22" t="s">
        <v>15</v>
      </c>
      <c r="F51" s="23">
        <v>4401</v>
      </c>
      <c r="G51" s="23">
        <v>421</v>
      </c>
      <c r="H51" s="23">
        <v>216</v>
      </c>
      <c r="I51" s="23">
        <v>24890</v>
      </c>
      <c r="J51" s="23">
        <v>54361</v>
      </c>
      <c r="K51" s="23">
        <v>148</v>
      </c>
      <c r="L51" s="21" t="s">
        <v>34</v>
      </c>
      <c r="M51" s="21"/>
      <c r="N51" s="21" t="s">
        <v>16</v>
      </c>
      <c r="O51" s="24">
        <f t="shared" si="0"/>
        <v>0.20241060666934513</v>
      </c>
    </row>
    <row r="52" spans="1:15">
      <c r="A52" s="19" t="s">
        <v>81</v>
      </c>
      <c r="B52" s="19" t="s">
        <v>27</v>
      </c>
      <c r="C52" s="20">
        <v>45425</v>
      </c>
      <c r="D52" s="21" t="s">
        <v>48</v>
      </c>
      <c r="E52" s="22" t="s">
        <v>18</v>
      </c>
      <c r="F52" s="23">
        <v>4161</v>
      </c>
      <c r="G52" s="23">
        <v>481</v>
      </c>
      <c r="H52" s="23">
        <v>61</v>
      </c>
      <c r="I52" s="23">
        <v>45884</v>
      </c>
      <c r="J52" s="23">
        <v>48955</v>
      </c>
      <c r="K52" s="23">
        <v>215</v>
      </c>
      <c r="L52" s="21" t="s">
        <v>19</v>
      </c>
      <c r="M52" s="21" t="s">
        <v>37</v>
      </c>
      <c r="N52" s="21" t="s">
        <v>49</v>
      </c>
      <c r="O52" s="24">
        <f t="shared" si="0"/>
        <v>0.10249760265016128</v>
      </c>
    </row>
    <row r="53" spans="1:15">
      <c r="A53" s="19" t="s">
        <v>82</v>
      </c>
      <c r="B53" s="19" t="s">
        <v>22</v>
      </c>
      <c r="C53" s="20">
        <v>45539</v>
      </c>
      <c r="D53" s="21" t="s">
        <v>23</v>
      </c>
      <c r="E53" s="22" t="s">
        <v>24</v>
      </c>
      <c r="F53" s="23">
        <v>2613</v>
      </c>
      <c r="G53" s="23">
        <v>455</v>
      </c>
      <c r="H53" s="23">
        <v>228</v>
      </c>
      <c r="I53" s="23">
        <v>21645</v>
      </c>
      <c r="J53" s="23">
        <v>61334</v>
      </c>
      <c r="K53" s="23">
        <v>261</v>
      </c>
      <c r="L53" s="21" t="s">
        <v>19</v>
      </c>
      <c r="M53" s="21" t="s">
        <v>364</v>
      </c>
      <c r="N53" s="21" t="s">
        <v>16</v>
      </c>
      <c r="O53" s="24">
        <f t="shared" si="0"/>
        <v>0.15227535227535227</v>
      </c>
    </row>
    <row r="54" spans="1:15">
      <c r="A54" s="19" t="s">
        <v>83</v>
      </c>
      <c r="B54" s="19" t="s">
        <v>22</v>
      </c>
      <c r="C54" s="20">
        <v>45516</v>
      </c>
      <c r="D54" s="21" t="s">
        <v>23</v>
      </c>
      <c r="E54" s="22" t="s">
        <v>362</v>
      </c>
      <c r="F54" s="23">
        <v>2842</v>
      </c>
      <c r="G54" s="23">
        <v>213</v>
      </c>
      <c r="H54" s="23">
        <v>331</v>
      </c>
      <c r="I54" s="23">
        <v>57660</v>
      </c>
      <c r="J54" s="23">
        <v>68606</v>
      </c>
      <c r="K54" s="23">
        <v>87</v>
      </c>
      <c r="L54" s="21" t="s">
        <v>364</v>
      </c>
      <c r="M54" s="21" t="s">
        <v>34</v>
      </c>
      <c r="N54" s="21" t="s">
        <v>16</v>
      </c>
      <c r="O54" s="24">
        <f t="shared" si="0"/>
        <v>5.8723551855705859E-2</v>
      </c>
    </row>
    <row r="55" spans="1:15">
      <c r="A55" s="19" t="s">
        <v>84</v>
      </c>
      <c r="B55" s="19" t="s">
        <v>13</v>
      </c>
      <c r="C55" s="20">
        <v>45722</v>
      </c>
      <c r="D55" s="21" t="s">
        <v>14</v>
      </c>
      <c r="E55" s="22" t="s">
        <v>30</v>
      </c>
      <c r="F55" s="23">
        <v>4851</v>
      </c>
      <c r="G55" s="23">
        <v>460</v>
      </c>
      <c r="H55" s="23">
        <v>212</v>
      </c>
      <c r="I55" s="23">
        <v>58075</v>
      </c>
      <c r="J55" s="23">
        <v>59574</v>
      </c>
      <c r="K55" s="23">
        <v>239</v>
      </c>
      <c r="L55" s="21" t="s">
        <v>19</v>
      </c>
      <c r="M55" s="21"/>
      <c r="N55" s="21" t="s">
        <v>20</v>
      </c>
      <c r="O55" s="24">
        <f t="shared" si="0"/>
        <v>9.5101162290142052E-2</v>
      </c>
    </row>
    <row r="56" spans="1:15">
      <c r="A56" s="19" t="s">
        <v>85</v>
      </c>
      <c r="B56" s="19" t="s">
        <v>22</v>
      </c>
      <c r="C56" s="20">
        <v>45420</v>
      </c>
      <c r="D56" s="21" t="s">
        <v>14</v>
      </c>
      <c r="E56" s="22" t="s">
        <v>18</v>
      </c>
      <c r="F56" s="23">
        <v>1828</v>
      </c>
      <c r="G56" s="23">
        <v>450</v>
      </c>
      <c r="H56" s="23">
        <v>214</v>
      </c>
      <c r="I56" s="23">
        <v>52115</v>
      </c>
      <c r="J56" s="23">
        <v>19166</v>
      </c>
      <c r="K56" s="23">
        <v>190</v>
      </c>
      <c r="L56" s="21" t="s">
        <v>34</v>
      </c>
      <c r="M56" s="21"/>
      <c r="N56" s="21" t="s">
        <v>16</v>
      </c>
      <c r="O56" s="24">
        <f t="shared" si="0"/>
        <v>4.781732706514439E-2</v>
      </c>
    </row>
    <row r="57" spans="1:15">
      <c r="A57" s="19" t="s">
        <v>86</v>
      </c>
      <c r="B57" s="19" t="s">
        <v>13</v>
      </c>
      <c r="C57" s="20">
        <v>45707</v>
      </c>
      <c r="D57" s="21" t="s">
        <v>23</v>
      </c>
      <c r="E57" s="22" t="s">
        <v>363</v>
      </c>
      <c r="F57" s="23">
        <v>2422</v>
      </c>
      <c r="G57" s="23">
        <v>455</v>
      </c>
      <c r="H57" s="23">
        <v>376</v>
      </c>
      <c r="I57" s="23">
        <v>23428</v>
      </c>
      <c r="J57" s="23">
        <v>46775</v>
      </c>
      <c r="K57" s="23">
        <v>259</v>
      </c>
      <c r="L57" s="21" t="s">
        <v>34</v>
      </c>
      <c r="M57" s="21"/>
      <c r="N57" s="21" t="s">
        <v>46</v>
      </c>
      <c r="O57" s="24">
        <f t="shared" si="0"/>
        <v>0.13885094758408742</v>
      </c>
    </row>
    <row r="58" spans="1:15">
      <c r="A58" s="19" t="s">
        <v>87</v>
      </c>
      <c r="B58" s="19" t="s">
        <v>13</v>
      </c>
      <c r="C58" s="20">
        <v>45299</v>
      </c>
      <c r="D58" s="21" t="s">
        <v>14</v>
      </c>
      <c r="E58" s="22" t="s">
        <v>33</v>
      </c>
      <c r="F58" s="23">
        <v>2683</v>
      </c>
      <c r="G58" s="23">
        <v>405</v>
      </c>
      <c r="H58" s="23">
        <v>223</v>
      </c>
      <c r="I58" s="23">
        <v>31233</v>
      </c>
      <c r="J58" s="23">
        <v>58106</v>
      </c>
      <c r="K58" s="23">
        <v>291</v>
      </c>
      <c r="L58" s="21" t="s">
        <v>19</v>
      </c>
      <c r="M58" s="21"/>
      <c r="N58" s="21" t="s">
        <v>20</v>
      </c>
      <c r="O58" s="24">
        <f t="shared" si="0"/>
        <v>0.10600966926007749</v>
      </c>
    </row>
    <row r="59" spans="1:15">
      <c r="A59" s="19" t="s">
        <v>88</v>
      </c>
      <c r="B59" s="19" t="s">
        <v>27</v>
      </c>
      <c r="C59" s="20">
        <v>45490</v>
      </c>
      <c r="D59" s="21" t="s">
        <v>14</v>
      </c>
      <c r="E59" s="22" t="s">
        <v>33</v>
      </c>
      <c r="F59" s="23">
        <v>3135</v>
      </c>
      <c r="G59" s="23">
        <v>110</v>
      </c>
      <c r="H59" s="23">
        <v>215</v>
      </c>
      <c r="I59" s="23">
        <v>39192</v>
      </c>
      <c r="J59" s="23">
        <v>24744</v>
      </c>
      <c r="K59" s="23">
        <v>177</v>
      </c>
      <c r="L59" s="21" t="s">
        <v>19</v>
      </c>
      <c r="M59" s="21" t="s">
        <v>365</v>
      </c>
      <c r="N59" s="21" t="s">
        <v>20</v>
      </c>
      <c r="O59" s="24">
        <f t="shared" si="0"/>
        <v>8.8283323127168814E-2</v>
      </c>
    </row>
    <row r="60" spans="1:15">
      <c r="A60" s="19" t="s">
        <v>89</v>
      </c>
      <c r="B60" s="19" t="s">
        <v>27</v>
      </c>
      <c r="C60" s="20">
        <v>45514</v>
      </c>
      <c r="D60" s="21" t="s">
        <v>14</v>
      </c>
      <c r="E60" s="22" t="s">
        <v>363</v>
      </c>
      <c r="F60" s="23">
        <v>1105</v>
      </c>
      <c r="G60" s="23">
        <v>181</v>
      </c>
      <c r="H60" s="23">
        <v>55</v>
      </c>
      <c r="I60" s="23">
        <v>53581</v>
      </c>
      <c r="J60" s="23">
        <v>74048</v>
      </c>
      <c r="K60" s="23">
        <v>220</v>
      </c>
      <c r="L60" s="21" t="s">
        <v>19</v>
      </c>
      <c r="M60" s="21" t="s">
        <v>365</v>
      </c>
      <c r="N60" s="21" t="s">
        <v>20</v>
      </c>
      <c r="O60" s="24">
        <f t="shared" si="0"/>
        <v>2.50275284149232E-2</v>
      </c>
    </row>
    <row r="61" spans="1:15">
      <c r="A61" s="19" t="s">
        <v>90</v>
      </c>
      <c r="B61" s="19" t="s">
        <v>27</v>
      </c>
      <c r="C61" s="20">
        <v>45398</v>
      </c>
      <c r="D61" s="21" t="s">
        <v>14</v>
      </c>
      <c r="E61" s="22" t="s">
        <v>15</v>
      </c>
      <c r="F61" s="23">
        <v>4674</v>
      </c>
      <c r="G61" s="23">
        <v>326</v>
      </c>
      <c r="H61" s="23">
        <v>62</v>
      </c>
      <c r="I61" s="23">
        <v>45503</v>
      </c>
      <c r="J61" s="23">
        <v>46814</v>
      </c>
      <c r="K61" s="23">
        <v>116</v>
      </c>
      <c r="L61" s="21" t="s">
        <v>19</v>
      </c>
      <c r="M61" s="21" t="s">
        <v>365</v>
      </c>
      <c r="N61" s="21" t="s">
        <v>20</v>
      </c>
      <c r="O61" s="24">
        <f t="shared" si="0"/>
        <v>0.11124541239039185</v>
      </c>
    </row>
    <row r="62" spans="1:15">
      <c r="A62" s="19" t="s">
        <v>91</v>
      </c>
      <c r="B62" s="19" t="s">
        <v>27</v>
      </c>
      <c r="C62" s="20">
        <v>45292</v>
      </c>
      <c r="D62" s="21" t="s">
        <v>48</v>
      </c>
      <c r="E62" s="22" t="s">
        <v>18</v>
      </c>
      <c r="F62" s="23">
        <v>3437</v>
      </c>
      <c r="G62" s="23">
        <v>129</v>
      </c>
      <c r="H62" s="23">
        <v>359</v>
      </c>
      <c r="I62" s="23">
        <v>44558</v>
      </c>
      <c r="J62" s="23">
        <v>30854</v>
      </c>
      <c r="K62" s="23">
        <v>171</v>
      </c>
      <c r="L62" s="21" t="s">
        <v>19</v>
      </c>
      <c r="M62" s="21" t="s">
        <v>37</v>
      </c>
      <c r="N62" s="21" t="s">
        <v>49</v>
      </c>
      <c r="O62" s="24">
        <f t="shared" si="0"/>
        <v>8.8087436599488311E-2</v>
      </c>
    </row>
    <row r="63" spans="1:15">
      <c r="A63" s="19" t="s">
        <v>92</v>
      </c>
      <c r="B63" s="19" t="s">
        <v>22</v>
      </c>
      <c r="C63" s="20">
        <v>45599</v>
      </c>
      <c r="D63" s="21" t="s">
        <v>23</v>
      </c>
      <c r="E63" s="22" t="s">
        <v>360</v>
      </c>
      <c r="F63" s="23">
        <v>1959</v>
      </c>
      <c r="G63" s="23">
        <v>316</v>
      </c>
      <c r="H63" s="23">
        <v>82</v>
      </c>
      <c r="I63" s="23">
        <v>54036</v>
      </c>
      <c r="J63" s="23">
        <v>69015</v>
      </c>
      <c r="K63" s="23">
        <v>182</v>
      </c>
      <c r="L63" s="21" t="s">
        <v>364</v>
      </c>
      <c r="M63" s="21" t="s">
        <v>34</v>
      </c>
      <c r="N63" s="21" t="s">
        <v>16</v>
      </c>
      <c r="O63" s="24">
        <f t="shared" si="0"/>
        <v>4.3619068768968837E-2</v>
      </c>
    </row>
    <row r="64" spans="1:15">
      <c r="A64" s="19" t="s">
        <v>93</v>
      </c>
      <c r="B64" s="19" t="s">
        <v>22</v>
      </c>
      <c r="C64" s="20">
        <v>45480</v>
      </c>
      <c r="D64" s="21" t="s">
        <v>14</v>
      </c>
      <c r="E64" s="22" t="s">
        <v>24</v>
      </c>
      <c r="F64" s="23">
        <v>1035</v>
      </c>
      <c r="G64" s="23">
        <v>137</v>
      </c>
      <c r="H64" s="23">
        <v>184</v>
      </c>
      <c r="I64" s="23">
        <v>37302</v>
      </c>
      <c r="J64" s="23">
        <v>68953</v>
      </c>
      <c r="K64" s="23">
        <v>237</v>
      </c>
      <c r="L64" s="21" t="s">
        <v>37</v>
      </c>
      <c r="M64" s="21"/>
      <c r="N64" s="21" t="s">
        <v>20</v>
      </c>
      <c r="O64" s="24">
        <f t="shared" si="0"/>
        <v>3.6351938233874857E-2</v>
      </c>
    </row>
    <row r="65" spans="1:15">
      <c r="A65" s="19" t="s">
        <v>94</v>
      </c>
      <c r="B65" s="19" t="s">
        <v>22</v>
      </c>
      <c r="C65" s="20">
        <v>45679</v>
      </c>
      <c r="D65" s="21" t="s">
        <v>23</v>
      </c>
      <c r="E65" s="22" t="s">
        <v>24</v>
      </c>
      <c r="F65" s="23">
        <v>4478</v>
      </c>
      <c r="G65" s="23">
        <v>101</v>
      </c>
      <c r="H65" s="23">
        <v>121</v>
      </c>
      <c r="I65" s="23">
        <v>51035</v>
      </c>
      <c r="J65" s="23">
        <v>58207</v>
      </c>
      <c r="K65" s="23">
        <v>205</v>
      </c>
      <c r="L65" s="21" t="s">
        <v>364</v>
      </c>
      <c r="M65" s="21" t="s">
        <v>34</v>
      </c>
      <c r="N65" s="21" t="s">
        <v>16</v>
      </c>
      <c r="O65" s="24">
        <f t="shared" si="0"/>
        <v>9.2093661212893113E-2</v>
      </c>
    </row>
    <row r="66" spans="1:15">
      <c r="A66" s="19" t="s">
        <v>95</v>
      </c>
      <c r="B66" s="19" t="s">
        <v>27</v>
      </c>
      <c r="C66" s="20">
        <v>45438</v>
      </c>
      <c r="D66" s="21" t="s">
        <v>14</v>
      </c>
      <c r="E66" s="22" t="s">
        <v>363</v>
      </c>
      <c r="F66" s="23">
        <v>1488</v>
      </c>
      <c r="G66" s="23">
        <v>327</v>
      </c>
      <c r="H66" s="23">
        <v>110</v>
      </c>
      <c r="I66" s="23">
        <v>53805</v>
      </c>
      <c r="J66" s="23">
        <v>30239</v>
      </c>
      <c r="K66" s="23">
        <v>109</v>
      </c>
      <c r="L66" s="21" t="s">
        <v>19</v>
      </c>
      <c r="M66" s="21" t="s">
        <v>365</v>
      </c>
      <c r="N66" s="21" t="s">
        <v>20</v>
      </c>
      <c r="O66" s="24">
        <f t="shared" ref="O66:O129" si="1" xml:space="preserve"> (F66+ G66 + H66) / I66</f>
        <v>3.5777344113000653E-2</v>
      </c>
    </row>
    <row r="67" spans="1:15">
      <c r="A67" s="19" t="s">
        <v>96</v>
      </c>
      <c r="B67" s="19" t="s">
        <v>13</v>
      </c>
      <c r="C67" s="20">
        <v>45763</v>
      </c>
      <c r="D67" s="21" t="s">
        <v>14</v>
      </c>
      <c r="E67" s="22" t="s">
        <v>360</v>
      </c>
      <c r="F67" s="23">
        <v>4836</v>
      </c>
      <c r="G67" s="23">
        <v>331</v>
      </c>
      <c r="H67" s="23">
        <v>140</v>
      </c>
      <c r="I67" s="23">
        <v>58792</v>
      </c>
      <c r="J67" s="23">
        <v>47711</v>
      </c>
      <c r="K67" s="23">
        <v>227</v>
      </c>
      <c r="L67" s="21" t="s">
        <v>37</v>
      </c>
      <c r="M67" s="21" t="s">
        <v>34</v>
      </c>
      <c r="N67" s="21" t="s">
        <v>16</v>
      </c>
      <c r="O67" s="24">
        <f t="shared" si="1"/>
        <v>9.0267383317458164E-2</v>
      </c>
    </row>
    <row r="68" spans="1:15">
      <c r="A68" s="19" t="s">
        <v>97</v>
      </c>
      <c r="B68" s="19" t="s">
        <v>27</v>
      </c>
      <c r="C68" s="20">
        <v>45384</v>
      </c>
      <c r="D68" s="21" t="s">
        <v>48</v>
      </c>
      <c r="E68" s="22" t="s">
        <v>42</v>
      </c>
      <c r="F68" s="23">
        <v>4563</v>
      </c>
      <c r="G68" s="23">
        <v>488</v>
      </c>
      <c r="H68" s="23">
        <v>356</v>
      </c>
      <c r="I68" s="23">
        <v>30619</v>
      </c>
      <c r="J68" s="23">
        <v>23328</v>
      </c>
      <c r="K68" s="23">
        <v>267</v>
      </c>
      <c r="L68" s="21" t="s">
        <v>19</v>
      </c>
      <c r="M68" s="21" t="s">
        <v>37</v>
      </c>
      <c r="N68" s="21" t="s">
        <v>49</v>
      </c>
      <c r="O68" s="24">
        <f t="shared" si="1"/>
        <v>0.17658969920637513</v>
      </c>
    </row>
    <row r="69" spans="1:15">
      <c r="A69" s="19" t="s">
        <v>98</v>
      </c>
      <c r="B69" s="19" t="s">
        <v>22</v>
      </c>
      <c r="C69" s="20">
        <v>45379</v>
      </c>
      <c r="D69" s="21" t="s">
        <v>14</v>
      </c>
      <c r="E69" s="22" t="s">
        <v>361</v>
      </c>
      <c r="F69" s="23">
        <v>3276</v>
      </c>
      <c r="G69" s="23">
        <v>421</v>
      </c>
      <c r="H69" s="23">
        <v>114</v>
      </c>
      <c r="I69" s="23">
        <v>20580</v>
      </c>
      <c r="J69" s="23">
        <v>30324</v>
      </c>
      <c r="K69" s="23">
        <v>221</v>
      </c>
      <c r="L69" s="21" t="s">
        <v>37</v>
      </c>
      <c r="M69" s="21"/>
      <c r="N69" s="21" t="s">
        <v>20</v>
      </c>
      <c r="O69" s="24">
        <f t="shared" si="1"/>
        <v>0.18517978620019437</v>
      </c>
    </row>
    <row r="70" spans="1:15">
      <c r="A70" s="19" t="s">
        <v>99</v>
      </c>
      <c r="B70" s="19" t="s">
        <v>22</v>
      </c>
      <c r="C70" s="20">
        <v>45643</v>
      </c>
      <c r="D70" s="21" t="s">
        <v>23</v>
      </c>
      <c r="E70" s="22" t="s">
        <v>361</v>
      </c>
      <c r="F70" s="23">
        <v>1316</v>
      </c>
      <c r="G70" s="23">
        <v>472</v>
      </c>
      <c r="H70" s="23">
        <v>286</v>
      </c>
      <c r="I70" s="23">
        <v>44692</v>
      </c>
      <c r="J70" s="23">
        <v>53343</v>
      </c>
      <c r="K70" s="23">
        <v>227</v>
      </c>
      <c r="L70" s="21" t="s">
        <v>19</v>
      </c>
      <c r="M70" s="21" t="s">
        <v>364</v>
      </c>
      <c r="N70" s="21" t="s">
        <v>16</v>
      </c>
      <c r="O70" s="24">
        <f t="shared" si="1"/>
        <v>4.6406515707509172E-2</v>
      </c>
    </row>
    <row r="71" spans="1:15">
      <c r="A71" s="19" t="s">
        <v>100</v>
      </c>
      <c r="B71" s="19" t="s">
        <v>22</v>
      </c>
      <c r="C71" s="20">
        <v>45662</v>
      </c>
      <c r="D71" s="21" t="s">
        <v>14</v>
      </c>
      <c r="E71" s="22" t="s">
        <v>360</v>
      </c>
      <c r="F71" s="23">
        <v>4811</v>
      </c>
      <c r="G71" s="23">
        <v>473</v>
      </c>
      <c r="H71" s="23">
        <v>254</v>
      </c>
      <c r="I71" s="23">
        <v>51964</v>
      </c>
      <c r="J71" s="23">
        <v>68795</v>
      </c>
      <c r="K71" s="23">
        <v>107</v>
      </c>
      <c r="L71" s="21" t="s">
        <v>34</v>
      </c>
      <c r="M71" s="21"/>
      <c r="N71" s="21" t="s">
        <v>16</v>
      </c>
      <c r="O71" s="24">
        <f t="shared" si="1"/>
        <v>0.10657378184897237</v>
      </c>
    </row>
    <row r="72" spans="1:15">
      <c r="A72" s="19" t="s">
        <v>101</v>
      </c>
      <c r="B72" s="19" t="s">
        <v>22</v>
      </c>
      <c r="C72" s="20">
        <v>45302</v>
      </c>
      <c r="D72" s="21" t="s">
        <v>14</v>
      </c>
      <c r="E72" s="22" t="s">
        <v>362</v>
      </c>
      <c r="F72" s="23">
        <v>4218</v>
      </c>
      <c r="G72" s="23">
        <v>247</v>
      </c>
      <c r="H72" s="23">
        <v>183</v>
      </c>
      <c r="I72" s="23">
        <v>28914</v>
      </c>
      <c r="J72" s="23">
        <v>18310</v>
      </c>
      <c r="K72" s="23">
        <v>135</v>
      </c>
      <c r="L72" s="21" t="s">
        <v>37</v>
      </c>
      <c r="M72" s="21"/>
      <c r="N72" s="21" t="s">
        <v>20</v>
      </c>
      <c r="O72" s="24">
        <f t="shared" si="1"/>
        <v>0.1607525766064882</v>
      </c>
    </row>
    <row r="73" spans="1:15">
      <c r="A73" s="19" t="s">
        <v>102</v>
      </c>
      <c r="B73" s="19" t="s">
        <v>13</v>
      </c>
      <c r="C73" s="20">
        <v>45576</v>
      </c>
      <c r="D73" s="21" t="s">
        <v>14</v>
      </c>
      <c r="E73" s="22" t="s">
        <v>363</v>
      </c>
      <c r="F73" s="23">
        <v>1360</v>
      </c>
      <c r="G73" s="23">
        <v>249</v>
      </c>
      <c r="H73" s="23">
        <v>52</v>
      </c>
      <c r="I73" s="23">
        <v>20368</v>
      </c>
      <c r="J73" s="23">
        <v>42152</v>
      </c>
      <c r="K73" s="23">
        <v>193</v>
      </c>
      <c r="L73" s="21" t="s">
        <v>19</v>
      </c>
      <c r="M73" s="21"/>
      <c r="N73" s="21" t="s">
        <v>20</v>
      </c>
      <c r="O73" s="24">
        <f t="shared" si="1"/>
        <v>8.1549489395129612E-2</v>
      </c>
    </row>
    <row r="74" spans="1:15">
      <c r="A74" s="19" t="s">
        <v>103</v>
      </c>
      <c r="B74" s="19" t="s">
        <v>27</v>
      </c>
      <c r="C74" s="20">
        <v>45783</v>
      </c>
      <c r="D74" s="21" t="s">
        <v>48</v>
      </c>
      <c r="E74" s="22" t="s">
        <v>15</v>
      </c>
      <c r="F74" s="23">
        <v>1085</v>
      </c>
      <c r="G74" s="23">
        <v>496</v>
      </c>
      <c r="H74" s="23">
        <v>320</v>
      </c>
      <c r="I74" s="23">
        <v>36528</v>
      </c>
      <c r="J74" s="23">
        <v>38599</v>
      </c>
      <c r="K74" s="23">
        <v>270</v>
      </c>
      <c r="L74" s="21" t="s">
        <v>19</v>
      </c>
      <c r="M74" s="21" t="s">
        <v>37</v>
      </c>
      <c r="N74" s="21" t="s">
        <v>49</v>
      </c>
      <c r="O74" s="24">
        <f t="shared" si="1"/>
        <v>5.2042268944371438E-2</v>
      </c>
    </row>
    <row r="75" spans="1:15">
      <c r="A75" s="19" t="s">
        <v>104</v>
      </c>
      <c r="B75" s="19" t="s">
        <v>22</v>
      </c>
      <c r="C75" s="20">
        <v>45431</v>
      </c>
      <c r="D75" s="21" t="s">
        <v>23</v>
      </c>
      <c r="E75" s="22" t="s">
        <v>30</v>
      </c>
      <c r="F75" s="23">
        <v>1763</v>
      </c>
      <c r="G75" s="23">
        <v>206</v>
      </c>
      <c r="H75" s="23">
        <v>187</v>
      </c>
      <c r="I75" s="23">
        <v>53342</v>
      </c>
      <c r="J75" s="23">
        <v>25095</v>
      </c>
      <c r="K75" s="23">
        <v>88</v>
      </c>
      <c r="L75" s="21" t="s">
        <v>19</v>
      </c>
      <c r="M75" s="21" t="s">
        <v>364</v>
      </c>
      <c r="N75" s="21" t="s">
        <v>16</v>
      </c>
      <c r="O75" s="24">
        <f t="shared" si="1"/>
        <v>4.0418432004799221E-2</v>
      </c>
    </row>
    <row r="76" spans="1:15">
      <c r="A76" s="19" t="s">
        <v>105</v>
      </c>
      <c r="B76" s="19" t="s">
        <v>22</v>
      </c>
      <c r="C76" s="20">
        <v>45313</v>
      </c>
      <c r="D76" s="21" t="s">
        <v>23</v>
      </c>
      <c r="E76" s="22" t="s">
        <v>363</v>
      </c>
      <c r="F76" s="23">
        <v>1554</v>
      </c>
      <c r="G76" s="23">
        <v>455</v>
      </c>
      <c r="H76" s="23">
        <v>158</v>
      </c>
      <c r="I76" s="23">
        <v>41947</v>
      </c>
      <c r="J76" s="23">
        <v>48578</v>
      </c>
      <c r="K76" s="23">
        <v>101</v>
      </c>
      <c r="L76" s="21" t="s">
        <v>37</v>
      </c>
      <c r="M76" s="21" t="s">
        <v>34</v>
      </c>
      <c r="N76" s="21" t="s">
        <v>16</v>
      </c>
      <c r="O76" s="24">
        <f t="shared" si="1"/>
        <v>5.1660428636136076E-2</v>
      </c>
    </row>
    <row r="77" spans="1:15">
      <c r="A77" s="19" t="s">
        <v>106</v>
      </c>
      <c r="B77" s="19" t="s">
        <v>13</v>
      </c>
      <c r="C77" s="20">
        <v>45487</v>
      </c>
      <c r="D77" s="21" t="s">
        <v>14</v>
      </c>
      <c r="E77" s="22" t="s">
        <v>360</v>
      </c>
      <c r="F77" s="23">
        <v>2464</v>
      </c>
      <c r="G77" s="23">
        <v>401</v>
      </c>
      <c r="H77" s="23">
        <v>78</v>
      </c>
      <c r="I77" s="23">
        <v>38665</v>
      </c>
      <c r="J77" s="23">
        <v>73593</v>
      </c>
      <c r="K77" s="23">
        <v>207</v>
      </c>
      <c r="L77" s="21" t="s">
        <v>19</v>
      </c>
      <c r="M77" s="21"/>
      <c r="N77" s="21" t="s">
        <v>20</v>
      </c>
      <c r="O77" s="24">
        <f t="shared" si="1"/>
        <v>7.611534979956032E-2</v>
      </c>
    </row>
    <row r="78" spans="1:15">
      <c r="A78" s="19" t="s">
        <v>107</v>
      </c>
      <c r="B78" s="19" t="s">
        <v>22</v>
      </c>
      <c r="C78" s="20">
        <v>45805</v>
      </c>
      <c r="D78" s="21" t="s">
        <v>14</v>
      </c>
      <c r="E78" s="22" t="s">
        <v>363</v>
      </c>
      <c r="F78" s="23">
        <v>2418</v>
      </c>
      <c r="G78" s="23">
        <v>161</v>
      </c>
      <c r="H78" s="23">
        <v>360</v>
      </c>
      <c r="I78" s="23">
        <v>30589</v>
      </c>
      <c r="J78" s="23">
        <v>41383</v>
      </c>
      <c r="K78" s="23">
        <v>88</v>
      </c>
      <c r="L78" s="21" t="s">
        <v>34</v>
      </c>
      <c r="M78" s="21"/>
      <c r="N78" s="21" t="s">
        <v>16</v>
      </c>
      <c r="O78" s="24">
        <f t="shared" si="1"/>
        <v>9.6080290300434801E-2</v>
      </c>
    </row>
    <row r="79" spans="1:15">
      <c r="A79" s="19" t="s">
        <v>108</v>
      </c>
      <c r="B79" s="19" t="s">
        <v>22</v>
      </c>
      <c r="C79" s="20">
        <v>45678</v>
      </c>
      <c r="D79" s="21" t="s">
        <v>23</v>
      </c>
      <c r="E79" s="22" t="s">
        <v>15</v>
      </c>
      <c r="F79" s="23">
        <v>2494</v>
      </c>
      <c r="G79" s="23">
        <v>494</v>
      </c>
      <c r="H79" s="23">
        <v>55</v>
      </c>
      <c r="I79" s="23">
        <v>22580</v>
      </c>
      <c r="J79" s="23">
        <v>22214</v>
      </c>
      <c r="K79" s="23">
        <v>109</v>
      </c>
      <c r="L79" s="21" t="s">
        <v>364</v>
      </c>
      <c r="M79" s="21" t="s">
        <v>34</v>
      </c>
      <c r="N79" s="21" t="s">
        <v>16</v>
      </c>
      <c r="O79" s="24">
        <f t="shared" si="1"/>
        <v>0.13476527900797167</v>
      </c>
    </row>
    <row r="80" spans="1:15">
      <c r="A80" s="19" t="s">
        <v>109</v>
      </c>
      <c r="B80" s="19" t="s">
        <v>27</v>
      </c>
      <c r="C80" s="20">
        <v>45304</v>
      </c>
      <c r="D80" s="21" t="s">
        <v>48</v>
      </c>
      <c r="E80" s="22" t="s">
        <v>24</v>
      </c>
      <c r="F80" s="23">
        <v>4781</v>
      </c>
      <c r="G80" s="23">
        <v>191</v>
      </c>
      <c r="H80" s="23">
        <v>122</v>
      </c>
      <c r="I80" s="23">
        <v>35535</v>
      </c>
      <c r="J80" s="23">
        <v>50777</v>
      </c>
      <c r="K80" s="23">
        <v>128</v>
      </c>
      <c r="L80" s="21" t="s">
        <v>19</v>
      </c>
      <c r="M80" s="21" t="s">
        <v>37</v>
      </c>
      <c r="N80" s="21" t="s">
        <v>49</v>
      </c>
      <c r="O80" s="24">
        <f t="shared" si="1"/>
        <v>0.14335162515829464</v>
      </c>
    </row>
    <row r="81" spans="1:15">
      <c r="A81" s="19" t="s">
        <v>110</v>
      </c>
      <c r="B81" s="19" t="s">
        <v>13</v>
      </c>
      <c r="C81" s="20">
        <v>45825</v>
      </c>
      <c r="D81" s="21" t="s">
        <v>14</v>
      </c>
      <c r="E81" s="22" t="s">
        <v>361</v>
      </c>
      <c r="F81" s="23">
        <v>2284</v>
      </c>
      <c r="G81" s="23">
        <v>187</v>
      </c>
      <c r="H81" s="23">
        <v>260</v>
      </c>
      <c r="I81" s="23">
        <v>37400</v>
      </c>
      <c r="J81" s="23">
        <v>65014</v>
      </c>
      <c r="K81" s="23">
        <v>157</v>
      </c>
      <c r="L81" s="21" t="s">
        <v>37</v>
      </c>
      <c r="M81" s="21" t="s">
        <v>34</v>
      </c>
      <c r="N81" s="21" t="s">
        <v>16</v>
      </c>
      <c r="O81" s="24">
        <f t="shared" si="1"/>
        <v>7.3021390374331557E-2</v>
      </c>
    </row>
    <row r="82" spans="1:15">
      <c r="A82" s="19" t="s">
        <v>111</v>
      </c>
      <c r="B82" s="19" t="s">
        <v>22</v>
      </c>
      <c r="C82" s="20">
        <v>45723</v>
      </c>
      <c r="D82" s="21" t="s">
        <v>14</v>
      </c>
      <c r="E82" s="22" t="s">
        <v>30</v>
      </c>
      <c r="F82" s="23">
        <v>4234</v>
      </c>
      <c r="G82" s="23">
        <v>486</v>
      </c>
      <c r="H82" s="23">
        <v>276</v>
      </c>
      <c r="I82" s="23">
        <v>56623</v>
      </c>
      <c r="J82" s="23">
        <v>41343</v>
      </c>
      <c r="K82" s="23">
        <v>184</v>
      </c>
      <c r="L82" s="21" t="s">
        <v>37</v>
      </c>
      <c r="M82" s="21"/>
      <c r="N82" s="21" t="s">
        <v>20</v>
      </c>
      <c r="O82" s="24">
        <f t="shared" si="1"/>
        <v>8.8232696960599044E-2</v>
      </c>
    </row>
    <row r="83" spans="1:15">
      <c r="A83" s="19" t="s">
        <v>112</v>
      </c>
      <c r="B83" s="19" t="s">
        <v>13</v>
      </c>
      <c r="C83" s="20">
        <v>45530</v>
      </c>
      <c r="D83" s="21" t="s">
        <v>14</v>
      </c>
      <c r="E83" s="22" t="s">
        <v>42</v>
      </c>
      <c r="F83" s="23">
        <v>2102</v>
      </c>
      <c r="G83" s="23">
        <v>181</v>
      </c>
      <c r="H83" s="23">
        <v>306</v>
      </c>
      <c r="I83" s="23">
        <v>43650</v>
      </c>
      <c r="J83" s="23">
        <v>50079</v>
      </c>
      <c r="K83" s="23">
        <v>182</v>
      </c>
      <c r="L83" s="21" t="s">
        <v>19</v>
      </c>
      <c r="M83" s="21"/>
      <c r="N83" s="21" t="s">
        <v>20</v>
      </c>
      <c r="O83" s="24">
        <f t="shared" si="1"/>
        <v>5.9312714776632303E-2</v>
      </c>
    </row>
    <row r="84" spans="1:15">
      <c r="A84" s="19" t="s">
        <v>113</v>
      </c>
      <c r="B84" s="19" t="s">
        <v>22</v>
      </c>
      <c r="C84" s="20">
        <v>45660</v>
      </c>
      <c r="D84" s="21" t="s">
        <v>23</v>
      </c>
      <c r="E84" s="22" t="s">
        <v>30</v>
      </c>
      <c r="F84" s="23">
        <v>4845</v>
      </c>
      <c r="G84" s="23">
        <v>158</v>
      </c>
      <c r="H84" s="23">
        <v>84</v>
      </c>
      <c r="I84" s="23">
        <v>34578</v>
      </c>
      <c r="J84" s="23">
        <v>51480</v>
      </c>
      <c r="K84" s="23">
        <v>180</v>
      </c>
      <c r="L84" s="21" t="s">
        <v>37</v>
      </c>
      <c r="M84" s="21" t="s">
        <v>34</v>
      </c>
      <c r="N84" s="21" t="s">
        <v>16</v>
      </c>
      <c r="O84" s="24">
        <f t="shared" si="1"/>
        <v>0.1471166637746544</v>
      </c>
    </row>
    <row r="85" spans="1:15">
      <c r="A85" s="19" t="s">
        <v>114</v>
      </c>
      <c r="B85" s="19" t="s">
        <v>22</v>
      </c>
      <c r="C85" s="20">
        <v>45507</v>
      </c>
      <c r="D85" s="21" t="s">
        <v>14</v>
      </c>
      <c r="E85" s="22" t="s">
        <v>42</v>
      </c>
      <c r="F85" s="23">
        <v>4247</v>
      </c>
      <c r="G85" s="23">
        <v>390</v>
      </c>
      <c r="H85" s="23">
        <v>213</v>
      </c>
      <c r="I85" s="23">
        <v>29785</v>
      </c>
      <c r="J85" s="23">
        <v>57768</v>
      </c>
      <c r="K85" s="23">
        <v>122</v>
      </c>
      <c r="L85" s="21" t="s">
        <v>34</v>
      </c>
      <c r="M85" s="21"/>
      <c r="N85" s="21" t="s">
        <v>16</v>
      </c>
      <c r="O85" s="24">
        <f t="shared" si="1"/>
        <v>0.16283364109451065</v>
      </c>
    </row>
    <row r="86" spans="1:15">
      <c r="A86" s="19" t="s">
        <v>115</v>
      </c>
      <c r="B86" s="19" t="s">
        <v>13</v>
      </c>
      <c r="C86" s="20">
        <v>45522</v>
      </c>
      <c r="D86" s="21" t="s">
        <v>14</v>
      </c>
      <c r="E86" s="22" t="s">
        <v>18</v>
      </c>
      <c r="F86" s="23">
        <v>2965</v>
      </c>
      <c r="G86" s="23">
        <v>328</v>
      </c>
      <c r="H86" s="23">
        <v>171</v>
      </c>
      <c r="I86" s="23">
        <v>57685</v>
      </c>
      <c r="J86" s="23">
        <v>67536</v>
      </c>
      <c r="K86" s="23">
        <v>264</v>
      </c>
      <c r="L86" s="21" t="s">
        <v>37</v>
      </c>
      <c r="M86" s="21" t="s">
        <v>34</v>
      </c>
      <c r="N86" s="21" t="s">
        <v>16</v>
      </c>
      <c r="O86" s="24">
        <f t="shared" si="1"/>
        <v>6.0050273034584378E-2</v>
      </c>
    </row>
    <row r="87" spans="1:15">
      <c r="A87" s="19" t="s">
        <v>116</v>
      </c>
      <c r="B87" s="19" t="s">
        <v>22</v>
      </c>
      <c r="C87" s="20">
        <v>45791</v>
      </c>
      <c r="D87" s="21" t="s">
        <v>23</v>
      </c>
      <c r="E87" s="22" t="s">
        <v>360</v>
      </c>
      <c r="F87" s="23">
        <v>1371</v>
      </c>
      <c r="G87" s="23">
        <v>139</v>
      </c>
      <c r="H87" s="23">
        <v>96</v>
      </c>
      <c r="I87" s="23">
        <v>36140</v>
      </c>
      <c r="J87" s="23">
        <v>39395</v>
      </c>
      <c r="K87" s="23">
        <v>169</v>
      </c>
      <c r="L87" s="21" t="s">
        <v>37</v>
      </c>
      <c r="M87" s="21" t="s">
        <v>34</v>
      </c>
      <c r="N87" s="21" t="s">
        <v>16</v>
      </c>
      <c r="O87" s="24">
        <f t="shared" si="1"/>
        <v>4.4438295517432211E-2</v>
      </c>
    </row>
    <row r="88" spans="1:15">
      <c r="A88" s="19" t="s">
        <v>117</v>
      </c>
      <c r="B88" s="19" t="s">
        <v>22</v>
      </c>
      <c r="C88" s="20">
        <v>45405</v>
      </c>
      <c r="D88" s="21" t="s">
        <v>23</v>
      </c>
      <c r="E88" s="22" t="s">
        <v>15</v>
      </c>
      <c r="F88" s="23">
        <v>2683</v>
      </c>
      <c r="G88" s="23">
        <v>496</v>
      </c>
      <c r="H88" s="23">
        <v>89</v>
      </c>
      <c r="I88" s="23">
        <v>53435</v>
      </c>
      <c r="J88" s="23">
        <v>30334</v>
      </c>
      <c r="K88" s="23">
        <v>160</v>
      </c>
      <c r="L88" s="21" t="s">
        <v>37</v>
      </c>
      <c r="M88" s="21" t="s">
        <v>34</v>
      </c>
      <c r="N88" s="21" t="s">
        <v>16</v>
      </c>
      <c r="O88" s="24">
        <f t="shared" si="1"/>
        <v>6.1158416768035934E-2</v>
      </c>
    </row>
    <row r="89" spans="1:15">
      <c r="A89" s="19" t="s">
        <v>118</v>
      </c>
      <c r="B89" s="19" t="s">
        <v>22</v>
      </c>
      <c r="C89" s="20">
        <v>45705</v>
      </c>
      <c r="D89" s="21" t="s">
        <v>23</v>
      </c>
      <c r="E89" s="22" t="s">
        <v>362</v>
      </c>
      <c r="F89" s="23">
        <v>4796</v>
      </c>
      <c r="G89" s="23">
        <v>427</v>
      </c>
      <c r="H89" s="23">
        <v>339</v>
      </c>
      <c r="I89" s="23">
        <v>30752</v>
      </c>
      <c r="J89" s="23">
        <v>33870</v>
      </c>
      <c r="K89" s="23">
        <v>298</v>
      </c>
      <c r="L89" s="21" t="s">
        <v>37</v>
      </c>
      <c r="M89" s="21" t="s">
        <v>34</v>
      </c>
      <c r="N89" s="21" t="s">
        <v>16</v>
      </c>
      <c r="O89" s="24">
        <f t="shared" si="1"/>
        <v>0.18086628511966701</v>
      </c>
    </row>
    <row r="90" spans="1:15">
      <c r="A90" s="19" t="s">
        <v>119</v>
      </c>
      <c r="B90" s="19" t="s">
        <v>13</v>
      </c>
      <c r="C90" s="20">
        <v>45630</v>
      </c>
      <c r="D90" s="21" t="s">
        <v>14</v>
      </c>
      <c r="E90" s="22" t="s">
        <v>360</v>
      </c>
      <c r="F90" s="23">
        <v>2601</v>
      </c>
      <c r="G90" s="23">
        <v>336</v>
      </c>
      <c r="H90" s="23">
        <v>260</v>
      </c>
      <c r="I90" s="23">
        <v>32368</v>
      </c>
      <c r="J90" s="23">
        <v>49028</v>
      </c>
      <c r="K90" s="23">
        <v>120</v>
      </c>
      <c r="L90" s="21" t="s">
        <v>37</v>
      </c>
      <c r="M90" s="21" t="s">
        <v>34</v>
      </c>
      <c r="N90" s="21" t="s">
        <v>16</v>
      </c>
      <c r="O90" s="24">
        <f t="shared" si="1"/>
        <v>9.8770390509144837E-2</v>
      </c>
    </row>
    <row r="91" spans="1:15">
      <c r="A91" s="19" t="s">
        <v>120</v>
      </c>
      <c r="B91" s="19" t="s">
        <v>22</v>
      </c>
      <c r="C91" s="20">
        <v>45495</v>
      </c>
      <c r="D91" s="21" t="s">
        <v>23</v>
      </c>
      <c r="E91" s="22" t="s">
        <v>360</v>
      </c>
      <c r="F91" s="23">
        <v>3336</v>
      </c>
      <c r="G91" s="23">
        <v>229</v>
      </c>
      <c r="H91" s="23">
        <v>337</v>
      </c>
      <c r="I91" s="23">
        <v>22117</v>
      </c>
      <c r="J91" s="23">
        <v>26205</v>
      </c>
      <c r="K91" s="23">
        <v>160</v>
      </c>
      <c r="L91" s="21" t="s">
        <v>364</v>
      </c>
      <c r="M91" s="21" t="s">
        <v>34</v>
      </c>
      <c r="N91" s="21" t="s">
        <v>16</v>
      </c>
      <c r="O91" s="24">
        <f t="shared" si="1"/>
        <v>0.17642537414658407</v>
      </c>
    </row>
    <row r="92" spans="1:15">
      <c r="A92" s="19" t="s">
        <v>121</v>
      </c>
      <c r="B92" s="19" t="s">
        <v>22</v>
      </c>
      <c r="C92" s="20">
        <v>45774</v>
      </c>
      <c r="D92" s="21" t="s">
        <v>14</v>
      </c>
      <c r="E92" s="22" t="s">
        <v>18</v>
      </c>
      <c r="F92" s="23">
        <v>1165</v>
      </c>
      <c r="G92" s="23">
        <v>294</v>
      </c>
      <c r="H92" s="23">
        <v>163</v>
      </c>
      <c r="I92" s="23">
        <v>20659</v>
      </c>
      <c r="J92" s="23">
        <v>45926</v>
      </c>
      <c r="K92" s="23">
        <v>111</v>
      </c>
      <c r="L92" s="21" t="s">
        <v>37</v>
      </c>
      <c r="M92" s="21"/>
      <c r="N92" s="21" t="s">
        <v>20</v>
      </c>
      <c r="O92" s="24">
        <f t="shared" si="1"/>
        <v>7.8512996756861422E-2</v>
      </c>
    </row>
    <row r="93" spans="1:15">
      <c r="A93" s="19" t="s">
        <v>122</v>
      </c>
      <c r="B93" s="19" t="s">
        <v>27</v>
      </c>
      <c r="C93" s="20">
        <v>45376</v>
      </c>
      <c r="D93" s="21" t="s">
        <v>48</v>
      </c>
      <c r="E93" s="22" t="s">
        <v>18</v>
      </c>
      <c r="F93" s="23">
        <v>1948</v>
      </c>
      <c r="G93" s="23">
        <v>155</v>
      </c>
      <c r="H93" s="23">
        <v>315</v>
      </c>
      <c r="I93" s="23">
        <v>30321</v>
      </c>
      <c r="J93" s="23">
        <v>57121</v>
      </c>
      <c r="K93" s="23">
        <v>82</v>
      </c>
      <c r="L93" s="21" t="s">
        <v>19</v>
      </c>
      <c r="M93" s="21" t="s">
        <v>37</v>
      </c>
      <c r="N93" s="21" t="s">
        <v>49</v>
      </c>
      <c r="O93" s="24">
        <f t="shared" si="1"/>
        <v>7.974671020085089E-2</v>
      </c>
    </row>
    <row r="94" spans="1:15">
      <c r="A94" s="19" t="s">
        <v>123</v>
      </c>
      <c r="B94" s="19" t="s">
        <v>13</v>
      </c>
      <c r="C94" s="20">
        <v>45351</v>
      </c>
      <c r="D94" s="21" t="s">
        <v>14</v>
      </c>
      <c r="E94" s="22" t="s">
        <v>363</v>
      </c>
      <c r="F94" s="23">
        <v>1100</v>
      </c>
      <c r="G94" s="23">
        <v>229</v>
      </c>
      <c r="H94" s="23">
        <v>312</v>
      </c>
      <c r="I94" s="23">
        <v>25641</v>
      </c>
      <c r="J94" s="23">
        <v>34601</v>
      </c>
      <c r="K94" s="23">
        <v>169</v>
      </c>
      <c r="L94" s="21" t="s">
        <v>19</v>
      </c>
      <c r="M94" s="21"/>
      <c r="N94" s="21" t="s">
        <v>20</v>
      </c>
      <c r="O94" s="24">
        <f t="shared" si="1"/>
        <v>6.3999063999063993E-2</v>
      </c>
    </row>
    <row r="95" spans="1:15">
      <c r="A95" s="19" t="s">
        <v>124</v>
      </c>
      <c r="B95" s="19" t="s">
        <v>22</v>
      </c>
      <c r="C95" s="20">
        <v>45609</v>
      </c>
      <c r="D95" s="21" t="s">
        <v>23</v>
      </c>
      <c r="E95" s="22" t="s">
        <v>33</v>
      </c>
      <c r="F95" s="23">
        <v>4628</v>
      </c>
      <c r="G95" s="23">
        <v>257</v>
      </c>
      <c r="H95" s="23">
        <v>397</v>
      </c>
      <c r="I95" s="23">
        <v>36686</v>
      </c>
      <c r="J95" s="23">
        <v>54683</v>
      </c>
      <c r="K95" s="23">
        <v>98</v>
      </c>
      <c r="L95" s="21" t="s">
        <v>37</v>
      </c>
      <c r="M95" s="21" t="s">
        <v>34</v>
      </c>
      <c r="N95" s="21" t="s">
        <v>16</v>
      </c>
      <c r="O95" s="24">
        <f t="shared" si="1"/>
        <v>0.1439786294499264</v>
      </c>
    </row>
    <row r="96" spans="1:15">
      <c r="A96" s="19" t="s">
        <v>125</v>
      </c>
      <c r="B96" s="19" t="s">
        <v>13</v>
      </c>
      <c r="C96" s="20">
        <v>45373</v>
      </c>
      <c r="D96" s="21" t="s">
        <v>23</v>
      </c>
      <c r="E96" s="22" t="s">
        <v>15</v>
      </c>
      <c r="F96" s="23">
        <v>2319</v>
      </c>
      <c r="G96" s="23">
        <v>484</v>
      </c>
      <c r="H96" s="23">
        <v>193</v>
      </c>
      <c r="I96" s="23">
        <v>21202</v>
      </c>
      <c r="J96" s="23">
        <v>18091</v>
      </c>
      <c r="K96" s="23">
        <v>241</v>
      </c>
      <c r="L96" s="21" t="s">
        <v>34</v>
      </c>
      <c r="M96" s="21"/>
      <c r="N96" s="21" t="s">
        <v>46</v>
      </c>
      <c r="O96" s="24">
        <f t="shared" si="1"/>
        <v>0.14130742382794076</v>
      </c>
    </row>
    <row r="97" spans="1:15">
      <c r="A97" s="19" t="s">
        <v>126</v>
      </c>
      <c r="B97" s="19" t="s">
        <v>22</v>
      </c>
      <c r="C97" s="20">
        <v>45367</v>
      </c>
      <c r="D97" s="21" t="s">
        <v>23</v>
      </c>
      <c r="E97" s="22" t="s">
        <v>360</v>
      </c>
      <c r="F97" s="23">
        <v>2895</v>
      </c>
      <c r="G97" s="23">
        <v>292</v>
      </c>
      <c r="H97" s="23">
        <v>90</v>
      </c>
      <c r="I97" s="23">
        <v>24223</v>
      </c>
      <c r="J97" s="23">
        <v>54626</v>
      </c>
      <c r="K97" s="23">
        <v>114</v>
      </c>
      <c r="L97" s="21" t="s">
        <v>37</v>
      </c>
      <c r="M97" s="21" t="s">
        <v>34</v>
      </c>
      <c r="N97" s="21" t="s">
        <v>16</v>
      </c>
      <c r="O97" s="24">
        <f t="shared" si="1"/>
        <v>0.13528464682326713</v>
      </c>
    </row>
    <row r="98" spans="1:15">
      <c r="A98" s="19" t="s">
        <v>127</v>
      </c>
      <c r="B98" s="19" t="s">
        <v>13</v>
      </c>
      <c r="C98" s="20">
        <v>45317</v>
      </c>
      <c r="D98" s="21" t="s">
        <v>14</v>
      </c>
      <c r="E98" s="22" t="s">
        <v>362</v>
      </c>
      <c r="F98" s="23">
        <v>3878</v>
      </c>
      <c r="G98" s="23">
        <v>431</v>
      </c>
      <c r="H98" s="23">
        <v>97</v>
      </c>
      <c r="I98" s="23">
        <v>41763</v>
      </c>
      <c r="J98" s="23">
        <v>29729</v>
      </c>
      <c r="K98" s="23">
        <v>191</v>
      </c>
      <c r="L98" s="21" t="s">
        <v>19</v>
      </c>
      <c r="M98" s="21"/>
      <c r="N98" s="21" t="s">
        <v>20</v>
      </c>
      <c r="O98" s="24">
        <f t="shared" si="1"/>
        <v>0.10550008380623997</v>
      </c>
    </row>
    <row r="99" spans="1:15">
      <c r="A99" s="19" t="s">
        <v>128</v>
      </c>
      <c r="B99" s="19" t="s">
        <v>22</v>
      </c>
      <c r="C99" s="20">
        <v>45366</v>
      </c>
      <c r="D99" s="21" t="s">
        <v>23</v>
      </c>
      <c r="E99" s="22" t="s">
        <v>30</v>
      </c>
      <c r="F99" s="23">
        <v>4969</v>
      </c>
      <c r="G99" s="23">
        <v>433</v>
      </c>
      <c r="H99" s="23">
        <v>237</v>
      </c>
      <c r="I99" s="23">
        <v>59552</v>
      </c>
      <c r="J99" s="23">
        <v>23885</v>
      </c>
      <c r="K99" s="23">
        <v>157</v>
      </c>
      <c r="L99" s="21" t="s">
        <v>19</v>
      </c>
      <c r="M99" s="21" t="s">
        <v>364</v>
      </c>
      <c r="N99" s="21" t="s">
        <v>16</v>
      </c>
      <c r="O99" s="24">
        <f t="shared" si="1"/>
        <v>9.4690354648038683E-2</v>
      </c>
    </row>
    <row r="100" spans="1:15">
      <c r="A100" s="19" t="s">
        <v>129</v>
      </c>
      <c r="B100" s="19" t="s">
        <v>22</v>
      </c>
      <c r="C100" s="20">
        <v>45580</v>
      </c>
      <c r="D100" s="21" t="s">
        <v>14</v>
      </c>
      <c r="E100" s="22" t="s">
        <v>360</v>
      </c>
      <c r="F100" s="23">
        <v>1984</v>
      </c>
      <c r="G100" s="23">
        <v>481</v>
      </c>
      <c r="H100" s="23">
        <v>356</v>
      </c>
      <c r="I100" s="23">
        <v>40681</v>
      </c>
      <c r="J100" s="23">
        <v>63111</v>
      </c>
      <c r="K100" s="23">
        <v>258</v>
      </c>
      <c r="L100" s="21" t="s">
        <v>34</v>
      </c>
      <c r="M100" s="21"/>
      <c r="N100" s="21" t="s">
        <v>16</v>
      </c>
      <c r="O100" s="24">
        <f t="shared" si="1"/>
        <v>6.934441139598338E-2</v>
      </c>
    </row>
    <row r="101" spans="1:15">
      <c r="A101" s="19" t="s">
        <v>130</v>
      </c>
      <c r="B101" s="19" t="s">
        <v>13</v>
      </c>
      <c r="C101" s="20">
        <v>45494</v>
      </c>
      <c r="D101" s="21" t="s">
        <v>14</v>
      </c>
      <c r="E101" s="22" t="s">
        <v>15</v>
      </c>
      <c r="F101" s="23">
        <v>3004</v>
      </c>
      <c r="G101" s="23">
        <v>415</v>
      </c>
      <c r="H101" s="23">
        <v>218</v>
      </c>
      <c r="I101" s="23">
        <v>36090</v>
      </c>
      <c r="J101" s="23">
        <v>37073</v>
      </c>
      <c r="K101" s="23">
        <v>181</v>
      </c>
      <c r="L101" s="21" t="s">
        <v>19</v>
      </c>
      <c r="M101" s="21"/>
      <c r="N101" s="21" t="s">
        <v>20</v>
      </c>
      <c r="O101" s="24">
        <f t="shared" si="1"/>
        <v>0.10077583818232197</v>
      </c>
    </row>
    <row r="102" spans="1:15">
      <c r="A102" s="19" t="s">
        <v>131</v>
      </c>
      <c r="B102" s="19" t="s">
        <v>22</v>
      </c>
      <c r="C102" s="20">
        <v>45577</v>
      </c>
      <c r="D102" s="21" t="s">
        <v>14</v>
      </c>
      <c r="E102" s="22" t="s">
        <v>30</v>
      </c>
      <c r="F102" s="23">
        <v>3169</v>
      </c>
      <c r="G102" s="23">
        <v>386</v>
      </c>
      <c r="H102" s="23">
        <v>175</v>
      </c>
      <c r="I102" s="23">
        <v>45012</v>
      </c>
      <c r="J102" s="23">
        <v>38508</v>
      </c>
      <c r="K102" s="23">
        <v>218</v>
      </c>
      <c r="L102" s="21" t="s">
        <v>34</v>
      </c>
      <c r="M102" s="21"/>
      <c r="N102" s="21" t="s">
        <v>16</v>
      </c>
      <c r="O102" s="24">
        <f t="shared" si="1"/>
        <v>8.2866791077934779E-2</v>
      </c>
    </row>
    <row r="103" spans="1:15">
      <c r="A103" s="19" t="s">
        <v>132</v>
      </c>
      <c r="B103" s="19" t="s">
        <v>22</v>
      </c>
      <c r="C103" s="20">
        <v>45591</v>
      </c>
      <c r="D103" s="21" t="s">
        <v>14</v>
      </c>
      <c r="E103" s="22" t="s">
        <v>15</v>
      </c>
      <c r="F103" s="23">
        <v>3036</v>
      </c>
      <c r="G103" s="23">
        <v>293</v>
      </c>
      <c r="H103" s="23">
        <v>115</v>
      </c>
      <c r="I103" s="23">
        <v>23776</v>
      </c>
      <c r="J103" s="23">
        <v>46386</v>
      </c>
      <c r="K103" s="23">
        <v>282</v>
      </c>
      <c r="L103" s="21" t="s">
        <v>34</v>
      </c>
      <c r="M103" s="21"/>
      <c r="N103" s="21" t="s">
        <v>16</v>
      </c>
      <c r="O103" s="24">
        <f t="shared" si="1"/>
        <v>0.14485195154777927</v>
      </c>
    </row>
    <row r="104" spans="1:15">
      <c r="A104" s="19" t="s">
        <v>133</v>
      </c>
      <c r="B104" s="19" t="s">
        <v>13</v>
      </c>
      <c r="C104" s="20">
        <v>45336</v>
      </c>
      <c r="D104" s="21" t="s">
        <v>14</v>
      </c>
      <c r="E104" s="22" t="s">
        <v>361</v>
      </c>
      <c r="F104" s="23">
        <v>1830</v>
      </c>
      <c r="G104" s="23">
        <v>112</v>
      </c>
      <c r="H104" s="23">
        <v>181</v>
      </c>
      <c r="I104" s="23">
        <v>31870</v>
      </c>
      <c r="J104" s="23">
        <v>55742</v>
      </c>
      <c r="K104" s="23">
        <v>263</v>
      </c>
      <c r="L104" s="21" t="s">
        <v>37</v>
      </c>
      <c r="M104" s="21" t="s">
        <v>34</v>
      </c>
      <c r="N104" s="21" t="s">
        <v>16</v>
      </c>
      <c r="O104" s="24">
        <f t="shared" si="1"/>
        <v>6.6614370881706936E-2</v>
      </c>
    </row>
    <row r="105" spans="1:15">
      <c r="A105" s="19" t="s">
        <v>134</v>
      </c>
      <c r="B105" s="19" t="s">
        <v>22</v>
      </c>
      <c r="C105" s="20">
        <v>45413</v>
      </c>
      <c r="D105" s="21" t="s">
        <v>23</v>
      </c>
      <c r="E105" s="22" t="s">
        <v>362</v>
      </c>
      <c r="F105" s="23">
        <v>2587</v>
      </c>
      <c r="G105" s="23">
        <v>447</v>
      </c>
      <c r="H105" s="23">
        <v>183</v>
      </c>
      <c r="I105" s="23">
        <v>36266</v>
      </c>
      <c r="J105" s="23">
        <v>32877</v>
      </c>
      <c r="K105" s="23">
        <v>132</v>
      </c>
      <c r="L105" s="21" t="s">
        <v>19</v>
      </c>
      <c r="M105" s="21" t="s">
        <v>364</v>
      </c>
      <c r="N105" s="21" t="s">
        <v>16</v>
      </c>
      <c r="O105" s="24">
        <f t="shared" si="1"/>
        <v>8.8705674736667947E-2</v>
      </c>
    </row>
    <row r="106" spans="1:15">
      <c r="A106" s="19" t="s">
        <v>135</v>
      </c>
      <c r="B106" s="19" t="s">
        <v>22</v>
      </c>
      <c r="C106" s="20">
        <v>45553</v>
      </c>
      <c r="D106" s="21" t="s">
        <v>14</v>
      </c>
      <c r="E106" s="22" t="s">
        <v>15</v>
      </c>
      <c r="F106" s="23">
        <v>2878</v>
      </c>
      <c r="G106" s="23">
        <v>265</v>
      </c>
      <c r="H106" s="23">
        <v>91</v>
      </c>
      <c r="I106" s="23">
        <v>52090</v>
      </c>
      <c r="J106" s="23">
        <v>28924</v>
      </c>
      <c r="K106" s="23">
        <v>133</v>
      </c>
      <c r="L106" s="21" t="s">
        <v>34</v>
      </c>
      <c r="M106" s="21"/>
      <c r="N106" s="21" t="s">
        <v>16</v>
      </c>
      <c r="O106" s="24">
        <f t="shared" si="1"/>
        <v>6.2084853138798232E-2</v>
      </c>
    </row>
    <row r="107" spans="1:15">
      <c r="A107" s="19" t="s">
        <v>136</v>
      </c>
      <c r="B107" s="19" t="s">
        <v>22</v>
      </c>
      <c r="C107" s="20">
        <v>45677</v>
      </c>
      <c r="D107" s="21" t="s">
        <v>23</v>
      </c>
      <c r="E107" s="22" t="s">
        <v>24</v>
      </c>
      <c r="F107" s="23">
        <v>4619</v>
      </c>
      <c r="G107" s="23">
        <v>272</v>
      </c>
      <c r="H107" s="23">
        <v>57</v>
      </c>
      <c r="I107" s="23">
        <v>21334</v>
      </c>
      <c r="J107" s="23">
        <v>46292</v>
      </c>
      <c r="K107" s="23">
        <v>91</v>
      </c>
      <c r="L107" s="21" t="s">
        <v>37</v>
      </c>
      <c r="M107" s="21" t="s">
        <v>34</v>
      </c>
      <c r="N107" s="21" t="s">
        <v>16</v>
      </c>
      <c r="O107" s="24">
        <f t="shared" si="1"/>
        <v>0.23193025217961938</v>
      </c>
    </row>
    <row r="108" spans="1:15">
      <c r="A108" s="19" t="s">
        <v>137</v>
      </c>
      <c r="B108" s="19" t="s">
        <v>22</v>
      </c>
      <c r="C108" s="20">
        <v>45670</v>
      </c>
      <c r="D108" s="21" t="s">
        <v>14</v>
      </c>
      <c r="E108" s="22" t="s">
        <v>361</v>
      </c>
      <c r="F108" s="23">
        <v>4090</v>
      </c>
      <c r="G108" s="23">
        <v>209</v>
      </c>
      <c r="H108" s="23">
        <v>278</v>
      </c>
      <c r="I108" s="23">
        <v>52853</v>
      </c>
      <c r="J108" s="23">
        <v>57084</v>
      </c>
      <c r="K108" s="23">
        <v>102</v>
      </c>
      <c r="L108" s="21" t="s">
        <v>37</v>
      </c>
      <c r="M108" s="21"/>
      <c r="N108" s="21" t="s">
        <v>20</v>
      </c>
      <c r="O108" s="24">
        <f t="shared" si="1"/>
        <v>8.6598679355949518E-2</v>
      </c>
    </row>
    <row r="109" spans="1:15">
      <c r="A109" s="19" t="s">
        <v>138</v>
      </c>
      <c r="B109" s="19" t="s">
        <v>27</v>
      </c>
      <c r="C109" s="20">
        <v>45542</v>
      </c>
      <c r="D109" s="21" t="s">
        <v>48</v>
      </c>
      <c r="E109" s="22" t="s">
        <v>361</v>
      </c>
      <c r="F109" s="23">
        <v>3882</v>
      </c>
      <c r="G109" s="23">
        <v>342</v>
      </c>
      <c r="H109" s="23">
        <v>374</v>
      </c>
      <c r="I109" s="23">
        <v>41991</v>
      </c>
      <c r="J109" s="23">
        <v>48554</v>
      </c>
      <c r="K109" s="23">
        <v>118</v>
      </c>
      <c r="L109" s="21" t="s">
        <v>19</v>
      </c>
      <c r="M109" s="21" t="s">
        <v>37</v>
      </c>
      <c r="N109" s="21" t="s">
        <v>49</v>
      </c>
      <c r="O109" s="24">
        <f t="shared" si="1"/>
        <v>0.10949965468790931</v>
      </c>
    </row>
    <row r="110" spans="1:15">
      <c r="A110" s="19" t="s">
        <v>139</v>
      </c>
      <c r="B110" s="19" t="s">
        <v>13</v>
      </c>
      <c r="C110" s="20">
        <v>45617</v>
      </c>
      <c r="D110" s="21" t="s">
        <v>14</v>
      </c>
      <c r="E110" s="22" t="s">
        <v>361</v>
      </c>
      <c r="F110" s="23">
        <v>4581</v>
      </c>
      <c r="G110" s="23">
        <v>181</v>
      </c>
      <c r="H110" s="23">
        <v>112</v>
      </c>
      <c r="I110" s="23">
        <v>35221</v>
      </c>
      <c r="J110" s="23">
        <v>28797</v>
      </c>
      <c r="K110" s="23">
        <v>164</v>
      </c>
      <c r="L110" s="21" t="s">
        <v>37</v>
      </c>
      <c r="M110" s="21" t="s">
        <v>34</v>
      </c>
      <c r="N110" s="21" t="s">
        <v>16</v>
      </c>
      <c r="O110" s="24">
        <f t="shared" si="1"/>
        <v>0.13838335084182732</v>
      </c>
    </row>
    <row r="111" spans="1:15">
      <c r="A111" s="19" t="s">
        <v>140</v>
      </c>
      <c r="B111" s="19" t="s">
        <v>13</v>
      </c>
      <c r="C111" s="20">
        <v>45469</v>
      </c>
      <c r="D111" s="21" t="s">
        <v>14</v>
      </c>
      <c r="E111" s="22" t="s">
        <v>24</v>
      </c>
      <c r="F111" s="23">
        <v>3253</v>
      </c>
      <c r="G111" s="23">
        <v>483</v>
      </c>
      <c r="H111" s="23">
        <v>336</v>
      </c>
      <c r="I111" s="23">
        <v>25397</v>
      </c>
      <c r="J111" s="23">
        <v>51485</v>
      </c>
      <c r="K111" s="23">
        <v>131</v>
      </c>
      <c r="L111" s="21" t="s">
        <v>19</v>
      </c>
      <c r="M111" s="21"/>
      <c r="N111" s="21" t="s">
        <v>20</v>
      </c>
      <c r="O111" s="24">
        <f t="shared" si="1"/>
        <v>0.16033389770445328</v>
      </c>
    </row>
    <row r="112" spans="1:15">
      <c r="A112" s="19" t="s">
        <v>141</v>
      </c>
      <c r="B112" s="19" t="s">
        <v>27</v>
      </c>
      <c r="C112" s="20">
        <v>45493</v>
      </c>
      <c r="D112" s="21" t="s">
        <v>48</v>
      </c>
      <c r="E112" s="22" t="s">
        <v>361</v>
      </c>
      <c r="F112" s="23">
        <v>4955</v>
      </c>
      <c r="G112" s="23">
        <v>299</v>
      </c>
      <c r="H112" s="23">
        <v>345</v>
      </c>
      <c r="I112" s="23">
        <v>33644</v>
      </c>
      <c r="J112" s="23">
        <v>43547</v>
      </c>
      <c r="K112" s="23">
        <v>194</v>
      </c>
      <c r="L112" s="21" t="s">
        <v>19</v>
      </c>
      <c r="M112" s="21" t="s">
        <v>37</v>
      </c>
      <c r="N112" s="21" t="s">
        <v>49</v>
      </c>
      <c r="O112" s="24">
        <f t="shared" si="1"/>
        <v>0.16641897515158721</v>
      </c>
    </row>
    <row r="113" spans="1:15">
      <c r="A113" s="19" t="s">
        <v>142</v>
      </c>
      <c r="B113" s="19" t="s">
        <v>13</v>
      </c>
      <c r="C113" s="20">
        <v>45704</v>
      </c>
      <c r="D113" s="21" t="s">
        <v>14</v>
      </c>
      <c r="E113" s="22" t="s">
        <v>42</v>
      </c>
      <c r="F113" s="23">
        <v>1333</v>
      </c>
      <c r="G113" s="23">
        <v>286</v>
      </c>
      <c r="H113" s="23">
        <v>298</v>
      </c>
      <c r="I113" s="23">
        <v>36174</v>
      </c>
      <c r="J113" s="23">
        <v>34517</v>
      </c>
      <c r="K113" s="23">
        <v>170</v>
      </c>
      <c r="L113" s="21" t="s">
        <v>37</v>
      </c>
      <c r="M113" s="21" t="s">
        <v>34</v>
      </c>
      <c r="N113" s="21" t="s">
        <v>16</v>
      </c>
      <c r="O113" s="24">
        <f t="shared" si="1"/>
        <v>5.2993862995521647E-2</v>
      </c>
    </row>
    <row r="114" spans="1:15">
      <c r="A114" s="19" t="s">
        <v>143</v>
      </c>
      <c r="B114" s="19" t="s">
        <v>13</v>
      </c>
      <c r="C114" s="20">
        <v>45544</v>
      </c>
      <c r="D114" s="21" t="s">
        <v>14</v>
      </c>
      <c r="E114" s="22" t="s">
        <v>24</v>
      </c>
      <c r="F114" s="23">
        <v>1616</v>
      </c>
      <c r="G114" s="23">
        <v>360</v>
      </c>
      <c r="H114" s="23">
        <v>180</v>
      </c>
      <c r="I114" s="23">
        <v>54342</v>
      </c>
      <c r="J114" s="23">
        <v>18796</v>
      </c>
      <c r="K114" s="23">
        <v>282</v>
      </c>
      <c r="L114" s="21" t="s">
        <v>37</v>
      </c>
      <c r="M114" s="21" t="s">
        <v>34</v>
      </c>
      <c r="N114" s="21" t="s">
        <v>16</v>
      </c>
      <c r="O114" s="24">
        <f t="shared" si="1"/>
        <v>3.9674653122814763E-2</v>
      </c>
    </row>
    <row r="115" spans="1:15">
      <c r="A115" s="19" t="s">
        <v>144</v>
      </c>
      <c r="B115" s="19" t="s">
        <v>22</v>
      </c>
      <c r="C115" s="20">
        <v>45489</v>
      </c>
      <c r="D115" s="21" t="s">
        <v>14</v>
      </c>
      <c r="E115" s="22" t="s">
        <v>33</v>
      </c>
      <c r="F115" s="23">
        <v>1803</v>
      </c>
      <c r="G115" s="23">
        <v>273</v>
      </c>
      <c r="H115" s="23">
        <v>287</v>
      </c>
      <c r="I115" s="23">
        <v>46176</v>
      </c>
      <c r="J115" s="23">
        <v>25488</v>
      </c>
      <c r="K115" s="23">
        <v>141</v>
      </c>
      <c r="L115" s="21" t="s">
        <v>34</v>
      </c>
      <c r="M115" s="21"/>
      <c r="N115" s="21" t="s">
        <v>16</v>
      </c>
      <c r="O115" s="24">
        <f t="shared" si="1"/>
        <v>5.1173769923769923E-2</v>
      </c>
    </row>
    <row r="116" spans="1:15">
      <c r="A116" s="19" t="s">
        <v>145</v>
      </c>
      <c r="B116" s="19" t="s">
        <v>13</v>
      </c>
      <c r="C116" s="20">
        <v>45762</v>
      </c>
      <c r="D116" s="21" t="s">
        <v>14</v>
      </c>
      <c r="E116" s="22" t="s">
        <v>18</v>
      </c>
      <c r="F116" s="23">
        <v>4177</v>
      </c>
      <c r="G116" s="23">
        <v>489</v>
      </c>
      <c r="H116" s="23">
        <v>331</v>
      </c>
      <c r="I116" s="23">
        <v>57451</v>
      </c>
      <c r="J116" s="23">
        <v>73793</v>
      </c>
      <c r="K116" s="23">
        <v>251</v>
      </c>
      <c r="L116" s="21" t="s">
        <v>19</v>
      </c>
      <c r="M116" s="21"/>
      <c r="N116" s="21" t="s">
        <v>20</v>
      </c>
      <c r="O116" s="24">
        <f t="shared" si="1"/>
        <v>8.6978468608031198E-2</v>
      </c>
    </row>
    <row r="117" spans="1:15">
      <c r="A117" s="19" t="s">
        <v>146</v>
      </c>
      <c r="B117" s="19" t="s">
        <v>13</v>
      </c>
      <c r="C117" s="20">
        <v>45781</v>
      </c>
      <c r="D117" s="21" t="s">
        <v>23</v>
      </c>
      <c r="E117" s="22" t="s">
        <v>24</v>
      </c>
      <c r="F117" s="23">
        <v>1311</v>
      </c>
      <c r="G117" s="23">
        <v>181</v>
      </c>
      <c r="H117" s="23">
        <v>361</v>
      </c>
      <c r="I117" s="23">
        <v>37148</v>
      </c>
      <c r="J117" s="23">
        <v>44875</v>
      </c>
      <c r="K117" s="23">
        <v>245</v>
      </c>
      <c r="L117" s="21" t="s">
        <v>34</v>
      </c>
      <c r="M117" s="21"/>
      <c r="N117" s="21" t="s">
        <v>46</v>
      </c>
      <c r="O117" s="24">
        <f t="shared" si="1"/>
        <v>4.9881554861634543E-2</v>
      </c>
    </row>
    <row r="118" spans="1:15">
      <c r="A118" s="19" t="s">
        <v>147</v>
      </c>
      <c r="B118" s="19" t="s">
        <v>13</v>
      </c>
      <c r="C118" s="20">
        <v>45340</v>
      </c>
      <c r="D118" s="21" t="s">
        <v>23</v>
      </c>
      <c r="E118" s="22" t="s">
        <v>363</v>
      </c>
      <c r="F118" s="23">
        <v>1516</v>
      </c>
      <c r="G118" s="23">
        <v>215</v>
      </c>
      <c r="H118" s="23">
        <v>332</v>
      </c>
      <c r="I118" s="23">
        <v>58981</v>
      </c>
      <c r="J118" s="23">
        <v>36118</v>
      </c>
      <c r="K118" s="23">
        <v>211</v>
      </c>
      <c r="L118" s="21" t="s">
        <v>34</v>
      </c>
      <c r="M118" s="21"/>
      <c r="N118" s="21" t="s">
        <v>46</v>
      </c>
      <c r="O118" s="24">
        <f t="shared" si="1"/>
        <v>3.4977365592309385E-2</v>
      </c>
    </row>
    <row r="119" spans="1:15">
      <c r="A119" s="19" t="s">
        <v>148</v>
      </c>
      <c r="B119" s="19" t="s">
        <v>22</v>
      </c>
      <c r="C119" s="20">
        <v>45428</v>
      </c>
      <c r="D119" s="21" t="s">
        <v>23</v>
      </c>
      <c r="E119" s="22" t="s">
        <v>361</v>
      </c>
      <c r="F119" s="23">
        <v>2023</v>
      </c>
      <c r="G119" s="23">
        <v>124</v>
      </c>
      <c r="H119" s="23">
        <v>99</v>
      </c>
      <c r="I119" s="23">
        <v>54524</v>
      </c>
      <c r="J119" s="23">
        <v>34790</v>
      </c>
      <c r="K119" s="23">
        <v>195</v>
      </c>
      <c r="L119" s="21" t="s">
        <v>19</v>
      </c>
      <c r="M119" s="21" t="s">
        <v>364</v>
      </c>
      <c r="N119" s="21" t="s">
        <v>16</v>
      </c>
      <c r="O119" s="24">
        <f t="shared" si="1"/>
        <v>4.1192869195216787E-2</v>
      </c>
    </row>
    <row r="120" spans="1:15">
      <c r="A120" s="19" t="s">
        <v>149</v>
      </c>
      <c r="B120" s="19" t="s">
        <v>22</v>
      </c>
      <c r="C120" s="20">
        <v>45806</v>
      </c>
      <c r="D120" s="21" t="s">
        <v>23</v>
      </c>
      <c r="E120" s="22" t="s">
        <v>361</v>
      </c>
      <c r="F120" s="23">
        <v>2134</v>
      </c>
      <c r="G120" s="23">
        <v>322</v>
      </c>
      <c r="H120" s="23">
        <v>114</v>
      </c>
      <c r="I120" s="23">
        <v>44338</v>
      </c>
      <c r="J120" s="23">
        <v>52165</v>
      </c>
      <c r="K120" s="23">
        <v>176</v>
      </c>
      <c r="L120" s="21" t="s">
        <v>364</v>
      </c>
      <c r="M120" s="21" t="s">
        <v>34</v>
      </c>
      <c r="N120" s="21" t="s">
        <v>16</v>
      </c>
      <c r="O120" s="24">
        <f t="shared" si="1"/>
        <v>5.7963823356939871E-2</v>
      </c>
    </row>
    <row r="121" spans="1:15">
      <c r="A121" s="19" t="s">
        <v>150</v>
      </c>
      <c r="B121" s="19" t="s">
        <v>13</v>
      </c>
      <c r="C121" s="20">
        <v>45674</v>
      </c>
      <c r="D121" s="21" t="s">
        <v>14</v>
      </c>
      <c r="E121" s="22" t="s">
        <v>33</v>
      </c>
      <c r="F121" s="23">
        <v>2266</v>
      </c>
      <c r="G121" s="23">
        <v>126</v>
      </c>
      <c r="H121" s="23">
        <v>140</v>
      </c>
      <c r="I121" s="23">
        <v>53759</v>
      </c>
      <c r="J121" s="23">
        <v>46834</v>
      </c>
      <c r="K121" s="23">
        <v>277</v>
      </c>
      <c r="L121" s="21" t="s">
        <v>19</v>
      </c>
      <c r="M121" s="21"/>
      <c r="N121" s="21" t="s">
        <v>20</v>
      </c>
      <c r="O121" s="24">
        <f t="shared" si="1"/>
        <v>4.7099090384865788E-2</v>
      </c>
    </row>
    <row r="122" spans="1:15">
      <c r="A122" s="19" t="s">
        <v>151</v>
      </c>
      <c r="B122" s="19" t="s">
        <v>13</v>
      </c>
      <c r="C122" s="20">
        <v>45777</v>
      </c>
      <c r="D122" s="21" t="s">
        <v>23</v>
      </c>
      <c r="E122" s="22" t="s">
        <v>24</v>
      </c>
      <c r="F122" s="23">
        <v>3916</v>
      </c>
      <c r="G122" s="23">
        <v>459</v>
      </c>
      <c r="H122" s="23">
        <v>229</v>
      </c>
      <c r="I122" s="23">
        <v>48989</v>
      </c>
      <c r="J122" s="23">
        <v>39768</v>
      </c>
      <c r="K122" s="23">
        <v>200</v>
      </c>
      <c r="L122" s="21" t="s">
        <v>34</v>
      </c>
      <c r="M122" s="21"/>
      <c r="N122" s="21" t="s">
        <v>46</v>
      </c>
      <c r="O122" s="24">
        <f t="shared" si="1"/>
        <v>9.3980281287635997E-2</v>
      </c>
    </row>
    <row r="123" spans="1:15">
      <c r="A123" s="19" t="s">
        <v>152</v>
      </c>
      <c r="B123" s="19" t="s">
        <v>22</v>
      </c>
      <c r="C123" s="20">
        <v>45346</v>
      </c>
      <c r="D123" s="21" t="s">
        <v>23</v>
      </c>
      <c r="E123" s="22" t="s">
        <v>361</v>
      </c>
      <c r="F123" s="23">
        <v>1022</v>
      </c>
      <c r="G123" s="23">
        <v>463</v>
      </c>
      <c r="H123" s="23">
        <v>360</v>
      </c>
      <c r="I123" s="23">
        <v>51468</v>
      </c>
      <c r="J123" s="23">
        <v>24279</v>
      </c>
      <c r="K123" s="23">
        <v>230</v>
      </c>
      <c r="L123" s="21" t="s">
        <v>19</v>
      </c>
      <c r="M123" s="21" t="s">
        <v>364</v>
      </c>
      <c r="N123" s="21" t="s">
        <v>16</v>
      </c>
      <c r="O123" s="24">
        <f t="shared" si="1"/>
        <v>3.5847516903707161E-2</v>
      </c>
    </row>
    <row r="124" spans="1:15">
      <c r="A124" s="19" t="s">
        <v>153</v>
      </c>
      <c r="B124" s="19" t="s">
        <v>27</v>
      </c>
      <c r="C124" s="20">
        <v>45424</v>
      </c>
      <c r="D124" s="21" t="s">
        <v>14</v>
      </c>
      <c r="E124" s="22" t="s">
        <v>363</v>
      </c>
      <c r="F124" s="23">
        <v>2911</v>
      </c>
      <c r="G124" s="23">
        <v>467</v>
      </c>
      <c r="H124" s="23">
        <v>94</v>
      </c>
      <c r="I124" s="23">
        <v>59083</v>
      </c>
      <c r="J124" s="23">
        <v>49762</v>
      </c>
      <c r="K124" s="23">
        <v>236</v>
      </c>
      <c r="L124" s="21" t="s">
        <v>19</v>
      </c>
      <c r="M124" s="21" t="s">
        <v>365</v>
      </c>
      <c r="N124" s="21" t="s">
        <v>20</v>
      </c>
      <c r="O124" s="24">
        <f t="shared" si="1"/>
        <v>5.8764788517847777E-2</v>
      </c>
    </row>
    <row r="125" spans="1:15">
      <c r="A125" s="19" t="s">
        <v>154</v>
      </c>
      <c r="B125" s="19" t="s">
        <v>22</v>
      </c>
      <c r="C125" s="20">
        <v>45421</v>
      </c>
      <c r="D125" s="21" t="s">
        <v>23</v>
      </c>
      <c r="E125" s="22" t="s">
        <v>24</v>
      </c>
      <c r="F125" s="23">
        <v>3277</v>
      </c>
      <c r="G125" s="23">
        <v>423</v>
      </c>
      <c r="H125" s="23">
        <v>259</v>
      </c>
      <c r="I125" s="23">
        <v>46328</v>
      </c>
      <c r="J125" s="23">
        <v>44293</v>
      </c>
      <c r="K125" s="23">
        <v>299</v>
      </c>
      <c r="L125" s="21" t="s">
        <v>37</v>
      </c>
      <c r="M125" s="21" t="s">
        <v>34</v>
      </c>
      <c r="N125" s="21" t="s">
        <v>16</v>
      </c>
      <c r="O125" s="24">
        <f t="shared" si="1"/>
        <v>8.5455879813503707E-2</v>
      </c>
    </row>
    <row r="126" spans="1:15">
      <c r="A126" s="19" t="s">
        <v>155</v>
      </c>
      <c r="B126" s="19" t="s">
        <v>22</v>
      </c>
      <c r="C126" s="20">
        <v>45602</v>
      </c>
      <c r="D126" s="21" t="s">
        <v>14</v>
      </c>
      <c r="E126" s="22" t="s">
        <v>363</v>
      </c>
      <c r="F126" s="23">
        <v>2956</v>
      </c>
      <c r="G126" s="23">
        <v>381</v>
      </c>
      <c r="H126" s="23">
        <v>345</v>
      </c>
      <c r="I126" s="23">
        <v>33347</v>
      </c>
      <c r="J126" s="23">
        <v>22558</v>
      </c>
      <c r="K126" s="23">
        <v>173</v>
      </c>
      <c r="L126" s="21" t="s">
        <v>34</v>
      </c>
      <c r="M126" s="21"/>
      <c r="N126" s="21" t="s">
        <v>16</v>
      </c>
      <c r="O126" s="24">
        <f t="shared" si="1"/>
        <v>0.11041472996071611</v>
      </c>
    </row>
    <row r="127" spans="1:15">
      <c r="A127" s="19" t="s">
        <v>156</v>
      </c>
      <c r="B127" s="19" t="s">
        <v>22</v>
      </c>
      <c r="C127" s="20">
        <v>45295</v>
      </c>
      <c r="D127" s="21" t="s">
        <v>23</v>
      </c>
      <c r="E127" s="22" t="s">
        <v>362</v>
      </c>
      <c r="F127" s="23">
        <v>3208</v>
      </c>
      <c r="G127" s="23">
        <v>476</v>
      </c>
      <c r="H127" s="23">
        <v>277</v>
      </c>
      <c r="I127" s="23">
        <v>56072</v>
      </c>
      <c r="J127" s="23">
        <v>21061</v>
      </c>
      <c r="K127" s="23">
        <v>113</v>
      </c>
      <c r="L127" s="21" t="s">
        <v>364</v>
      </c>
      <c r="M127" s="21" t="s">
        <v>34</v>
      </c>
      <c r="N127" s="21" t="s">
        <v>16</v>
      </c>
      <c r="O127" s="24">
        <f t="shared" si="1"/>
        <v>7.064131830503638E-2</v>
      </c>
    </row>
    <row r="128" spans="1:15">
      <c r="A128" s="19" t="s">
        <v>157</v>
      </c>
      <c r="B128" s="19" t="s">
        <v>22</v>
      </c>
      <c r="C128" s="20">
        <v>45319</v>
      </c>
      <c r="D128" s="21" t="s">
        <v>14</v>
      </c>
      <c r="E128" s="22" t="s">
        <v>361</v>
      </c>
      <c r="F128" s="23">
        <v>1456</v>
      </c>
      <c r="G128" s="23">
        <v>265</v>
      </c>
      <c r="H128" s="23">
        <v>137</v>
      </c>
      <c r="I128" s="23">
        <v>53485</v>
      </c>
      <c r="J128" s="23">
        <v>59729</v>
      </c>
      <c r="K128" s="23">
        <v>145</v>
      </c>
      <c r="L128" s="21" t="s">
        <v>37</v>
      </c>
      <c r="M128" s="21"/>
      <c r="N128" s="21" t="s">
        <v>20</v>
      </c>
      <c r="O128" s="24">
        <f t="shared" si="1"/>
        <v>3.4738711788351875E-2</v>
      </c>
    </row>
    <row r="129" spans="1:15">
      <c r="A129" s="19" t="s">
        <v>158</v>
      </c>
      <c r="B129" s="19" t="s">
        <v>13</v>
      </c>
      <c r="C129" s="20">
        <v>45344</v>
      </c>
      <c r="D129" s="21" t="s">
        <v>14</v>
      </c>
      <c r="E129" s="22" t="s">
        <v>24</v>
      </c>
      <c r="F129" s="23">
        <v>1902</v>
      </c>
      <c r="G129" s="23">
        <v>394</v>
      </c>
      <c r="H129" s="23">
        <v>279</v>
      </c>
      <c r="I129" s="23">
        <v>24615</v>
      </c>
      <c r="J129" s="23">
        <v>51330</v>
      </c>
      <c r="K129" s="23">
        <v>176</v>
      </c>
      <c r="L129" s="21" t="s">
        <v>37</v>
      </c>
      <c r="M129" s="21" t="s">
        <v>34</v>
      </c>
      <c r="N129" s="21" t="s">
        <v>16</v>
      </c>
      <c r="O129" s="24">
        <f t="shared" si="1"/>
        <v>0.10461100954702417</v>
      </c>
    </row>
    <row r="130" spans="1:15">
      <c r="A130" s="19" t="s">
        <v>159</v>
      </c>
      <c r="B130" s="19" t="s">
        <v>22</v>
      </c>
      <c r="C130" s="20">
        <v>45839</v>
      </c>
      <c r="D130" s="21" t="s">
        <v>23</v>
      </c>
      <c r="E130" s="22" t="s">
        <v>18</v>
      </c>
      <c r="F130" s="23">
        <v>3219</v>
      </c>
      <c r="G130" s="23">
        <v>424</v>
      </c>
      <c r="H130" s="23">
        <v>267</v>
      </c>
      <c r="I130" s="23">
        <v>48879</v>
      </c>
      <c r="J130" s="23">
        <v>37691</v>
      </c>
      <c r="K130" s="23">
        <v>224</v>
      </c>
      <c r="L130" s="21" t="s">
        <v>19</v>
      </c>
      <c r="M130" s="21" t="s">
        <v>364</v>
      </c>
      <c r="N130" s="21" t="s">
        <v>16</v>
      </c>
      <c r="O130" s="24">
        <f t="shared" ref="O130:O193" si="2" xml:space="preserve"> (F130+ G130 + H130) / I130</f>
        <v>7.9993453221219743E-2</v>
      </c>
    </row>
    <row r="131" spans="1:15">
      <c r="A131" s="19" t="s">
        <v>160</v>
      </c>
      <c r="B131" s="19" t="s">
        <v>27</v>
      </c>
      <c r="C131" s="20">
        <v>45301</v>
      </c>
      <c r="D131" s="21" t="s">
        <v>14</v>
      </c>
      <c r="E131" s="22" t="s">
        <v>18</v>
      </c>
      <c r="F131" s="23">
        <v>1261</v>
      </c>
      <c r="G131" s="23">
        <v>190</v>
      </c>
      <c r="H131" s="23">
        <v>233</v>
      </c>
      <c r="I131" s="23">
        <v>59888</v>
      </c>
      <c r="J131" s="23">
        <v>51449</v>
      </c>
      <c r="K131" s="23">
        <v>205</v>
      </c>
      <c r="L131" s="21" t="s">
        <v>19</v>
      </c>
      <c r="M131" s="21" t="s">
        <v>365</v>
      </c>
      <c r="N131" s="21" t="s">
        <v>20</v>
      </c>
      <c r="O131" s="24">
        <f t="shared" si="2"/>
        <v>2.811915575741384E-2</v>
      </c>
    </row>
    <row r="132" spans="1:15">
      <c r="A132" s="19" t="s">
        <v>161</v>
      </c>
      <c r="B132" s="19" t="s">
        <v>22</v>
      </c>
      <c r="C132" s="20">
        <v>45736</v>
      </c>
      <c r="D132" s="21" t="s">
        <v>14</v>
      </c>
      <c r="E132" s="22" t="s">
        <v>42</v>
      </c>
      <c r="F132" s="23">
        <v>1564</v>
      </c>
      <c r="G132" s="23">
        <v>362</v>
      </c>
      <c r="H132" s="23">
        <v>371</v>
      </c>
      <c r="I132" s="23">
        <v>42075</v>
      </c>
      <c r="J132" s="23">
        <v>66659</v>
      </c>
      <c r="K132" s="23">
        <v>205</v>
      </c>
      <c r="L132" s="21" t="s">
        <v>37</v>
      </c>
      <c r="M132" s="21"/>
      <c r="N132" s="21" t="s">
        <v>20</v>
      </c>
      <c r="O132" s="24">
        <f t="shared" si="2"/>
        <v>5.4592988710635768E-2</v>
      </c>
    </row>
    <row r="133" spans="1:15">
      <c r="A133" s="19" t="s">
        <v>162</v>
      </c>
      <c r="B133" s="19" t="s">
        <v>22</v>
      </c>
      <c r="C133" s="20">
        <v>45563</v>
      </c>
      <c r="D133" s="21" t="s">
        <v>14</v>
      </c>
      <c r="E133" s="22" t="s">
        <v>362</v>
      </c>
      <c r="F133" s="23">
        <v>4006</v>
      </c>
      <c r="G133" s="23">
        <v>420</v>
      </c>
      <c r="H133" s="23">
        <v>194</v>
      </c>
      <c r="I133" s="23">
        <v>49964</v>
      </c>
      <c r="J133" s="23">
        <v>20685</v>
      </c>
      <c r="K133" s="23">
        <v>148</v>
      </c>
      <c r="L133" s="21" t="s">
        <v>34</v>
      </c>
      <c r="M133" s="21"/>
      <c r="N133" s="21" t="s">
        <v>16</v>
      </c>
      <c r="O133" s="24">
        <f t="shared" si="2"/>
        <v>9.2466575934672959E-2</v>
      </c>
    </row>
    <row r="134" spans="1:15">
      <c r="A134" s="19" t="s">
        <v>163</v>
      </c>
      <c r="B134" s="19" t="s">
        <v>27</v>
      </c>
      <c r="C134" s="20">
        <v>45318</v>
      </c>
      <c r="D134" s="21" t="s">
        <v>14</v>
      </c>
      <c r="E134" s="22" t="s">
        <v>42</v>
      </c>
      <c r="F134" s="23">
        <v>1976</v>
      </c>
      <c r="G134" s="23">
        <v>262</v>
      </c>
      <c r="H134" s="23">
        <v>218</v>
      </c>
      <c r="I134" s="23">
        <v>51696</v>
      </c>
      <c r="J134" s="23">
        <v>44846</v>
      </c>
      <c r="K134" s="23">
        <v>139</v>
      </c>
      <c r="L134" s="21" t="s">
        <v>19</v>
      </c>
      <c r="M134" s="21" t="s">
        <v>365</v>
      </c>
      <c r="N134" s="21" t="s">
        <v>20</v>
      </c>
      <c r="O134" s="24">
        <f t="shared" si="2"/>
        <v>4.7508511296812134E-2</v>
      </c>
    </row>
    <row r="135" spans="1:15">
      <c r="A135" s="19" t="s">
        <v>164</v>
      </c>
      <c r="B135" s="19" t="s">
        <v>22</v>
      </c>
      <c r="C135" s="20">
        <v>45792</v>
      </c>
      <c r="D135" s="21" t="s">
        <v>14</v>
      </c>
      <c r="E135" s="22" t="s">
        <v>24</v>
      </c>
      <c r="F135" s="23">
        <v>1583</v>
      </c>
      <c r="G135" s="23">
        <v>433</v>
      </c>
      <c r="H135" s="23">
        <v>249</v>
      </c>
      <c r="I135" s="23">
        <v>30256</v>
      </c>
      <c r="J135" s="23">
        <v>47066</v>
      </c>
      <c r="K135" s="23">
        <v>196</v>
      </c>
      <c r="L135" s="21" t="s">
        <v>34</v>
      </c>
      <c r="M135" s="21"/>
      <c r="N135" s="21" t="s">
        <v>16</v>
      </c>
      <c r="O135" s="24">
        <f t="shared" si="2"/>
        <v>7.4861184558434685E-2</v>
      </c>
    </row>
    <row r="136" spans="1:15">
      <c r="A136" s="19" t="s">
        <v>165</v>
      </c>
      <c r="B136" s="19" t="s">
        <v>22</v>
      </c>
      <c r="C136" s="20">
        <v>45569</v>
      </c>
      <c r="D136" s="21" t="s">
        <v>23</v>
      </c>
      <c r="E136" s="22" t="s">
        <v>18</v>
      </c>
      <c r="F136" s="23">
        <v>2870</v>
      </c>
      <c r="G136" s="23">
        <v>380</v>
      </c>
      <c r="H136" s="23">
        <v>393</v>
      </c>
      <c r="I136" s="23">
        <v>37621</v>
      </c>
      <c r="J136" s="23">
        <v>71794</v>
      </c>
      <c r="K136" s="23">
        <v>127</v>
      </c>
      <c r="L136" s="21" t="s">
        <v>364</v>
      </c>
      <c r="M136" s="21" t="s">
        <v>34</v>
      </c>
      <c r="N136" s="21" t="s">
        <v>16</v>
      </c>
      <c r="O136" s="24">
        <f t="shared" si="2"/>
        <v>9.6834214933149046E-2</v>
      </c>
    </row>
    <row r="137" spans="1:15">
      <c r="A137" s="19" t="s">
        <v>166</v>
      </c>
      <c r="B137" s="19" t="s">
        <v>22</v>
      </c>
      <c r="C137" s="20">
        <v>45615</v>
      </c>
      <c r="D137" s="21" t="s">
        <v>14</v>
      </c>
      <c r="E137" s="22" t="s">
        <v>33</v>
      </c>
      <c r="F137" s="23">
        <v>3728</v>
      </c>
      <c r="G137" s="23">
        <v>271</v>
      </c>
      <c r="H137" s="23">
        <v>275</v>
      </c>
      <c r="I137" s="23">
        <v>22827</v>
      </c>
      <c r="J137" s="23">
        <v>37034</v>
      </c>
      <c r="K137" s="23">
        <v>199</v>
      </c>
      <c r="L137" s="21" t="s">
        <v>34</v>
      </c>
      <c r="M137" s="21"/>
      <c r="N137" s="21" t="s">
        <v>16</v>
      </c>
      <c r="O137" s="24">
        <f t="shared" si="2"/>
        <v>0.18723441538528934</v>
      </c>
    </row>
    <row r="138" spans="1:15">
      <c r="A138" s="19" t="s">
        <v>167</v>
      </c>
      <c r="B138" s="19" t="s">
        <v>22</v>
      </c>
      <c r="C138" s="20">
        <v>45387</v>
      </c>
      <c r="D138" s="21" t="s">
        <v>23</v>
      </c>
      <c r="E138" s="22" t="s">
        <v>24</v>
      </c>
      <c r="F138" s="23">
        <v>4965</v>
      </c>
      <c r="G138" s="23">
        <v>175</v>
      </c>
      <c r="H138" s="23">
        <v>307</v>
      </c>
      <c r="I138" s="23">
        <v>32793</v>
      </c>
      <c r="J138" s="23">
        <v>43412</v>
      </c>
      <c r="K138" s="23">
        <v>296</v>
      </c>
      <c r="L138" s="21" t="s">
        <v>37</v>
      </c>
      <c r="M138" s="21" t="s">
        <v>34</v>
      </c>
      <c r="N138" s="21" t="s">
        <v>16</v>
      </c>
      <c r="O138" s="24">
        <f t="shared" si="2"/>
        <v>0.16610252187966945</v>
      </c>
    </row>
    <row r="139" spans="1:15">
      <c r="A139" s="19" t="s">
        <v>168</v>
      </c>
      <c r="B139" s="19" t="s">
        <v>22</v>
      </c>
      <c r="C139" s="20">
        <v>45624</v>
      </c>
      <c r="D139" s="21" t="s">
        <v>23</v>
      </c>
      <c r="E139" s="22" t="s">
        <v>24</v>
      </c>
      <c r="F139" s="23">
        <v>1131</v>
      </c>
      <c r="G139" s="23">
        <v>100</v>
      </c>
      <c r="H139" s="23">
        <v>116</v>
      </c>
      <c r="I139" s="23">
        <v>48437</v>
      </c>
      <c r="J139" s="23">
        <v>72704</v>
      </c>
      <c r="K139" s="23">
        <v>236</v>
      </c>
      <c r="L139" s="21" t="s">
        <v>19</v>
      </c>
      <c r="M139" s="21" t="s">
        <v>364</v>
      </c>
      <c r="N139" s="21" t="s">
        <v>16</v>
      </c>
      <c r="O139" s="24">
        <f t="shared" si="2"/>
        <v>2.7809319322005904E-2</v>
      </c>
    </row>
    <row r="140" spans="1:15">
      <c r="A140" s="19" t="s">
        <v>169</v>
      </c>
      <c r="B140" s="19" t="s">
        <v>22</v>
      </c>
      <c r="C140" s="20">
        <v>45725</v>
      </c>
      <c r="D140" s="21" t="s">
        <v>14</v>
      </c>
      <c r="E140" s="22" t="s">
        <v>42</v>
      </c>
      <c r="F140" s="23">
        <v>2754</v>
      </c>
      <c r="G140" s="23">
        <v>215</v>
      </c>
      <c r="H140" s="23">
        <v>264</v>
      </c>
      <c r="I140" s="23">
        <v>27762</v>
      </c>
      <c r="J140" s="23">
        <v>70203</v>
      </c>
      <c r="K140" s="23">
        <v>289</v>
      </c>
      <c r="L140" s="21" t="s">
        <v>34</v>
      </c>
      <c r="M140" s="21"/>
      <c r="N140" s="21" t="s">
        <v>16</v>
      </c>
      <c r="O140" s="24">
        <f t="shared" si="2"/>
        <v>0.11645414595490239</v>
      </c>
    </row>
    <row r="141" spans="1:15">
      <c r="A141" s="19" t="s">
        <v>170</v>
      </c>
      <c r="B141" s="19" t="s">
        <v>22</v>
      </c>
      <c r="C141" s="20">
        <v>45531</v>
      </c>
      <c r="D141" s="21" t="s">
        <v>23</v>
      </c>
      <c r="E141" s="22" t="s">
        <v>24</v>
      </c>
      <c r="F141" s="23">
        <v>1856</v>
      </c>
      <c r="G141" s="23">
        <v>357</v>
      </c>
      <c r="H141" s="23">
        <v>348</v>
      </c>
      <c r="I141" s="23">
        <v>29428</v>
      </c>
      <c r="J141" s="23">
        <v>70206</v>
      </c>
      <c r="K141" s="23">
        <v>236</v>
      </c>
      <c r="L141" s="21" t="s">
        <v>364</v>
      </c>
      <c r="M141" s="21" t="s">
        <v>34</v>
      </c>
      <c r="N141" s="21" t="s">
        <v>16</v>
      </c>
      <c r="O141" s="24">
        <f t="shared" si="2"/>
        <v>8.702596166915863E-2</v>
      </c>
    </row>
    <row r="142" spans="1:15">
      <c r="A142" s="19" t="s">
        <v>171</v>
      </c>
      <c r="B142" s="19" t="s">
        <v>27</v>
      </c>
      <c r="C142" s="20">
        <v>45566</v>
      </c>
      <c r="D142" s="21" t="s">
        <v>48</v>
      </c>
      <c r="E142" s="22" t="s">
        <v>18</v>
      </c>
      <c r="F142" s="23">
        <v>3543</v>
      </c>
      <c r="G142" s="23">
        <v>334</v>
      </c>
      <c r="H142" s="23">
        <v>218</v>
      </c>
      <c r="I142" s="23">
        <v>58007</v>
      </c>
      <c r="J142" s="23">
        <v>24792</v>
      </c>
      <c r="K142" s="23">
        <v>273</v>
      </c>
      <c r="L142" s="21" t="s">
        <v>19</v>
      </c>
      <c r="M142" s="21" t="s">
        <v>37</v>
      </c>
      <c r="N142" s="21" t="s">
        <v>49</v>
      </c>
      <c r="O142" s="24">
        <f t="shared" si="2"/>
        <v>7.0594928198320889E-2</v>
      </c>
    </row>
    <row r="143" spans="1:15">
      <c r="A143" s="19" t="s">
        <v>172</v>
      </c>
      <c r="B143" s="19" t="s">
        <v>13</v>
      </c>
      <c r="C143" s="20">
        <v>45647</v>
      </c>
      <c r="D143" s="21" t="s">
        <v>23</v>
      </c>
      <c r="E143" s="22" t="s">
        <v>24</v>
      </c>
      <c r="F143" s="23">
        <v>4563</v>
      </c>
      <c r="G143" s="23">
        <v>398</v>
      </c>
      <c r="H143" s="23">
        <v>163</v>
      </c>
      <c r="I143" s="23">
        <v>43679</v>
      </c>
      <c r="J143" s="23">
        <v>48760</v>
      </c>
      <c r="K143" s="23">
        <v>92</v>
      </c>
      <c r="L143" s="21" t="s">
        <v>34</v>
      </c>
      <c r="M143" s="21"/>
      <c r="N143" s="21" t="s">
        <v>46</v>
      </c>
      <c r="O143" s="24">
        <f t="shared" si="2"/>
        <v>0.11731037798484398</v>
      </c>
    </row>
    <row r="144" spans="1:15">
      <c r="A144" s="19" t="s">
        <v>173</v>
      </c>
      <c r="B144" s="19" t="s">
        <v>13</v>
      </c>
      <c r="C144" s="20">
        <v>45460</v>
      </c>
      <c r="D144" s="21" t="s">
        <v>14</v>
      </c>
      <c r="E144" s="22" t="s">
        <v>15</v>
      </c>
      <c r="F144" s="23">
        <v>4283</v>
      </c>
      <c r="G144" s="23">
        <v>471</v>
      </c>
      <c r="H144" s="23">
        <v>156</v>
      </c>
      <c r="I144" s="23">
        <v>53004</v>
      </c>
      <c r="J144" s="23">
        <v>25678</v>
      </c>
      <c r="K144" s="23">
        <v>105</v>
      </c>
      <c r="L144" s="21" t="s">
        <v>19</v>
      </c>
      <c r="M144" s="21"/>
      <c r="N144" s="21" t="s">
        <v>20</v>
      </c>
      <c r="O144" s="24">
        <f t="shared" si="2"/>
        <v>9.2634518149573616E-2</v>
      </c>
    </row>
    <row r="145" spans="1:15">
      <c r="A145" s="19" t="s">
        <v>174</v>
      </c>
      <c r="B145" s="19" t="s">
        <v>13</v>
      </c>
      <c r="C145" s="20">
        <v>45702</v>
      </c>
      <c r="D145" s="21" t="s">
        <v>14</v>
      </c>
      <c r="E145" s="22" t="s">
        <v>15</v>
      </c>
      <c r="F145" s="23">
        <v>2329</v>
      </c>
      <c r="G145" s="23">
        <v>373</v>
      </c>
      <c r="H145" s="23">
        <v>291</v>
      </c>
      <c r="I145" s="23">
        <v>49577</v>
      </c>
      <c r="J145" s="23">
        <v>28002</v>
      </c>
      <c r="K145" s="23">
        <v>82</v>
      </c>
      <c r="L145" s="21" t="s">
        <v>37</v>
      </c>
      <c r="M145" s="21" t="s">
        <v>34</v>
      </c>
      <c r="N145" s="21" t="s">
        <v>16</v>
      </c>
      <c r="O145" s="24">
        <f t="shared" si="2"/>
        <v>6.0370736430199488E-2</v>
      </c>
    </row>
    <row r="146" spans="1:15">
      <c r="A146" s="19" t="s">
        <v>175</v>
      </c>
      <c r="B146" s="19" t="s">
        <v>22</v>
      </c>
      <c r="C146" s="20">
        <v>45805</v>
      </c>
      <c r="D146" s="21" t="s">
        <v>23</v>
      </c>
      <c r="E146" s="22" t="s">
        <v>33</v>
      </c>
      <c r="F146" s="23">
        <v>4287</v>
      </c>
      <c r="G146" s="23">
        <v>273</v>
      </c>
      <c r="H146" s="23">
        <v>122</v>
      </c>
      <c r="I146" s="23">
        <v>40792</v>
      </c>
      <c r="J146" s="23">
        <v>23878</v>
      </c>
      <c r="K146" s="23">
        <v>277</v>
      </c>
      <c r="L146" s="21" t="s">
        <v>364</v>
      </c>
      <c r="M146" s="21" t="s">
        <v>34</v>
      </c>
      <c r="N146" s="21" t="s">
        <v>16</v>
      </c>
      <c r="O146" s="24">
        <f t="shared" si="2"/>
        <v>0.11477740733477153</v>
      </c>
    </row>
    <row r="147" spans="1:15">
      <c r="A147" s="19" t="s">
        <v>176</v>
      </c>
      <c r="B147" s="19" t="s">
        <v>13</v>
      </c>
      <c r="C147" s="20">
        <v>45799</v>
      </c>
      <c r="D147" s="21" t="s">
        <v>14</v>
      </c>
      <c r="E147" s="22" t="s">
        <v>15</v>
      </c>
      <c r="F147" s="23">
        <v>2633</v>
      </c>
      <c r="G147" s="23">
        <v>318</v>
      </c>
      <c r="H147" s="23">
        <v>380</v>
      </c>
      <c r="I147" s="23">
        <v>40869</v>
      </c>
      <c r="J147" s="23">
        <v>64474</v>
      </c>
      <c r="K147" s="23">
        <v>245</v>
      </c>
      <c r="L147" s="21" t="s">
        <v>19</v>
      </c>
      <c r="M147" s="21"/>
      <c r="N147" s="21" t="s">
        <v>20</v>
      </c>
      <c r="O147" s="24">
        <f t="shared" si="2"/>
        <v>8.1504318676747664E-2</v>
      </c>
    </row>
    <row r="148" spans="1:15">
      <c r="A148" s="19" t="s">
        <v>177</v>
      </c>
      <c r="B148" s="19" t="s">
        <v>22</v>
      </c>
      <c r="C148" s="20">
        <v>45312</v>
      </c>
      <c r="D148" s="21" t="s">
        <v>23</v>
      </c>
      <c r="E148" s="22" t="s">
        <v>15</v>
      </c>
      <c r="F148" s="23">
        <v>2383</v>
      </c>
      <c r="G148" s="23">
        <v>136</v>
      </c>
      <c r="H148" s="23">
        <v>302</v>
      </c>
      <c r="I148" s="23">
        <v>39187</v>
      </c>
      <c r="J148" s="23">
        <v>22133</v>
      </c>
      <c r="K148" s="23">
        <v>208</v>
      </c>
      <c r="L148" s="21" t="s">
        <v>364</v>
      </c>
      <c r="M148" s="21" t="s">
        <v>34</v>
      </c>
      <c r="N148" s="21" t="s">
        <v>16</v>
      </c>
      <c r="O148" s="24">
        <f t="shared" si="2"/>
        <v>7.1988159338556151E-2</v>
      </c>
    </row>
    <row r="149" spans="1:15">
      <c r="A149" s="19" t="s">
        <v>178</v>
      </c>
      <c r="B149" s="19" t="s">
        <v>22</v>
      </c>
      <c r="C149" s="20">
        <v>45696</v>
      </c>
      <c r="D149" s="21" t="s">
        <v>23</v>
      </c>
      <c r="E149" s="22" t="s">
        <v>42</v>
      </c>
      <c r="F149" s="23">
        <v>4752</v>
      </c>
      <c r="G149" s="23">
        <v>334</v>
      </c>
      <c r="H149" s="23">
        <v>56</v>
      </c>
      <c r="I149" s="23">
        <v>48017</v>
      </c>
      <c r="J149" s="23">
        <v>55534</v>
      </c>
      <c r="K149" s="23">
        <v>270</v>
      </c>
      <c r="L149" s="21" t="s">
        <v>19</v>
      </c>
      <c r="M149" s="21" t="s">
        <v>364</v>
      </c>
      <c r="N149" s="21" t="s">
        <v>16</v>
      </c>
      <c r="O149" s="24">
        <f t="shared" si="2"/>
        <v>0.10708707332819627</v>
      </c>
    </row>
    <row r="150" spans="1:15">
      <c r="A150" s="19" t="s">
        <v>179</v>
      </c>
      <c r="B150" s="19" t="s">
        <v>22</v>
      </c>
      <c r="C150" s="20">
        <v>45760</v>
      </c>
      <c r="D150" s="21" t="s">
        <v>14</v>
      </c>
      <c r="E150" s="22" t="s">
        <v>363</v>
      </c>
      <c r="F150" s="23">
        <v>3890</v>
      </c>
      <c r="G150" s="23">
        <v>408</v>
      </c>
      <c r="H150" s="23">
        <v>338</v>
      </c>
      <c r="I150" s="23">
        <v>56994</v>
      </c>
      <c r="J150" s="23">
        <v>32621</v>
      </c>
      <c r="K150" s="23">
        <v>286</v>
      </c>
      <c r="L150" s="21" t="s">
        <v>37</v>
      </c>
      <c r="M150" s="21"/>
      <c r="N150" s="21" t="s">
        <v>20</v>
      </c>
      <c r="O150" s="24">
        <f t="shared" si="2"/>
        <v>8.1341895638137346E-2</v>
      </c>
    </row>
    <row r="151" spans="1:15">
      <c r="A151" s="19" t="s">
        <v>180</v>
      </c>
      <c r="B151" s="19" t="s">
        <v>22</v>
      </c>
      <c r="C151" s="20">
        <v>45442</v>
      </c>
      <c r="D151" s="21" t="s">
        <v>23</v>
      </c>
      <c r="E151" s="22" t="s">
        <v>42</v>
      </c>
      <c r="F151" s="23">
        <v>2311</v>
      </c>
      <c r="G151" s="23">
        <v>207</v>
      </c>
      <c r="H151" s="23">
        <v>363</v>
      </c>
      <c r="I151" s="23">
        <v>30349</v>
      </c>
      <c r="J151" s="23">
        <v>32925</v>
      </c>
      <c r="K151" s="23">
        <v>88</v>
      </c>
      <c r="L151" s="21" t="s">
        <v>364</v>
      </c>
      <c r="M151" s="21" t="s">
        <v>34</v>
      </c>
      <c r="N151" s="21" t="s">
        <v>16</v>
      </c>
      <c r="O151" s="24">
        <f t="shared" si="2"/>
        <v>9.4928992718046723E-2</v>
      </c>
    </row>
    <row r="152" spans="1:15">
      <c r="A152" s="19" t="s">
        <v>181</v>
      </c>
      <c r="B152" s="19" t="s">
        <v>13</v>
      </c>
      <c r="C152" s="20">
        <v>45516</v>
      </c>
      <c r="D152" s="21" t="s">
        <v>23</v>
      </c>
      <c r="E152" s="22" t="s">
        <v>15</v>
      </c>
      <c r="F152" s="23">
        <v>2962</v>
      </c>
      <c r="G152" s="23">
        <v>400</v>
      </c>
      <c r="H152" s="23">
        <v>280</v>
      </c>
      <c r="I152" s="23">
        <v>52508</v>
      </c>
      <c r="J152" s="23">
        <v>58329</v>
      </c>
      <c r="K152" s="23">
        <v>219</v>
      </c>
      <c r="L152" s="21" t="s">
        <v>34</v>
      </c>
      <c r="M152" s="21"/>
      <c r="N152" s="21" t="s">
        <v>46</v>
      </c>
      <c r="O152" s="24">
        <f t="shared" si="2"/>
        <v>6.9360859297630834E-2</v>
      </c>
    </row>
    <row r="153" spans="1:15">
      <c r="A153" s="19" t="s">
        <v>182</v>
      </c>
      <c r="B153" s="19" t="s">
        <v>13</v>
      </c>
      <c r="C153" s="20">
        <v>45562</v>
      </c>
      <c r="D153" s="21" t="s">
        <v>14</v>
      </c>
      <c r="E153" s="22" t="s">
        <v>15</v>
      </c>
      <c r="F153" s="23">
        <v>3118</v>
      </c>
      <c r="G153" s="23">
        <v>116</v>
      </c>
      <c r="H153" s="23">
        <v>195</v>
      </c>
      <c r="I153" s="23">
        <v>37100</v>
      </c>
      <c r="J153" s="23">
        <v>62629</v>
      </c>
      <c r="K153" s="23">
        <v>272</v>
      </c>
      <c r="L153" s="21" t="s">
        <v>19</v>
      </c>
      <c r="M153" s="21"/>
      <c r="N153" s="21" t="s">
        <v>20</v>
      </c>
      <c r="O153" s="24">
        <f t="shared" si="2"/>
        <v>9.2425876010781671E-2</v>
      </c>
    </row>
    <row r="154" spans="1:15">
      <c r="A154" s="19" t="s">
        <v>183</v>
      </c>
      <c r="B154" s="19" t="s">
        <v>22</v>
      </c>
      <c r="C154" s="20">
        <v>45819</v>
      </c>
      <c r="D154" s="21" t="s">
        <v>23</v>
      </c>
      <c r="E154" s="22" t="s">
        <v>18</v>
      </c>
      <c r="F154" s="23">
        <v>3805</v>
      </c>
      <c r="G154" s="23">
        <v>453</v>
      </c>
      <c r="H154" s="23">
        <v>63</v>
      </c>
      <c r="I154" s="23">
        <v>52395</v>
      </c>
      <c r="J154" s="23">
        <v>72934</v>
      </c>
      <c r="K154" s="23">
        <v>87</v>
      </c>
      <c r="L154" s="21" t="s">
        <v>19</v>
      </c>
      <c r="M154" s="21" t="s">
        <v>364</v>
      </c>
      <c r="N154" s="21" t="s">
        <v>16</v>
      </c>
      <c r="O154" s="24">
        <f t="shared" si="2"/>
        <v>8.2469701307376658E-2</v>
      </c>
    </row>
    <row r="155" spans="1:15">
      <c r="A155" s="19" t="s">
        <v>184</v>
      </c>
      <c r="B155" s="19" t="s">
        <v>13</v>
      </c>
      <c r="C155" s="20">
        <v>45615</v>
      </c>
      <c r="D155" s="21" t="s">
        <v>14</v>
      </c>
      <c r="E155" s="22" t="s">
        <v>362</v>
      </c>
      <c r="F155" s="23">
        <v>2525</v>
      </c>
      <c r="G155" s="23">
        <v>272</v>
      </c>
      <c r="H155" s="23">
        <v>294</v>
      </c>
      <c r="I155" s="23">
        <v>51875</v>
      </c>
      <c r="J155" s="23">
        <v>24732</v>
      </c>
      <c r="K155" s="23">
        <v>92</v>
      </c>
      <c r="L155" s="21" t="s">
        <v>19</v>
      </c>
      <c r="M155" s="21"/>
      <c r="N155" s="21" t="s">
        <v>20</v>
      </c>
      <c r="O155" s="24">
        <f t="shared" si="2"/>
        <v>5.9585542168674697E-2</v>
      </c>
    </row>
    <row r="156" spans="1:15">
      <c r="A156" s="19" t="s">
        <v>185</v>
      </c>
      <c r="B156" s="19" t="s">
        <v>13</v>
      </c>
      <c r="C156" s="20">
        <v>45407</v>
      </c>
      <c r="D156" s="21" t="s">
        <v>14</v>
      </c>
      <c r="E156" s="22" t="s">
        <v>361</v>
      </c>
      <c r="F156" s="23">
        <v>3563</v>
      </c>
      <c r="G156" s="23">
        <v>483</v>
      </c>
      <c r="H156" s="23">
        <v>227</v>
      </c>
      <c r="I156" s="23">
        <v>41085</v>
      </c>
      <c r="J156" s="23">
        <v>26393</v>
      </c>
      <c r="K156" s="23">
        <v>236</v>
      </c>
      <c r="L156" s="21" t="s">
        <v>37</v>
      </c>
      <c r="M156" s="21" t="s">
        <v>34</v>
      </c>
      <c r="N156" s="21" t="s">
        <v>16</v>
      </c>
      <c r="O156" s="24">
        <f t="shared" si="2"/>
        <v>0.10400389436534015</v>
      </c>
    </row>
    <row r="157" spans="1:15">
      <c r="A157" s="19" t="s">
        <v>186</v>
      </c>
      <c r="B157" s="19" t="s">
        <v>27</v>
      </c>
      <c r="C157" s="20">
        <v>45538</v>
      </c>
      <c r="D157" s="21" t="s">
        <v>48</v>
      </c>
      <c r="E157" s="22" t="s">
        <v>362</v>
      </c>
      <c r="F157" s="23">
        <v>1437</v>
      </c>
      <c r="G157" s="23">
        <v>494</v>
      </c>
      <c r="H157" s="23">
        <v>129</v>
      </c>
      <c r="I157" s="23">
        <v>53048</v>
      </c>
      <c r="J157" s="23">
        <v>44090</v>
      </c>
      <c r="K157" s="23">
        <v>230</v>
      </c>
      <c r="L157" s="21" t="s">
        <v>19</v>
      </c>
      <c r="M157" s="21" t="s">
        <v>37</v>
      </c>
      <c r="N157" s="21" t="s">
        <v>49</v>
      </c>
      <c r="O157" s="24">
        <f t="shared" si="2"/>
        <v>3.8832755240536872E-2</v>
      </c>
    </row>
    <row r="158" spans="1:15">
      <c r="A158" s="19" t="s">
        <v>187</v>
      </c>
      <c r="B158" s="19" t="s">
        <v>27</v>
      </c>
      <c r="C158" s="20">
        <v>45718</v>
      </c>
      <c r="D158" s="21" t="s">
        <v>14</v>
      </c>
      <c r="E158" s="22" t="s">
        <v>363</v>
      </c>
      <c r="F158" s="23">
        <v>4425</v>
      </c>
      <c r="G158" s="23">
        <v>185</v>
      </c>
      <c r="H158" s="23">
        <v>162</v>
      </c>
      <c r="I158" s="23">
        <v>24610</v>
      </c>
      <c r="J158" s="23">
        <v>21342</v>
      </c>
      <c r="K158" s="23">
        <v>158</v>
      </c>
      <c r="L158" s="21" t="s">
        <v>19</v>
      </c>
      <c r="M158" s="21" t="s">
        <v>365</v>
      </c>
      <c r="N158" s="21" t="s">
        <v>20</v>
      </c>
      <c r="O158" s="24">
        <f t="shared" si="2"/>
        <v>0.19390491670052823</v>
      </c>
    </row>
    <row r="159" spans="1:15">
      <c r="A159" s="19" t="s">
        <v>188</v>
      </c>
      <c r="B159" s="19" t="s">
        <v>22</v>
      </c>
      <c r="C159" s="20">
        <v>45737</v>
      </c>
      <c r="D159" s="21" t="s">
        <v>23</v>
      </c>
      <c r="E159" s="22" t="s">
        <v>24</v>
      </c>
      <c r="F159" s="23">
        <v>4609</v>
      </c>
      <c r="G159" s="23">
        <v>427</v>
      </c>
      <c r="H159" s="23">
        <v>395</v>
      </c>
      <c r="I159" s="23">
        <v>33698</v>
      </c>
      <c r="J159" s="23">
        <v>29259</v>
      </c>
      <c r="K159" s="23">
        <v>216</v>
      </c>
      <c r="L159" s="21" t="s">
        <v>19</v>
      </c>
      <c r="M159" s="21" t="s">
        <v>364</v>
      </c>
      <c r="N159" s="21" t="s">
        <v>16</v>
      </c>
      <c r="O159" s="24">
        <f t="shared" si="2"/>
        <v>0.16116683482699271</v>
      </c>
    </row>
    <row r="160" spans="1:15">
      <c r="A160" s="19" t="s">
        <v>189</v>
      </c>
      <c r="B160" s="19" t="s">
        <v>13</v>
      </c>
      <c r="C160" s="20">
        <v>45394</v>
      </c>
      <c r="D160" s="21" t="s">
        <v>23</v>
      </c>
      <c r="E160" s="22" t="s">
        <v>30</v>
      </c>
      <c r="F160" s="23">
        <v>1558</v>
      </c>
      <c r="G160" s="23">
        <v>352</v>
      </c>
      <c r="H160" s="23">
        <v>202</v>
      </c>
      <c r="I160" s="23">
        <v>25405</v>
      </c>
      <c r="J160" s="23">
        <v>69941</v>
      </c>
      <c r="K160" s="23">
        <v>219</v>
      </c>
      <c r="L160" s="21" t="s">
        <v>34</v>
      </c>
      <c r="M160" s="21"/>
      <c r="N160" s="21" t="s">
        <v>46</v>
      </c>
      <c r="O160" s="24">
        <f t="shared" si="2"/>
        <v>8.3133241487896081E-2</v>
      </c>
    </row>
    <row r="161" spans="1:15">
      <c r="A161" s="19" t="s">
        <v>190</v>
      </c>
      <c r="B161" s="19" t="s">
        <v>27</v>
      </c>
      <c r="C161" s="20">
        <v>45330</v>
      </c>
      <c r="D161" s="21" t="s">
        <v>48</v>
      </c>
      <c r="E161" s="22" t="s">
        <v>33</v>
      </c>
      <c r="F161" s="23">
        <v>1889</v>
      </c>
      <c r="G161" s="23">
        <v>298</v>
      </c>
      <c r="H161" s="23">
        <v>122</v>
      </c>
      <c r="I161" s="23">
        <v>46225</v>
      </c>
      <c r="J161" s="23">
        <v>74305</v>
      </c>
      <c r="K161" s="23">
        <v>293</v>
      </c>
      <c r="L161" s="21" t="s">
        <v>19</v>
      </c>
      <c r="M161" s="21" t="s">
        <v>37</v>
      </c>
      <c r="N161" s="21" t="s">
        <v>49</v>
      </c>
      <c r="O161" s="24">
        <f t="shared" si="2"/>
        <v>4.9951325040562468E-2</v>
      </c>
    </row>
    <row r="162" spans="1:15">
      <c r="A162" s="19" t="s">
        <v>191</v>
      </c>
      <c r="B162" s="19" t="s">
        <v>13</v>
      </c>
      <c r="C162" s="20">
        <v>45803</v>
      </c>
      <c r="D162" s="21" t="s">
        <v>14</v>
      </c>
      <c r="E162" s="22" t="s">
        <v>15</v>
      </c>
      <c r="F162" s="23">
        <v>3086</v>
      </c>
      <c r="G162" s="23">
        <v>148</v>
      </c>
      <c r="H162" s="23">
        <v>310</v>
      </c>
      <c r="I162" s="23">
        <v>22824</v>
      </c>
      <c r="J162" s="23">
        <v>58103</v>
      </c>
      <c r="K162" s="23">
        <v>275</v>
      </c>
      <c r="L162" s="21" t="s">
        <v>19</v>
      </c>
      <c r="M162" s="21"/>
      <c r="N162" s="21" t="s">
        <v>20</v>
      </c>
      <c r="O162" s="24">
        <f t="shared" si="2"/>
        <v>0.1552751489660007</v>
      </c>
    </row>
    <row r="163" spans="1:15">
      <c r="A163" s="19" t="s">
        <v>192</v>
      </c>
      <c r="B163" s="19" t="s">
        <v>13</v>
      </c>
      <c r="C163" s="20">
        <v>45610</v>
      </c>
      <c r="D163" s="21" t="s">
        <v>14</v>
      </c>
      <c r="E163" s="22" t="s">
        <v>361</v>
      </c>
      <c r="F163" s="23">
        <v>2422</v>
      </c>
      <c r="G163" s="23">
        <v>318</v>
      </c>
      <c r="H163" s="23">
        <v>118</v>
      </c>
      <c r="I163" s="23">
        <v>25386</v>
      </c>
      <c r="J163" s="23">
        <v>20873</v>
      </c>
      <c r="K163" s="23">
        <v>100</v>
      </c>
      <c r="L163" s="21" t="s">
        <v>37</v>
      </c>
      <c r="M163" s="21" t="s">
        <v>34</v>
      </c>
      <c r="N163" s="21" t="s">
        <v>16</v>
      </c>
      <c r="O163" s="24">
        <f t="shared" si="2"/>
        <v>0.11258173796580792</v>
      </c>
    </row>
    <row r="164" spans="1:15">
      <c r="A164" s="19" t="s">
        <v>193</v>
      </c>
      <c r="B164" s="19" t="s">
        <v>27</v>
      </c>
      <c r="C164" s="20">
        <v>45513</v>
      </c>
      <c r="D164" s="21" t="s">
        <v>48</v>
      </c>
      <c r="E164" s="22" t="s">
        <v>363</v>
      </c>
      <c r="F164" s="23">
        <v>3414</v>
      </c>
      <c r="G164" s="23">
        <v>154</v>
      </c>
      <c r="H164" s="23">
        <v>204</v>
      </c>
      <c r="I164" s="23">
        <v>34146</v>
      </c>
      <c r="J164" s="23">
        <v>44633</v>
      </c>
      <c r="K164" s="23">
        <v>256</v>
      </c>
      <c r="L164" s="21" t="s">
        <v>19</v>
      </c>
      <c r="M164" s="21" t="s">
        <v>37</v>
      </c>
      <c r="N164" s="21" t="s">
        <v>49</v>
      </c>
      <c r="O164" s="24">
        <f t="shared" si="2"/>
        <v>0.11046681895390383</v>
      </c>
    </row>
    <row r="165" spans="1:15">
      <c r="A165" s="19" t="s">
        <v>194</v>
      </c>
      <c r="B165" s="19" t="s">
        <v>13</v>
      </c>
      <c r="C165" s="20">
        <v>45835</v>
      </c>
      <c r="D165" s="21" t="s">
        <v>23</v>
      </c>
      <c r="E165" s="22" t="s">
        <v>362</v>
      </c>
      <c r="F165" s="23">
        <v>1342</v>
      </c>
      <c r="G165" s="23">
        <v>332</v>
      </c>
      <c r="H165" s="23">
        <v>163</v>
      </c>
      <c r="I165" s="23">
        <v>51712</v>
      </c>
      <c r="J165" s="23">
        <v>57922</v>
      </c>
      <c r="K165" s="23">
        <v>168</v>
      </c>
      <c r="L165" s="21" t="s">
        <v>34</v>
      </c>
      <c r="M165" s="21"/>
      <c r="N165" s="21" t="s">
        <v>46</v>
      </c>
      <c r="O165" s="24">
        <f t="shared" si="2"/>
        <v>3.5523669554455448E-2</v>
      </c>
    </row>
    <row r="166" spans="1:15">
      <c r="A166" s="19" t="s">
        <v>195</v>
      </c>
      <c r="B166" s="19" t="s">
        <v>13</v>
      </c>
      <c r="C166" s="20">
        <v>45420</v>
      </c>
      <c r="D166" s="21" t="s">
        <v>23</v>
      </c>
      <c r="E166" s="22" t="s">
        <v>361</v>
      </c>
      <c r="F166" s="23">
        <v>2414</v>
      </c>
      <c r="G166" s="23">
        <v>220</v>
      </c>
      <c r="H166" s="23">
        <v>280</v>
      </c>
      <c r="I166" s="23">
        <v>27355</v>
      </c>
      <c r="J166" s="23">
        <v>50562</v>
      </c>
      <c r="K166" s="23">
        <v>258</v>
      </c>
      <c r="L166" s="21" t="s">
        <v>34</v>
      </c>
      <c r="M166" s="21"/>
      <c r="N166" s="21" t="s">
        <v>46</v>
      </c>
      <c r="O166" s="24">
        <f t="shared" si="2"/>
        <v>0.10652531529884847</v>
      </c>
    </row>
    <row r="167" spans="1:15">
      <c r="A167" s="19" t="s">
        <v>196</v>
      </c>
      <c r="B167" s="19" t="s">
        <v>13</v>
      </c>
      <c r="C167" s="20">
        <v>45387</v>
      </c>
      <c r="D167" s="21" t="s">
        <v>14</v>
      </c>
      <c r="E167" s="22" t="s">
        <v>24</v>
      </c>
      <c r="F167" s="23">
        <v>4383</v>
      </c>
      <c r="G167" s="23">
        <v>352</v>
      </c>
      <c r="H167" s="23">
        <v>176</v>
      </c>
      <c r="I167" s="23">
        <v>53239</v>
      </c>
      <c r="J167" s="23">
        <v>34168</v>
      </c>
      <c r="K167" s="23">
        <v>288</v>
      </c>
      <c r="L167" s="21" t="s">
        <v>19</v>
      </c>
      <c r="M167" s="21"/>
      <c r="N167" s="21" t="s">
        <v>20</v>
      </c>
      <c r="O167" s="24">
        <f t="shared" si="2"/>
        <v>9.2244407295403744E-2</v>
      </c>
    </row>
    <row r="168" spans="1:15">
      <c r="A168" s="19" t="s">
        <v>197</v>
      </c>
      <c r="B168" s="19" t="s">
        <v>27</v>
      </c>
      <c r="C168" s="20">
        <v>45684</v>
      </c>
      <c r="D168" s="21" t="s">
        <v>14</v>
      </c>
      <c r="E168" s="22" t="s">
        <v>360</v>
      </c>
      <c r="F168" s="23">
        <v>4294</v>
      </c>
      <c r="G168" s="23">
        <v>423</v>
      </c>
      <c r="H168" s="23">
        <v>93</v>
      </c>
      <c r="I168" s="23">
        <v>29828</v>
      </c>
      <c r="J168" s="23">
        <v>73144</v>
      </c>
      <c r="K168" s="23">
        <v>298</v>
      </c>
      <c r="L168" s="21" t="s">
        <v>19</v>
      </c>
      <c r="M168" s="21" t="s">
        <v>365</v>
      </c>
      <c r="N168" s="21" t="s">
        <v>20</v>
      </c>
      <c r="O168" s="24">
        <f t="shared" si="2"/>
        <v>0.1612578785034196</v>
      </c>
    </row>
    <row r="169" spans="1:15">
      <c r="A169" s="19" t="s">
        <v>198</v>
      </c>
      <c r="B169" s="19" t="s">
        <v>13</v>
      </c>
      <c r="C169" s="20">
        <v>45385</v>
      </c>
      <c r="D169" s="21" t="s">
        <v>14</v>
      </c>
      <c r="E169" s="22" t="s">
        <v>33</v>
      </c>
      <c r="F169" s="23">
        <v>2762</v>
      </c>
      <c r="G169" s="23">
        <v>339</v>
      </c>
      <c r="H169" s="23">
        <v>323</v>
      </c>
      <c r="I169" s="23">
        <v>33757</v>
      </c>
      <c r="J169" s="23">
        <v>68511</v>
      </c>
      <c r="K169" s="23">
        <v>121</v>
      </c>
      <c r="L169" s="21" t="s">
        <v>37</v>
      </c>
      <c r="M169" s="21" t="s">
        <v>34</v>
      </c>
      <c r="N169" s="21" t="s">
        <v>16</v>
      </c>
      <c r="O169" s="24">
        <f t="shared" si="2"/>
        <v>0.10143081434961637</v>
      </c>
    </row>
    <row r="170" spans="1:15">
      <c r="A170" s="19" t="s">
        <v>199</v>
      </c>
      <c r="B170" s="19" t="s">
        <v>27</v>
      </c>
      <c r="C170" s="20">
        <v>45660</v>
      </c>
      <c r="D170" s="21" t="s">
        <v>14</v>
      </c>
      <c r="E170" s="22" t="s">
        <v>24</v>
      </c>
      <c r="F170" s="23">
        <v>3782</v>
      </c>
      <c r="G170" s="23">
        <v>484</v>
      </c>
      <c r="H170" s="23">
        <v>144</v>
      </c>
      <c r="I170" s="23">
        <v>52172</v>
      </c>
      <c r="J170" s="23">
        <v>59386</v>
      </c>
      <c r="K170" s="23">
        <v>175</v>
      </c>
      <c r="L170" s="21" t="s">
        <v>19</v>
      </c>
      <c r="M170" s="21" t="s">
        <v>365</v>
      </c>
      <c r="N170" s="21" t="s">
        <v>20</v>
      </c>
      <c r="O170" s="24">
        <f t="shared" si="2"/>
        <v>8.4528099363643333E-2</v>
      </c>
    </row>
    <row r="171" spans="1:15">
      <c r="A171" s="19" t="s">
        <v>200</v>
      </c>
      <c r="B171" s="19" t="s">
        <v>22</v>
      </c>
      <c r="C171" s="20">
        <v>45619</v>
      </c>
      <c r="D171" s="21" t="s">
        <v>14</v>
      </c>
      <c r="E171" s="22" t="s">
        <v>24</v>
      </c>
      <c r="F171" s="23">
        <v>4318</v>
      </c>
      <c r="G171" s="23">
        <v>371</v>
      </c>
      <c r="H171" s="23">
        <v>329</v>
      </c>
      <c r="I171" s="23">
        <v>32347</v>
      </c>
      <c r="J171" s="23">
        <v>68956</v>
      </c>
      <c r="K171" s="23">
        <v>259</v>
      </c>
      <c r="L171" s="21" t="s">
        <v>37</v>
      </c>
      <c r="M171" s="21"/>
      <c r="N171" s="21" t="s">
        <v>20</v>
      </c>
      <c r="O171" s="24">
        <f t="shared" si="2"/>
        <v>0.15513030574705536</v>
      </c>
    </row>
    <row r="172" spans="1:15">
      <c r="A172" s="19" t="s">
        <v>201</v>
      </c>
      <c r="B172" s="19" t="s">
        <v>13</v>
      </c>
      <c r="C172" s="20">
        <v>45536</v>
      </c>
      <c r="D172" s="21" t="s">
        <v>23</v>
      </c>
      <c r="E172" s="22" t="s">
        <v>360</v>
      </c>
      <c r="F172" s="23">
        <v>2335</v>
      </c>
      <c r="G172" s="23">
        <v>150</v>
      </c>
      <c r="H172" s="23">
        <v>75</v>
      </c>
      <c r="I172" s="23">
        <v>26114</v>
      </c>
      <c r="J172" s="23">
        <v>57549</v>
      </c>
      <c r="K172" s="23">
        <v>135</v>
      </c>
      <c r="L172" s="21" t="s">
        <v>34</v>
      </c>
      <c r="M172" s="21"/>
      <c r="N172" s="21" t="s">
        <v>46</v>
      </c>
      <c r="O172" s="24">
        <f t="shared" si="2"/>
        <v>9.8031707130274953E-2</v>
      </c>
    </row>
    <row r="173" spans="1:15">
      <c r="A173" s="19" t="s">
        <v>202</v>
      </c>
      <c r="B173" s="19" t="s">
        <v>27</v>
      </c>
      <c r="C173" s="20">
        <v>45400</v>
      </c>
      <c r="D173" s="21" t="s">
        <v>14</v>
      </c>
      <c r="E173" s="22" t="s">
        <v>18</v>
      </c>
      <c r="F173" s="23">
        <v>4023</v>
      </c>
      <c r="G173" s="23">
        <v>293</v>
      </c>
      <c r="H173" s="23">
        <v>91</v>
      </c>
      <c r="I173" s="23">
        <v>26795</v>
      </c>
      <c r="J173" s="23">
        <v>28924</v>
      </c>
      <c r="K173" s="23">
        <v>278</v>
      </c>
      <c r="L173" s="21" t="s">
        <v>19</v>
      </c>
      <c r="M173" s="21" t="s">
        <v>365</v>
      </c>
      <c r="N173" s="21" t="s">
        <v>20</v>
      </c>
      <c r="O173" s="24">
        <f t="shared" si="2"/>
        <v>0.16447098339242397</v>
      </c>
    </row>
    <row r="174" spans="1:15">
      <c r="A174" s="19" t="s">
        <v>203</v>
      </c>
      <c r="B174" s="19" t="s">
        <v>13</v>
      </c>
      <c r="C174" s="20">
        <v>45447</v>
      </c>
      <c r="D174" s="21" t="s">
        <v>14</v>
      </c>
      <c r="E174" s="22" t="s">
        <v>30</v>
      </c>
      <c r="F174" s="23">
        <v>3948</v>
      </c>
      <c r="G174" s="23">
        <v>151</v>
      </c>
      <c r="H174" s="23">
        <v>249</v>
      </c>
      <c r="I174" s="23">
        <v>43147</v>
      </c>
      <c r="J174" s="23">
        <v>63136</v>
      </c>
      <c r="K174" s="23">
        <v>230</v>
      </c>
      <c r="L174" s="21" t="s">
        <v>19</v>
      </c>
      <c r="M174" s="21"/>
      <c r="N174" s="21" t="s">
        <v>20</v>
      </c>
      <c r="O174" s="24">
        <f t="shared" si="2"/>
        <v>0.10077178019329269</v>
      </c>
    </row>
    <row r="175" spans="1:15">
      <c r="A175" s="19" t="s">
        <v>204</v>
      </c>
      <c r="B175" s="19" t="s">
        <v>27</v>
      </c>
      <c r="C175" s="20">
        <v>45749</v>
      </c>
      <c r="D175" s="21" t="s">
        <v>14</v>
      </c>
      <c r="E175" s="22" t="s">
        <v>360</v>
      </c>
      <c r="F175" s="23">
        <v>4598</v>
      </c>
      <c r="G175" s="23">
        <v>455</v>
      </c>
      <c r="H175" s="23">
        <v>378</v>
      </c>
      <c r="I175" s="23">
        <v>52952</v>
      </c>
      <c r="J175" s="23">
        <v>58504</v>
      </c>
      <c r="K175" s="23">
        <v>269</v>
      </c>
      <c r="L175" s="21" t="s">
        <v>19</v>
      </c>
      <c r="M175" s="21" t="s">
        <v>365</v>
      </c>
      <c r="N175" s="21" t="s">
        <v>20</v>
      </c>
      <c r="O175" s="24">
        <f t="shared" si="2"/>
        <v>0.10256458679558846</v>
      </c>
    </row>
    <row r="176" spans="1:15">
      <c r="A176" s="19" t="s">
        <v>205</v>
      </c>
      <c r="B176" s="19" t="s">
        <v>22</v>
      </c>
      <c r="C176" s="20">
        <v>45748</v>
      </c>
      <c r="D176" s="21" t="s">
        <v>23</v>
      </c>
      <c r="E176" s="22" t="s">
        <v>361</v>
      </c>
      <c r="F176" s="23">
        <v>2665</v>
      </c>
      <c r="G176" s="23">
        <v>143</v>
      </c>
      <c r="H176" s="23">
        <v>315</v>
      </c>
      <c r="I176" s="23">
        <v>54808</v>
      </c>
      <c r="J176" s="23">
        <v>29818</v>
      </c>
      <c r="K176" s="23">
        <v>98</v>
      </c>
      <c r="L176" s="21" t="s">
        <v>19</v>
      </c>
      <c r="M176" s="21" t="s">
        <v>364</v>
      </c>
      <c r="N176" s="21" t="s">
        <v>16</v>
      </c>
      <c r="O176" s="24">
        <f t="shared" si="2"/>
        <v>5.6980732739746021E-2</v>
      </c>
    </row>
    <row r="177" spans="1:15">
      <c r="A177" s="19" t="s">
        <v>206</v>
      </c>
      <c r="B177" s="19" t="s">
        <v>13</v>
      </c>
      <c r="C177" s="20">
        <v>45475</v>
      </c>
      <c r="D177" s="21" t="s">
        <v>14</v>
      </c>
      <c r="E177" s="22" t="s">
        <v>33</v>
      </c>
      <c r="F177" s="23">
        <v>3469</v>
      </c>
      <c r="G177" s="23">
        <v>371</v>
      </c>
      <c r="H177" s="23">
        <v>76</v>
      </c>
      <c r="I177" s="23">
        <v>46493</v>
      </c>
      <c r="J177" s="23">
        <v>26906</v>
      </c>
      <c r="K177" s="23">
        <v>150</v>
      </c>
      <c r="L177" s="21" t="s">
        <v>37</v>
      </c>
      <c r="M177" s="21" t="s">
        <v>34</v>
      </c>
      <c r="N177" s="21" t="s">
        <v>16</v>
      </c>
      <c r="O177" s="24">
        <f t="shared" si="2"/>
        <v>8.4227733207149463E-2</v>
      </c>
    </row>
    <row r="178" spans="1:15">
      <c r="A178" s="19" t="s">
        <v>207</v>
      </c>
      <c r="B178" s="19" t="s">
        <v>22</v>
      </c>
      <c r="C178" s="20">
        <v>45606</v>
      </c>
      <c r="D178" s="21" t="s">
        <v>14</v>
      </c>
      <c r="E178" s="22" t="s">
        <v>18</v>
      </c>
      <c r="F178" s="23">
        <v>4823</v>
      </c>
      <c r="G178" s="23">
        <v>489</v>
      </c>
      <c r="H178" s="23">
        <v>302</v>
      </c>
      <c r="I178" s="23">
        <v>32470</v>
      </c>
      <c r="J178" s="23">
        <v>31861</v>
      </c>
      <c r="K178" s="23">
        <v>178</v>
      </c>
      <c r="L178" s="21" t="s">
        <v>37</v>
      </c>
      <c r="M178" s="21"/>
      <c r="N178" s="21" t="s">
        <v>20</v>
      </c>
      <c r="O178" s="24">
        <f t="shared" si="2"/>
        <v>0.1728980597474592</v>
      </c>
    </row>
    <row r="179" spans="1:15">
      <c r="A179" s="19" t="s">
        <v>208</v>
      </c>
      <c r="B179" s="19" t="s">
        <v>13</v>
      </c>
      <c r="C179" s="20">
        <v>45640</v>
      </c>
      <c r="D179" s="21" t="s">
        <v>23</v>
      </c>
      <c r="E179" s="22" t="s">
        <v>363</v>
      </c>
      <c r="F179" s="23">
        <v>3812</v>
      </c>
      <c r="G179" s="23">
        <v>321</v>
      </c>
      <c r="H179" s="23">
        <v>289</v>
      </c>
      <c r="I179" s="23">
        <v>59838</v>
      </c>
      <c r="J179" s="23">
        <v>36337</v>
      </c>
      <c r="K179" s="23">
        <v>161</v>
      </c>
      <c r="L179" s="21" t="s">
        <v>34</v>
      </c>
      <c r="M179" s="21"/>
      <c r="N179" s="21" t="s">
        <v>46</v>
      </c>
      <c r="O179" s="24">
        <f t="shared" si="2"/>
        <v>7.3899528727564417E-2</v>
      </c>
    </row>
    <row r="180" spans="1:15">
      <c r="A180" s="19" t="s">
        <v>209</v>
      </c>
      <c r="B180" s="19" t="s">
        <v>22</v>
      </c>
      <c r="C180" s="20">
        <v>45615</v>
      </c>
      <c r="D180" s="21" t="s">
        <v>14</v>
      </c>
      <c r="E180" s="22" t="s">
        <v>18</v>
      </c>
      <c r="F180" s="23">
        <v>2387</v>
      </c>
      <c r="G180" s="23">
        <v>353</v>
      </c>
      <c r="H180" s="23">
        <v>78</v>
      </c>
      <c r="I180" s="23">
        <v>39745</v>
      </c>
      <c r="J180" s="23">
        <v>69226</v>
      </c>
      <c r="K180" s="23">
        <v>208</v>
      </c>
      <c r="L180" s="21" t="s">
        <v>37</v>
      </c>
      <c r="M180" s="21"/>
      <c r="N180" s="21" t="s">
        <v>20</v>
      </c>
      <c r="O180" s="24">
        <f t="shared" si="2"/>
        <v>7.090200025160398E-2</v>
      </c>
    </row>
    <row r="181" spans="1:15">
      <c r="A181" s="19" t="s">
        <v>210</v>
      </c>
      <c r="B181" s="19" t="s">
        <v>22</v>
      </c>
      <c r="C181" s="20">
        <v>45777</v>
      </c>
      <c r="D181" s="21" t="s">
        <v>23</v>
      </c>
      <c r="E181" s="22" t="s">
        <v>360</v>
      </c>
      <c r="F181" s="23">
        <v>3929</v>
      </c>
      <c r="G181" s="23">
        <v>275</v>
      </c>
      <c r="H181" s="23">
        <v>330</v>
      </c>
      <c r="I181" s="23">
        <v>58329</v>
      </c>
      <c r="J181" s="23">
        <v>33196</v>
      </c>
      <c r="K181" s="23">
        <v>85</v>
      </c>
      <c r="L181" s="21" t="s">
        <v>364</v>
      </c>
      <c r="M181" s="21" t="s">
        <v>34</v>
      </c>
      <c r="N181" s="21" t="s">
        <v>16</v>
      </c>
      <c r="O181" s="24">
        <f t="shared" si="2"/>
        <v>7.7731488624869283E-2</v>
      </c>
    </row>
    <row r="182" spans="1:15">
      <c r="A182" s="19" t="s">
        <v>211</v>
      </c>
      <c r="B182" s="19" t="s">
        <v>22</v>
      </c>
      <c r="C182" s="20">
        <v>45370</v>
      </c>
      <c r="D182" s="21" t="s">
        <v>14</v>
      </c>
      <c r="E182" s="22" t="s">
        <v>363</v>
      </c>
      <c r="F182" s="23">
        <v>2191</v>
      </c>
      <c r="G182" s="23">
        <v>288</v>
      </c>
      <c r="H182" s="23">
        <v>83</v>
      </c>
      <c r="I182" s="23">
        <v>59606</v>
      </c>
      <c r="J182" s="23">
        <v>24765</v>
      </c>
      <c r="K182" s="23">
        <v>281</v>
      </c>
      <c r="L182" s="21" t="s">
        <v>37</v>
      </c>
      <c r="M182" s="21"/>
      <c r="N182" s="21" t="s">
        <v>20</v>
      </c>
      <c r="O182" s="24">
        <f t="shared" si="2"/>
        <v>4.2982250109049422E-2</v>
      </c>
    </row>
    <row r="183" spans="1:15">
      <c r="A183" s="19" t="s">
        <v>212</v>
      </c>
      <c r="B183" s="19" t="s">
        <v>13</v>
      </c>
      <c r="C183" s="20">
        <v>45370</v>
      </c>
      <c r="D183" s="21" t="s">
        <v>14</v>
      </c>
      <c r="E183" s="22" t="s">
        <v>363</v>
      </c>
      <c r="F183" s="23">
        <v>2878</v>
      </c>
      <c r="G183" s="23">
        <v>278</v>
      </c>
      <c r="H183" s="23">
        <v>255</v>
      </c>
      <c r="I183" s="23">
        <v>47235</v>
      </c>
      <c r="J183" s="23">
        <v>57922</v>
      </c>
      <c r="K183" s="23">
        <v>112</v>
      </c>
      <c r="L183" s="21" t="s">
        <v>37</v>
      </c>
      <c r="M183" s="21" t="s">
        <v>34</v>
      </c>
      <c r="N183" s="21" t="s">
        <v>16</v>
      </c>
      <c r="O183" s="24">
        <f t="shared" si="2"/>
        <v>7.2213401079707848E-2</v>
      </c>
    </row>
    <row r="184" spans="1:15">
      <c r="A184" s="19" t="s">
        <v>213</v>
      </c>
      <c r="B184" s="19" t="s">
        <v>22</v>
      </c>
      <c r="C184" s="20">
        <v>45496</v>
      </c>
      <c r="D184" s="21" t="s">
        <v>14</v>
      </c>
      <c r="E184" s="22" t="s">
        <v>33</v>
      </c>
      <c r="F184" s="23">
        <v>3204</v>
      </c>
      <c r="G184" s="23">
        <v>398</v>
      </c>
      <c r="H184" s="23">
        <v>85</v>
      </c>
      <c r="I184" s="23">
        <v>22020</v>
      </c>
      <c r="J184" s="23">
        <v>58353</v>
      </c>
      <c r="K184" s="23">
        <v>286</v>
      </c>
      <c r="L184" s="21" t="s">
        <v>37</v>
      </c>
      <c r="M184" s="21"/>
      <c r="N184" s="21" t="s">
        <v>20</v>
      </c>
      <c r="O184" s="24">
        <f t="shared" si="2"/>
        <v>0.16743869209809265</v>
      </c>
    </row>
    <row r="185" spans="1:15">
      <c r="A185" s="19" t="s">
        <v>214</v>
      </c>
      <c r="B185" s="19" t="s">
        <v>22</v>
      </c>
      <c r="C185" s="20">
        <v>45486</v>
      </c>
      <c r="D185" s="21" t="s">
        <v>23</v>
      </c>
      <c r="E185" s="22" t="s">
        <v>30</v>
      </c>
      <c r="F185" s="23">
        <v>2408</v>
      </c>
      <c r="G185" s="23">
        <v>323</v>
      </c>
      <c r="H185" s="23">
        <v>251</v>
      </c>
      <c r="I185" s="23">
        <v>47599</v>
      </c>
      <c r="J185" s="23">
        <v>35543</v>
      </c>
      <c r="K185" s="23">
        <v>287</v>
      </c>
      <c r="L185" s="21" t="s">
        <v>364</v>
      </c>
      <c r="M185" s="21" t="s">
        <v>34</v>
      </c>
      <c r="N185" s="21" t="s">
        <v>16</v>
      </c>
      <c r="O185" s="24">
        <f t="shared" si="2"/>
        <v>6.2648374965860634E-2</v>
      </c>
    </row>
    <row r="186" spans="1:15">
      <c r="A186" s="19" t="s">
        <v>215</v>
      </c>
      <c r="B186" s="19" t="s">
        <v>27</v>
      </c>
      <c r="C186" s="20">
        <v>45769</v>
      </c>
      <c r="D186" s="21" t="s">
        <v>48</v>
      </c>
      <c r="E186" s="22" t="s">
        <v>24</v>
      </c>
      <c r="F186" s="23">
        <v>2733</v>
      </c>
      <c r="G186" s="23">
        <v>297</v>
      </c>
      <c r="H186" s="23">
        <v>235</v>
      </c>
      <c r="I186" s="23">
        <v>37980</v>
      </c>
      <c r="J186" s="23">
        <v>33058</v>
      </c>
      <c r="K186" s="23">
        <v>219</v>
      </c>
      <c r="L186" s="21" t="s">
        <v>19</v>
      </c>
      <c r="M186" s="21" t="s">
        <v>37</v>
      </c>
      <c r="N186" s="21" t="s">
        <v>49</v>
      </c>
      <c r="O186" s="24">
        <f t="shared" si="2"/>
        <v>8.5966298051606105E-2</v>
      </c>
    </row>
    <row r="187" spans="1:15">
      <c r="A187" s="19" t="s">
        <v>216</v>
      </c>
      <c r="B187" s="19" t="s">
        <v>22</v>
      </c>
      <c r="C187" s="20">
        <v>45459</v>
      </c>
      <c r="D187" s="21" t="s">
        <v>23</v>
      </c>
      <c r="E187" s="22" t="s">
        <v>18</v>
      </c>
      <c r="F187" s="23">
        <v>4618</v>
      </c>
      <c r="G187" s="23">
        <v>312</v>
      </c>
      <c r="H187" s="23">
        <v>254</v>
      </c>
      <c r="I187" s="23">
        <v>22571</v>
      </c>
      <c r="J187" s="23">
        <v>29453</v>
      </c>
      <c r="K187" s="23">
        <v>197</v>
      </c>
      <c r="L187" s="21" t="s">
        <v>364</v>
      </c>
      <c r="M187" s="21" t="s">
        <v>34</v>
      </c>
      <c r="N187" s="21" t="s">
        <v>16</v>
      </c>
      <c r="O187" s="24">
        <f t="shared" si="2"/>
        <v>0.22967524699836073</v>
      </c>
    </row>
    <row r="188" spans="1:15">
      <c r="A188" s="19" t="s">
        <v>217</v>
      </c>
      <c r="B188" s="19" t="s">
        <v>27</v>
      </c>
      <c r="C188" s="20">
        <v>45795</v>
      </c>
      <c r="D188" s="21" t="s">
        <v>48</v>
      </c>
      <c r="E188" s="22" t="s">
        <v>360</v>
      </c>
      <c r="F188" s="23">
        <v>4210</v>
      </c>
      <c r="G188" s="23">
        <v>319</v>
      </c>
      <c r="H188" s="23">
        <v>350</v>
      </c>
      <c r="I188" s="23">
        <v>37762</v>
      </c>
      <c r="J188" s="23">
        <v>55162</v>
      </c>
      <c r="K188" s="23">
        <v>204</v>
      </c>
      <c r="L188" s="21" t="s">
        <v>19</v>
      </c>
      <c r="M188" s="21" t="s">
        <v>37</v>
      </c>
      <c r="N188" s="21" t="s">
        <v>49</v>
      </c>
      <c r="O188" s="24">
        <f t="shared" si="2"/>
        <v>0.12920396165457337</v>
      </c>
    </row>
    <row r="189" spans="1:15">
      <c r="A189" s="19" t="s">
        <v>218</v>
      </c>
      <c r="B189" s="19" t="s">
        <v>13</v>
      </c>
      <c r="C189" s="20">
        <v>45814</v>
      </c>
      <c r="D189" s="21" t="s">
        <v>14</v>
      </c>
      <c r="E189" s="22" t="s">
        <v>360</v>
      </c>
      <c r="F189" s="23">
        <v>3987</v>
      </c>
      <c r="G189" s="23">
        <v>171</v>
      </c>
      <c r="H189" s="23">
        <v>274</v>
      </c>
      <c r="I189" s="23">
        <v>45122</v>
      </c>
      <c r="J189" s="23">
        <v>65431</v>
      </c>
      <c r="K189" s="23">
        <v>168</v>
      </c>
      <c r="L189" s="21" t="s">
        <v>19</v>
      </c>
      <c r="M189" s="21"/>
      <c r="N189" s="21" t="s">
        <v>20</v>
      </c>
      <c r="O189" s="24">
        <f t="shared" si="2"/>
        <v>9.8222596516111871E-2</v>
      </c>
    </row>
    <row r="190" spans="1:15">
      <c r="A190" s="19" t="s">
        <v>219</v>
      </c>
      <c r="B190" s="19" t="s">
        <v>27</v>
      </c>
      <c r="C190" s="20">
        <v>45708</v>
      </c>
      <c r="D190" s="21" t="s">
        <v>48</v>
      </c>
      <c r="E190" s="22" t="s">
        <v>30</v>
      </c>
      <c r="F190" s="23">
        <v>4957</v>
      </c>
      <c r="G190" s="23">
        <v>262</v>
      </c>
      <c r="H190" s="23">
        <v>365</v>
      </c>
      <c r="I190" s="23">
        <v>49199</v>
      </c>
      <c r="J190" s="23">
        <v>40314</v>
      </c>
      <c r="K190" s="23">
        <v>216</v>
      </c>
      <c r="L190" s="21" t="s">
        <v>19</v>
      </c>
      <c r="M190" s="21" t="s">
        <v>37</v>
      </c>
      <c r="N190" s="21" t="s">
        <v>49</v>
      </c>
      <c r="O190" s="24">
        <f t="shared" si="2"/>
        <v>0.11349824183418362</v>
      </c>
    </row>
    <row r="191" spans="1:15">
      <c r="A191" s="19" t="s">
        <v>220</v>
      </c>
      <c r="B191" s="19" t="s">
        <v>13</v>
      </c>
      <c r="C191" s="20">
        <v>45673</v>
      </c>
      <c r="D191" s="21" t="s">
        <v>14</v>
      </c>
      <c r="E191" s="22" t="s">
        <v>361</v>
      </c>
      <c r="F191" s="23">
        <v>2605</v>
      </c>
      <c r="G191" s="23">
        <v>282</v>
      </c>
      <c r="H191" s="23">
        <v>148</v>
      </c>
      <c r="I191" s="23">
        <v>32201</v>
      </c>
      <c r="J191" s="23">
        <v>49583</v>
      </c>
      <c r="K191" s="23">
        <v>241</v>
      </c>
      <c r="L191" s="21" t="s">
        <v>37</v>
      </c>
      <c r="M191" s="21" t="s">
        <v>34</v>
      </c>
      <c r="N191" s="21" t="s">
        <v>16</v>
      </c>
      <c r="O191" s="24">
        <f t="shared" si="2"/>
        <v>9.4251731312692155E-2</v>
      </c>
    </row>
    <row r="192" spans="1:15">
      <c r="A192" s="19" t="s">
        <v>221</v>
      </c>
      <c r="B192" s="19" t="s">
        <v>27</v>
      </c>
      <c r="C192" s="20">
        <v>45346</v>
      </c>
      <c r="D192" s="21" t="s">
        <v>48</v>
      </c>
      <c r="E192" s="22" t="s">
        <v>15</v>
      </c>
      <c r="F192" s="23">
        <v>4221</v>
      </c>
      <c r="G192" s="23">
        <v>307</v>
      </c>
      <c r="H192" s="23">
        <v>58</v>
      </c>
      <c r="I192" s="23">
        <v>45080</v>
      </c>
      <c r="J192" s="23">
        <v>37214</v>
      </c>
      <c r="K192" s="23">
        <v>240</v>
      </c>
      <c r="L192" s="21" t="s">
        <v>19</v>
      </c>
      <c r="M192" s="21" t="s">
        <v>37</v>
      </c>
      <c r="N192" s="21" t="s">
        <v>49</v>
      </c>
      <c r="O192" s="24">
        <f t="shared" si="2"/>
        <v>0.10173025732031943</v>
      </c>
    </row>
    <row r="193" spans="1:15">
      <c r="A193" s="19" t="s">
        <v>222</v>
      </c>
      <c r="B193" s="19" t="s">
        <v>22</v>
      </c>
      <c r="C193" s="20">
        <v>45551</v>
      </c>
      <c r="D193" s="21" t="s">
        <v>23</v>
      </c>
      <c r="E193" s="22" t="s">
        <v>362</v>
      </c>
      <c r="F193" s="23">
        <v>4422</v>
      </c>
      <c r="G193" s="23">
        <v>434</v>
      </c>
      <c r="H193" s="23">
        <v>156</v>
      </c>
      <c r="I193" s="23">
        <v>56165</v>
      </c>
      <c r="J193" s="23">
        <v>52431</v>
      </c>
      <c r="K193" s="23">
        <v>173</v>
      </c>
      <c r="L193" s="21" t="s">
        <v>19</v>
      </c>
      <c r="M193" s="21" t="s">
        <v>364</v>
      </c>
      <c r="N193" s="21" t="s">
        <v>16</v>
      </c>
      <c r="O193" s="24">
        <f t="shared" si="2"/>
        <v>8.9237069349238848E-2</v>
      </c>
    </row>
    <row r="194" spans="1:15">
      <c r="A194" s="19" t="s">
        <v>223</v>
      </c>
      <c r="B194" s="19" t="s">
        <v>27</v>
      </c>
      <c r="C194" s="20">
        <v>45447</v>
      </c>
      <c r="D194" s="21" t="s">
        <v>48</v>
      </c>
      <c r="E194" s="22" t="s">
        <v>360</v>
      </c>
      <c r="F194" s="23">
        <v>1211</v>
      </c>
      <c r="G194" s="23">
        <v>431</v>
      </c>
      <c r="H194" s="23">
        <v>83</v>
      </c>
      <c r="I194" s="23">
        <v>26532</v>
      </c>
      <c r="J194" s="23">
        <v>47305</v>
      </c>
      <c r="K194" s="23">
        <v>232</v>
      </c>
      <c r="L194" s="21" t="s">
        <v>19</v>
      </c>
      <c r="M194" s="21" t="s">
        <v>37</v>
      </c>
      <c r="N194" s="21" t="s">
        <v>49</v>
      </c>
      <c r="O194" s="24">
        <f t="shared" ref="O194:O257" si="3" xml:space="preserve"> (F194+ G194 + H194) / I194</f>
        <v>6.5015829941203071E-2</v>
      </c>
    </row>
    <row r="195" spans="1:15">
      <c r="A195" s="19" t="s">
        <v>224</v>
      </c>
      <c r="B195" s="19" t="s">
        <v>22</v>
      </c>
      <c r="C195" s="20">
        <v>45422</v>
      </c>
      <c r="D195" s="21" t="s">
        <v>23</v>
      </c>
      <c r="E195" s="22" t="s">
        <v>18</v>
      </c>
      <c r="F195" s="23">
        <v>2784</v>
      </c>
      <c r="G195" s="23">
        <v>111</v>
      </c>
      <c r="H195" s="23">
        <v>399</v>
      </c>
      <c r="I195" s="23">
        <v>58366</v>
      </c>
      <c r="J195" s="23">
        <v>69512</v>
      </c>
      <c r="K195" s="23">
        <v>269</v>
      </c>
      <c r="L195" s="21" t="s">
        <v>364</v>
      </c>
      <c r="M195" s="21" t="s">
        <v>34</v>
      </c>
      <c r="N195" s="21" t="s">
        <v>16</v>
      </c>
      <c r="O195" s="24">
        <f t="shared" si="3"/>
        <v>5.6436966727204191E-2</v>
      </c>
    </row>
    <row r="196" spans="1:15">
      <c r="A196" s="19" t="s">
        <v>225</v>
      </c>
      <c r="B196" s="19" t="s">
        <v>27</v>
      </c>
      <c r="C196" s="20">
        <v>45305</v>
      </c>
      <c r="D196" s="21" t="s">
        <v>14</v>
      </c>
      <c r="E196" s="22" t="s">
        <v>24</v>
      </c>
      <c r="F196" s="23">
        <v>3634</v>
      </c>
      <c r="G196" s="23">
        <v>280</v>
      </c>
      <c r="H196" s="23">
        <v>399</v>
      </c>
      <c r="I196" s="23">
        <v>40256</v>
      </c>
      <c r="J196" s="23">
        <v>52605</v>
      </c>
      <c r="K196" s="23">
        <v>213</v>
      </c>
      <c r="L196" s="21" t="s">
        <v>19</v>
      </c>
      <c r="M196" s="21" t="s">
        <v>365</v>
      </c>
      <c r="N196" s="21" t="s">
        <v>20</v>
      </c>
      <c r="O196" s="24">
        <f t="shared" si="3"/>
        <v>0.10713930842607314</v>
      </c>
    </row>
    <row r="197" spans="1:15">
      <c r="A197" s="19" t="s">
        <v>226</v>
      </c>
      <c r="B197" s="19" t="s">
        <v>13</v>
      </c>
      <c r="C197" s="20">
        <v>45669</v>
      </c>
      <c r="D197" s="21" t="s">
        <v>14</v>
      </c>
      <c r="E197" s="22" t="s">
        <v>363</v>
      </c>
      <c r="F197" s="23">
        <v>1771</v>
      </c>
      <c r="G197" s="23">
        <v>487</v>
      </c>
      <c r="H197" s="23">
        <v>272</v>
      </c>
      <c r="I197" s="23">
        <v>48810</v>
      </c>
      <c r="J197" s="23">
        <v>48084</v>
      </c>
      <c r="K197" s="23">
        <v>272</v>
      </c>
      <c r="L197" s="21" t="s">
        <v>37</v>
      </c>
      <c r="M197" s="21" t="s">
        <v>34</v>
      </c>
      <c r="N197" s="21" t="s">
        <v>16</v>
      </c>
      <c r="O197" s="24">
        <f t="shared" si="3"/>
        <v>5.1833640647408315E-2</v>
      </c>
    </row>
    <row r="198" spans="1:15">
      <c r="A198" s="19" t="s">
        <v>227</v>
      </c>
      <c r="B198" s="19" t="s">
        <v>27</v>
      </c>
      <c r="C198" s="20">
        <v>45634</v>
      </c>
      <c r="D198" s="21" t="s">
        <v>14</v>
      </c>
      <c r="E198" s="22" t="s">
        <v>33</v>
      </c>
      <c r="F198" s="23">
        <v>1424</v>
      </c>
      <c r="G198" s="23">
        <v>396</v>
      </c>
      <c r="H198" s="23">
        <v>312</v>
      </c>
      <c r="I198" s="23">
        <v>59517</v>
      </c>
      <c r="J198" s="23">
        <v>46102</v>
      </c>
      <c r="K198" s="23">
        <v>239</v>
      </c>
      <c r="L198" s="21" t="s">
        <v>19</v>
      </c>
      <c r="M198" s="21" t="s">
        <v>365</v>
      </c>
      <c r="N198" s="21" t="s">
        <v>20</v>
      </c>
      <c r="O198" s="24">
        <f t="shared" si="3"/>
        <v>3.5821698002251455E-2</v>
      </c>
    </row>
    <row r="199" spans="1:15">
      <c r="A199" s="19" t="s">
        <v>228</v>
      </c>
      <c r="B199" s="19" t="s">
        <v>22</v>
      </c>
      <c r="C199" s="20">
        <v>45689</v>
      </c>
      <c r="D199" s="21" t="s">
        <v>23</v>
      </c>
      <c r="E199" s="22" t="s">
        <v>33</v>
      </c>
      <c r="F199" s="23">
        <v>1079</v>
      </c>
      <c r="G199" s="23">
        <v>265</v>
      </c>
      <c r="H199" s="23">
        <v>190</v>
      </c>
      <c r="I199" s="23">
        <v>43786</v>
      </c>
      <c r="J199" s="23">
        <v>72428</v>
      </c>
      <c r="K199" s="23">
        <v>222</v>
      </c>
      <c r="L199" s="21" t="s">
        <v>37</v>
      </c>
      <c r="M199" s="21" t="s">
        <v>34</v>
      </c>
      <c r="N199" s="21" t="s">
        <v>16</v>
      </c>
      <c r="O199" s="24">
        <f t="shared" si="3"/>
        <v>3.5034029141734799E-2</v>
      </c>
    </row>
    <row r="200" spans="1:15">
      <c r="A200" s="19" t="s">
        <v>229</v>
      </c>
      <c r="B200" s="19" t="s">
        <v>22</v>
      </c>
      <c r="C200" s="20">
        <v>45484</v>
      </c>
      <c r="D200" s="21" t="s">
        <v>23</v>
      </c>
      <c r="E200" s="22" t="s">
        <v>30</v>
      </c>
      <c r="F200" s="23">
        <v>4247</v>
      </c>
      <c r="G200" s="23">
        <v>179</v>
      </c>
      <c r="H200" s="23">
        <v>175</v>
      </c>
      <c r="I200" s="23">
        <v>32991</v>
      </c>
      <c r="J200" s="23">
        <v>70120</v>
      </c>
      <c r="K200" s="23">
        <v>276</v>
      </c>
      <c r="L200" s="21" t="s">
        <v>37</v>
      </c>
      <c r="M200" s="21" t="s">
        <v>34</v>
      </c>
      <c r="N200" s="21" t="s">
        <v>16</v>
      </c>
      <c r="O200" s="24">
        <f t="shared" si="3"/>
        <v>0.13946227759085811</v>
      </c>
    </row>
    <row r="201" spans="1:15">
      <c r="A201" s="19" t="s">
        <v>230</v>
      </c>
      <c r="B201" s="19" t="s">
        <v>22</v>
      </c>
      <c r="C201" s="20">
        <v>45369</v>
      </c>
      <c r="D201" s="21" t="s">
        <v>14</v>
      </c>
      <c r="E201" s="22" t="s">
        <v>24</v>
      </c>
      <c r="F201" s="23">
        <v>2033</v>
      </c>
      <c r="G201" s="23">
        <v>420</v>
      </c>
      <c r="H201" s="23">
        <v>94</v>
      </c>
      <c r="I201" s="23">
        <v>56290</v>
      </c>
      <c r="J201" s="23">
        <v>57391</v>
      </c>
      <c r="K201" s="23">
        <v>196</v>
      </c>
      <c r="L201" s="21" t="s">
        <v>34</v>
      </c>
      <c r="M201" s="21"/>
      <c r="N201" s="21" t="s">
        <v>16</v>
      </c>
      <c r="O201" s="24">
        <f t="shared" si="3"/>
        <v>4.5247823769763724E-2</v>
      </c>
    </row>
    <row r="202" spans="1:15">
      <c r="A202" s="19" t="s">
        <v>231</v>
      </c>
      <c r="B202" s="19" t="s">
        <v>22</v>
      </c>
      <c r="C202" s="20">
        <v>45547</v>
      </c>
      <c r="D202" s="21" t="s">
        <v>23</v>
      </c>
      <c r="E202" s="22" t="s">
        <v>360</v>
      </c>
      <c r="F202" s="23">
        <v>1839</v>
      </c>
      <c r="G202" s="23">
        <v>223</v>
      </c>
      <c r="H202" s="23">
        <v>171</v>
      </c>
      <c r="I202" s="23">
        <v>35459</v>
      </c>
      <c r="J202" s="23">
        <v>69988</v>
      </c>
      <c r="K202" s="23">
        <v>114</v>
      </c>
      <c r="L202" s="21" t="s">
        <v>364</v>
      </c>
      <c r="M202" s="21" t="s">
        <v>34</v>
      </c>
      <c r="N202" s="21" t="s">
        <v>16</v>
      </c>
      <c r="O202" s="24">
        <f t="shared" si="3"/>
        <v>6.2974139146620034E-2</v>
      </c>
    </row>
    <row r="203" spans="1:15">
      <c r="A203" s="19" t="s">
        <v>232</v>
      </c>
      <c r="B203" s="19" t="s">
        <v>22</v>
      </c>
      <c r="C203" s="20">
        <v>45302</v>
      </c>
      <c r="D203" s="21" t="s">
        <v>23</v>
      </c>
      <c r="E203" s="22" t="s">
        <v>360</v>
      </c>
      <c r="F203" s="23">
        <v>2340</v>
      </c>
      <c r="G203" s="23">
        <v>141</v>
      </c>
      <c r="H203" s="23">
        <v>206</v>
      </c>
      <c r="I203" s="23">
        <v>24916</v>
      </c>
      <c r="J203" s="23">
        <v>30582</v>
      </c>
      <c r="K203" s="23">
        <v>157</v>
      </c>
      <c r="L203" s="21" t="s">
        <v>37</v>
      </c>
      <c r="M203" s="21" t="s">
        <v>34</v>
      </c>
      <c r="N203" s="21" t="s">
        <v>16</v>
      </c>
      <c r="O203" s="24">
        <f t="shared" si="3"/>
        <v>0.10784235029699792</v>
      </c>
    </row>
    <row r="204" spans="1:15">
      <c r="A204" s="19" t="s">
        <v>233</v>
      </c>
      <c r="B204" s="19" t="s">
        <v>13</v>
      </c>
      <c r="C204" s="20">
        <v>45571</v>
      </c>
      <c r="D204" s="21" t="s">
        <v>14</v>
      </c>
      <c r="E204" s="22" t="s">
        <v>33</v>
      </c>
      <c r="F204" s="23">
        <v>2080</v>
      </c>
      <c r="G204" s="23">
        <v>389</v>
      </c>
      <c r="H204" s="23">
        <v>92</v>
      </c>
      <c r="I204" s="23">
        <v>30971</v>
      </c>
      <c r="J204" s="23">
        <v>25347</v>
      </c>
      <c r="K204" s="23">
        <v>111</v>
      </c>
      <c r="L204" s="21" t="s">
        <v>19</v>
      </c>
      <c r="M204" s="21"/>
      <c r="N204" s="21" t="s">
        <v>20</v>
      </c>
      <c r="O204" s="24">
        <f t="shared" si="3"/>
        <v>8.2690258629040073E-2</v>
      </c>
    </row>
    <row r="205" spans="1:15">
      <c r="A205" s="19" t="s">
        <v>234</v>
      </c>
      <c r="B205" s="19" t="s">
        <v>22</v>
      </c>
      <c r="C205" s="20">
        <v>45656</v>
      </c>
      <c r="D205" s="21" t="s">
        <v>14</v>
      </c>
      <c r="E205" s="22" t="s">
        <v>30</v>
      </c>
      <c r="F205" s="23">
        <v>4214</v>
      </c>
      <c r="G205" s="23">
        <v>286</v>
      </c>
      <c r="H205" s="23">
        <v>127</v>
      </c>
      <c r="I205" s="23">
        <v>47293</v>
      </c>
      <c r="J205" s="23">
        <v>27184</v>
      </c>
      <c r="K205" s="23">
        <v>232</v>
      </c>
      <c r="L205" s="21" t="s">
        <v>34</v>
      </c>
      <c r="M205" s="21"/>
      <c r="N205" s="21" t="s">
        <v>16</v>
      </c>
      <c r="O205" s="24">
        <f t="shared" si="3"/>
        <v>9.7836889180216949E-2</v>
      </c>
    </row>
    <row r="206" spans="1:15">
      <c r="A206" s="19" t="s">
        <v>235</v>
      </c>
      <c r="B206" s="19" t="s">
        <v>22</v>
      </c>
      <c r="C206" s="20">
        <v>45763</v>
      </c>
      <c r="D206" s="21" t="s">
        <v>14</v>
      </c>
      <c r="E206" s="22" t="s">
        <v>360</v>
      </c>
      <c r="F206" s="23">
        <v>3792</v>
      </c>
      <c r="G206" s="23">
        <v>315</v>
      </c>
      <c r="H206" s="23">
        <v>120</v>
      </c>
      <c r="I206" s="23">
        <v>54592</v>
      </c>
      <c r="J206" s="23">
        <v>67886</v>
      </c>
      <c r="K206" s="23">
        <v>117</v>
      </c>
      <c r="L206" s="21" t="s">
        <v>37</v>
      </c>
      <c r="M206" s="21"/>
      <c r="N206" s="21" t="s">
        <v>20</v>
      </c>
      <c r="O206" s="24">
        <f t="shared" si="3"/>
        <v>7.7428927315357568E-2</v>
      </c>
    </row>
    <row r="207" spans="1:15">
      <c r="A207" s="19" t="s">
        <v>236</v>
      </c>
      <c r="B207" s="19" t="s">
        <v>22</v>
      </c>
      <c r="C207" s="20">
        <v>45525</v>
      </c>
      <c r="D207" s="21" t="s">
        <v>23</v>
      </c>
      <c r="E207" s="22" t="s">
        <v>18</v>
      </c>
      <c r="F207" s="23">
        <v>3989</v>
      </c>
      <c r="G207" s="23">
        <v>476</v>
      </c>
      <c r="H207" s="23">
        <v>128</v>
      </c>
      <c r="I207" s="23">
        <v>57569</v>
      </c>
      <c r="J207" s="23">
        <v>40193</v>
      </c>
      <c r="K207" s="23">
        <v>222</v>
      </c>
      <c r="L207" s="21" t="s">
        <v>19</v>
      </c>
      <c r="M207" s="21" t="s">
        <v>364</v>
      </c>
      <c r="N207" s="21" t="s">
        <v>16</v>
      </c>
      <c r="O207" s="24">
        <f t="shared" si="3"/>
        <v>7.9782521843353188E-2</v>
      </c>
    </row>
    <row r="208" spans="1:15">
      <c r="A208" s="19" t="s">
        <v>237</v>
      </c>
      <c r="B208" s="19" t="s">
        <v>22</v>
      </c>
      <c r="C208" s="20">
        <v>45387</v>
      </c>
      <c r="D208" s="21" t="s">
        <v>23</v>
      </c>
      <c r="E208" s="22" t="s">
        <v>360</v>
      </c>
      <c r="F208" s="23">
        <v>2857</v>
      </c>
      <c r="G208" s="23">
        <v>443</v>
      </c>
      <c r="H208" s="23">
        <v>359</v>
      </c>
      <c r="I208" s="23">
        <v>51519</v>
      </c>
      <c r="J208" s="23">
        <v>28256</v>
      </c>
      <c r="K208" s="23">
        <v>155</v>
      </c>
      <c r="L208" s="21" t="s">
        <v>37</v>
      </c>
      <c r="M208" s="21" t="s">
        <v>34</v>
      </c>
      <c r="N208" s="21" t="s">
        <v>16</v>
      </c>
      <c r="O208" s="24">
        <f t="shared" si="3"/>
        <v>7.1022341272152026E-2</v>
      </c>
    </row>
    <row r="209" spans="1:15">
      <c r="A209" s="19" t="s">
        <v>238</v>
      </c>
      <c r="B209" s="19" t="s">
        <v>22</v>
      </c>
      <c r="C209" s="20">
        <v>45754</v>
      </c>
      <c r="D209" s="21" t="s">
        <v>14</v>
      </c>
      <c r="E209" s="22" t="s">
        <v>363</v>
      </c>
      <c r="F209" s="23">
        <v>1403</v>
      </c>
      <c r="G209" s="23">
        <v>385</v>
      </c>
      <c r="H209" s="23">
        <v>344</v>
      </c>
      <c r="I209" s="23">
        <v>54223</v>
      </c>
      <c r="J209" s="23">
        <v>72595</v>
      </c>
      <c r="K209" s="23">
        <v>239</v>
      </c>
      <c r="L209" s="21" t="s">
        <v>37</v>
      </c>
      <c r="M209" s="21"/>
      <c r="N209" s="21" t="s">
        <v>20</v>
      </c>
      <c r="O209" s="24">
        <f t="shared" si="3"/>
        <v>3.9319108127547353E-2</v>
      </c>
    </row>
    <row r="210" spans="1:15">
      <c r="A210" s="19" t="s">
        <v>239</v>
      </c>
      <c r="B210" s="19" t="s">
        <v>22</v>
      </c>
      <c r="C210" s="20">
        <v>45492</v>
      </c>
      <c r="D210" s="21" t="s">
        <v>23</v>
      </c>
      <c r="E210" s="22" t="s">
        <v>362</v>
      </c>
      <c r="F210" s="23">
        <v>3071</v>
      </c>
      <c r="G210" s="23">
        <v>126</v>
      </c>
      <c r="H210" s="23">
        <v>200</v>
      </c>
      <c r="I210" s="23">
        <v>44013</v>
      </c>
      <c r="J210" s="23">
        <v>44679</v>
      </c>
      <c r="K210" s="23">
        <v>118</v>
      </c>
      <c r="L210" s="21" t="s">
        <v>19</v>
      </c>
      <c r="M210" s="21" t="s">
        <v>364</v>
      </c>
      <c r="N210" s="21" t="s">
        <v>16</v>
      </c>
      <c r="O210" s="24">
        <f t="shared" si="3"/>
        <v>7.7181741758116915E-2</v>
      </c>
    </row>
    <row r="211" spans="1:15">
      <c r="A211" s="19" t="s">
        <v>240</v>
      </c>
      <c r="B211" s="19" t="s">
        <v>22</v>
      </c>
      <c r="C211" s="20">
        <v>45780</v>
      </c>
      <c r="D211" s="21" t="s">
        <v>23</v>
      </c>
      <c r="E211" s="22" t="s">
        <v>33</v>
      </c>
      <c r="F211" s="23">
        <v>1010</v>
      </c>
      <c r="G211" s="23">
        <v>361</v>
      </c>
      <c r="H211" s="23">
        <v>240</v>
      </c>
      <c r="I211" s="23">
        <v>47229</v>
      </c>
      <c r="J211" s="23">
        <v>72573</v>
      </c>
      <c r="K211" s="23">
        <v>275</v>
      </c>
      <c r="L211" s="21" t="s">
        <v>37</v>
      </c>
      <c r="M211" s="21" t="s">
        <v>34</v>
      </c>
      <c r="N211" s="21" t="s">
        <v>16</v>
      </c>
      <c r="O211" s="24">
        <f t="shared" si="3"/>
        <v>3.4110398272247981E-2</v>
      </c>
    </row>
    <row r="212" spans="1:15">
      <c r="A212" s="19" t="s">
        <v>241</v>
      </c>
      <c r="B212" s="19" t="s">
        <v>22</v>
      </c>
      <c r="C212" s="20">
        <v>45396</v>
      </c>
      <c r="D212" s="21" t="s">
        <v>23</v>
      </c>
      <c r="E212" s="22" t="s">
        <v>15</v>
      </c>
      <c r="F212" s="23">
        <v>1295</v>
      </c>
      <c r="G212" s="23">
        <v>153</v>
      </c>
      <c r="H212" s="23">
        <v>81</v>
      </c>
      <c r="I212" s="23">
        <v>48350</v>
      </c>
      <c r="J212" s="23">
        <v>61033</v>
      </c>
      <c r="K212" s="23">
        <v>232</v>
      </c>
      <c r="L212" s="21" t="s">
        <v>19</v>
      </c>
      <c r="M212" s="21" t="s">
        <v>364</v>
      </c>
      <c r="N212" s="21" t="s">
        <v>16</v>
      </c>
      <c r="O212" s="24">
        <f t="shared" si="3"/>
        <v>3.1623578076525334E-2</v>
      </c>
    </row>
    <row r="213" spans="1:15">
      <c r="A213" s="19" t="s">
        <v>242</v>
      </c>
      <c r="B213" s="19" t="s">
        <v>22</v>
      </c>
      <c r="C213" s="20">
        <v>45827</v>
      </c>
      <c r="D213" s="21" t="s">
        <v>23</v>
      </c>
      <c r="E213" s="22" t="s">
        <v>362</v>
      </c>
      <c r="F213" s="23">
        <v>1433</v>
      </c>
      <c r="G213" s="23">
        <v>452</v>
      </c>
      <c r="H213" s="23">
        <v>305</v>
      </c>
      <c r="I213" s="23">
        <v>54541</v>
      </c>
      <c r="J213" s="23">
        <v>63700</v>
      </c>
      <c r="K213" s="23">
        <v>296</v>
      </c>
      <c r="L213" s="21" t="s">
        <v>19</v>
      </c>
      <c r="M213" s="21" t="s">
        <v>364</v>
      </c>
      <c r="N213" s="21" t="s">
        <v>16</v>
      </c>
      <c r="O213" s="24">
        <f t="shared" si="3"/>
        <v>4.0153279184466734E-2</v>
      </c>
    </row>
    <row r="214" spans="1:15">
      <c r="A214" s="19" t="s">
        <v>243</v>
      </c>
      <c r="B214" s="19" t="s">
        <v>13</v>
      </c>
      <c r="C214" s="20">
        <v>45832</v>
      </c>
      <c r="D214" s="21" t="s">
        <v>23</v>
      </c>
      <c r="E214" s="22" t="s">
        <v>30</v>
      </c>
      <c r="F214" s="23">
        <v>4902</v>
      </c>
      <c r="G214" s="23">
        <v>422</v>
      </c>
      <c r="H214" s="23">
        <v>376</v>
      </c>
      <c r="I214" s="23">
        <v>31674</v>
      </c>
      <c r="J214" s="23">
        <v>53225</v>
      </c>
      <c r="K214" s="23">
        <v>147</v>
      </c>
      <c r="L214" s="21" t="s">
        <v>34</v>
      </c>
      <c r="M214" s="21"/>
      <c r="N214" s="21" t="s">
        <v>46</v>
      </c>
      <c r="O214" s="24">
        <f t="shared" si="3"/>
        <v>0.17995832544042431</v>
      </c>
    </row>
    <row r="215" spans="1:15">
      <c r="A215" s="19" t="s">
        <v>244</v>
      </c>
      <c r="B215" s="19" t="s">
        <v>22</v>
      </c>
      <c r="C215" s="20">
        <v>45574</v>
      </c>
      <c r="D215" s="21" t="s">
        <v>14</v>
      </c>
      <c r="E215" s="22" t="s">
        <v>360</v>
      </c>
      <c r="F215" s="23">
        <v>2659</v>
      </c>
      <c r="G215" s="23">
        <v>167</v>
      </c>
      <c r="H215" s="23">
        <v>73</v>
      </c>
      <c r="I215" s="23">
        <v>23090</v>
      </c>
      <c r="J215" s="23">
        <v>25872</v>
      </c>
      <c r="K215" s="23">
        <v>293</v>
      </c>
      <c r="L215" s="21" t="s">
        <v>37</v>
      </c>
      <c r="M215" s="21"/>
      <c r="N215" s="21" t="s">
        <v>20</v>
      </c>
      <c r="O215" s="24">
        <f t="shared" si="3"/>
        <v>0.12555218709398008</v>
      </c>
    </row>
    <row r="216" spans="1:15">
      <c r="A216" s="19" t="s">
        <v>245</v>
      </c>
      <c r="B216" s="19" t="s">
        <v>27</v>
      </c>
      <c r="C216" s="20">
        <v>45672</v>
      </c>
      <c r="D216" s="21" t="s">
        <v>14</v>
      </c>
      <c r="E216" s="22" t="s">
        <v>42</v>
      </c>
      <c r="F216" s="23">
        <v>2599</v>
      </c>
      <c r="G216" s="23">
        <v>324</v>
      </c>
      <c r="H216" s="23">
        <v>182</v>
      </c>
      <c r="I216" s="23">
        <v>37525</v>
      </c>
      <c r="J216" s="23">
        <v>37216</v>
      </c>
      <c r="K216" s="23">
        <v>186</v>
      </c>
      <c r="L216" s="21" t="s">
        <v>19</v>
      </c>
      <c r="M216" s="21" t="s">
        <v>365</v>
      </c>
      <c r="N216" s="21" t="s">
        <v>20</v>
      </c>
      <c r="O216" s="24">
        <f t="shared" si="3"/>
        <v>8.2744836775483013E-2</v>
      </c>
    </row>
    <row r="217" spans="1:15">
      <c r="A217" s="19" t="s">
        <v>246</v>
      </c>
      <c r="B217" s="19" t="s">
        <v>22</v>
      </c>
      <c r="C217" s="20">
        <v>45669</v>
      </c>
      <c r="D217" s="21" t="s">
        <v>14</v>
      </c>
      <c r="E217" s="22" t="s">
        <v>361</v>
      </c>
      <c r="F217" s="23">
        <v>1765</v>
      </c>
      <c r="G217" s="23">
        <v>285</v>
      </c>
      <c r="H217" s="23">
        <v>100</v>
      </c>
      <c r="I217" s="23">
        <v>41313</v>
      </c>
      <c r="J217" s="23">
        <v>56575</v>
      </c>
      <c r="K217" s="23">
        <v>174</v>
      </c>
      <c r="L217" s="21" t="s">
        <v>37</v>
      </c>
      <c r="M217" s="21"/>
      <c r="N217" s="21" t="s">
        <v>20</v>
      </c>
      <c r="O217" s="24">
        <f t="shared" si="3"/>
        <v>5.2041730205988429E-2</v>
      </c>
    </row>
    <row r="218" spans="1:15">
      <c r="A218" s="19" t="s">
        <v>247</v>
      </c>
      <c r="B218" s="19" t="s">
        <v>13</v>
      </c>
      <c r="C218" s="20">
        <v>45808</v>
      </c>
      <c r="D218" s="21" t="s">
        <v>14</v>
      </c>
      <c r="E218" s="22" t="s">
        <v>362</v>
      </c>
      <c r="F218" s="23">
        <v>2169</v>
      </c>
      <c r="G218" s="23">
        <v>240</v>
      </c>
      <c r="H218" s="23">
        <v>57</v>
      </c>
      <c r="I218" s="23">
        <v>26109</v>
      </c>
      <c r="J218" s="23">
        <v>46667</v>
      </c>
      <c r="K218" s="23">
        <v>133</v>
      </c>
      <c r="L218" s="21" t="s">
        <v>37</v>
      </c>
      <c r="M218" s="21" t="s">
        <v>34</v>
      </c>
      <c r="N218" s="21" t="s">
        <v>16</v>
      </c>
      <c r="O218" s="24">
        <f t="shared" si="3"/>
        <v>9.4450189589796618E-2</v>
      </c>
    </row>
    <row r="219" spans="1:15">
      <c r="A219" s="19" t="s">
        <v>248</v>
      </c>
      <c r="B219" s="19" t="s">
        <v>22</v>
      </c>
      <c r="C219" s="20">
        <v>45579</v>
      </c>
      <c r="D219" s="21" t="s">
        <v>23</v>
      </c>
      <c r="E219" s="22" t="s">
        <v>18</v>
      </c>
      <c r="F219" s="23">
        <v>4303</v>
      </c>
      <c r="G219" s="23">
        <v>306</v>
      </c>
      <c r="H219" s="23">
        <v>302</v>
      </c>
      <c r="I219" s="23">
        <v>39575</v>
      </c>
      <c r="J219" s="23">
        <v>33762</v>
      </c>
      <c r="K219" s="23">
        <v>265</v>
      </c>
      <c r="L219" s="21" t="s">
        <v>19</v>
      </c>
      <c r="M219" s="21" t="s">
        <v>364</v>
      </c>
      <c r="N219" s="21" t="s">
        <v>16</v>
      </c>
      <c r="O219" s="24">
        <f t="shared" si="3"/>
        <v>0.12409349336702463</v>
      </c>
    </row>
    <row r="220" spans="1:15">
      <c r="A220" s="19" t="s">
        <v>249</v>
      </c>
      <c r="B220" s="19" t="s">
        <v>22</v>
      </c>
      <c r="C220" s="20">
        <v>45332</v>
      </c>
      <c r="D220" s="21" t="s">
        <v>14</v>
      </c>
      <c r="E220" s="22" t="s">
        <v>363</v>
      </c>
      <c r="F220" s="23">
        <v>1519</v>
      </c>
      <c r="G220" s="23">
        <v>456</v>
      </c>
      <c r="H220" s="23">
        <v>379</v>
      </c>
      <c r="I220" s="23">
        <v>51611</v>
      </c>
      <c r="J220" s="23">
        <v>45880</v>
      </c>
      <c r="K220" s="23">
        <v>176</v>
      </c>
      <c r="L220" s="21" t="s">
        <v>37</v>
      </c>
      <c r="M220" s="21"/>
      <c r="N220" s="21" t="s">
        <v>20</v>
      </c>
      <c r="O220" s="24">
        <f t="shared" si="3"/>
        <v>4.5610431884675749E-2</v>
      </c>
    </row>
    <row r="221" spans="1:15">
      <c r="A221" s="19" t="s">
        <v>250</v>
      </c>
      <c r="B221" s="19" t="s">
        <v>27</v>
      </c>
      <c r="C221" s="20">
        <v>45636</v>
      </c>
      <c r="D221" s="21" t="s">
        <v>14</v>
      </c>
      <c r="E221" s="22" t="s">
        <v>362</v>
      </c>
      <c r="F221" s="23">
        <v>2569</v>
      </c>
      <c r="G221" s="23">
        <v>140</v>
      </c>
      <c r="H221" s="23">
        <v>375</v>
      </c>
      <c r="I221" s="23">
        <v>38372</v>
      </c>
      <c r="J221" s="23">
        <v>22102</v>
      </c>
      <c r="K221" s="23">
        <v>255</v>
      </c>
      <c r="L221" s="21" t="s">
        <v>19</v>
      </c>
      <c r="M221" s="21" t="s">
        <v>365</v>
      </c>
      <c r="N221" s="21" t="s">
        <v>20</v>
      </c>
      <c r="O221" s="24">
        <f t="shared" si="3"/>
        <v>8.0371103929948923E-2</v>
      </c>
    </row>
    <row r="222" spans="1:15">
      <c r="A222" s="19" t="s">
        <v>251</v>
      </c>
      <c r="B222" s="19" t="s">
        <v>22</v>
      </c>
      <c r="C222" s="20">
        <v>45786</v>
      </c>
      <c r="D222" s="21" t="s">
        <v>23</v>
      </c>
      <c r="E222" s="22" t="s">
        <v>361</v>
      </c>
      <c r="F222" s="23">
        <v>2778</v>
      </c>
      <c r="G222" s="23">
        <v>241</v>
      </c>
      <c r="H222" s="23">
        <v>317</v>
      </c>
      <c r="I222" s="23">
        <v>26247</v>
      </c>
      <c r="J222" s="23">
        <v>20677</v>
      </c>
      <c r="K222" s="23">
        <v>282</v>
      </c>
      <c r="L222" s="21" t="s">
        <v>364</v>
      </c>
      <c r="M222" s="21" t="s">
        <v>34</v>
      </c>
      <c r="N222" s="21" t="s">
        <v>16</v>
      </c>
      <c r="O222" s="24">
        <f t="shared" si="3"/>
        <v>0.1271002400274317</v>
      </c>
    </row>
    <row r="223" spans="1:15">
      <c r="A223" s="19" t="s">
        <v>252</v>
      </c>
      <c r="B223" s="19" t="s">
        <v>22</v>
      </c>
      <c r="C223" s="20">
        <v>45829</v>
      </c>
      <c r="D223" s="21" t="s">
        <v>14</v>
      </c>
      <c r="E223" s="22" t="s">
        <v>18</v>
      </c>
      <c r="F223" s="23">
        <v>3611</v>
      </c>
      <c r="G223" s="23">
        <v>127</v>
      </c>
      <c r="H223" s="23">
        <v>139</v>
      </c>
      <c r="I223" s="23">
        <v>44768</v>
      </c>
      <c r="J223" s="23">
        <v>29435</v>
      </c>
      <c r="K223" s="23">
        <v>178</v>
      </c>
      <c r="L223" s="21" t="s">
        <v>34</v>
      </c>
      <c r="M223" s="21"/>
      <c r="N223" s="21" t="s">
        <v>16</v>
      </c>
      <c r="O223" s="24">
        <f t="shared" si="3"/>
        <v>8.6602037169406718E-2</v>
      </c>
    </row>
    <row r="224" spans="1:15">
      <c r="A224" s="19" t="s">
        <v>253</v>
      </c>
      <c r="B224" s="19" t="s">
        <v>22</v>
      </c>
      <c r="C224" s="20">
        <v>45462</v>
      </c>
      <c r="D224" s="21" t="s">
        <v>14</v>
      </c>
      <c r="E224" s="22" t="s">
        <v>362</v>
      </c>
      <c r="F224" s="23">
        <v>1224</v>
      </c>
      <c r="G224" s="23">
        <v>168</v>
      </c>
      <c r="H224" s="23">
        <v>199</v>
      </c>
      <c r="I224" s="23">
        <v>54232</v>
      </c>
      <c r="J224" s="23">
        <v>52844</v>
      </c>
      <c r="K224" s="23">
        <v>271</v>
      </c>
      <c r="L224" s="21" t="s">
        <v>37</v>
      </c>
      <c r="M224" s="21"/>
      <c r="N224" s="21" t="s">
        <v>20</v>
      </c>
      <c r="O224" s="24">
        <f t="shared" si="3"/>
        <v>2.9336922849977874E-2</v>
      </c>
    </row>
    <row r="225" spans="1:15">
      <c r="A225" s="19" t="s">
        <v>254</v>
      </c>
      <c r="B225" s="19" t="s">
        <v>22</v>
      </c>
      <c r="C225" s="20">
        <v>45636</v>
      </c>
      <c r="D225" s="21" t="s">
        <v>14</v>
      </c>
      <c r="E225" s="22" t="s">
        <v>363</v>
      </c>
      <c r="F225" s="23">
        <v>4673</v>
      </c>
      <c r="G225" s="23">
        <v>270</v>
      </c>
      <c r="H225" s="23">
        <v>93</v>
      </c>
      <c r="I225" s="23">
        <v>45260</v>
      </c>
      <c r="J225" s="23">
        <v>57513</v>
      </c>
      <c r="K225" s="23">
        <v>103</v>
      </c>
      <c r="L225" s="21" t="s">
        <v>34</v>
      </c>
      <c r="M225" s="21"/>
      <c r="N225" s="21" t="s">
        <v>16</v>
      </c>
      <c r="O225" s="24">
        <f t="shared" si="3"/>
        <v>0.11126822801590809</v>
      </c>
    </row>
    <row r="226" spans="1:15">
      <c r="A226" s="19" t="s">
        <v>255</v>
      </c>
      <c r="B226" s="19" t="s">
        <v>27</v>
      </c>
      <c r="C226" s="20">
        <v>45323</v>
      </c>
      <c r="D226" s="21" t="s">
        <v>14</v>
      </c>
      <c r="E226" s="22" t="s">
        <v>360</v>
      </c>
      <c r="F226" s="23">
        <v>1432</v>
      </c>
      <c r="G226" s="23">
        <v>437</v>
      </c>
      <c r="H226" s="23">
        <v>267</v>
      </c>
      <c r="I226" s="23">
        <v>40634</v>
      </c>
      <c r="J226" s="23">
        <v>54511</v>
      </c>
      <c r="K226" s="23">
        <v>197</v>
      </c>
      <c r="L226" s="21" t="s">
        <v>19</v>
      </c>
      <c r="M226" s="21" t="s">
        <v>365</v>
      </c>
      <c r="N226" s="21" t="s">
        <v>20</v>
      </c>
      <c r="O226" s="24">
        <f t="shared" si="3"/>
        <v>5.2566815966924252E-2</v>
      </c>
    </row>
    <row r="227" spans="1:15">
      <c r="A227" s="19" t="s">
        <v>256</v>
      </c>
      <c r="B227" s="19" t="s">
        <v>22</v>
      </c>
      <c r="C227" s="20">
        <v>45308</v>
      </c>
      <c r="D227" s="21" t="s">
        <v>23</v>
      </c>
      <c r="E227" s="22" t="s">
        <v>24</v>
      </c>
      <c r="F227" s="23">
        <v>2174</v>
      </c>
      <c r="G227" s="23">
        <v>499</v>
      </c>
      <c r="H227" s="23">
        <v>212</v>
      </c>
      <c r="I227" s="23">
        <v>54938</v>
      </c>
      <c r="J227" s="23">
        <v>27190</v>
      </c>
      <c r="K227" s="23">
        <v>265</v>
      </c>
      <c r="L227" s="21" t="s">
        <v>364</v>
      </c>
      <c r="M227" s="21" t="s">
        <v>34</v>
      </c>
      <c r="N227" s="21" t="s">
        <v>16</v>
      </c>
      <c r="O227" s="24">
        <f t="shared" si="3"/>
        <v>5.2513742764570971E-2</v>
      </c>
    </row>
    <row r="228" spans="1:15">
      <c r="A228" s="19" t="s">
        <v>257</v>
      </c>
      <c r="B228" s="19" t="s">
        <v>27</v>
      </c>
      <c r="C228" s="20">
        <v>45738</v>
      </c>
      <c r="D228" s="21" t="s">
        <v>14</v>
      </c>
      <c r="E228" s="22" t="s">
        <v>361</v>
      </c>
      <c r="F228" s="23">
        <v>4308</v>
      </c>
      <c r="G228" s="23">
        <v>171</v>
      </c>
      <c r="H228" s="23">
        <v>106</v>
      </c>
      <c r="I228" s="23">
        <v>36955</v>
      </c>
      <c r="J228" s="23">
        <v>23949</v>
      </c>
      <c r="K228" s="23">
        <v>294</v>
      </c>
      <c r="L228" s="21" t="s">
        <v>19</v>
      </c>
      <c r="M228" s="21" t="s">
        <v>365</v>
      </c>
      <c r="N228" s="21" t="s">
        <v>20</v>
      </c>
      <c r="O228" s="24">
        <f t="shared" si="3"/>
        <v>0.12406981463942633</v>
      </c>
    </row>
    <row r="229" spans="1:15">
      <c r="A229" s="19" t="s">
        <v>258</v>
      </c>
      <c r="B229" s="19" t="s">
        <v>27</v>
      </c>
      <c r="C229" s="20">
        <v>45442</v>
      </c>
      <c r="D229" s="21" t="s">
        <v>48</v>
      </c>
      <c r="E229" s="22" t="s">
        <v>362</v>
      </c>
      <c r="F229" s="23">
        <v>1060</v>
      </c>
      <c r="G229" s="23">
        <v>442</v>
      </c>
      <c r="H229" s="23">
        <v>319</v>
      </c>
      <c r="I229" s="23">
        <v>57194</v>
      </c>
      <c r="J229" s="23">
        <v>24258</v>
      </c>
      <c r="K229" s="23">
        <v>101</v>
      </c>
      <c r="L229" s="21" t="s">
        <v>19</v>
      </c>
      <c r="M229" s="21" t="s">
        <v>37</v>
      </c>
      <c r="N229" s="21" t="s">
        <v>49</v>
      </c>
      <c r="O229" s="24">
        <f t="shared" si="3"/>
        <v>3.1839004091338254E-2</v>
      </c>
    </row>
    <row r="230" spans="1:15">
      <c r="A230" s="19" t="s">
        <v>259</v>
      </c>
      <c r="B230" s="19" t="s">
        <v>27</v>
      </c>
      <c r="C230" s="20">
        <v>45346</v>
      </c>
      <c r="D230" s="21" t="s">
        <v>14</v>
      </c>
      <c r="E230" s="22" t="s">
        <v>361</v>
      </c>
      <c r="F230" s="23">
        <v>4653</v>
      </c>
      <c r="G230" s="23">
        <v>226</v>
      </c>
      <c r="H230" s="23">
        <v>349</v>
      </c>
      <c r="I230" s="23">
        <v>56876</v>
      </c>
      <c r="J230" s="23">
        <v>28452</v>
      </c>
      <c r="K230" s="23">
        <v>257</v>
      </c>
      <c r="L230" s="21" t="s">
        <v>19</v>
      </c>
      <c r="M230" s="21" t="s">
        <v>365</v>
      </c>
      <c r="N230" s="21" t="s">
        <v>20</v>
      </c>
      <c r="O230" s="24">
        <f t="shared" si="3"/>
        <v>9.191926295801392E-2</v>
      </c>
    </row>
    <row r="231" spans="1:15">
      <c r="A231" s="19" t="s">
        <v>260</v>
      </c>
      <c r="B231" s="19" t="s">
        <v>27</v>
      </c>
      <c r="C231" s="20">
        <v>45791</v>
      </c>
      <c r="D231" s="21" t="s">
        <v>14</v>
      </c>
      <c r="E231" s="22" t="s">
        <v>15</v>
      </c>
      <c r="F231" s="23">
        <v>1701</v>
      </c>
      <c r="G231" s="23">
        <v>272</v>
      </c>
      <c r="H231" s="23">
        <v>385</v>
      </c>
      <c r="I231" s="23">
        <v>47496</v>
      </c>
      <c r="J231" s="23">
        <v>40832</v>
      </c>
      <c r="K231" s="23">
        <v>246</v>
      </c>
      <c r="L231" s="21" t="s">
        <v>19</v>
      </c>
      <c r="M231" s="21" t="s">
        <v>365</v>
      </c>
      <c r="N231" s="21" t="s">
        <v>20</v>
      </c>
      <c r="O231" s="24">
        <f t="shared" si="3"/>
        <v>4.9646286003031836E-2</v>
      </c>
    </row>
    <row r="232" spans="1:15">
      <c r="A232" s="19" t="s">
        <v>261</v>
      </c>
      <c r="B232" s="19" t="s">
        <v>13</v>
      </c>
      <c r="C232" s="20">
        <v>45379</v>
      </c>
      <c r="D232" s="21" t="s">
        <v>14</v>
      </c>
      <c r="E232" s="22" t="s">
        <v>362</v>
      </c>
      <c r="F232" s="23">
        <v>1673</v>
      </c>
      <c r="G232" s="23">
        <v>280</v>
      </c>
      <c r="H232" s="23">
        <v>67</v>
      </c>
      <c r="I232" s="23">
        <v>29847</v>
      </c>
      <c r="J232" s="23">
        <v>48016</v>
      </c>
      <c r="K232" s="23">
        <v>213</v>
      </c>
      <c r="L232" s="21" t="s">
        <v>37</v>
      </c>
      <c r="M232" s="21" t="s">
        <v>34</v>
      </c>
      <c r="N232" s="21" t="s">
        <v>16</v>
      </c>
      <c r="O232" s="24">
        <f t="shared" si="3"/>
        <v>6.76784936509532E-2</v>
      </c>
    </row>
    <row r="233" spans="1:15">
      <c r="A233" s="19" t="s">
        <v>262</v>
      </c>
      <c r="B233" s="19" t="s">
        <v>27</v>
      </c>
      <c r="C233" s="20">
        <v>45723</v>
      </c>
      <c r="D233" s="21" t="s">
        <v>14</v>
      </c>
      <c r="E233" s="22" t="s">
        <v>33</v>
      </c>
      <c r="F233" s="23">
        <v>4310</v>
      </c>
      <c r="G233" s="23">
        <v>284</v>
      </c>
      <c r="H233" s="23">
        <v>306</v>
      </c>
      <c r="I233" s="23">
        <v>44606</v>
      </c>
      <c r="J233" s="23">
        <v>42604</v>
      </c>
      <c r="K233" s="23">
        <v>290</v>
      </c>
      <c r="L233" s="21" t="s">
        <v>19</v>
      </c>
      <c r="M233" s="21" t="s">
        <v>365</v>
      </c>
      <c r="N233" s="21" t="s">
        <v>20</v>
      </c>
      <c r="O233" s="24">
        <f t="shared" si="3"/>
        <v>0.10985069273191947</v>
      </c>
    </row>
    <row r="234" spans="1:15">
      <c r="A234" s="19" t="s">
        <v>263</v>
      </c>
      <c r="B234" s="19" t="s">
        <v>22</v>
      </c>
      <c r="C234" s="20">
        <v>45585</v>
      </c>
      <c r="D234" s="21" t="s">
        <v>14</v>
      </c>
      <c r="E234" s="22" t="s">
        <v>363</v>
      </c>
      <c r="F234" s="23">
        <v>2752</v>
      </c>
      <c r="G234" s="23">
        <v>309</v>
      </c>
      <c r="H234" s="23">
        <v>91</v>
      </c>
      <c r="I234" s="23">
        <v>39038</v>
      </c>
      <c r="J234" s="23">
        <v>28095</v>
      </c>
      <c r="K234" s="23">
        <v>277</v>
      </c>
      <c r="L234" s="21" t="s">
        <v>34</v>
      </c>
      <c r="M234" s="21"/>
      <c r="N234" s="21" t="s">
        <v>16</v>
      </c>
      <c r="O234" s="24">
        <f t="shared" si="3"/>
        <v>8.0741841282852611E-2</v>
      </c>
    </row>
    <row r="235" spans="1:15">
      <c r="A235" s="19" t="s">
        <v>264</v>
      </c>
      <c r="B235" s="19" t="s">
        <v>22</v>
      </c>
      <c r="C235" s="20">
        <v>45324</v>
      </c>
      <c r="D235" s="21" t="s">
        <v>14</v>
      </c>
      <c r="E235" s="22" t="s">
        <v>363</v>
      </c>
      <c r="F235" s="23">
        <v>3818</v>
      </c>
      <c r="G235" s="23">
        <v>115</v>
      </c>
      <c r="H235" s="23">
        <v>286</v>
      </c>
      <c r="I235" s="23">
        <v>25127</v>
      </c>
      <c r="J235" s="23">
        <v>22277</v>
      </c>
      <c r="K235" s="23">
        <v>263</v>
      </c>
      <c r="L235" s="21" t="s">
        <v>34</v>
      </c>
      <c r="M235" s="21"/>
      <c r="N235" s="21" t="s">
        <v>16</v>
      </c>
      <c r="O235" s="24">
        <f t="shared" si="3"/>
        <v>0.16790703227603773</v>
      </c>
    </row>
    <row r="236" spans="1:15">
      <c r="A236" s="19" t="s">
        <v>265</v>
      </c>
      <c r="B236" s="19" t="s">
        <v>27</v>
      </c>
      <c r="C236" s="20">
        <v>45542</v>
      </c>
      <c r="D236" s="21" t="s">
        <v>14</v>
      </c>
      <c r="E236" s="22" t="s">
        <v>42</v>
      </c>
      <c r="F236" s="23">
        <v>2101</v>
      </c>
      <c r="G236" s="23">
        <v>411</v>
      </c>
      <c r="H236" s="23">
        <v>190</v>
      </c>
      <c r="I236" s="23">
        <v>41791</v>
      </c>
      <c r="J236" s="23">
        <v>57090</v>
      </c>
      <c r="K236" s="23">
        <v>172</v>
      </c>
      <c r="L236" s="21" t="s">
        <v>19</v>
      </c>
      <c r="M236" s="21" t="s">
        <v>365</v>
      </c>
      <c r="N236" s="21" t="s">
        <v>20</v>
      </c>
      <c r="O236" s="24">
        <f t="shared" si="3"/>
        <v>6.4655069273288512E-2</v>
      </c>
    </row>
    <row r="237" spans="1:15">
      <c r="A237" s="19" t="s">
        <v>266</v>
      </c>
      <c r="B237" s="19" t="s">
        <v>13</v>
      </c>
      <c r="C237" s="20">
        <v>45646</v>
      </c>
      <c r="D237" s="21" t="s">
        <v>14</v>
      </c>
      <c r="E237" s="22" t="s">
        <v>15</v>
      </c>
      <c r="F237" s="23">
        <v>2519</v>
      </c>
      <c r="G237" s="23">
        <v>202</v>
      </c>
      <c r="H237" s="23">
        <v>239</v>
      </c>
      <c r="I237" s="23">
        <v>36245</v>
      </c>
      <c r="J237" s="23">
        <v>48606</v>
      </c>
      <c r="K237" s="23">
        <v>145</v>
      </c>
      <c r="L237" s="21" t="s">
        <v>19</v>
      </c>
      <c r="M237" s="21"/>
      <c r="N237" s="21" t="s">
        <v>20</v>
      </c>
      <c r="O237" s="24">
        <f t="shared" si="3"/>
        <v>8.1666436749896543E-2</v>
      </c>
    </row>
    <row r="238" spans="1:15">
      <c r="A238" s="19" t="s">
        <v>267</v>
      </c>
      <c r="B238" s="19" t="s">
        <v>27</v>
      </c>
      <c r="C238" s="20">
        <v>45305</v>
      </c>
      <c r="D238" s="21" t="s">
        <v>14</v>
      </c>
      <c r="E238" s="22" t="s">
        <v>362</v>
      </c>
      <c r="F238" s="23">
        <v>4502</v>
      </c>
      <c r="G238" s="23">
        <v>238</v>
      </c>
      <c r="H238" s="23">
        <v>386</v>
      </c>
      <c r="I238" s="23">
        <v>39198</v>
      </c>
      <c r="J238" s="23">
        <v>25050</v>
      </c>
      <c r="K238" s="23">
        <v>297</v>
      </c>
      <c r="L238" s="21" t="s">
        <v>19</v>
      </c>
      <c r="M238" s="21" t="s">
        <v>365</v>
      </c>
      <c r="N238" s="21" t="s">
        <v>20</v>
      </c>
      <c r="O238" s="24">
        <f t="shared" si="3"/>
        <v>0.13077197816215114</v>
      </c>
    </row>
    <row r="239" spans="1:15">
      <c r="A239" s="19" t="s">
        <v>268</v>
      </c>
      <c r="B239" s="19" t="s">
        <v>13</v>
      </c>
      <c r="C239" s="20">
        <v>45823</v>
      </c>
      <c r="D239" s="21" t="s">
        <v>14</v>
      </c>
      <c r="E239" s="22" t="s">
        <v>18</v>
      </c>
      <c r="F239" s="23">
        <v>2478</v>
      </c>
      <c r="G239" s="23">
        <v>427</v>
      </c>
      <c r="H239" s="23">
        <v>242</v>
      </c>
      <c r="I239" s="23">
        <v>59272</v>
      </c>
      <c r="J239" s="23">
        <v>37833</v>
      </c>
      <c r="K239" s="23">
        <v>214</v>
      </c>
      <c r="L239" s="21" t="s">
        <v>37</v>
      </c>
      <c r="M239" s="21" t="s">
        <v>34</v>
      </c>
      <c r="N239" s="21" t="s">
        <v>16</v>
      </c>
      <c r="O239" s="24">
        <f t="shared" si="3"/>
        <v>5.3094209744904843E-2</v>
      </c>
    </row>
    <row r="240" spans="1:15">
      <c r="A240" s="19" t="s">
        <v>269</v>
      </c>
      <c r="B240" s="19" t="s">
        <v>22</v>
      </c>
      <c r="C240" s="20">
        <v>45639</v>
      </c>
      <c r="D240" s="21" t="s">
        <v>23</v>
      </c>
      <c r="E240" s="22" t="s">
        <v>24</v>
      </c>
      <c r="F240" s="23">
        <v>4984</v>
      </c>
      <c r="G240" s="23">
        <v>300</v>
      </c>
      <c r="H240" s="23">
        <v>338</v>
      </c>
      <c r="I240" s="23">
        <v>32900</v>
      </c>
      <c r="J240" s="23">
        <v>31691</v>
      </c>
      <c r="K240" s="23">
        <v>160</v>
      </c>
      <c r="L240" s="21" t="s">
        <v>364</v>
      </c>
      <c r="M240" s="21" t="s">
        <v>34</v>
      </c>
      <c r="N240" s="21" t="s">
        <v>16</v>
      </c>
      <c r="O240" s="24">
        <f t="shared" si="3"/>
        <v>0.17088145896656534</v>
      </c>
    </row>
    <row r="241" spans="1:15">
      <c r="A241" s="19" t="s">
        <v>270</v>
      </c>
      <c r="B241" s="19" t="s">
        <v>27</v>
      </c>
      <c r="C241" s="20">
        <v>45533</v>
      </c>
      <c r="D241" s="21" t="s">
        <v>14</v>
      </c>
      <c r="E241" s="22" t="s">
        <v>360</v>
      </c>
      <c r="F241" s="23">
        <v>4774</v>
      </c>
      <c r="G241" s="23">
        <v>389</v>
      </c>
      <c r="H241" s="23">
        <v>358</v>
      </c>
      <c r="I241" s="23">
        <v>52346</v>
      </c>
      <c r="J241" s="23">
        <v>30518</v>
      </c>
      <c r="K241" s="23">
        <v>277</v>
      </c>
      <c r="L241" s="21" t="s">
        <v>19</v>
      </c>
      <c r="M241" s="21" t="s">
        <v>365</v>
      </c>
      <c r="N241" s="21" t="s">
        <v>20</v>
      </c>
      <c r="O241" s="24">
        <f t="shared" si="3"/>
        <v>0.10547128720437092</v>
      </c>
    </row>
    <row r="242" spans="1:15">
      <c r="A242" s="19" t="s">
        <v>271</v>
      </c>
      <c r="B242" s="19" t="s">
        <v>22</v>
      </c>
      <c r="C242" s="20">
        <v>45550</v>
      </c>
      <c r="D242" s="21" t="s">
        <v>14</v>
      </c>
      <c r="E242" s="22" t="s">
        <v>30</v>
      </c>
      <c r="F242" s="23">
        <v>2145</v>
      </c>
      <c r="G242" s="23">
        <v>340</v>
      </c>
      <c r="H242" s="23">
        <v>85</v>
      </c>
      <c r="I242" s="23">
        <v>53323</v>
      </c>
      <c r="J242" s="23">
        <v>49938</v>
      </c>
      <c r="K242" s="23">
        <v>104</v>
      </c>
      <c r="L242" s="21" t="s">
        <v>34</v>
      </c>
      <c r="M242" s="21"/>
      <c r="N242" s="21" t="s">
        <v>16</v>
      </c>
      <c r="O242" s="24">
        <f t="shared" si="3"/>
        <v>4.819683813738912E-2</v>
      </c>
    </row>
    <row r="243" spans="1:15">
      <c r="A243" s="19" t="s">
        <v>272</v>
      </c>
      <c r="B243" s="19" t="s">
        <v>22</v>
      </c>
      <c r="C243" s="20">
        <v>45759</v>
      </c>
      <c r="D243" s="21" t="s">
        <v>23</v>
      </c>
      <c r="E243" s="22" t="s">
        <v>363</v>
      </c>
      <c r="F243" s="23">
        <v>4315</v>
      </c>
      <c r="G243" s="23">
        <v>208</v>
      </c>
      <c r="H243" s="23">
        <v>273</v>
      </c>
      <c r="I243" s="23">
        <v>35780</v>
      </c>
      <c r="J243" s="23">
        <v>44349</v>
      </c>
      <c r="K243" s="23">
        <v>133</v>
      </c>
      <c r="L243" s="21" t="s">
        <v>19</v>
      </c>
      <c r="M243" s="21" t="s">
        <v>364</v>
      </c>
      <c r="N243" s="21" t="s">
        <v>16</v>
      </c>
      <c r="O243" s="24">
        <f t="shared" si="3"/>
        <v>0.13404136389044158</v>
      </c>
    </row>
    <row r="244" spans="1:15">
      <c r="A244" s="19" t="s">
        <v>273</v>
      </c>
      <c r="B244" s="19" t="s">
        <v>22</v>
      </c>
      <c r="C244" s="20">
        <v>45636</v>
      </c>
      <c r="D244" s="21" t="s">
        <v>23</v>
      </c>
      <c r="E244" s="22" t="s">
        <v>360</v>
      </c>
      <c r="F244" s="23">
        <v>2267</v>
      </c>
      <c r="G244" s="23">
        <v>230</v>
      </c>
      <c r="H244" s="23">
        <v>243</v>
      </c>
      <c r="I244" s="23">
        <v>27904</v>
      </c>
      <c r="J244" s="23">
        <v>69771</v>
      </c>
      <c r="K244" s="23">
        <v>255</v>
      </c>
      <c r="L244" s="21" t="s">
        <v>19</v>
      </c>
      <c r="M244" s="21" t="s">
        <v>364</v>
      </c>
      <c r="N244" s="21" t="s">
        <v>16</v>
      </c>
      <c r="O244" s="24">
        <f t="shared" si="3"/>
        <v>9.8193807339449546E-2</v>
      </c>
    </row>
    <row r="245" spans="1:15">
      <c r="A245" s="19" t="s">
        <v>274</v>
      </c>
      <c r="B245" s="19" t="s">
        <v>27</v>
      </c>
      <c r="C245" s="20">
        <v>45816</v>
      </c>
      <c r="D245" s="21" t="s">
        <v>14</v>
      </c>
      <c r="E245" s="22" t="s">
        <v>361</v>
      </c>
      <c r="F245" s="23">
        <v>4375</v>
      </c>
      <c r="G245" s="23">
        <v>303</v>
      </c>
      <c r="H245" s="23">
        <v>294</v>
      </c>
      <c r="I245" s="23">
        <v>57468</v>
      </c>
      <c r="J245" s="23">
        <v>53397</v>
      </c>
      <c r="K245" s="23">
        <v>159</v>
      </c>
      <c r="L245" s="21" t="s">
        <v>19</v>
      </c>
      <c r="M245" s="21" t="s">
        <v>365</v>
      </c>
      <c r="N245" s="21" t="s">
        <v>20</v>
      </c>
      <c r="O245" s="24">
        <f t="shared" si="3"/>
        <v>8.6517714206166912E-2</v>
      </c>
    </row>
    <row r="246" spans="1:15">
      <c r="A246" s="19" t="s">
        <v>275</v>
      </c>
      <c r="B246" s="19" t="s">
        <v>22</v>
      </c>
      <c r="C246" s="20">
        <v>45666</v>
      </c>
      <c r="D246" s="21" t="s">
        <v>23</v>
      </c>
      <c r="E246" s="22" t="s">
        <v>42</v>
      </c>
      <c r="F246" s="23">
        <v>3817</v>
      </c>
      <c r="G246" s="23">
        <v>284</v>
      </c>
      <c r="H246" s="23">
        <v>204</v>
      </c>
      <c r="I246" s="23">
        <v>46434</v>
      </c>
      <c r="J246" s="23">
        <v>53396</v>
      </c>
      <c r="K246" s="23">
        <v>104</v>
      </c>
      <c r="L246" s="21" t="s">
        <v>364</v>
      </c>
      <c r="M246" s="21" t="s">
        <v>34</v>
      </c>
      <c r="N246" s="21" t="s">
        <v>16</v>
      </c>
      <c r="O246" s="24">
        <f t="shared" si="3"/>
        <v>9.2712236723090841E-2</v>
      </c>
    </row>
    <row r="247" spans="1:15">
      <c r="A247" s="19" t="s">
        <v>276</v>
      </c>
      <c r="B247" s="19" t="s">
        <v>22</v>
      </c>
      <c r="C247" s="20">
        <v>45481</v>
      </c>
      <c r="D247" s="21" t="s">
        <v>23</v>
      </c>
      <c r="E247" s="22" t="s">
        <v>33</v>
      </c>
      <c r="F247" s="23">
        <v>2981</v>
      </c>
      <c r="G247" s="23">
        <v>258</v>
      </c>
      <c r="H247" s="23">
        <v>168</v>
      </c>
      <c r="I247" s="23">
        <v>20677</v>
      </c>
      <c r="J247" s="23">
        <v>68290</v>
      </c>
      <c r="K247" s="23">
        <v>130</v>
      </c>
      <c r="L247" s="21" t="s">
        <v>37</v>
      </c>
      <c r="M247" s="21" t="s">
        <v>34</v>
      </c>
      <c r="N247" s="21" t="s">
        <v>16</v>
      </c>
      <c r="O247" s="24">
        <f t="shared" si="3"/>
        <v>0.16477245248343569</v>
      </c>
    </row>
    <row r="248" spans="1:15">
      <c r="A248" s="19" t="s">
        <v>277</v>
      </c>
      <c r="B248" s="19" t="s">
        <v>22</v>
      </c>
      <c r="C248" s="20">
        <v>45551</v>
      </c>
      <c r="D248" s="21" t="s">
        <v>23</v>
      </c>
      <c r="E248" s="22" t="s">
        <v>42</v>
      </c>
      <c r="F248" s="23">
        <v>3300</v>
      </c>
      <c r="G248" s="23">
        <v>354</v>
      </c>
      <c r="H248" s="23">
        <v>397</v>
      </c>
      <c r="I248" s="23">
        <v>56773</v>
      </c>
      <c r="J248" s="23">
        <v>72110</v>
      </c>
      <c r="K248" s="23">
        <v>163</v>
      </c>
      <c r="L248" s="21" t="s">
        <v>19</v>
      </c>
      <c r="M248" s="21" t="s">
        <v>364</v>
      </c>
      <c r="N248" s="21" t="s">
        <v>16</v>
      </c>
      <c r="O248" s="24">
        <f t="shared" si="3"/>
        <v>7.1354340971940891E-2</v>
      </c>
    </row>
    <row r="249" spans="1:15">
      <c r="A249" s="19" t="s">
        <v>278</v>
      </c>
      <c r="B249" s="19" t="s">
        <v>27</v>
      </c>
      <c r="C249" s="20">
        <v>45457</v>
      </c>
      <c r="D249" s="21" t="s">
        <v>48</v>
      </c>
      <c r="E249" s="22" t="s">
        <v>360</v>
      </c>
      <c r="F249" s="23">
        <v>4722</v>
      </c>
      <c r="G249" s="23">
        <v>310</v>
      </c>
      <c r="H249" s="23">
        <v>344</v>
      </c>
      <c r="I249" s="23">
        <v>27911</v>
      </c>
      <c r="J249" s="23">
        <v>19000</v>
      </c>
      <c r="K249" s="23">
        <v>225</v>
      </c>
      <c r="L249" s="21" t="s">
        <v>19</v>
      </c>
      <c r="M249" s="21" t="s">
        <v>37</v>
      </c>
      <c r="N249" s="21" t="s">
        <v>49</v>
      </c>
      <c r="O249" s="24">
        <f t="shared" si="3"/>
        <v>0.19261223173659131</v>
      </c>
    </row>
    <row r="250" spans="1:15">
      <c r="A250" s="19" t="s">
        <v>279</v>
      </c>
      <c r="B250" s="19" t="s">
        <v>13</v>
      </c>
      <c r="C250" s="20">
        <v>45357</v>
      </c>
      <c r="D250" s="21" t="s">
        <v>14</v>
      </c>
      <c r="E250" s="22" t="s">
        <v>362</v>
      </c>
      <c r="F250" s="23">
        <v>3529</v>
      </c>
      <c r="G250" s="23">
        <v>263</v>
      </c>
      <c r="H250" s="23">
        <v>107</v>
      </c>
      <c r="I250" s="23">
        <v>26570</v>
      </c>
      <c r="J250" s="23">
        <v>19367</v>
      </c>
      <c r="K250" s="23">
        <v>96</v>
      </c>
      <c r="L250" s="21" t="s">
        <v>19</v>
      </c>
      <c r="M250" s="21"/>
      <c r="N250" s="21" t="s">
        <v>20</v>
      </c>
      <c r="O250" s="24">
        <f t="shared" si="3"/>
        <v>0.14674444862627023</v>
      </c>
    </row>
    <row r="251" spans="1:15">
      <c r="A251" s="19" t="s">
        <v>280</v>
      </c>
      <c r="B251" s="19" t="s">
        <v>22</v>
      </c>
      <c r="C251" s="20">
        <v>45792</v>
      </c>
      <c r="D251" s="21" t="s">
        <v>14</v>
      </c>
      <c r="E251" s="22" t="s">
        <v>42</v>
      </c>
      <c r="F251" s="23">
        <v>4782</v>
      </c>
      <c r="G251" s="23">
        <v>210</v>
      </c>
      <c r="H251" s="23">
        <v>311</v>
      </c>
      <c r="I251" s="23">
        <v>29793</v>
      </c>
      <c r="J251" s="23">
        <v>37543</v>
      </c>
      <c r="K251" s="23">
        <v>145</v>
      </c>
      <c r="L251" s="21" t="s">
        <v>34</v>
      </c>
      <c r="M251" s="21"/>
      <c r="N251" s="21" t="s">
        <v>16</v>
      </c>
      <c r="O251" s="24">
        <f t="shared" si="3"/>
        <v>0.17799483100057059</v>
      </c>
    </row>
    <row r="252" spans="1:15">
      <c r="A252" s="19" t="s">
        <v>281</v>
      </c>
      <c r="B252" s="19" t="s">
        <v>22</v>
      </c>
      <c r="C252" s="20">
        <v>45480</v>
      </c>
      <c r="D252" s="21" t="s">
        <v>14</v>
      </c>
      <c r="E252" s="22" t="s">
        <v>362</v>
      </c>
      <c r="F252" s="23">
        <v>1848</v>
      </c>
      <c r="G252" s="23">
        <v>417</v>
      </c>
      <c r="H252" s="23">
        <v>294</v>
      </c>
      <c r="I252" s="23">
        <v>57819</v>
      </c>
      <c r="J252" s="23">
        <v>19798</v>
      </c>
      <c r="K252" s="23">
        <v>262</v>
      </c>
      <c r="L252" s="21" t="s">
        <v>37</v>
      </c>
      <c r="M252" s="21"/>
      <c r="N252" s="21" t="s">
        <v>20</v>
      </c>
      <c r="O252" s="24">
        <f t="shared" si="3"/>
        <v>4.4258807658382193E-2</v>
      </c>
    </row>
    <row r="253" spans="1:15">
      <c r="A253" s="19" t="s">
        <v>282</v>
      </c>
      <c r="B253" s="19" t="s">
        <v>27</v>
      </c>
      <c r="C253" s="20">
        <v>45591</v>
      </c>
      <c r="D253" s="21" t="s">
        <v>14</v>
      </c>
      <c r="E253" s="22" t="s">
        <v>24</v>
      </c>
      <c r="F253" s="23">
        <v>4676</v>
      </c>
      <c r="G253" s="23">
        <v>211</v>
      </c>
      <c r="H253" s="23">
        <v>55</v>
      </c>
      <c r="I253" s="23">
        <v>45917</v>
      </c>
      <c r="J253" s="23">
        <v>73503</v>
      </c>
      <c r="K253" s="23">
        <v>248</v>
      </c>
      <c r="L253" s="21" t="s">
        <v>19</v>
      </c>
      <c r="M253" s="21" t="s">
        <v>365</v>
      </c>
      <c r="N253" s="21" t="s">
        <v>20</v>
      </c>
      <c r="O253" s="24">
        <f t="shared" si="3"/>
        <v>0.10762898272970794</v>
      </c>
    </row>
    <row r="254" spans="1:15">
      <c r="A254" s="19" t="s">
        <v>283</v>
      </c>
      <c r="B254" s="19" t="s">
        <v>27</v>
      </c>
      <c r="C254" s="20">
        <v>45512</v>
      </c>
      <c r="D254" s="21" t="s">
        <v>14</v>
      </c>
      <c r="E254" s="22" t="s">
        <v>363</v>
      </c>
      <c r="F254" s="23">
        <v>1994</v>
      </c>
      <c r="G254" s="23">
        <v>197</v>
      </c>
      <c r="H254" s="23">
        <v>290</v>
      </c>
      <c r="I254" s="23">
        <v>49500</v>
      </c>
      <c r="J254" s="23">
        <v>23343</v>
      </c>
      <c r="K254" s="23">
        <v>160</v>
      </c>
      <c r="L254" s="21" t="s">
        <v>19</v>
      </c>
      <c r="M254" s="21" t="s">
        <v>365</v>
      </c>
      <c r="N254" s="21" t="s">
        <v>20</v>
      </c>
      <c r="O254" s="24">
        <f t="shared" si="3"/>
        <v>5.0121212121212122E-2</v>
      </c>
    </row>
    <row r="255" spans="1:15">
      <c r="A255" s="19" t="s">
        <v>284</v>
      </c>
      <c r="B255" s="19" t="s">
        <v>22</v>
      </c>
      <c r="C255" s="20">
        <v>45691</v>
      </c>
      <c r="D255" s="21" t="s">
        <v>14</v>
      </c>
      <c r="E255" s="22" t="s">
        <v>362</v>
      </c>
      <c r="F255" s="23">
        <v>4995</v>
      </c>
      <c r="G255" s="23">
        <v>231</v>
      </c>
      <c r="H255" s="23">
        <v>94</v>
      </c>
      <c r="I255" s="23">
        <v>34431</v>
      </c>
      <c r="J255" s="23">
        <v>32560</v>
      </c>
      <c r="K255" s="23">
        <v>262</v>
      </c>
      <c r="L255" s="21" t="s">
        <v>34</v>
      </c>
      <c r="M255" s="21"/>
      <c r="N255" s="21" t="s">
        <v>16</v>
      </c>
      <c r="O255" s="24">
        <f t="shared" si="3"/>
        <v>0.15451192239551567</v>
      </c>
    </row>
    <row r="256" spans="1:15">
      <c r="A256" s="19" t="s">
        <v>285</v>
      </c>
      <c r="B256" s="19" t="s">
        <v>22</v>
      </c>
      <c r="C256" s="20">
        <v>45385</v>
      </c>
      <c r="D256" s="21" t="s">
        <v>23</v>
      </c>
      <c r="E256" s="22" t="s">
        <v>33</v>
      </c>
      <c r="F256" s="23">
        <v>2291</v>
      </c>
      <c r="G256" s="23">
        <v>146</v>
      </c>
      <c r="H256" s="23">
        <v>399</v>
      </c>
      <c r="I256" s="23">
        <v>49319</v>
      </c>
      <c r="J256" s="23">
        <v>28056</v>
      </c>
      <c r="K256" s="23">
        <v>90</v>
      </c>
      <c r="L256" s="21" t="s">
        <v>19</v>
      </c>
      <c r="M256" s="21" t="s">
        <v>364</v>
      </c>
      <c r="N256" s="21" t="s">
        <v>16</v>
      </c>
      <c r="O256" s="24">
        <f t="shared" si="3"/>
        <v>5.7503193495407452E-2</v>
      </c>
    </row>
    <row r="257" spans="1:15">
      <c r="A257" s="19" t="s">
        <v>286</v>
      </c>
      <c r="B257" s="19" t="s">
        <v>22</v>
      </c>
      <c r="C257" s="20">
        <v>45481</v>
      </c>
      <c r="D257" s="21" t="s">
        <v>23</v>
      </c>
      <c r="E257" s="22" t="s">
        <v>360</v>
      </c>
      <c r="F257" s="23">
        <v>2304</v>
      </c>
      <c r="G257" s="23">
        <v>289</v>
      </c>
      <c r="H257" s="23">
        <v>161</v>
      </c>
      <c r="I257" s="23">
        <v>52645</v>
      </c>
      <c r="J257" s="23">
        <v>66262</v>
      </c>
      <c r="K257" s="23">
        <v>146</v>
      </c>
      <c r="L257" s="21" t="s">
        <v>364</v>
      </c>
      <c r="M257" s="21" t="s">
        <v>34</v>
      </c>
      <c r="N257" s="21" t="s">
        <v>16</v>
      </c>
      <c r="O257" s="24">
        <f t="shared" si="3"/>
        <v>5.2312660271630736E-2</v>
      </c>
    </row>
    <row r="258" spans="1:15">
      <c r="A258" s="19" t="s">
        <v>287</v>
      </c>
      <c r="B258" s="19" t="s">
        <v>22</v>
      </c>
      <c r="C258" s="20">
        <v>45451</v>
      </c>
      <c r="D258" s="21" t="s">
        <v>23</v>
      </c>
      <c r="E258" s="22" t="s">
        <v>33</v>
      </c>
      <c r="F258" s="23">
        <v>3413</v>
      </c>
      <c r="G258" s="23">
        <v>326</v>
      </c>
      <c r="H258" s="23">
        <v>86</v>
      </c>
      <c r="I258" s="23">
        <v>44680</v>
      </c>
      <c r="J258" s="23">
        <v>52719</v>
      </c>
      <c r="K258" s="23">
        <v>272</v>
      </c>
      <c r="L258" s="21" t="s">
        <v>19</v>
      </c>
      <c r="M258" s="21" t="s">
        <v>364</v>
      </c>
      <c r="N258" s="21" t="s">
        <v>16</v>
      </c>
      <c r="O258" s="24">
        <f t="shared" ref="O258:O301" si="4" xml:space="preserve"> (F258+ G258 + H258) / I258</f>
        <v>8.5608773500447627E-2</v>
      </c>
    </row>
    <row r="259" spans="1:15">
      <c r="A259" s="19" t="s">
        <v>288</v>
      </c>
      <c r="B259" s="19" t="s">
        <v>27</v>
      </c>
      <c r="C259" s="20">
        <v>45736</v>
      </c>
      <c r="D259" s="21" t="s">
        <v>48</v>
      </c>
      <c r="E259" s="22" t="s">
        <v>363</v>
      </c>
      <c r="F259" s="23">
        <v>1453</v>
      </c>
      <c r="G259" s="23">
        <v>156</v>
      </c>
      <c r="H259" s="23">
        <v>178</v>
      </c>
      <c r="I259" s="23">
        <v>52980</v>
      </c>
      <c r="J259" s="23">
        <v>57180</v>
      </c>
      <c r="K259" s="23">
        <v>286</v>
      </c>
      <c r="L259" s="21" t="s">
        <v>19</v>
      </c>
      <c r="M259" s="21" t="s">
        <v>37</v>
      </c>
      <c r="N259" s="21" t="s">
        <v>49</v>
      </c>
      <c r="O259" s="24">
        <f t="shared" si="4"/>
        <v>3.3729709324273313E-2</v>
      </c>
    </row>
    <row r="260" spans="1:15">
      <c r="A260" s="19" t="s">
        <v>289</v>
      </c>
      <c r="B260" s="19" t="s">
        <v>22</v>
      </c>
      <c r="C260" s="20">
        <v>45676</v>
      </c>
      <c r="D260" s="21" t="s">
        <v>23</v>
      </c>
      <c r="E260" s="22" t="s">
        <v>361</v>
      </c>
      <c r="F260" s="23">
        <v>1651</v>
      </c>
      <c r="G260" s="23">
        <v>480</v>
      </c>
      <c r="H260" s="23">
        <v>282</v>
      </c>
      <c r="I260" s="23">
        <v>32140</v>
      </c>
      <c r="J260" s="23">
        <v>70560</v>
      </c>
      <c r="K260" s="23">
        <v>138</v>
      </c>
      <c r="L260" s="21" t="s">
        <v>37</v>
      </c>
      <c r="M260" s="21" t="s">
        <v>34</v>
      </c>
      <c r="N260" s="21" t="s">
        <v>16</v>
      </c>
      <c r="O260" s="24">
        <f t="shared" si="4"/>
        <v>7.5077784691972627E-2</v>
      </c>
    </row>
    <row r="261" spans="1:15">
      <c r="A261" s="19" t="s">
        <v>290</v>
      </c>
      <c r="B261" s="19" t="s">
        <v>22</v>
      </c>
      <c r="C261" s="20">
        <v>45662</v>
      </c>
      <c r="D261" s="21" t="s">
        <v>23</v>
      </c>
      <c r="E261" s="22" t="s">
        <v>18</v>
      </c>
      <c r="F261" s="23">
        <v>3341</v>
      </c>
      <c r="G261" s="23">
        <v>154</v>
      </c>
      <c r="H261" s="23">
        <v>123</v>
      </c>
      <c r="I261" s="23">
        <v>43369</v>
      </c>
      <c r="J261" s="23">
        <v>49035</v>
      </c>
      <c r="K261" s="23">
        <v>128</v>
      </c>
      <c r="L261" s="21" t="s">
        <v>364</v>
      </c>
      <c r="M261" s="21" t="s">
        <v>34</v>
      </c>
      <c r="N261" s="21" t="s">
        <v>16</v>
      </c>
      <c r="O261" s="24">
        <f t="shared" si="4"/>
        <v>8.3423643616408028E-2</v>
      </c>
    </row>
    <row r="262" spans="1:15">
      <c r="A262" s="19" t="s">
        <v>291</v>
      </c>
      <c r="B262" s="19" t="s">
        <v>22</v>
      </c>
      <c r="C262" s="20">
        <v>45612</v>
      </c>
      <c r="D262" s="21" t="s">
        <v>14</v>
      </c>
      <c r="E262" s="22" t="s">
        <v>363</v>
      </c>
      <c r="F262" s="23">
        <v>2972</v>
      </c>
      <c r="G262" s="23">
        <v>263</v>
      </c>
      <c r="H262" s="23">
        <v>308</v>
      </c>
      <c r="I262" s="23">
        <v>51740</v>
      </c>
      <c r="J262" s="23">
        <v>28214</v>
      </c>
      <c r="K262" s="23">
        <v>190</v>
      </c>
      <c r="L262" s="21" t="s">
        <v>37</v>
      </c>
      <c r="M262" s="21"/>
      <c r="N262" s="21" t="s">
        <v>20</v>
      </c>
      <c r="O262" s="24">
        <f t="shared" si="4"/>
        <v>6.8477000386548123E-2</v>
      </c>
    </row>
    <row r="263" spans="1:15">
      <c r="A263" s="19" t="s">
        <v>292</v>
      </c>
      <c r="B263" s="19" t="s">
        <v>22</v>
      </c>
      <c r="C263" s="20">
        <v>45626</v>
      </c>
      <c r="D263" s="21" t="s">
        <v>23</v>
      </c>
      <c r="E263" s="22" t="s">
        <v>18</v>
      </c>
      <c r="F263" s="23">
        <v>4963</v>
      </c>
      <c r="G263" s="23">
        <v>255</v>
      </c>
      <c r="H263" s="23">
        <v>193</v>
      </c>
      <c r="I263" s="23">
        <v>44386</v>
      </c>
      <c r="J263" s="23">
        <v>28415</v>
      </c>
      <c r="K263" s="23">
        <v>174</v>
      </c>
      <c r="L263" s="21" t="s">
        <v>364</v>
      </c>
      <c r="M263" s="21" t="s">
        <v>34</v>
      </c>
      <c r="N263" s="21" t="s">
        <v>16</v>
      </c>
      <c r="O263" s="24">
        <f t="shared" si="4"/>
        <v>0.12190780876853062</v>
      </c>
    </row>
    <row r="264" spans="1:15">
      <c r="A264" s="19" t="s">
        <v>293</v>
      </c>
      <c r="B264" s="19" t="s">
        <v>27</v>
      </c>
      <c r="C264" s="20">
        <v>45378</v>
      </c>
      <c r="D264" s="21" t="s">
        <v>14</v>
      </c>
      <c r="E264" s="22" t="s">
        <v>361</v>
      </c>
      <c r="F264" s="23">
        <v>2399</v>
      </c>
      <c r="G264" s="23">
        <v>191</v>
      </c>
      <c r="H264" s="23">
        <v>221</v>
      </c>
      <c r="I264" s="23">
        <v>51603</v>
      </c>
      <c r="J264" s="23">
        <v>40033</v>
      </c>
      <c r="K264" s="23">
        <v>173</v>
      </c>
      <c r="L264" s="21" t="s">
        <v>19</v>
      </c>
      <c r="M264" s="21" t="s">
        <v>365</v>
      </c>
      <c r="N264" s="21" t="s">
        <v>20</v>
      </c>
      <c r="O264" s="24">
        <f t="shared" si="4"/>
        <v>5.4473577117609438E-2</v>
      </c>
    </row>
    <row r="265" spans="1:15">
      <c r="A265" s="19" t="s">
        <v>294</v>
      </c>
      <c r="B265" s="19" t="s">
        <v>27</v>
      </c>
      <c r="C265" s="20">
        <v>45808</v>
      </c>
      <c r="D265" s="21" t="s">
        <v>48</v>
      </c>
      <c r="E265" s="22" t="s">
        <v>30</v>
      </c>
      <c r="F265" s="23">
        <v>2162</v>
      </c>
      <c r="G265" s="23">
        <v>318</v>
      </c>
      <c r="H265" s="23">
        <v>83</v>
      </c>
      <c r="I265" s="23">
        <v>46719</v>
      </c>
      <c r="J265" s="23">
        <v>20482</v>
      </c>
      <c r="K265" s="23">
        <v>185</v>
      </c>
      <c r="L265" s="21" t="s">
        <v>19</v>
      </c>
      <c r="M265" s="21" t="s">
        <v>37</v>
      </c>
      <c r="N265" s="21" t="s">
        <v>49</v>
      </c>
      <c r="O265" s="24">
        <f t="shared" si="4"/>
        <v>5.4859907104176028E-2</v>
      </c>
    </row>
    <row r="266" spans="1:15">
      <c r="A266" s="19" t="s">
        <v>295</v>
      </c>
      <c r="B266" s="19" t="s">
        <v>22</v>
      </c>
      <c r="C266" s="20">
        <v>45825</v>
      </c>
      <c r="D266" s="21" t="s">
        <v>23</v>
      </c>
      <c r="E266" s="22" t="s">
        <v>18</v>
      </c>
      <c r="F266" s="23">
        <v>4341</v>
      </c>
      <c r="G266" s="23">
        <v>141</v>
      </c>
      <c r="H266" s="23">
        <v>63</v>
      </c>
      <c r="I266" s="23">
        <v>50081</v>
      </c>
      <c r="J266" s="23">
        <v>27507</v>
      </c>
      <c r="K266" s="23">
        <v>221</v>
      </c>
      <c r="L266" s="21" t="s">
        <v>19</v>
      </c>
      <c r="M266" s="21" t="s">
        <v>364</v>
      </c>
      <c r="N266" s="21" t="s">
        <v>16</v>
      </c>
      <c r="O266" s="24">
        <f t="shared" si="4"/>
        <v>9.0752980172121162E-2</v>
      </c>
    </row>
    <row r="267" spans="1:15">
      <c r="A267" s="19" t="s">
        <v>296</v>
      </c>
      <c r="B267" s="19" t="s">
        <v>13</v>
      </c>
      <c r="C267" s="20">
        <v>45442</v>
      </c>
      <c r="D267" s="21" t="s">
        <v>23</v>
      </c>
      <c r="E267" s="22" t="s">
        <v>30</v>
      </c>
      <c r="F267" s="23">
        <v>2448</v>
      </c>
      <c r="G267" s="23">
        <v>464</v>
      </c>
      <c r="H267" s="23">
        <v>98</v>
      </c>
      <c r="I267" s="23">
        <v>25737</v>
      </c>
      <c r="J267" s="23">
        <v>48545</v>
      </c>
      <c r="K267" s="23">
        <v>246</v>
      </c>
      <c r="L267" s="21" t="s">
        <v>34</v>
      </c>
      <c r="M267" s="21"/>
      <c r="N267" s="21" t="s">
        <v>46</v>
      </c>
      <c r="O267" s="24">
        <f t="shared" si="4"/>
        <v>0.11695224773672146</v>
      </c>
    </row>
    <row r="268" spans="1:15">
      <c r="A268" s="19" t="s">
        <v>297</v>
      </c>
      <c r="B268" s="19" t="s">
        <v>27</v>
      </c>
      <c r="C268" s="20">
        <v>45604</v>
      </c>
      <c r="D268" s="21" t="s">
        <v>14</v>
      </c>
      <c r="E268" s="22" t="s">
        <v>33</v>
      </c>
      <c r="F268" s="23">
        <v>2471</v>
      </c>
      <c r="G268" s="23">
        <v>166</v>
      </c>
      <c r="H268" s="23">
        <v>320</v>
      </c>
      <c r="I268" s="23">
        <v>48254</v>
      </c>
      <c r="J268" s="23">
        <v>46900</v>
      </c>
      <c r="K268" s="23">
        <v>111</v>
      </c>
      <c r="L268" s="21" t="s">
        <v>19</v>
      </c>
      <c r="M268" s="21" t="s">
        <v>365</v>
      </c>
      <c r="N268" s="21" t="s">
        <v>20</v>
      </c>
      <c r="O268" s="24">
        <f t="shared" si="4"/>
        <v>6.1279893894806647E-2</v>
      </c>
    </row>
    <row r="269" spans="1:15">
      <c r="A269" s="19" t="s">
        <v>298</v>
      </c>
      <c r="B269" s="19" t="s">
        <v>27</v>
      </c>
      <c r="C269" s="20">
        <v>45368</v>
      </c>
      <c r="D269" s="21" t="s">
        <v>48</v>
      </c>
      <c r="E269" s="22" t="s">
        <v>18</v>
      </c>
      <c r="F269" s="23">
        <v>2692</v>
      </c>
      <c r="G269" s="23">
        <v>446</v>
      </c>
      <c r="H269" s="23">
        <v>216</v>
      </c>
      <c r="I269" s="23">
        <v>45818</v>
      </c>
      <c r="J269" s="23">
        <v>62723</v>
      </c>
      <c r="K269" s="23">
        <v>85</v>
      </c>
      <c r="L269" s="21" t="s">
        <v>19</v>
      </c>
      <c r="M269" s="21" t="s">
        <v>37</v>
      </c>
      <c r="N269" s="21" t="s">
        <v>49</v>
      </c>
      <c r="O269" s="24">
        <f t="shared" si="4"/>
        <v>7.3202671439172376E-2</v>
      </c>
    </row>
    <row r="270" spans="1:15">
      <c r="A270" s="19" t="s">
        <v>299</v>
      </c>
      <c r="B270" s="19" t="s">
        <v>27</v>
      </c>
      <c r="C270" s="20">
        <v>45464</v>
      </c>
      <c r="D270" s="21" t="s">
        <v>48</v>
      </c>
      <c r="E270" s="22" t="s">
        <v>361</v>
      </c>
      <c r="F270" s="23">
        <v>4621</v>
      </c>
      <c r="G270" s="23">
        <v>374</v>
      </c>
      <c r="H270" s="23">
        <v>298</v>
      </c>
      <c r="I270" s="23">
        <v>56979</v>
      </c>
      <c r="J270" s="23">
        <v>24098</v>
      </c>
      <c r="K270" s="23">
        <v>205</v>
      </c>
      <c r="L270" s="21" t="s">
        <v>19</v>
      </c>
      <c r="M270" s="21" t="s">
        <v>37</v>
      </c>
      <c r="N270" s="21" t="s">
        <v>49</v>
      </c>
      <c r="O270" s="24">
        <f t="shared" si="4"/>
        <v>9.2893873181347508E-2</v>
      </c>
    </row>
    <row r="271" spans="1:15">
      <c r="A271" s="19" t="s">
        <v>300</v>
      </c>
      <c r="B271" s="19" t="s">
        <v>22</v>
      </c>
      <c r="C271" s="20">
        <v>45609</v>
      </c>
      <c r="D271" s="21" t="s">
        <v>23</v>
      </c>
      <c r="E271" s="22" t="s">
        <v>24</v>
      </c>
      <c r="F271" s="23">
        <v>1409</v>
      </c>
      <c r="G271" s="23">
        <v>466</v>
      </c>
      <c r="H271" s="23">
        <v>105</v>
      </c>
      <c r="I271" s="23">
        <v>58923</v>
      </c>
      <c r="J271" s="23">
        <v>38753</v>
      </c>
      <c r="K271" s="23">
        <v>265</v>
      </c>
      <c r="L271" s="21" t="s">
        <v>19</v>
      </c>
      <c r="M271" s="21" t="s">
        <v>364</v>
      </c>
      <c r="N271" s="21" t="s">
        <v>16</v>
      </c>
      <c r="O271" s="24">
        <f t="shared" si="4"/>
        <v>3.3603177027646251E-2</v>
      </c>
    </row>
    <row r="272" spans="1:15">
      <c r="A272" s="19" t="s">
        <v>301</v>
      </c>
      <c r="B272" s="19" t="s">
        <v>22</v>
      </c>
      <c r="C272" s="20">
        <v>45693</v>
      </c>
      <c r="D272" s="21" t="s">
        <v>23</v>
      </c>
      <c r="E272" s="22" t="s">
        <v>15</v>
      </c>
      <c r="F272" s="23">
        <v>3029</v>
      </c>
      <c r="G272" s="23">
        <v>440</v>
      </c>
      <c r="H272" s="23">
        <v>66</v>
      </c>
      <c r="I272" s="23">
        <v>23815</v>
      </c>
      <c r="J272" s="23">
        <v>47895</v>
      </c>
      <c r="K272" s="23">
        <v>210</v>
      </c>
      <c r="L272" s="21" t="s">
        <v>19</v>
      </c>
      <c r="M272" s="21" t="s">
        <v>364</v>
      </c>
      <c r="N272" s="21" t="s">
        <v>16</v>
      </c>
      <c r="O272" s="24">
        <f t="shared" si="4"/>
        <v>0.14843585975225698</v>
      </c>
    </row>
    <row r="273" spans="1:15">
      <c r="A273" s="19" t="s">
        <v>302</v>
      </c>
      <c r="B273" s="19" t="s">
        <v>22</v>
      </c>
      <c r="C273" s="20">
        <v>45603</v>
      </c>
      <c r="D273" s="21" t="s">
        <v>14</v>
      </c>
      <c r="E273" s="22" t="s">
        <v>18</v>
      </c>
      <c r="F273" s="23">
        <v>2229</v>
      </c>
      <c r="G273" s="23">
        <v>395</v>
      </c>
      <c r="H273" s="23">
        <v>328</v>
      </c>
      <c r="I273" s="23">
        <v>56921</v>
      </c>
      <c r="J273" s="23">
        <v>37176</v>
      </c>
      <c r="K273" s="23">
        <v>126</v>
      </c>
      <c r="L273" s="21" t="s">
        <v>37</v>
      </c>
      <c r="M273" s="21"/>
      <c r="N273" s="21" t="s">
        <v>20</v>
      </c>
      <c r="O273" s="24">
        <f t="shared" si="4"/>
        <v>5.1861351697967357E-2</v>
      </c>
    </row>
    <row r="274" spans="1:15">
      <c r="A274" s="19" t="s">
        <v>303</v>
      </c>
      <c r="B274" s="19" t="s">
        <v>22</v>
      </c>
      <c r="C274" s="20">
        <v>45334</v>
      </c>
      <c r="D274" s="21" t="s">
        <v>14</v>
      </c>
      <c r="E274" s="22" t="s">
        <v>18</v>
      </c>
      <c r="F274" s="23">
        <v>2691</v>
      </c>
      <c r="G274" s="23">
        <v>486</v>
      </c>
      <c r="H274" s="23">
        <v>206</v>
      </c>
      <c r="I274" s="23">
        <v>51133</v>
      </c>
      <c r="J274" s="23">
        <v>44583</v>
      </c>
      <c r="K274" s="23">
        <v>276</v>
      </c>
      <c r="L274" s="21" t="s">
        <v>34</v>
      </c>
      <c r="M274" s="21"/>
      <c r="N274" s="21" t="s">
        <v>16</v>
      </c>
      <c r="O274" s="24">
        <f t="shared" si="4"/>
        <v>6.6160796354604659E-2</v>
      </c>
    </row>
    <row r="275" spans="1:15">
      <c r="A275" s="19" t="s">
        <v>304</v>
      </c>
      <c r="B275" s="19" t="s">
        <v>13</v>
      </c>
      <c r="C275" s="20">
        <v>45573</v>
      </c>
      <c r="D275" s="21" t="s">
        <v>14</v>
      </c>
      <c r="E275" s="22" t="s">
        <v>18</v>
      </c>
      <c r="F275" s="23">
        <v>2110</v>
      </c>
      <c r="G275" s="23">
        <v>384</v>
      </c>
      <c r="H275" s="23">
        <v>236</v>
      </c>
      <c r="I275" s="23">
        <v>49965</v>
      </c>
      <c r="J275" s="23">
        <v>61555</v>
      </c>
      <c r="K275" s="23">
        <v>195</v>
      </c>
      <c r="L275" s="21" t="s">
        <v>19</v>
      </c>
      <c r="M275" s="21"/>
      <c r="N275" s="21" t="s">
        <v>20</v>
      </c>
      <c r="O275" s="24">
        <f t="shared" si="4"/>
        <v>5.4638246772740921E-2</v>
      </c>
    </row>
    <row r="276" spans="1:15">
      <c r="A276" s="19" t="s">
        <v>305</v>
      </c>
      <c r="B276" s="19" t="s">
        <v>13</v>
      </c>
      <c r="C276" s="20">
        <v>45341</v>
      </c>
      <c r="D276" s="21" t="s">
        <v>14</v>
      </c>
      <c r="E276" s="22" t="s">
        <v>360</v>
      </c>
      <c r="F276" s="23">
        <v>4752</v>
      </c>
      <c r="G276" s="23">
        <v>449</v>
      </c>
      <c r="H276" s="23">
        <v>309</v>
      </c>
      <c r="I276" s="23">
        <v>58530</v>
      </c>
      <c r="J276" s="23">
        <v>26630</v>
      </c>
      <c r="K276" s="23">
        <v>234</v>
      </c>
      <c r="L276" s="21" t="s">
        <v>19</v>
      </c>
      <c r="M276" s="21"/>
      <c r="N276" s="21" t="s">
        <v>20</v>
      </c>
      <c r="O276" s="24">
        <f t="shared" si="4"/>
        <v>9.4139757389372969E-2</v>
      </c>
    </row>
    <row r="277" spans="1:15">
      <c r="A277" s="19" t="s">
        <v>306</v>
      </c>
      <c r="B277" s="19" t="s">
        <v>22</v>
      </c>
      <c r="C277" s="20">
        <v>45720</v>
      </c>
      <c r="D277" s="21" t="s">
        <v>14</v>
      </c>
      <c r="E277" s="22" t="s">
        <v>15</v>
      </c>
      <c r="F277" s="23">
        <v>2177</v>
      </c>
      <c r="G277" s="23">
        <v>258</v>
      </c>
      <c r="H277" s="23">
        <v>292</v>
      </c>
      <c r="I277" s="23">
        <v>47276</v>
      </c>
      <c r="J277" s="23">
        <v>51324</v>
      </c>
      <c r="K277" s="23">
        <v>143</v>
      </c>
      <c r="L277" s="21" t="s">
        <v>34</v>
      </c>
      <c r="M277" s="21"/>
      <c r="N277" s="21" t="s">
        <v>16</v>
      </c>
      <c r="O277" s="24">
        <f t="shared" si="4"/>
        <v>5.7682545054573146E-2</v>
      </c>
    </row>
    <row r="278" spans="1:15">
      <c r="A278" s="19" t="s">
        <v>307</v>
      </c>
      <c r="B278" s="19" t="s">
        <v>13</v>
      </c>
      <c r="C278" s="20">
        <v>45691</v>
      </c>
      <c r="D278" s="21" t="s">
        <v>23</v>
      </c>
      <c r="E278" s="22" t="s">
        <v>24</v>
      </c>
      <c r="F278" s="23">
        <v>1205</v>
      </c>
      <c r="G278" s="23">
        <v>486</v>
      </c>
      <c r="H278" s="23">
        <v>269</v>
      </c>
      <c r="I278" s="23">
        <v>23341</v>
      </c>
      <c r="J278" s="23">
        <v>42411</v>
      </c>
      <c r="K278" s="23">
        <v>184</v>
      </c>
      <c r="L278" s="21" t="s">
        <v>34</v>
      </c>
      <c r="M278" s="21"/>
      <c r="N278" s="21" t="s">
        <v>46</v>
      </c>
      <c r="O278" s="24">
        <f t="shared" si="4"/>
        <v>8.3972409065592737E-2</v>
      </c>
    </row>
    <row r="279" spans="1:15">
      <c r="A279" s="19" t="s">
        <v>308</v>
      </c>
      <c r="B279" s="19" t="s">
        <v>13</v>
      </c>
      <c r="C279" s="20">
        <v>45628</v>
      </c>
      <c r="D279" s="21" t="s">
        <v>14</v>
      </c>
      <c r="E279" s="22" t="s">
        <v>33</v>
      </c>
      <c r="F279" s="23">
        <v>3194</v>
      </c>
      <c r="G279" s="23">
        <v>292</v>
      </c>
      <c r="H279" s="23">
        <v>245</v>
      </c>
      <c r="I279" s="23">
        <v>56371</v>
      </c>
      <c r="J279" s="23">
        <v>65597</v>
      </c>
      <c r="K279" s="23">
        <v>163</v>
      </c>
      <c r="L279" s="21" t="s">
        <v>37</v>
      </c>
      <c r="M279" s="21" t="s">
        <v>34</v>
      </c>
      <c r="N279" s="21" t="s">
        <v>16</v>
      </c>
      <c r="O279" s="24">
        <f t="shared" si="4"/>
        <v>6.6186514342481059E-2</v>
      </c>
    </row>
    <row r="280" spans="1:15">
      <c r="A280" s="19" t="s">
        <v>309</v>
      </c>
      <c r="B280" s="19" t="s">
        <v>22</v>
      </c>
      <c r="C280" s="20">
        <v>45676</v>
      </c>
      <c r="D280" s="21" t="s">
        <v>23</v>
      </c>
      <c r="E280" s="22" t="s">
        <v>24</v>
      </c>
      <c r="F280" s="23">
        <v>3507</v>
      </c>
      <c r="G280" s="23">
        <v>295</v>
      </c>
      <c r="H280" s="23">
        <v>371</v>
      </c>
      <c r="I280" s="23">
        <v>20410</v>
      </c>
      <c r="J280" s="23">
        <v>53965</v>
      </c>
      <c r="K280" s="23">
        <v>212</v>
      </c>
      <c r="L280" s="21" t="s">
        <v>37</v>
      </c>
      <c r="M280" s="21" t="s">
        <v>34</v>
      </c>
      <c r="N280" s="21" t="s">
        <v>16</v>
      </c>
      <c r="O280" s="24">
        <f t="shared" si="4"/>
        <v>0.20445859872611466</v>
      </c>
    </row>
    <row r="281" spans="1:15">
      <c r="A281" s="19" t="s">
        <v>310</v>
      </c>
      <c r="B281" s="19" t="s">
        <v>22</v>
      </c>
      <c r="C281" s="20">
        <v>45563</v>
      </c>
      <c r="D281" s="21" t="s">
        <v>23</v>
      </c>
      <c r="E281" s="22" t="s">
        <v>360</v>
      </c>
      <c r="F281" s="23">
        <v>4471</v>
      </c>
      <c r="G281" s="23">
        <v>317</v>
      </c>
      <c r="H281" s="23">
        <v>249</v>
      </c>
      <c r="I281" s="23">
        <v>44862</v>
      </c>
      <c r="J281" s="23">
        <v>33365</v>
      </c>
      <c r="K281" s="23">
        <v>184</v>
      </c>
      <c r="L281" s="21" t="s">
        <v>19</v>
      </c>
      <c r="M281" s="21" t="s">
        <v>364</v>
      </c>
      <c r="N281" s="21" t="s">
        <v>16</v>
      </c>
      <c r="O281" s="24">
        <f t="shared" si="4"/>
        <v>0.1122776514644911</v>
      </c>
    </row>
    <row r="282" spans="1:15">
      <c r="A282" s="19" t="s">
        <v>311</v>
      </c>
      <c r="B282" s="19" t="s">
        <v>13</v>
      </c>
      <c r="C282" s="20">
        <v>45298</v>
      </c>
      <c r="D282" s="21" t="s">
        <v>14</v>
      </c>
      <c r="E282" s="22" t="s">
        <v>33</v>
      </c>
      <c r="F282" s="23">
        <v>4931</v>
      </c>
      <c r="G282" s="23">
        <v>469</v>
      </c>
      <c r="H282" s="23">
        <v>193</v>
      </c>
      <c r="I282" s="23">
        <v>56701</v>
      </c>
      <c r="J282" s="23">
        <v>69437</v>
      </c>
      <c r="K282" s="23">
        <v>291</v>
      </c>
      <c r="L282" s="21" t="s">
        <v>37</v>
      </c>
      <c r="M282" s="21" t="s">
        <v>34</v>
      </c>
      <c r="N282" s="21" t="s">
        <v>16</v>
      </c>
      <c r="O282" s="24">
        <f t="shared" si="4"/>
        <v>9.8640235621946709E-2</v>
      </c>
    </row>
    <row r="283" spans="1:15">
      <c r="A283" s="19" t="s">
        <v>312</v>
      </c>
      <c r="B283" s="19" t="s">
        <v>22</v>
      </c>
      <c r="C283" s="20">
        <v>45343</v>
      </c>
      <c r="D283" s="21" t="s">
        <v>23</v>
      </c>
      <c r="E283" s="22" t="s">
        <v>30</v>
      </c>
      <c r="F283" s="23">
        <v>2604</v>
      </c>
      <c r="G283" s="23">
        <v>439</v>
      </c>
      <c r="H283" s="23">
        <v>148</v>
      </c>
      <c r="I283" s="23">
        <v>58468</v>
      </c>
      <c r="J283" s="23">
        <v>39629</v>
      </c>
      <c r="K283" s="23">
        <v>163</v>
      </c>
      <c r="L283" s="21" t="s">
        <v>364</v>
      </c>
      <c r="M283" s="21" t="s">
        <v>34</v>
      </c>
      <c r="N283" s="21" t="s">
        <v>16</v>
      </c>
      <c r="O283" s="24">
        <f t="shared" si="4"/>
        <v>5.4576862557296296E-2</v>
      </c>
    </row>
    <row r="284" spans="1:15">
      <c r="A284" s="19" t="s">
        <v>313</v>
      </c>
      <c r="B284" s="19" t="s">
        <v>13</v>
      </c>
      <c r="C284" s="20">
        <v>45531</v>
      </c>
      <c r="D284" s="21" t="s">
        <v>14</v>
      </c>
      <c r="E284" s="22" t="s">
        <v>361</v>
      </c>
      <c r="F284" s="23">
        <v>4197</v>
      </c>
      <c r="G284" s="23">
        <v>359</v>
      </c>
      <c r="H284" s="23">
        <v>280</v>
      </c>
      <c r="I284" s="23">
        <v>56048</v>
      </c>
      <c r="J284" s="23">
        <v>70930</v>
      </c>
      <c r="K284" s="23">
        <v>295</v>
      </c>
      <c r="L284" s="21" t="s">
        <v>19</v>
      </c>
      <c r="M284" s="21"/>
      <c r="N284" s="21" t="s">
        <v>20</v>
      </c>
      <c r="O284" s="24">
        <f t="shared" si="4"/>
        <v>8.628318584070796E-2</v>
      </c>
    </row>
    <row r="285" spans="1:15">
      <c r="A285" s="19" t="s">
        <v>314</v>
      </c>
      <c r="B285" s="19" t="s">
        <v>13</v>
      </c>
      <c r="C285" s="20">
        <v>45589</v>
      </c>
      <c r="D285" s="21" t="s">
        <v>23</v>
      </c>
      <c r="E285" s="22" t="s">
        <v>33</v>
      </c>
      <c r="F285" s="23">
        <v>1914</v>
      </c>
      <c r="G285" s="23">
        <v>255</v>
      </c>
      <c r="H285" s="23">
        <v>156</v>
      </c>
      <c r="I285" s="23">
        <v>27660</v>
      </c>
      <c r="J285" s="23">
        <v>47776</v>
      </c>
      <c r="K285" s="23">
        <v>111</v>
      </c>
      <c r="L285" s="21" t="s">
        <v>34</v>
      </c>
      <c r="M285" s="21"/>
      <c r="N285" s="21" t="s">
        <v>46</v>
      </c>
      <c r="O285" s="24">
        <f t="shared" si="4"/>
        <v>8.4056399132321047E-2</v>
      </c>
    </row>
    <row r="286" spans="1:15">
      <c r="A286" s="19" t="s">
        <v>315</v>
      </c>
      <c r="B286" s="19" t="s">
        <v>27</v>
      </c>
      <c r="C286" s="20">
        <v>45686</v>
      </c>
      <c r="D286" s="21" t="s">
        <v>14</v>
      </c>
      <c r="E286" s="22" t="s">
        <v>24</v>
      </c>
      <c r="F286" s="23">
        <v>1334</v>
      </c>
      <c r="G286" s="23">
        <v>357</v>
      </c>
      <c r="H286" s="23">
        <v>257</v>
      </c>
      <c r="I286" s="23">
        <v>56910</v>
      </c>
      <c r="J286" s="23">
        <v>70606</v>
      </c>
      <c r="K286" s="23">
        <v>228</v>
      </c>
      <c r="L286" s="21" t="s">
        <v>19</v>
      </c>
      <c r="M286" s="21" t="s">
        <v>365</v>
      </c>
      <c r="N286" s="21" t="s">
        <v>20</v>
      </c>
      <c r="O286" s="24">
        <f t="shared" si="4"/>
        <v>3.4229485151994379E-2</v>
      </c>
    </row>
    <row r="287" spans="1:15">
      <c r="A287" s="19" t="s">
        <v>316</v>
      </c>
      <c r="B287" s="19" t="s">
        <v>13</v>
      </c>
      <c r="C287" s="20">
        <v>45413</v>
      </c>
      <c r="D287" s="21" t="s">
        <v>14</v>
      </c>
      <c r="E287" s="22" t="s">
        <v>30</v>
      </c>
      <c r="F287" s="23">
        <v>3359</v>
      </c>
      <c r="G287" s="23">
        <v>137</v>
      </c>
      <c r="H287" s="23">
        <v>387</v>
      </c>
      <c r="I287" s="23">
        <v>33861</v>
      </c>
      <c r="J287" s="23">
        <v>47257</v>
      </c>
      <c r="K287" s="23">
        <v>198</v>
      </c>
      <c r="L287" s="21" t="s">
        <v>19</v>
      </c>
      <c r="M287" s="21"/>
      <c r="N287" s="21" t="s">
        <v>20</v>
      </c>
      <c r="O287" s="24">
        <f t="shared" si="4"/>
        <v>0.11467469950680724</v>
      </c>
    </row>
    <row r="288" spans="1:15">
      <c r="A288" s="19" t="s">
        <v>317</v>
      </c>
      <c r="B288" s="19" t="s">
        <v>27</v>
      </c>
      <c r="C288" s="20">
        <v>45468</v>
      </c>
      <c r="D288" s="21" t="s">
        <v>14</v>
      </c>
      <c r="E288" s="22" t="s">
        <v>42</v>
      </c>
      <c r="F288" s="23">
        <v>2172</v>
      </c>
      <c r="G288" s="23">
        <v>338</v>
      </c>
      <c r="H288" s="23">
        <v>70</v>
      </c>
      <c r="I288" s="23">
        <v>30515</v>
      </c>
      <c r="J288" s="23">
        <v>57853</v>
      </c>
      <c r="K288" s="23">
        <v>156</v>
      </c>
      <c r="L288" s="21" t="s">
        <v>19</v>
      </c>
      <c r="M288" s="21" t="s">
        <v>365</v>
      </c>
      <c r="N288" s="21" t="s">
        <v>20</v>
      </c>
      <c r="O288" s="24">
        <f t="shared" si="4"/>
        <v>8.4548582664263475E-2</v>
      </c>
    </row>
    <row r="289" spans="1:15">
      <c r="A289" s="19" t="s">
        <v>318</v>
      </c>
      <c r="B289" s="19" t="s">
        <v>22</v>
      </c>
      <c r="C289" s="20">
        <v>45513</v>
      </c>
      <c r="D289" s="21" t="s">
        <v>23</v>
      </c>
      <c r="E289" s="22" t="s">
        <v>363</v>
      </c>
      <c r="F289" s="23">
        <v>4877</v>
      </c>
      <c r="G289" s="23">
        <v>442</v>
      </c>
      <c r="H289" s="23">
        <v>236</v>
      </c>
      <c r="I289" s="23">
        <v>52673</v>
      </c>
      <c r="J289" s="23">
        <v>48241</v>
      </c>
      <c r="K289" s="23">
        <v>114</v>
      </c>
      <c r="L289" s="21" t="s">
        <v>19</v>
      </c>
      <c r="M289" s="21" t="s">
        <v>364</v>
      </c>
      <c r="N289" s="21" t="s">
        <v>16</v>
      </c>
      <c r="O289" s="24">
        <f t="shared" si="4"/>
        <v>0.10546200140489435</v>
      </c>
    </row>
    <row r="290" spans="1:15">
      <c r="A290" s="19" t="s">
        <v>319</v>
      </c>
      <c r="B290" s="19" t="s">
        <v>13</v>
      </c>
      <c r="C290" s="20">
        <v>45678</v>
      </c>
      <c r="D290" s="21" t="s">
        <v>23</v>
      </c>
      <c r="E290" s="22" t="s">
        <v>24</v>
      </c>
      <c r="F290" s="23">
        <v>4918</v>
      </c>
      <c r="G290" s="23">
        <v>440</v>
      </c>
      <c r="H290" s="23">
        <v>149</v>
      </c>
      <c r="I290" s="23">
        <v>53269</v>
      </c>
      <c r="J290" s="23">
        <v>64370</v>
      </c>
      <c r="K290" s="23">
        <v>269</v>
      </c>
      <c r="L290" s="21" t="s">
        <v>34</v>
      </c>
      <c r="M290" s="21"/>
      <c r="N290" s="21" t="s">
        <v>46</v>
      </c>
      <c r="O290" s="24">
        <f t="shared" si="4"/>
        <v>0.10338095327488783</v>
      </c>
    </row>
    <row r="291" spans="1:15">
      <c r="A291" s="19" t="s">
        <v>320</v>
      </c>
      <c r="B291" s="19" t="s">
        <v>22</v>
      </c>
      <c r="C291" s="20">
        <v>45517</v>
      </c>
      <c r="D291" s="21" t="s">
        <v>14</v>
      </c>
      <c r="E291" s="22" t="s">
        <v>18</v>
      </c>
      <c r="F291" s="23">
        <v>3418</v>
      </c>
      <c r="G291" s="23">
        <v>107</v>
      </c>
      <c r="H291" s="23">
        <v>221</v>
      </c>
      <c r="I291" s="23">
        <v>23927</v>
      </c>
      <c r="J291" s="23">
        <v>26182</v>
      </c>
      <c r="K291" s="23">
        <v>155</v>
      </c>
      <c r="L291" s="21" t="s">
        <v>37</v>
      </c>
      <c r="M291" s="21"/>
      <c r="N291" s="21" t="s">
        <v>20</v>
      </c>
      <c r="O291" s="24">
        <f t="shared" si="4"/>
        <v>0.1565595352530614</v>
      </c>
    </row>
    <row r="292" spans="1:15">
      <c r="A292" s="19" t="s">
        <v>321</v>
      </c>
      <c r="B292" s="19" t="s">
        <v>13</v>
      </c>
      <c r="C292" s="20">
        <v>45472</v>
      </c>
      <c r="D292" s="21" t="s">
        <v>14</v>
      </c>
      <c r="E292" s="22" t="s">
        <v>42</v>
      </c>
      <c r="F292" s="23">
        <v>2088</v>
      </c>
      <c r="G292" s="23">
        <v>490</v>
      </c>
      <c r="H292" s="23">
        <v>124</v>
      </c>
      <c r="I292" s="23">
        <v>46544</v>
      </c>
      <c r="J292" s="23">
        <v>69346</v>
      </c>
      <c r="K292" s="23">
        <v>178</v>
      </c>
      <c r="L292" s="21" t="s">
        <v>37</v>
      </c>
      <c r="M292" s="21" t="s">
        <v>34</v>
      </c>
      <c r="N292" s="21" t="s">
        <v>16</v>
      </c>
      <c r="O292" s="24">
        <f t="shared" si="4"/>
        <v>5.8052595393606049E-2</v>
      </c>
    </row>
    <row r="293" spans="1:15">
      <c r="A293" s="19" t="s">
        <v>322</v>
      </c>
      <c r="B293" s="19" t="s">
        <v>22</v>
      </c>
      <c r="C293" s="20">
        <v>45599</v>
      </c>
      <c r="D293" s="21" t="s">
        <v>23</v>
      </c>
      <c r="E293" s="22" t="s">
        <v>18</v>
      </c>
      <c r="F293" s="23">
        <v>3061</v>
      </c>
      <c r="G293" s="23">
        <v>320</v>
      </c>
      <c r="H293" s="23">
        <v>76</v>
      </c>
      <c r="I293" s="23">
        <v>26640</v>
      </c>
      <c r="J293" s="23">
        <v>24306</v>
      </c>
      <c r="K293" s="23">
        <v>112</v>
      </c>
      <c r="L293" s="21" t="s">
        <v>364</v>
      </c>
      <c r="M293" s="21" t="s">
        <v>34</v>
      </c>
      <c r="N293" s="21" t="s">
        <v>16</v>
      </c>
      <c r="O293" s="24">
        <f t="shared" si="4"/>
        <v>0.12976726726726726</v>
      </c>
    </row>
    <row r="294" spans="1:15">
      <c r="A294" s="19" t="s">
        <v>323</v>
      </c>
      <c r="B294" s="19" t="s">
        <v>27</v>
      </c>
      <c r="C294" s="20">
        <v>45765</v>
      </c>
      <c r="D294" s="21" t="s">
        <v>48</v>
      </c>
      <c r="E294" s="22" t="s">
        <v>42</v>
      </c>
      <c r="F294" s="23">
        <v>1265</v>
      </c>
      <c r="G294" s="23">
        <v>230</v>
      </c>
      <c r="H294" s="23">
        <v>364</v>
      </c>
      <c r="I294" s="23">
        <v>41312</v>
      </c>
      <c r="J294" s="23">
        <v>50382</v>
      </c>
      <c r="K294" s="23">
        <v>106</v>
      </c>
      <c r="L294" s="21" t="s">
        <v>19</v>
      </c>
      <c r="M294" s="21" t="s">
        <v>37</v>
      </c>
      <c r="N294" s="21" t="s">
        <v>49</v>
      </c>
      <c r="O294" s="24">
        <f t="shared" si="4"/>
        <v>4.4999031758326875E-2</v>
      </c>
    </row>
    <row r="295" spans="1:15">
      <c r="A295" s="19" t="s">
        <v>324</v>
      </c>
      <c r="B295" s="19" t="s">
        <v>13</v>
      </c>
      <c r="C295" s="20">
        <v>45653</v>
      </c>
      <c r="D295" s="21" t="s">
        <v>14</v>
      </c>
      <c r="E295" s="22" t="s">
        <v>363</v>
      </c>
      <c r="F295" s="23">
        <v>1436</v>
      </c>
      <c r="G295" s="23">
        <v>219</v>
      </c>
      <c r="H295" s="23">
        <v>229</v>
      </c>
      <c r="I295" s="23">
        <v>58488</v>
      </c>
      <c r="J295" s="23">
        <v>24314</v>
      </c>
      <c r="K295" s="23">
        <v>147</v>
      </c>
      <c r="L295" s="21" t="s">
        <v>19</v>
      </c>
      <c r="M295" s="21"/>
      <c r="N295" s="21" t="s">
        <v>20</v>
      </c>
      <c r="O295" s="24">
        <f t="shared" si="4"/>
        <v>3.221173574066475E-2</v>
      </c>
    </row>
    <row r="296" spans="1:15">
      <c r="A296" s="19" t="s">
        <v>325</v>
      </c>
      <c r="B296" s="19" t="s">
        <v>13</v>
      </c>
      <c r="C296" s="20">
        <v>45724</v>
      </c>
      <c r="D296" s="21" t="s">
        <v>23</v>
      </c>
      <c r="E296" s="22" t="s">
        <v>33</v>
      </c>
      <c r="F296" s="23">
        <v>2244</v>
      </c>
      <c r="G296" s="23">
        <v>392</v>
      </c>
      <c r="H296" s="23">
        <v>231</v>
      </c>
      <c r="I296" s="23">
        <v>25834</v>
      </c>
      <c r="J296" s="23">
        <v>50906</v>
      </c>
      <c r="K296" s="23">
        <v>165</v>
      </c>
      <c r="L296" s="21" t="s">
        <v>34</v>
      </c>
      <c r="M296" s="21"/>
      <c r="N296" s="21" t="s">
        <v>46</v>
      </c>
      <c r="O296" s="24">
        <f t="shared" si="4"/>
        <v>0.1109777812185492</v>
      </c>
    </row>
    <row r="297" spans="1:15">
      <c r="A297" s="19" t="s">
        <v>326</v>
      </c>
      <c r="B297" s="19" t="s">
        <v>22</v>
      </c>
      <c r="C297" s="20">
        <v>45736</v>
      </c>
      <c r="D297" s="21" t="s">
        <v>23</v>
      </c>
      <c r="E297" s="22" t="s">
        <v>42</v>
      </c>
      <c r="F297" s="23">
        <v>3393</v>
      </c>
      <c r="G297" s="23">
        <v>104</v>
      </c>
      <c r="H297" s="23">
        <v>79</v>
      </c>
      <c r="I297" s="23">
        <v>30025</v>
      </c>
      <c r="J297" s="23">
        <v>21593</v>
      </c>
      <c r="K297" s="23">
        <v>165</v>
      </c>
      <c r="L297" s="21" t="s">
        <v>364</v>
      </c>
      <c r="M297" s="21" t="s">
        <v>34</v>
      </c>
      <c r="N297" s="21" t="s">
        <v>16</v>
      </c>
      <c r="O297" s="24">
        <f t="shared" si="4"/>
        <v>0.1191007493755204</v>
      </c>
    </row>
    <row r="298" spans="1:15">
      <c r="A298" s="19" t="s">
        <v>327</v>
      </c>
      <c r="B298" s="19" t="s">
        <v>22</v>
      </c>
      <c r="C298" s="20">
        <v>45612</v>
      </c>
      <c r="D298" s="21" t="s">
        <v>14</v>
      </c>
      <c r="E298" s="22" t="s">
        <v>18</v>
      </c>
      <c r="F298" s="23">
        <v>2901</v>
      </c>
      <c r="G298" s="23">
        <v>108</v>
      </c>
      <c r="H298" s="23">
        <v>86</v>
      </c>
      <c r="I298" s="23">
        <v>51777</v>
      </c>
      <c r="J298" s="23">
        <v>23773</v>
      </c>
      <c r="K298" s="23">
        <v>160</v>
      </c>
      <c r="L298" s="21" t="s">
        <v>37</v>
      </c>
      <c r="M298" s="21"/>
      <c r="N298" s="21" t="s">
        <v>20</v>
      </c>
      <c r="O298" s="24">
        <f t="shared" si="4"/>
        <v>5.9775576027966085E-2</v>
      </c>
    </row>
    <row r="299" spans="1:15">
      <c r="A299" s="19" t="s">
        <v>328</v>
      </c>
      <c r="B299" s="19" t="s">
        <v>22</v>
      </c>
      <c r="C299" s="20">
        <v>45838</v>
      </c>
      <c r="D299" s="21" t="s">
        <v>14</v>
      </c>
      <c r="E299" s="22" t="s">
        <v>362</v>
      </c>
      <c r="F299" s="23">
        <v>2275</v>
      </c>
      <c r="G299" s="23">
        <v>285</v>
      </c>
      <c r="H299" s="23">
        <v>125</v>
      </c>
      <c r="I299" s="23">
        <v>43970</v>
      </c>
      <c r="J299" s="23">
        <v>74761</v>
      </c>
      <c r="K299" s="23">
        <v>83</v>
      </c>
      <c r="L299" s="21" t="s">
        <v>34</v>
      </c>
      <c r="M299" s="21"/>
      <c r="N299" s="21" t="s">
        <v>16</v>
      </c>
      <c r="O299" s="24">
        <f t="shared" si="4"/>
        <v>6.1064362065044349E-2</v>
      </c>
    </row>
    <row r="300" spans="1:15">
      <c r="A300" s="19" t="s">
        <v>329</v>
      </c>
      <c r="B300" s="19" t="s">
        <v>22</v>
      </c>
      <c r="C300" s="20">
        <v>45303</v>
      </c>
      <c r="D300" s="21" t="s">
        <v>23</v>
      </c>
      <c r="E300" s="22" t="s">
        <v>360</v>
      </c>
      <c r="F300" s="23">
        <v>2227</v>
      </c>
      <c r="G300" s="23">
        <v>494</v>
      </c>
      <c r="H300" s="23">
        <v>161</v>
      </c>
      <c r="I300" s="23">
        <v>51651</v>
      </c>
      <c r="J300" s="23">
        <v>68074</v>
      </c>
      <c r="K300" s="23">
        <v>240</v>
      </c>
      <c r="L300" s="21" t="s">
        <v>19</v>
      </c>
      <c r="M300" s="21" t="s">
        <v>364</v>
      </c>
      <c r="N300" s="21" t="s">
        <v>16</v>
      </c>
      <c r="O300" s="24">
        <f t="shared" si="4"/>
        <v>5.5797564422760453E-2</v>
      </c>
    </row>
    <row r="301" spans="1:15">
      <c r="A301" s="19" t="s">
        <v>330</v>
      </c>
      <c r="B301" s="19" t="s">
        <v>13</v>
      </c>
      <c r="C301" s="20">
        <v>45329</v>
      </c>
      <c r="D301" s="21" t="s">
        <v>14</v>
      </c>
      <c r="E301" s="22" t="s">
        <v>361</v>
      </c>
      <c r="F301" s="23">
        <v>1883</v>
      </c>
      <c r="G301" s="23">
        <v>432</v>
      </c>
      <c r="H301" s="23">
        <v>397</v>
      </c>
      <c r="I301" s="23">
        <v>28759</v>
      </c>
      <c r="J301" s="23">
        <v>18691</v>
      </c>
      <c r="K301" s="23">
        <v>270</v>
      </c>
      <c r="L301" s="21" t="s">
        <v>37</v>
      </c>
      <c r="M301" s="21" t="s">
        <v>34</v>
      </c>
      <c r="N301" s="21" t="s">
        <v>16</v>
      </c>
      <c r="O301" s="24">
        <f t="shared" si="4"/>
        <v>9.4300914496331587E-2</v>
      </c>
    </row>
  </sheetData>
  <pageMargins left="0.7" right="0.7" top="0.75" bottom="0.75" header="0" footer="0"/>
  <pageSetup orientation="landscape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4258-E983-4523-8820-ED965FE97133}">
  <dimension ref="A1:T305"/>
  <sheetViews>
    <sheetView zoomScale="85" zoomScaleNormal="85" workbookViewId="0">
      <pane ySplit="1" topLeftCell="A2" activePane="bottomLeft" state="frozen"/>
      <selection pane="bottomLeft" activeCell="O2" sqref="O2"/>
    </sheetView>
  </sheetViews>
  <sheetFormatPr defaultColWidth="14.42578125" defaultRowHeight="15.75"/>
  <cols>
    <col min="1" max="1" width="13.28515625" style="25" bestFit="1" customWidth="1"/>
    <col min="2" max="2" width="14.7109375" style="25" bestFit="1" customWidth="1"/>
    <col min="3" max="3" width="13.140625" style="29" bestFit="1" customWidth="1"/>
    <col min="4" max="4" width="19.42578125" style="30" bestFit="1" customWidth="1"/>
    <col min="5" max="5" width="43.140625" style="30" bestFit="1" customWidth="1"/>
    <col min="6" max="6" width="11.7109375" style="31" hidden="1" customWidth="1"/>
    <col min="7" max="7" width="13.42578125" style="31" hidden="1" customWidth="1"/>
    <col min="8" max="8" width="17" style="31" hidden="1" customWidth="1"/>
    <col min="9" max="9" width="18.42578125" style="31" hidden="1" customWidth="1"/>
    <col min="10" max="10" width="12.5703125" style="31" hidden="1" customWidth="1"/>
    <col min="11" max="11" width="12.42578125" style="31" hidden="1" customWidth="1"/>
    <col min="12" max="13" width="19.7109375" style="30" bestFit="1" customWidth="1"/>
    <col min="14" max="14" width="23.140625" style="30" bestFit="1" customWidth="1"/>
    <col min="15" max="15" width="23.85546875" style="39" bestFit="1" customWidth="1"/>
    <col min="16" max="17" width="8.7109375" style="18" customWidth="1"/>
    <col min="18" max="18" width="13.28515625" style="18" bestFit="1" customWidth="1"/>
    <col min="19" max="19" width="27" style="25" bestFit="1" customWidth="1"/>
    <col min="20" max="28" width="8.7109375" style="25" customWidth="1"/>
    <col min="29" max="16384" width="14.42578125" style="25"/>
  </cols>
  <sheetData>
    <row r="1" spans="1:20" s="18" customFormat="1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3" t="s">
        <v>358</v>
      </c>
      <c r="M1" s="33" t="s">
        <v>359</v>
      </c>
      <c r="N1" s="33" t="s">
        <v>11</v>
      </c>
      <c r="O1" s="37" t="s">
        <v>368</v>
      </c>
      <c r="P1" s="17"/>
      <c r="Q1" s="17"/>
      <c r="R1" s="17"/>
      <c r="S1" s="17"/>
    </row>
    <row r="2" spans="1:20">
      <c r="A2" s="40" t="s">
        <v>29</v>
      </c>
      <c r="B2" s="40" t="s">
        <v>22</v>
      </c>
      <c r="C2" s="41">
        <v>45645</v>
      </c>
      <c r="D2" s="42" t="s">
        <v>23</v>
      </c>
      <c r="E2" s="43" t="s">
        <v>30</v>
      </c>
      <c r="F2" s="44">
        <v>4674</v>
      </c>
      <c r="G2" s="44">
        <v>409</v>
      </c>
      <c r="H2" s="44">
        <v>327</v>
      </c>
      <c r="I2" s="44">
        <v>20756</v>
      </c>
      <c r="J2" s="44">
        <v>63599</v>
      </c>
      <c r="K2" s="44">
        <v>212</v>
      </c>
      <c r="L2" s="42" t="s">
        <v>37</v>
      </c>
      <c r="M2" s="42" t="s">
        <v>34</v>
      </c>
      <c r="N2" s="42" t="s">
        <v>16</v>
      </c>
      <c r="O2" s="45">
        <f t="shared" ref="O2:O65" si="0" xml:space="preserve"> (F2+ G2 + H2) / I2</f>
        <v>0.26064752360763155</v>
      </c>
      <c r="P2" s="17"/>
      <c r="Q2" s="17"/>
      <c r="R2" s="17"/>
      <c r="S2" s="17"/>
    </row>
    <row r="3" spans="1:20">
      <c r="A3" s="40" t="s">
        <v>136</v>
      </c>
      <c r="B3" s="40" t="s">
        <v>22</v>
      </c>
      <c r="C3" s="41">
        <v>45677</v>
      </c>
      <c r="D3" s="42" t="s">
        <v>23</v>
      </c>
      <c r="E3" s="43" t="s">
        <v>24</v>
      </c>
      <c r="F3" s="44">
        <v>4619</v>
      </c>
      <c r="G3" s="44">
        <v>272</v>
      </c>
      <c r="H3" s="44">
        <v>57</v>
      </c>
      <c r="I3" s="44">
        <v>21334</v>
      </c>
      <c r="J3" s="44">
        <v>46292</v>
      </c>
      <c r="K3" s="44">
        <v>91</v>
      </c>
      <c r="L3" s="42" t="s">
        <v>37</v>
      </c>
      <c r="M3" s="42" t="s">
        <v>34</v>
      </c>
      <c r="N3" s="42" t="s">
        <v>16</v>
      </c>
      <c r="O3" s="45">
        <f t="shared" si="0"/>
        <v>0.23193025217961938</v>
      </c>
      <c r="P3" s="17"/>
      <c r="Q3" s="17"/>
      <c r="R3"/>
      <c r="S3"/>
      <c r="T3" s="26"/>
    </row>
    <row r="4" spans="1:20">
      <c r="A4" s="40" t="s">
        <v>216</v>
      </c>
      <c r="B4" s="40" t="s">
        <v>22</v>
      </c>
      <c r="C4" s="41">
        <v>45459</v>
      </c>
      <c r="D4" s="42" t="s">
        <v>23</v>
      </c>
      <c r="E4" s="43" t="s">
        <v>18</v>
      </c>
      <c r="F4" s="44">
        <v>4618</v>
      </c>
      <c r="G4" s="44">
        <v>312</v>
      </c>
      <c r="H4" s="44">
        <v>254</v>
      </c>
      <c r="I4" s="44">
        <v>22571</v>
      </c>
      <c r="J4" s="44">
        <v>29453</v>
      </c>
      <c r="K4" s="44">
        <v>197</v>
      </c>
      <c r="L4" s="42" t="s">
        <v>364</v>
      </c>
      <c r="M4" s="42" t="s">
        <v>34</v>
      </c>
      <c r="N4" s="42" t="s">
        <v>16</v>
      </c>
      <c r="O4" s="45">
        <f t="shared" si="0"/>
        <v>0.22967524699836073</v>
      </c>
      <c r="P4" s="27"/>
      <c r="Q4" s="27"/>
      <c r="R4"/>
      <c r="S4"/>
      <c r="T4" s="26"/>
    </row>
    <row r="5" spans="1:20">
      <c r="A5" s="40" t="s">
        <v>309</v>
      </c>
      <c r="B5" s="40" t="s">
        <v>22</v>
      </c>
      <c r="C5" s="41">
        <v>45676</v>
      </c>
      <c r="D5" s="42" t="s">
        <v>23</v>
      </c>
      <c r="E5" s="43" t="s">
        <v>24</v>
      </c>
      <c r="F5" s="44">
        <v>3507</v>
      </c>
      <c r="G5" s="44">
        <v>295</v>
      </c>
      <c r="H5" s="44">
        <v>371</v>
      </c>
      <c r="I5" s="44">
        <v>20410</v>
      </c>
      <c r="J5" s="44">
        <v>53965</v>
      </c>
      <c r="K5" s="44">
        <v>212</v>
      </c>
      <c r="L5" s="42" t="s">
        <v>37</v>
      </c>
      <c r="M5" s="42" t="s">
        <v>34</v>
      </c>
      <c r="N5" s="42" t="s">
        <v>16</v>
      </c>
      <c r="O5" s="45">
        <f t="shared" si="0"/>
        <v>0.20445859872611466</v>
      </c>
      <c r="P5" s="27"/>
      <c r="Q5" s="27"/>
      <c r="R5"/>
      <c r="S5"/>
      <c r="T5" s="26"/>
    </row>
    <row r="6" spans="1:20">
      <c r="A6" s="40" t="s">
        <v>80</v>
      </c>
      <c r="B6" s="40" t="s">
        <v>22</v>
      </c>
      <c r="C6" s="41">
        <v>45769</v>
      </c>
      <c r="D6" s="42" t="s">
        <v>14</v>
      </c>
      <c r="E6" s="43" t="s">
        <v>15</v>
      </c>
      <c r="F6" s="44">
        <v>4401</v>
      </c>
      <c r="G6" s="44">
        <v>421</v>
      </c>
      <c r="H6" s="44">
        <v>216</v>
      </c>
      <c r="I6" s="44">
        <v>24890</v>
      </c>
      <c r="J6" s="44">
        <v>54361</v>
      </c>
      <c r="K6" s="44">
        <v>148</v>
      </c>
      <c r="L6" s="42" t="s">
        <v>34</v>
      </c>
      <c r="M6" s="42"/>
      <c r="N6" s="42" t="s">
        <v>16</v>
      </c>
      <c r="O6" s="45">
        <f t="shared" si="0"/>
        <v>0.20241060666934513</v>
      </c>
      <c r="P6" s="27"/>
      <c r="Q6" s="27"/>
      <c r="R6"/>
      <c r="S6"/>
      <c r="T6" s="26"/>
    </row>
    <row r="7" spans="1:20">
      <c r="A7" s="40" t="s">
        <v>52</v>
      </c>
      <c r="B7" s="40" t="s">
        <v>13</v>
      </c>
      <c r="C7" s="41">
        <v>45823</v>
      </c>
      <c r="D7" s="42" t="s">
        <v>14</v>
      </c>
      <c r="E7" s="43" t="s">
        <v>362</v>
      </c>
      <c r="F7" s="44">
        <v>4896</v>
      </c>
      <c r="G7" s="44">
        <v>466</v>
      </c>
      <c r="H7" s="44">
        <v>233</v>
      </c>
      <c r="I7" s="44">
        <v>28621</v>
      </c>
      <c r="J7" s="44">
        <v>34270</v>
      </c>
      <c r="K7" s="44">
        <v>84</v>
      </c>
      <c r="L7" s="42" t="s">
        <v>37</v>
      </c>
      <c r="M7" s="42" t="s">
        <v>34</v>
      </c>
      <c r="N7" s="42" t="s">
        <v>16</v>
      </c>
      <c r="O7" s="45">
        <f t="shared" si="0"/>
        <v>0.19548583208133888</v>
      </c>
      <c r="P7" s="27"/>
      <c r="Q7" s="27"/>
      <c r="R7" s="28"/>
      <c r="S7" s="28"/>
      <c r="T7" s="28"/>
    </row>
    <row r="8" spans="1:20">
      <c r="A8" s="40" t="s">
        <v>187</v>
      </c>
      <c r="B8" s="40" t="s">
        <v>27</v>
      </c>
      <c r="C8" s="41">
        <v>45718</v>
      </c>
      <c r="D8" s="42" t="s">
        <v>14</v>
      </c>
      <c r="E8" s="43" t="s">
        <v>363</v>
      </c>
      <c r="F8" s="44">
        <v>4425</v>
      </c>
      <c r="G8" s="44">
        <v>185</v>
      </c>
      <c r="H8" s="44">
        <v>162</v>
      </c>
      <c r="I8" s="44">
        <v>24610</v>
      </c>
      <c r="J8" s="44">
        <v>21342</v>
      </c>
      <c r="K8" s="44">
        <v>158</v>
      </c>
      <c r="L8" s="42" t="s">
        <v>19</v>
      </c>
      <c r="M8" s="42" t="s">
        <v>365</v>
      </c>
      <c r="N8" s="42" t="s">
        <v>20</v>
      </c>
      <c r="O8" s="45">
        <f t="shared" si="0"/>
        <v>0.19390491670052823</v>
      </c>
      <c r="P8" s="27"/>
      <c r="Q8" s="27"/>
      <c r="R8" s="28"/>
      <c r="S8" s="28"/>
      <c r="T8" s="28"/>
    </row>
    <row r="9" spans="1:20">
      <c r="A9" s="40" t="s">
        <v>278</v>
      </c>
      <c r="B9" s="40" t="s">
        <v>27</v>
      </c>
      <c r="C9" s="41">
        <v>45457</v>
      </c>
      <c r="D9" s="42" t="s">
        <v>48</v>
      </c>
      <c r="E9" s="43" t="s">
        <v>360</v>
      </c>
      <c r="F9" s="44">
        <v>4722</v>
      </c>
      <c r="G9" s="44">
        <v>310</v>
      </c>
      <c r="H9" s="44">
        <v>344</v>
      </c>
      <c r="I9" s="44">
        <v>27911</v>
      </c>
      <c r="J9" s="44">
        <v>19000</v>
      </c>
      <c r="K9" s="44">
        <v>225</v>
      </c>
      <c r="L9" s="42" t="s">
        <v>19</v>
      </c>
      <c r="M9" s="42" t="s">
        <v>37</v>
      </c>
      <c r="N9" s="42" t="s">
        <v>49</v>
      </c>
      <c r="O9" s="45">
        <f t="shared" si="0"/>
        <v>0.19261223173659131</v>
      </c>
      <c r="R9" s="28"/>
      <c r="S9" s="28"/>
      <c r="T9" s="28"/>
    </row>
    <row r="10" spans="1:20">
      <c r="A10" s="40" t="s">
        <v>166</v>
      </c>
      <c r="B10" s="40" t="s">
        <v>22</v>
      </c>
      <c r="C10" s="41">
        <v>45615</v>
      </c>
      <c r="D10" s="42" t="s">
        <v>14</v>
      </c>
      <c r="E10" s="43" t="s">
        <v>33</v>
      </c>
      <c r="F10" s="44">
        <v>3728</v>
      </c>
      <c r="G10" s="44">
        <v>271</v>
      </c>
      <c r="H10" s="44">
        <v>275</v>
      </c>
      <c r="I10" s="44">
        <v>22827</v>
      </c>
      <c r="J10" s="44">
        <v>37034</v>
      </c>
      <c r="K10" s="44">
        <v>199</v>
      </c>
      <c r="L10" s="42" t="s">
        <v>34</v>
      </c>
      <c r="M10" s="42"/>
      <c r="N10" s="42" t="s">
        <v>16</v>
      </c>
      <c r="O10" s="45">
        <f t="shared" si="0"/>
        <v>0.18723441538528934</v>
      </c>
      <c r="R10" s="28"/>
      <c r="S10" s="28"/>
      <c r="T10" s="28"/>
    </row>
    <row r="11" spans="1:20">
      <c r="A11" s="40" t="s">
        <v>98</v>
      </c>
      <c r="B11" s="40" t="s">
        <v>22</v>
      </c>
      <c r="C11" s="41">
        <v>45379</v>
      </c>
      <c r="D11" s="42" t="s">
        <v>14</v>
      </c>
      <c r="E11" s="43" t="s">
        <v>361</v>
      </c>
      <c r="F11" s="44">
        <v>3276</v>
      </c>
      <c r="G11" s="44">
        <v>421</v>
      </c>
      <c r="H11" s="44">
        <v>114</v>
      </c>
      <c r="I11" s="44">
        <v>20580</v>
      </c>
      <c r="J11" s="44">
        <v>30324</v>
      </c>
      <c r="K11" s="44">
        <v>221</v>
      </c>
      <c r="L11" s="42" t="s">
        <v>37</v>
      </c>
      <c r="M11" s="42"/>
      <c r="N11" s="42" t="s">
        <v>20</v>
      </c>
      <c r="O11" s="45">
        <f t="shared" si="0"/>
        <v>0.18517978620019437</v>
      </c>
      <c r="R11" s="26"/>
      <c r="S11" s="26"/>
      <c r="T11" s="26"/>
    </row>
    <row r="12" spans="1:20" hidden="1">
      <c r="A12" s="19" t="s">
        <v>118</v>
      </c>
      <c r="B12" s="19" t="s">
        <v>22</v>
      </c>
      <c r="C12" s="20">
        <v>45705</v>
      </c>
      <c r="D12" s="21" t="s">
        <v>23</v>
      </c>
      <c r="E12" s="22" t="s">
        <v>362</v>
      </c>
      <c r="F12" s="23">
        <v>4796</v>
      </c>
      <c r="G12" s="23">
        <v>427</v>
      </c>
      <c r="H12" s="23">
        <v>339</v>
      </c>
      <c r="I12" s="23">
        <v>30752</v>
      </c>
      <c r="J12" s="23">
        <v>33870</v>
      </c>
      <c r="K12" s="23">
        <v>298</v>
      </c>
      <c r="L12" s="21" t="s">
        <v>37</v>
      </c>
      <c r="M12" s="21" t="s">
        <v>34</v>
      </c>
      <c r="N12" s="21" t="s">
        <v>16</v>
      </c>
      <c r="O12" s="38">
        <f t="shared" si="0"/>
        <v>0.18086628511966701</v>
      </c>
      <c r="R12" s="26"/>
      <c r="S12" s="26"/>
      <c r="T12" s="26"/>
    </row>
    <row r="13" spans="1:20" hidden="1">
      <c r="A13" s="19" t="s">
        <v>243</v>
      </c>
      <c r="B13" s="19" t="s">
        <v>13</v>
      </c>
      <c r="C13" s="20">
        <v>45832</v>
      </c>
      <c r="D13" s="21" t="s">
        <v>23</v>
      </c>
      <c r="E13" s="22" t="s">
        <v>30</v>
      </c>
      <c r="F13" s="23">
        <v>4902</v>
      </c>
      <c r="G13" s="23">
        <v>422</v>
      </c>
      <c r="H13" s="23">
        <v>376</v>
      </c>
      <c r="I13" s="23">
        <v>31674</v>
      </c>
      <c r="J13" s="23">
        <v>53225</v>
      </c>
      <c r="K13" s="23">
        <v>147</v>
      </c>
      <c r="L13" s="21" t="s">
        <v>34</v>
      </c>
      <c r="M13" s="21"/>
      <c r="N13" s="21" t="s">
        <v>46</v>
      </c>
      <c r="O13" s="38">
        <f t="shared" si="0"/>
        <v>0.17995832544042431</v>
      </c>
      <c r="R13" s="26"/>
      <c r="S13" s="26"/>
      <c r="T13" s="26"/>
    </row>
    <row r="14" spans="1:20" hidden="1">
      <c r="A14" s="19" t="s">
        <v>280</v>
      </c>
      <c r="B14" s="19" t="s">
        <v>22</v>
      </c>
      <c r="C14" s="20">
        <v>45792</v>
      </c>
      <c r="D14" s="21" t="s">
        <v>14</v>
      </c>
      <c r="E14" s="22" t="s">
        <v>42</v>
      </c>
      <c r="F14" s="23">
        <v>4782</v>
      </c>
      <c r="G14" s="23">
        <v>210</v>
      </c>
      <c r="H14" s="23">
        <v>311</v>
      </c>
      <c r="I14" s="23">
        <v>29793</v>
      </c>
      <c r="J14" s="23">
        <v>37543</v>
      </c>
      <c r="K14" s="23">
        <v>145</v>
      </c>
      <c r="L14" s="21" t="s">
        <v>34</v>
      </c>
      <c r="M14" s="21"/>
      <c r="N14" s="21" t="s">
        <v>16</v>
      </c>
      <c r="O14" s="38">
        <f t="shared" si="0"/>
        <v>0.17799483100057059</v>
      </c>
      <c r="R14" s="26"/>
      <c r="S14" s="26"/>
      <c r="T14" s="26"/>
    </row>
    <row r="15" spans="1:20" hidden="1">
      <c r="A15" s="19" t="s">
        <v>97</v>
      </c>
      <c r="B15" s="19" t="s">
        <v>27</v>
      </c>
      <c r="C15" s="20">
        <v>45384</v>
      </c>
      <c r="D15" s="21" t="s">
        <v>48</v>
      </c>
      <c r="E15" s="22" t="s">
        <v>42</v>
      </c>
      <c r="F15" s="23">
        <v>4563</v>
      </c>
      <c r="G15" s="23">
        <v>488</v>
      </c>
      <c r="H15" s="23">
        <v>356</v>
      </c>
      <c r="I15" s="23">
        <v>30619</v>
      </c>
      <c r="J15" s="23">
        <v>23328</v>
      </c>
      <c r="K15" s="23">
        <v>267</v>
      </c>
      <c r="L15" s="21" t="s">
        <v>19</v>
      </c>
      <c r="M15" s="21" t="s">
        <v>37</v>
      </c>
      <c r="N15" s="21" t="s">
        <v>49</v>
      </c>
      <c r="O15" s="38">
        <f t="shared" si="0"/>
        <v>0.17658969920637513</v>
      </c>
      <c r="R15" s="26"/>
      <c r="S15" s="26"/>
      <c r="T15" s="26"/>
    </row>
    <row r="16" spans="1:20" hidden="1">
      <c r="A16" s="19" t="s">
        <v>120</v>
      </c>
      <c r="B16" s="19" t="s">
        <v>22</v>
      </c>
      <c r="C16" s="20">
        <v>45495</v>
      </c>
      <c r="D16" s="21" t="s">
        <v>23</v>
      </c>
      <c r="E16" s="22" t="s">
        <v>360</v>
      </c>
      <c r="F16" s="23">
        <v>3336</v>
      </c>
      <c r="G16" s="23">
        <v>229</v>
      </c>
      <c r="H16" s="23">
        <v>337</v>
      </c>
      <c r="I16" s="23">
        <v>22117</v>
      </c>
      <c r="J16" s="23">
        <v>26205</v>
      </c>
      <c r="K16" s="23">
        <v>160</v>
      </c>
      <c r="L16" s="21" t="s">
        <v>364</v>
      </c>
      <c r="M16" s="21" t="s">
        <v>34</v>
      </c>
      <c r="N16" s="21" t="s">
        <v>16</v>
      </c>
      <c r="O16" s="38">
        <f t="shared" si="0"/>
        <v>0.17642537414658407</v>
      </c>
      <c r="R16" s="26"/>
      <c r="S16" s="26"/>
      <c r="T16" s="26"/>
    </row>
    <row r="17" spans="1:20" hidden="1">
      <c r="A17" s="19" t="s">
        <v>207</v>
      </c>
      <c r="B17" s="19" t="s">
        <v>22</v>
      </c>
      <c r="C17" s="20">
        <v>45606</v>
      </c>
      <c r="D17" s="21" t="s">
        <v>14</v>
      </c>
      <c r="E17" s="22" t="s">
        <v>18</v>
      </c>
      <c r="F17" s="23">
        <v>4823</v>
      </c>
      <c r="G17" s="23">
        <v>489</v>
      </c>
      <c r="H17" s="23">
        <v>302</v>
      </c>
      <c r="I17" s="23">
        <v>32470</v>
      </c>
      <c r="J17" s="23">
        <v>31861</v>
      </c>
      <c r="K17" s="23">
        <v>178</v>
      </c>
      <c r="L17" s="21" t="s">
        <v>37</v>
      </c>
      <c r="M17" s="21"/>
      <c r="N17" s="21" t="s">
        <v>20</v>
      </c>
      <c r="O17" s="38">
        <f t="shared" si="0"/>
        <v>0.1728980597474592</v>
      </c>
      <c r="R17" s="26"/>
      <c r="S17" s="26"/>
      <c r="T17" s="26"/>
    </row>
    <row r="18" spans="1:20" hidden="1">
      <c r="A18" s="19" t="s">
        <v>269</v>
      </c>
      <c r="B18" s="19" t="s">
        <v>22</v>
      </c>
      <c r="C18" s="20">
        <v>45639</v>
      </c>
      <c r="D18" s="21" t="s">
        <v>23</v>
      </c>
      <c r="E18" s="22" t="s">
        <v>24</v>
      </c>
      <c r="F18" s="23">
        <v>4984</v>
      </c>
      <c r="G18" s="23">
        <v>300</v>
      </c>
      <c r="H18" s="23">
        <v>338</v>
      </c>
      <c r="I18" s="23">
        <v>32900</v>
      </c>
      <c r="J18" s="23">
        <v>31691</v>
      </c>
      <c r="K18" s="23">
        <v>160</v>
      </c>
      <c r="L18" s="21" t="s">
        <v>364</v>
      </c>
      <c r="M18" s="21" t="s">
        <v>34</v>
      </c>
      <c r="N18" s="21" t="s">
        <v>16</v>
      </c>
      <c r="O18" s="38">
        <f t="shared" si="0"/>
        <v>0.17088145896656534</v>
      </c>
      <c r="R18" s="17"/>
      <c r="S18" s="17"/>
      <c r="T18" s="26"/>
    </row>
    <row r="19" spans="1:20" hidden="1">
      <c r="A19" s="19" t="s">
        <v>264</v>
      </c>
      <c r="B19" s="19" t="s">
        <v>22</v>
      </c>
      <c r="C19" s="20">
        <v>45324</v>
      </c>
      <c r="D19" s="21" t="s">
        <v>14</v>
      </c>
      <c r="E19" s="22" t="s">
        <v>363</v>
      </c>
      <c r="F19" s="23">
        <v>3818</v>
      </c>
      <c r="G19" s="23">
        <v>115</v>
      </c>
      <c r="H19" s="23">
        <v>286</v>
      </c>
      <c r="I19" s="23">
        <v>25127</v>
      </c>
      <c r="J19" s="23">
        <v>22277</v>
      </c>
      <c r="K19" s="23">
        <v>263</v>
      </c>
      <c r="L19" s="21" t="s">
        <v>34</v>
      </c>
      <c r="M19" s="21"/>
      <c r="N19" s="21" t="s">
        <v>16</v>
      </c>
      <c r="O19" s="38">
        <f t="shared" si="0"/>
        <v>0.16790703227603773</v>
      </c>
      <c r="R19" s="17"/>
      <c r="S19" s="17"/>
      <c r="T19" s="26"/>
    </row>
    <row r="20" spans="1:20" hidden="1">
      <c r="A20" s="19" t="s">
        <v>213</v>
      </c>
      <c r="B20" s="19" t="s">
        <v>22</v>
      </c>
      <c r="C20" s="20">
        <v>45496</v>
      </c>
      <c r="D20" s="21" t="s">
        <v>14</v>
      </c>
      <c r="E20" s="22" t="s">
        <v>33</v>
      </c>
      <c r="F20" s="23">
        <v>3204</v>
      </c>
      <c r="G20" s="23">
        <v>398</v>
      </c>
      <c r="H20" s="23">
        <v>85</v>
      </c>
      <c r="I20" s="23">
        <v>22020</v>
      </c>
      <c r="J20" s="23">
        <v>58353</v>
      </c>
      <c r="K20" s="23">
        <v>286</v>
      </c>
      <c r="L20" s="21" t="s">
        <v>37</v>
      </c>
      <c r="M20" s="21"/>
      <c r="N20" s="21" t="s">
        <v>20</v>
      </c>
      <c r="O20" s="38">
        <f t="shared" si="0"/>
        <v>0.16743869209809265</v>
      </c>
      <c r="R20" s="26"/>
      <c r="S20" s="26"/>
      <c r="T20" s="26"/>
    </row>
    <row r="21" spans="1:20" hidden="1">
      <c r="A21" s="19" t="s">
        <v>141</v>
      </c>
      <c r="B21" s="19" t="s">
        <v>27</v>
      </c>
      <c r="C21" s="20">
        <v>45493</v>
      </c>
      <c r="D21" s="21" t="s">
        <v>48</v>
      </c>
      <c r="E21" s="22" t="s">
        <v>361</v>
      </c>
      <c r="F21" s="23">
        <v>4955</v>
      </c>
      <c r="G21" s="23">
        <v>299</v>
      </c>
      <c r="H21" s="23">
        <v>345</v>
      </c>
      <c r="I21" s="23">
        <v>33644</v>
      </c>
      <c r="J21" s="23">
        <v>43547</v>
      </c>
      <c r="K21" s="23">
        <v>194</v>
      </c>
      <c r="L21" s="21" t="s">
        <v>19</v>
      </c>
      <c r="M21" s="21" t="s">
        <v>37</v>
      </c>
      <c r="N21" s="21" t="s">
        <v>49</v>
      </c>
      <c r="O21" s="38">
        <f t="shared" si="0"/>
        <v>0.16641897515158721</v>
      </c>
    </row>
    <row r="22" spans="1:20" hidden="1">
      <c r="A22" s="19" t="s">
        <v>167</v>
      </c>
      <c r="B22" s="19" t="s">
        <v>22</v>
      </c>
      <c r="C22" s="20">
        <v>45387</v>
      </c>
      <c r="D22" s="21" t="s">
        <v>23</v>
      </c>
      <c r="E22" s="22" t="s">
        <v>24</v>
      </c>
      <c r="F22" s="23">
        <v>4965</v>
      </c>
      <c r="G22" s="23">
        <v>175</v>
      </c>
      <c r="H22" s="23">
        <v>307</v>
      </c>
      <c r="I22" s="23">
        <v>32793</v>
      </c>
      <c r="J22" s="23">
        <v>43412</v>
      </c>
      <c r="K22" s="23">
        <v>296</v>
      </c>
      <c r="L22" s="21" t="s">
        <v>37</v>
      </c>
      <c r="M22" s="21" t="s">
        <v>34</v>
      </c>
      <c r="N22" s="21" t="s">
        <v>16</v>
      </c>
      <c r="O22" s="38">
        <f t="shared" si="0"/>
        <v>0.16610252187966945</v>
      </c>
    </row>
    <row r="23" spans="1:20" hidden="1">
      <c r="A23" s="19" t="s">
        <v>276</v>
      </c>
      <c r="B23" s="19" t="s">
        <v>22</v>
      </c>
      <c r="C23" s="20">
        <v>45481</v>
      </c>
      <c r="D23" s="21" t="s">
        <v>23</v>
      </c>
      <c r="E23" s="22" t="s">
        <v>33</v>
      </c>
      <c r="F23" s="23">
        <v>2981</v>
      </c>
      <c r="G23" s="23">
        <v>258</v>
      </c>
      <c r="H23" s="23">
        <v>168</v>
      </c>
      <c r="I23" s="23">
        <v>20677</v>
      </c>
      <c r="J23" s="23">
        <v>68290</v>
      </c>
      <c r="K23" s="23">
        <v>130</v>
      </c>
      <c r="L23" s="21" t="s">
        <v>37</v>
      </c>
      <c r="M23" s="21" t="s">
        <v>34</v>
      </c>
      <c r="N23" s="21" t="s">
        <v>16</v>
      </c>
      <c r="O23" s="38">
        <f t="shared" si="0"/>
        <v>0.16477245248343569</v>
      </c>
    </row>
    <row r="24" spans="1:20" hidden="1">
      <c r="A24" s="19" t="s">
        <v>202</v>
      </c>
      <c r="B24" s="19" t="s">
        <v>27</v>
      </c>
      <c r="C24" s="20">
        <v>45400</v>
      </c>
      <c r="D24" s="21" t="s">
        <v>14</v>
      </c>
      <c r="E24" s="22" t="s">
        <v>18</v>
      </c>
      <c r="F24" s="23">
        <v>4023</v>
      </c>
      <c r="G24" s="23">
        <v>293</v>
      </c>
      <c r="H24" s="23">
        <v>91</v>
      </c>
      <c r="I24" s="23">
        <v>26795</v>
      </c>
      <c r="J24" s="23">
        <v>28924</v>
      </c>
      <c r="K24" s="23">
        <v>278</v>
      </c>
      <c r="L24" s="21" t="s">
        <v>19</v>
      </c>
      <c r="M24" s="21" t="s">
        <v>365</v>
      </c>
      <c r="N24" s="21" t="s">
        <v>20</v>
      </c>
      <c r="O24" s="38">
        <f t="shared" si="0"/>
        <v>0.16447098339242397</v>
      </c>
    </row>
    <row r="25" spans="1:20" hidden="1">
      <c r="A25" s="19" t="s">
        <v>114</v>
      </c>
      <c r="B25" s="19" t="s">
        <v>22</v>
      </c>
      <c r="C25" s="20">
        <v>45507</v>
      </c>
      <c r="D25" s="21" t="s">
        <v>14</v>
      </c>
      <c r="E25" s="22" t="s">
        <v>42</v>
      </c>
      <c r="F25" s="23">
        <v>4247</v>
      </c>
      <c r="G25" s="23">
        <v>390</v>
      </c>
      <c r="H25" s="23">
        <v>213</v>
      </c>
      <c r="I25" s="23">
        <v>29785</v>
      </c>
      <c r="J25" s="23">
        <v>57768</v>
      </c>
      <c r="K25" s="23">
        <v>122</v>
      </c>
      <c r="L25" s="21" t="s">
        <v>34</v>
      </c>
      <c r="M25" s="21"/>
      <c r="N25" s="21" t="s">
        <v>16</v>
      </c>
      <c r="O25" s="38">
        <f t="shared" si="0"/>
        <v>0.16283364109451065</v>
      </c>
    </row>
    <row r="26" spans="1:20" hidden="1">
      <c r="A26" s="19" t="s">
        <v>63</v>
      </c>
      <c r="B26" s="19" t="s">
        <v>22</v>
      </c>
      <c r="C26" s="20">
        <v>45574</v>
      </c>
      <c r="D26" s="21" t="s">
        <v>23</v>
      </c>
      <c r="E26" s="22" t="s">
        <v>15</v>
      </c>
      <c r="F26" s="23">
        <v>4929</v>
      </c>
      <c r="G26" s="23">
        <v>182</v>
      </c>
      <c r="H26" s="23">
        <v>95</v>
      </c>
      <c r="I26" s="23">
        <v>32181</v>
      </c>
      <c r="J26" s="23">
        <v>31084</v>
      </c>
      <c r="K26" s="23">
        <v>289</v>
      </c>
      <c r="L26" s="21" t="s">
        <v>19</v>
      </c>
      <c r="M26" s="21" t="s">
        <v>364</v>
      </c>
      <c r="N26" s="21" t="s">
        <v>16</v>
      </c>
      <c r="O26" s="38">
        <f t="shared" si="0"/>
        <v>0.16177247444144061</v>
      </c>
    </row>
    <row r="27" spans="1:20" hidden="1">
      <c r="A27" s="19" t="s">
        <v>197</v>
      </c>
      <c r="B27" s="19" t="s">
        <v>27</v>
      </c>
      <c r="C27" s="20">
        <v>45684</v>
      </c>
      <c r="D27" s="21" t="s">
        <v>14</v>
      </c>
      <c r="E27" s="22" t="s">
        <v>360</v>
      </c>
      <c r="F27" s="23">
        <v>4294</v>
      </c>
      <c r="G27" s="23">
        <v>423</v>
      </c>
      <c r="H27" s="23">
        <v>93</v>
      </c>
      <c r="I27" s="23">
        <v>29828</v>
      </c>
      <c r="J27" s="23">
        <v>73144</v>
      </c>
      <c r="K27" s="23">
        <v>298</v>
      </c>
      <c r="L27" s="21" t="s">
        <v>19</v>
      </c>
      <c r="M27" s="21" t="s">
        <v>365</v>
      </c>
      <c r="N27" s="21" t="s">
        <v>20</v>
      </c>
      <c r="O27" s="38">
        <f t="shared" si="0"/>
        <v>0.1612578785034196</v>
      </c>
    </row>
    <row r="28" spans="1:20" hidden="1">
      <c r="A28" s="19" t="s">
        <v>188</v>
      </c>
      <c r="B28" s="19" t="s">
        <v>22</v>
      </c>
      <c r="C28" s="20">
        <v>45737</v>
      </c>
      <c r="D28" s="21" t="s">
        <v>23</v>
      </c>
      <c r="E28" s="22" t="s">
        <v>24</v>
      </c>
      <c r="F28" s="23">
        <v>4609</v>
      </c>
      <c r="G28" s="23">
        <v>427</v>
      </c>
      <c r="H28" s="23">
        <v>395</v>
      </c>
      <c r="I28" s="23">
        <v>33698</v>
      </c>
      <c r="J28" s="23">
        <v>29259</v>
      </c>
      <c r="K28" s="23">
        <v>216</v>
      </c>
      <c r="L28" s="21" t="s">
        <v>19</v>
      </c>
      <c r="M28" s="21" t="s">
        <v>364</v>
      </c>
      <c r="N28" s="21" t="s">
        <v>16</v>
      </c>
      <c r="O28" s="38">
        <f t="shared" si="0"/>
        <v>0.16116683482699271</v>
      </c>
    </row>
    <row r="29" spans="1:20" hidden="1">
      <c r="A29" s="19" t="s">
        <v>101</v>
      </c>
      <c r="B29" s="19" t="s">
        <v>22</v>
      </c>
      <c r="C29" s="20">
        <v>45302</v>
      </c>
      <c r="D29" s="21" t="s">
        <v>14</v>
      </c>
      <c r="E29" s="22" t="s">
        <v>362</v>
      </c>
      <c r="F29" s="23">
        <v>4218</v>
      </c>
      <c r="G29" s="23">
        <v>247</v>
      </c>
      <c r="H29" s="23">
        <v>183</v>
      </c>
      <c r="I29" s="23">
        <v>28914</v>
      </c>
      <c r="J29" s="23">
        <v>18310</v>
      </c>
      <c r="K29" s="23">
        <v>135</v>
      </c>
      <c r="L29" s="21" t="s">
        <v>37</v>
      </c>
      <c r="M29" s="21"/>
      <c r="N29" s="21" t="s">
        <v>20</v>
      </c>
      <c r="O29" s="38">
        <f t="shared" si="0"/>
        <v>0.1607525766064882</v>
      </c>
    </row>
    <row r="30" spans="1:20" hidden="1">
      <c r="A30" s="19" t="s">
        <v>140</v>
      </c>
      <c r="B30" s="19" t="s">
        <v>13</v>
      </c>
      <c r="C30" s="20">
        <v>45469</v>
      </c>
      <c r="D30" s="21" t="s">
        <v>14</v>
      </c>
      <c r="E30" s="22" t="s">
        <v>24</v>
      </c>
      <c r="F30" s="23">
        <v>3253</v>
      </c>
      <c r="G30" s="23">
        <v>483</v>
      </c>
      <c r="H30" s="23">
        <v>336</v>
      </c>
      <c r="I30" s="23">
        <v>25397</v>
      </c>
      <c r="J30" s="23">
        <v>51485</v>
      </c>
      <c r="K30" s="23">
        <v>131</v>
      </c>
      <c r="L30" s="21" t="s">
        <v>19</v>
      </c>
      <c r="M30" s="21"/>
      <c r="N30" s="21" t="s">
        <v>20</v>
      </c>
      <c r="O30" s="38">
        <f t="shared" si="0"/>
        <v>0.16033389770445328</v>
      </c>
    </row>
    <row r="31" spans="1:20" hidden="1">
      <c r="A31" s="19" t="s">
        <v>78</v>
      </c>
      <c r="B31" s="19" t="s">
        <v>13</v>
      </c>
      <c r="C31" s="20">
        <v>45693</v>
      </c>
      <c r="D31" s="21" t="s">
        <v>23</v>
      </c>
      <c r="E31" s="22" t="s">
        <v>361</v>
      </c>
      <c r="F31" s="23">
        <v>3074</v>
      </c>
      <c r="G31" s="23">
        <v>371</v>
      </c>
      <c r="H31" s="23">
        <v>348</v>
      </c>
      <c r="I31" s="23">
        <v>24104</v>
      </c>
      <c r="J31" s="23">
        <v>57803</v>
      </c>
      <c r="K31" s="23">
        <v>213</v>
      </c>
      <c r="L31" s="21" t="s">
        <v>34</v>
      </c>
      <c r="M31" s="21"/>
      <c r="N31" s="21" t="s">
        <v>46</v>
      </c>
      <c r="O31" s="38">
        <f t="shared" si="0"/>
        <v>0.15735977431131762</v>
      </c>
    </row>
    <row r="32" spans="1:20" hidden="1">
      <c r="A32" s="19" t="s">
        <v>320</v>
      </c>
      <c r="B32" s="19" t="s">
        <v>22</v>
      </c>
      <c r="C32" s="20">
        <v>45517</v>
      </c>
      <c r="D32" s="21" t="s">
        <v>14</v>
      </c>
      <c r="E32" s="22" t="s">
        <v>18</v>
      </c>
      <c r="F32" s="23">
        <v>3418</v>
      </c>
      <c r="G32" s="23">
        <v>107</v>
      </c>
      <c r="H32" s="23">
        <v>221</v>
      </c>
      <c r="I32" s="23">
        <v>23927</v>
      </c>
      <c r="J32" s="23">
        <v>26182</v>
      </c>
      <c r="K32" s="23">
        <v>155</v>
      </c>
      <c r="L32" s="21" t="s">
        <v>37</v>
      </c>
      <c r="M32" s="21"/>
      <c r="N32" s="21" t="s">
        <v>20</v>
      </c>
      <c r="O32" s="38">
        <f t="shared" si="0"/>
        <v>0.1565595352530614</v>
      </c>
    </row>
    <row r="33" spans="1:15" hidden="1">
      <c r="A33" s="19" t="s">
        <v>191</v>
      </c>
      <c r="B33" s="19" t="s">
        <v>13</v>
      </c>
      <c r="C33" s="20">
        <v>45803</v>
      </c>
      <c r="D33" s="21" t="s">
        <v>14</v>
      </c>
      <c r="E33" s="22" t="s">
        <v>15</v>
      </c>
      <c r="F33" s="23">
        <v>3086</v>
      </c>
      <c r="G33" s="23">
        <v>148</v>
      </c>
      <c r="H33" s="23">
        <v>310</v>
      </c>
      <c r="I33" s="23">
        <v>22824</v>
      </c>
      <c r="J33" s="23">
        <v>58103</v>
      </c>
      <c r="K33" s="23">
        <v>275</v>
      </c>
      <c r="L33" s="21" t="s">
        <v>19</v>
      </c>
      <c r="M33" s="21"/>
      <c r="N33" s="21" t="s">
        <v>20</v>
      </c>
      <c r="O33" s="38">
        <f t="shared" si="0"/>
        <v>0.1552751489660007</v>
      </c>
    </row>
    <row r="34" spans="1:15" hidden="1">
      <c r="A34" s="19" t="s">
        <v>200</v>
      </c>
      <c r="B34" s="19" t="s">
        <v>22</v>
      </c>
      <c r="C34" s="20">
        <v>45619</v>
      </c>
      <c r="D34" s="21" t="s">
        <v>14</v>
      </c>
      <c r="E34" s="22" t="s">
        <v>24</v>
      </c>
      <c r="F34" s="23">
        <v>4318</v>
      </c>
      <c r="G34" s="23">
        <v>371</v>
      </c>
      <c r="H34" s="23">
        <v>329</v>
      </c>
      <c r="I34" s="23">
        <v>32347</v>
      </c>
      <c r="J34" s="23">
        <v>68956</v>
      </c>
      <c r="K34" s="23">
        <v>259</v>
      </c>
      <c r="L34" s="21" t="s">
        <v>37</v>
      </c>
      <c r="M34" s="21"/>
      <c r="N34" s="21" t="s">
        <v>20</v>
      </c>
      <c r="O34" s="38">
        <f t="shared" si="0"/>
        <v>0.15513030574705536</v>
      </c>
    </row>
    <row r="35" spans="1:15" hidden="1">
      <c r="A35" s="19" t="s">
        <v>284</v>
      </c>
      <c r="B35" s="19" t="s">
        <v>22</v>
      </c>
      <c r="C35" s="20">
        <v>45691</v>
      </c>
      <c r="D35" s="21" t="s">
        <v>14</v>
      </c>
      <c r="E35" s="22" t="s">
        <v>362</v>
      </c>
      <c r="F35" s="23">
        <v>4995</v>
      </c>
      <c r="G35" s="23">
        <v>231</v>
      </c>
      <c r="H35" s="23">
        <v>94</v>
      </c>
      <c r="I35" s="23">
        <v>34431</v>
      </c>
      <c r="J35" s="23">
        <v>32560</v>
      </c>
      <c r="K35" s="23">
        <v>262</v>
      </c>
      <c r="L35" s="21" t="s">
        <v>34</v>
      </c>
      <c r="M35" s="21"/>
      <c r="N35" s="21" t="s">
        <v>16</v>
      </c>
      <c r="O35" s="38">
        <f t="shared" si="0"/>
        <v>0.15451192239551567</v>
      </c>
    </row>
    <row r="36" spans="1:15" hidden="1">
      <c r="A36" s="19" t="s">
        <v>50</v>
      </c>
      <c r="B36" s="19" t="s">
        <v>13</v>
      </c>
      <c r="C36" s="20">
        <v>45478</v>
      </c>
      <c r="D36" s="21" t="s">
        <v>14</v>
      </c>
      <c r="E36" s="22" t="s">
        <v>42</v>
      </c>
      <c r="F36" s="23">
        <v>3753</v>
      </c>
      <c r="G36" s="23">
        <v>411</v>
      </c>
      <c r="H36" s="23">
        <v>308</v>
      </c>
      <c r="I36" s="23">
        <v>29138</v>
      </c>
      <c r="J36" s="23">
        <v>27678</v>
      </c>
      <c r="K36" s="23">
        <v>90</v>
      </c>
      <c r="L36" s="21" t="s">
        <v>19</v>
      </c>
      <c r="M36" s="21"/>
      <c r="N36" s="21" t="s">
        <v>20</v>
      </c>
      <c r="O36" s="38">
        <f t="shared" si="0"/>
        <v>0.15347655981879332</v>
      </c>
    </row>
    <row r="37" spans="1:15" hidden="1">
      <c r="A37" s="19" t="s">
        <v>82</v>
      </c>
      <c r="B37" s="19" t="s">
        <v>22</v>
      </c>
      <c r="C37" s="20">
        <v>45539</v>
      </c>
      <c r="D37" s="21" t="s">
        <v>23</v>
      </c>
      <c r="E37" s="22" t="s">
        <v>24</v>
      </c>
      <c r="F37" s="23">
        <v>2613</v>
      </c>
      <c r="G37" s="23">
        <v>455</v>
      </c>
      <c r="H37" s="23">
        <v>228</v>
      </c>
      <c r="I37" s="23">
        <v>21645</v>
      </c>
      <c r="J37" s="23">
        <v>61334</v>
      </c>
      <c r="K37" s="23">
        <v>261</v>
      </c>
      <c r="L37" s="21" t="s">
        <v>19</v>
      </c>
      <c r="M37" s="21" t="s">
        <v>364</v>
      </c>
      <c r="N37" s="21" t="s">
        <v>16</v>
      </c>
      <c r="O37" s="38">
        <f t="shared" si="0"/>
        <v>0.15227535227535227</v>
      </c>
    </row>
    <row r="38" spans="1:15" hidden="1">
      <c r="A38" s="19" t="s">
        <v>301</v>
      </c>
      <c r="B38" s="19" t="s">
        <v>22</v>
      </c>
      <c r="C38" s="20">
        <v>45693</v>
      </c>
      <c r="D38" s="21" t="s">
        <v>23</v>
      </c>
      <c r="E38" s="22" t="s">
        <v>15</v>
      </c>
      <c r="F38" s="23">
        <v>3029</v>
      </c>
      <c r="G38" s="23">
        <v>440</v>
      </c>
      <c r="H38" s="23">
        <v>66</v>
      </c>
      <c r="I38" s="23">
        <v>23815</v>
      </c>
      <c r="J38" s="23">
        <v>47895</v>
      </c>
      <c r="K38" s="23">
        <v>210</v>
      </c>
      <c r="L38" s="21" t="s">
        <v>19</v>
      </c>
      <c r="M38" s="21" t="s">
        <v>364</v>
      </c>
      <c r="N38" s="21" t="s">
        <v>16</v>
      </c>
      <c r="O38" s="38">
        <f t="shared" si="0"/>
        <v>0.14843585975225698</v>
      </c>
    </row>
    <row r="39" spans="1:15" hidden="1">
      <c r="A39" s="19" t="s">
        <v>113</v>
      </c>
      <c r="B39" s="19" t="s">
        <v>22</v>
      </c>
      <c r="C39" s="20">
        <v>45660</v>
      </c>
      <c r="D39" s="21" t="s">
        <v>23</v>
      </c>
      <c r="E39" s="22" t="s">
        <v>30</v>
      </c>
      <c r="F39" s="23">
        <v>4845</v>
      </c>
      <c r="G39" s="23">
        <v>158</v>
      </c>
      <c r="H39" s="23">
        <v>84</v>
      </c>
      <c r="I39" s="23">
        <v>34578</v>
      </c>
      <c r="J39" s="23">
        <v>51480</v>
      </c>
      <c r="K39" s="23">
        <v>180</v>
      </c>
      <c r="L39" s="21" t="s">
        <v>37</v>
      </c>
      <c r="M39" s="21" t="s">
        <v>34</v>
      </c>
      <c r="N39" s="21" t="s">
        <v>16</v>
      </c>
      <c r="O39" s="38">
        <f t="shared" si="0"/>
        <v>0.1471166637746544</v>
      </c>
    </row>
    <row r="40" spans="1:15" hidden="1">
      <c r="A40" s="19" t="s">
        <v>279</v>
      </c>
      <c r="B40" s="19" t="s">
        <v>13</v>
      </c>
      <c r="C40" s="20">
        <v>45357</v>
      </c>
      <c r="D40" s="21" t="s">
        <v>14</v>
      </c>
      <c r="E40" s="22" t="s">
        <v>362</v>
      </c>
      <c r="F40" s="23">
        <v>3529</v>
      </c>
      <c r="G40" s="23">
        <v>263</v>
      </c>
      <c r="H40" s="23">
        <v>107</v>
      </c>
      <c r="I40" s="23">
        <v>26570</v>
      </c>
      <c r="J40" s="23">
        <v>19367</v>
      </c>
      <c r="K40" s="23">
        <v>96</v>
      </c>
      <c r="L40" s="21" t="s">
        <v>19</v>
      </c>
      <c r="M40" s="21"/>
      <c r="N40" s="21" t="s">
        <v>20</v>
      </c>
      <c r="O40" s="38">
        <f t="shared" si="0"/>
        <v>0.14674444862627023</v>
      </c>
    </row>
    <row r="41" spans="1:15" hidden="1">
      <c r="A41" s="19" t="s">
        <v>76</v>
      </c>
      <c r="B41" s="19" t="s">
        <v>13</v>
      </c>
      <c r="C41" s="20">
        <v>45334</v>
      </c>
      <c r="D41" s="21" t="s">
        <v>14</v>
      </c>
      <c r="E41" s="22" t="s">
        <v>18</v>
      </c>
      <c r="F41" s="23">
        <v>2923</v>
      </c>
      <c r="G41" s="23">
        <v>330</v>
      </c>
      <c r="H41" s="23">
        <v>250</v>
      </c>
      <c r="I41" s="23">
        <v>23993</v>
      </c>
      <c r="J41" s="23">
        <v>74590</v>
      </c>
      <c r="K41" s="23">
        <v>92</v>
      </c>
      <c r="L41" s="21" t="s">
        <v>19</v>
      </c>
      <c r="M41" s="21"/>
      <c r="N41" s="21" t="s">
        <v>20</v>
      </c>
      <c r="O41" s="38">
        <f t="shared" si="0"/>
        <v>0.14600091693410577</v>
      </c>
    </row>
    <row r="42" spans="1:15" hidden="1">
      <c r="A42" s="19" t="s">
        <v>132</v>
      </c>
      <c r="B42" s="19" t="s">
        <v>22</v>
      </c>
      <c r="C42" s="20">
        <v>45591</v>
      </c>
      <c r="D42" s="21" t="s">
        <v>14</v>
      </c>
      <c r="E42" s="22" t="s">
        <v>15</v>
      </c>
      <c r="F42" s="23">
        <v>3036</v>
      </c>
      <c r="G42" s="23">
        <v>293</v>
      </c>
      <c r="H42" s="23">
        <v>115</v>
      </c>
      <c r="I42" s="23">
        <v>23776</v>
      </c>
      <c r="J42" s="23">
        <v>46386</v>
      </c>
      <c r="K42" s="23">
        <v>282</v>
      </c>
      <c r="L42" s="21" t="s">
        <v>34</v>
      </c>
      <c r="M42" s="21"/>
      <c r="N42" s="21" t="s">
        <v>16</v>
      </c>
      <c r="O42" s="38">
        <f t="shared" si="0"/>
        <v>0.14485195154777927</v>
      </c>
    </row>
    <row r="43" spans="1:15" hidden="1">
      <c r="A43" s="19" t="s">
        <v>70</v>
      </c>
      <c r="B43" s="19" t="s">
        <v>22</v>
      </c>
      <c r="C43" s="20">
        <v>45818</v>
      </c>
      <c r="D43" s="21" t="s">
        <v>14</v>
      </c>
      <c r="E43" s="22" t="s">
        <v>18</v>
      </c>
      <c r="F43" s="23">
        <v>3615</v>
      </c>
      <c r="G43" s="23">
        <v>192</v>
      </c>
      <c r="H43" s="23">
        <v>162</v>
      </c>
      <c r="I43" s="23">
        <v>27492</v>
      </c>
      <c r="J43" s="23">
        <v>35341</v>
      </c>
      <c r="K43" s="23">
        <v>125</v>
      </c>
      <c r="L43" s="21" t="s">
        <v>34</v>
      </c>
      <c r="M43" s="21"/>
      <c r="N43" s="21" t="s">
        <v>16</v>
      </c>
      <c r="O43" s="38">
        <f t="shared" si="0"/>
        <v>0.14436927106067218</v>
      </c>
    </row>
    <row r="44" spans="1:15" hidden="1">
      <c r="A44" s="19" t="s">
        <v>124</v>
      </c>
      <c r="B44" s="19" t="s">
        <v>22</v>
      </c>
      <c r="C44" s="20">
        <v>45609</v>
      </c>
      <c r="D44" s="21" t="s">
        <v>23</v>
      </c>
      <c r="E44" s="22" t="s">
        <v>33</v>
      </c>
      <c r="F44" s="23">
        <v>4628</v>
      </c>
      <c r="G44" s="23">
        <v>257</v>
      </c>
      <c r="H44" s="23">
        <v>397</v>
      </c>
      <c r="I44" s="23">
        <v>36686</v>
      </c>
      <c r="J44" s="23">
        <v>54683</v>
      </c>
      <c r="K44" s="23">
        <v>98</v>
      </c>
      <c r="L44" s="21" t="s">
        <v>37</v>
      </c>
      <c r="M44" s="21" t="s">
        <v>34</v>
      </c>
      <c r="N44" s="21" t="s">
        <v>16</v>
      </c>
      <c r="O44" s="38">
        <f t="shared" si="0"/>
        <v>0.1439786294499264</v>
      </c>
    </row>
    <row r="45" spans="1:15" hidden="1">
      <c r="A45" s="19" t="s">
        <v>109</v>
      </c>
      <c r="B45" s="19" t="s">
        <v>27</v>
      </c>
      <c r="C45" s="20">
        <v>45304</v>
      </c>
      <c r="D45" s="21" t="s">
        <v>48</v>
      </c>
      <c r="E45" s="22" t="s">
        <v>24</v>
      </c>
      <c r="F45" s="23">
        <v>4781</v>
      </c>
      <c r="G45" s="23">
        <v>191</v>
      </c>
      <c r="H45" s="23">
        <v>122</v>
      </c>
      <c r="I45" s="23">
        <v>35535</v>
      </c>
      <c r="J45" s="23">
        <v>50777</v>
      </c>
      <c r="K45" s="23">
        <v>128</v>
      </c>
      <c r="L45" s="21" t="s">
        <v>19</v>
      </c>
      <c r="M45" s="21" t="s">
        <v>37</v>
      </c>
      <c r="N45" s="21" t="s">
        <v>49</v>
      </c>
      <c r="O45" s="38">
        <f t="shared" si="0"/>
        <v>0.14335162515829464</v>
      </c>
    </row>
    <row r="46" spans="1:15" hidden="1">
      <c r="A46" s="19" t="s">
        <v>125</v>
      </c>
      <c r="B46" s="19" t="s">
        <v>13</v>
      </c>
      <c r="C46" s="20">
        <v>45373</v>
      </c>
      <c r="D46" s="21" t="s">
        <v>23</v>
      </c>
      <c r="E46" s="22" t="s">
        <v>15</v>
      </c>
      <c r="F46" s="23">
        <v>2319</v>
      </c>
      <c r="G46" s="23">
        <v>484</v>
      </c>
      <c r="H46" s="23">
        <v>193</v>
      </c>
      <c r="I46" s="23">
        <v>21202</v>
      </c>
      <c r="J46" s="23">
        <v>18091</v>
      </c>
      <c r="K46" s="23">
        <v>241</v>
      </c>
      <c r="L46" s="21" t="s">
        <v>34</v>
      </c>
      <c r="M46" s="21"/>
      <c r="N46" s="21" t="s">
        <v>46</v>
      </c>
      <c r="O46" s="38">
        <f t="shared" si="0"/>
        <v>0.14130742382794076</v>
      </c>
    </row>
    <row r="47" spans="1:15" hidden="1">
      <c r="A47" s="19" t="s">
        <v>45</v>
      </c>
      <c r="B47" s="19" t="s">
        <v>13</v>
      </c>
      <c r="C47" s="20">
        <v>45325</v>
      </c>
      <c r="D47" s="21" t="s">
        <v>23</v>
      </c>
      <c r="E47" s="22" t="s">
        <v>361</v>
      </c>
      <c r="F47" s="23">
        <v>4281</v>
      </c>
      <c r="G47" s="23">
        <v>101</v>
      </c>
      <c r="H47" s="23">
        <v>163</v>
      </c>
      <c r="I47" s="23">
        <v>32278</v>
      </c>
      <c r="J47" s="23">
        <v>53382</v>
      </c>
      <c r="K47" s="23">
        <v>235</v>
      </c>
      <c r="L47" s="21" t="s">
        <v>34</v>
      </c>
      <c r="M47" s="21"/>
      <c r="N47" s="21" t="s">
        <v>46</v>
      </c>
      <c r="O47" s="38">
        <f t="shared" si="0"/>
        <v>0.1408079806679472</v>
      </c>
    </row>
    <row r="48" spans="1:15" hidden="1">
      <c r="A48" s="19" t="s">
        <v>229</v>
      </c>
      <c r="B48" s="19" t="s">
        <v>22</v>
      </c>
      <c r="C48" s="20">
        <v>45484</v>
      </c>
      <c r="D48" s="21" t="s">
        <v>23</v>
      </c>
      <c r="E48" s="22" t="s">
        <v>30</v>
      </c>
      <c r="F48" s="23">
        <v>4247</v>
      </c>
      <c r="G48" s="23">
        <v>179</v>
      </c>
      <c r="H48" s="23">
        <v>175</v>
      </c>
      <c r="I48" s="23">
        <v>32991</v>
      </c>
      <c r="J48" s="23">
        <v>70120</v>
      </c>
      <c r="K48" s="23">
        <v>276</v>
      </c>
      <c r="L48" s="21" t="s">
        <v>37</v>
      </c>
      <c r="M48" s="21" t="s">
        <v>34</v>
      </c>
      <c r="N48" s="21" t="s">
        <v>16</v>
      </c>
      <c r="O48" s="38">
        <f t="shared" si="0"/>
        <v>0.13946227759085811</v>
      </c>
    </row>
    <row r="49" spans="1:15" hidden="1">
      <c r="A49" s="19" t="s">
        <v>86</v>
      </c>
      <c r="B49" s="19" t="s">
        <v>13</v>
      </c>
      <c r="C49" s="20">
        <v>45707</v>
      </c>
      <c r="D49" s="21" t="s">
        <v>23</v>
      </c>
      <c r="E49" s="22" t="s">
        <v>363</v>
      </c>
      <c r="F49" s="23">
        <v>2422</v>
      </c>
      <c r="G49" s="23">
        <v>455</v>
      </c>
      <c r="H49" s="23">
        <v>376</v>
      </c>
      <c r="I49" s="23">
        <v>23428</v>
      </c>
      <c r="J49" s="23">
        <v>46775</v>
      </c>
      <c r="K49" s="23">
        <v>259</v>
      </c>
      <c r="L49" s="21" t="s">
        <v>34</v>
      </c>
      <c r="M49" s="21"/>
      <c r="N49" s="21" t="s">
        <v>46</v>
      </c>
      <c r="O49" s="38">
        <f t="shared" si="0"/>
        <v>0.13885094758408742</v>
      </c>
    </row>
    <row r="50" spans="1:15" hidden="1">
      <c r="A50" s="19" t="s">
        <v>139</v>
      </c>
      <c r="B50" s="19" t="s">
        <v>13</v>
      </c>
      <c r="C50" s="20">
        <v>45617</v>
      </c>
      <c r="D50" s="21" t="s">
        <v>14</v>
      </c>
      <c r="E50" s="22" t="s">
        <v>361</v>
      </c>
      <c r="F50" s="23">
        <v>4581</v>
      </c>
      <c r="G50" s="23">
        <v>181</v>
      </c>
      <c r="H50" s="23">
        <v>112</v>
      </c>
      <c r="I50" s="23">
        <v>35221</v>
      </c>
      <c r="J50" s="23">
        <v>28797</v>
      </c>
      <c r="K50" s="23">
        <v>164</v>
      </c>
      <c r="L50" s="21" t="s">
        <v>37</v>
      </c>
      <c r="M50" s="21" t="s">
        <v>34</v>
      </c>
      <c r="N50" s="21" t="s">
        <v>16</v>
      </c>
      <c r="O50" s="38">
        <f t="shared" si="0"/>
        <v>0.13838335084182732</v>
      </c>
    </row>
    <row r="51" spans="1:15" hidden="1">
      <c r="A51" s="19" t="s">
        <v>126</v>
      </c>
      <c r="B51" s="19" t="s">
        <v>22</v>
      </c>
      <c r="C51" s="20">
        <v>45367</v>
      </c>
      <c r="D51" s="21" t="s">
        <v>23</v>
      </c>
      <c r="E51" s="22" t="s">
        <v>360</v>
      </c>
      <c r="F51" s="23">
        <v>2895</v>
      </c>
      <c r="G51" s="23">
        <v>292</v>
      </c>
      <c r="H51" s="23">
        <v>90</v>
      </c>
      <c r="I51" s="23">
        <v>24223</v>
      </c>
      <c r="J51" s="23">
        <v>54626</v>
      </c>
      <c r="K51" s="23">
        <v>114</v>
      </c>
      <c r="L51" s="21" t="s">
        <v>37</v>
      </c>
      <c r="M51" s="21" t="s">
        <v>34</v>
      </c>
      <c r="N51" s="21" t="s">
        <v>16</v>
      </c>
      <c r="O51" s="38">
        <f t="shared" si="0"/>
        <v>0.13528464682326713</v>
      </c>
    </row>
    <row r="52" spans="1:15" hidden="1">
      <c r="A52" s="19" t="s">
        <v>108</v>
      </c>
      <c r="B52" s="19" t="s">
        <v>22</v>
      </c>
      <c r="C52" s="20">
        <v>45678</v>
      </c>
      <c r="D52" s="21" t="s">
        <v>23</v>
      </c>
      <c r="E52" s="22" t="s">
        <v>15</v>
      </c>
      <c r="F52" s="23">
        <v>2494</v>
      </c>
      <c r="G52" s="23">
        <v>494</v>
      </c>
      <c r="H52" s="23">
        <v>55</v>
      </c>
      <c r="I52" s="23">
        <v>22580</v>
      </c>
      <c r="J52" s="23">
        <v>22214</v>
      </c>
      <c r="K52" s="23">
        <v>109</v>
      </c>
      <c r="L52" s="21" t="s">
        <v>364</v>
      </c>
      <c r="M52" s="21" t="s">
        <v>34</v>
      </c>
      <c r="N52" s="21" t="s">
        <v>16</v>
      </c>
      <c r="O52" s="38">
        <f t="shared" si="0"/>
        <v>0.13476527900797167</v>
      </c>
    </row>
    <row r="53" spans="1:15" hidden="1">
      <c r="A53" s="19" t="s">
        <v>272</v>
      </c>
      <c r="B53" s="19" t="s">
        <v>22</v>
      </c>
      <c r="C53" s="20">
        <v>45759</v>
      </c>
      <c r="D53" s="21" t="s">
        <v>23</v>
      </c>
      <c r="E53" s="22" t="s">
        <v>363</v>
      </c>
      <c r="F53" s="23">
        <v>4315</v>
      </c>
      <c r="G53" s="23">
        <v>208</v>
      </c>
      <c r="H53" s="23">
        <v>273</v>
      </c>
      <c r="I53" s="23">
        <v>35780</v>
      </c>
      <c r="J53" s="23">
        <v>44349</v>
      </c>
      <c r="K53" s="23">
        <v>133</v>
      </c>
      <c r="L53" s="21" t="s">
        <v>19</v>
      </c>
      <c r="M53" s="21" t="s">
        <v>364</v>
      </c>
      <c r="N53" s="21" t="s">
        <v>16</v>
      </c>
      <c r="O53" s="38">
        <f t="shared" si="0"/>
        <v>0.13404136389044158</v>
      </c>
    </row>
    <row r="54" spans="1:15" hidden="1">
      <c r="A54" s="19" t="s">
        <v>12</v>
      </c>
      <c r="B54" s="19" t="s">
        <v>13</v>
      </c>
      <c r="C54" s="20">
        <v>45781</v>
      </c>
      <c r="D54" s="21" t="s">
        <v>14</v>
      </c>
      <c r="E54" s="22" t="s">
        <v>15</v>
      </c>
      <c r="F54" s="23">
        <v>2414</v>
      </c>
      <c r="G54" s="23">
        <v>245</v>
      </c>
      <c r="H54" s="23">
        <v>137</v>
      </c>
      <c r="I54" s="23">
        <v>21181</v>
      </c>
      <c r="J54" s="23">
        <v>45292</v>
      </c>
      <c r="K54" s="23">
        <v>133</v>
      </c>
      <c r="L54" s="21" t="s">
        <v>37</v>
      </c>
      <c r="M54" s="21" t="s">
        <v>34</v>
      </c>
      <c r="N54" s="21" t="s">
        <v>16</v>
      </c>
      <c r="O54" s="38">
        <f t="shared" si="0"/>
        <v>0.13200509890939993</v>
      </c>
    </row>
    <row r="55" spans="1:15" hidden="1">
      <c r="A55" s="19" t="s">
        <v>26</v>
      </c>
      <c r="B55" s="19" t="s">
        <v>27</v>
      </c>
      <c r="C55" s="20">
        <v>45388</v>
      </c>
      <c r="D55" s="21" t="s">
        <v>14</v>
      </c>
      <c r="E55" s="22" t="s">
        <v>361</v>
      </c>
      <c r="F55" s="23">
        <v>2748</v>
      </c>
      <c r="G55" s="23">
        <v>145</v>
      </c>
      <c r="H55" s="23">
        <v>315</v>
      </c>
      <c r="I55" s="23">
        <v>24401</v>
      </c>
      <c r="J55" s="23">
        <v>61182</v>
      </c>
      <c r="K55" s="23">
        <v>200</v>
      </c>
      <c r="L55" s="21" t="s">
        <v>19</v>
      </c>
      <c r="M55" s="21" t="s">
        <v>365</v>
      </c>
      <c r="N55" s="21" t="s">
        <v>20</v>
      </c>
      <c r="O55" s="38">
        <f t="shared" si="0"/>
        <v>0.1314700217204213</v>
      </c>
    </row>
    <row r="56" spans="1:15" hidden="1">
      <c r="A56" s="19" t="s">
        <v>267</v>
      </c>
      <c r="B56" s="19" t="s">
        <v>27</v>
      </c>
      <c r="C56" s="20">
        <v>45305</v>
      </c>
      <c r="D56" s="21" t="s">
        <v>14</v>
      </c>
      <c r="E56" s="22" t="s">
        <v>362</v>
      </c>
      <c r="F56" s="23">
        <v>4502</v>
      </c>
      <c r="G56" s="23">
        <v>238</v>
      </c>
      <c r="H56" s="23">
        <v>386</v>
      </c>
      <c r="I56" s="23">
        <v>39198</v>
      </c>
      <c r="J56" s="23">
        <v>25050</v>
      </c>
      <c r="K56" s="23">
        <v>297</v>
      </c>
      <c r="L56" s="21" t="s">
        <v>19</v>
      </c>
      <c r="M56" s="21" t="s">
        <v>365</v>
      </c>
      <c r="N56" s="21" t="s">
        <v>20</v>
      </c>
      <c r="O56" s="38">
        <f t="shared" si="0"/>
        <v>0.13077197816215114</v>
      </c>
    </row>
    <row r="57" spans="1:15" hidden="1">
      <c r="A57" s="19" t="s">
        <v>35</v>
      </c>
      <c r="B57" s="19" t="s">
        <v>22</v>
      </c>
      <c r="C57" s="20">
        <v>45630</v>
      </c>
      <c r="D57" s="21" t="s">
        <v>14</v>
      </c>
      <c r="E57" s="22" t="s">
        <v>360</v>
      </c>
      <c r="F57" s="23">
        <v>2357</v>
      </c>
      <c r="G57" s="23">
        <v>274</v>
      </c>
      <c r="H57" s="23">
        <v>172</v>
      </c>
      <c r="I57" s="23">
        <v>21566</v>
      </c>
      <c r="J57" s="23">
        <v>66829</v>
      </c>
      <c r="K57" s="23">
        <v>284</v>
      </c>
      <c r="L57" s="21" t="s">
        <v>34</v>
      </c>
      <c r="M57" s="21"/>
      <c r="N57" s="21" t="s">
        <v>16</v>
      </c>
      <c r="O57" s="38">
        <f t="shared" si="0"/>
        <v>0.12997310581470833</v>
      </c>
    </row>
    <row r="58" spans="1:15" hidden="1">
      <c r="A58" s="19" t="s">
        <v>322</v>
      </c>
      <c r="B58" s="19" t="s">
        <v>22</v>
      </c>
      <c r="C58" s="20">
        <v>45599</v>
      </c>
      <c r="D58" s="21" t="s">
        <v>23</v>
      </c>
      <c r="E58" s="22" t="s">
        <v>18</v>
      </c>
      <c r="F58" s="23">
        <v>3061</v>
      </c>
      <c r="G58" s="23">
        <v>320</v>
      </c>
      <c r="H58" s="23">
        <v>76</v>
      </c>
      <c r="I58" s="23">
        <v>26640</v>
      </c>
      <c r="J58" s="23">
        <v>24306</v>
      </c>
      <c r="K58" s="23">
        <v>112</v>
      </c>
      <c r="L58" s="21" t="s">
        <v>364</v>
      </c>
      <c r="M58" s="21" t="s">
        <v>34</v>
      </c>
      <c r="N58" s="21" t="s">
        <v>16</v>
      </c>
      <c r="O58" s="38">
        <f t="shared" si="0"/>
        <v>0.12976726726726726</v>
      </c>
    </row>
    <row r="59" spans="1:15" hidden="1">
      <c r="A59" s="19" t="s">
        <v>217</v>
      </c>
      <c r="B59" s="19" t="s">
        <v>27</v>
      </c>
      <c r="C59" s="20">
        <v>45795</v>
      </c>
      <c r="D59" s="21" t="s">
        <v>48</v>
      </c>
      <c r="E59" s="22" t="s">
        <v>360</v>
      </c>
      <c r="F59" s="23">
        <v>4210</v>
      </c>
      <c r="G59" s="23">
        <v>319</v>
      </c>
      <c r="H59" s="23">
        <v>350</v>
      </c>
      <c r="I59" s="23">
        <v>37762</v>
      </c>
      <c r="J59" s="23">
        <v>55162</v>
      </c>
      <c r="K59" s="23">
        <v>204</v>
      </c>
      <c r="L59" s="21" t="s">
        <v>19</v>
      </c>
      <c r="M59" s="21" t="s">
        <v>37</v>
      </c>
      <c r="N59" s="21" t="s">
        <v>49</v>
      </c>
      <c r="O59" s="38">
        <f t="shared" si="0"/>
        <v>0.12920396165457337</v>
      </c>
    </row>
    <row r="60" spans="1:15" hidden="1">
      <c r="A60" s="19" t="s">
        <v>251</v>
      </c>
      <c r="B60" s="19" t="s">
        <v>22</v>
      </c>
      <c r="C60" s="20">
        <v>45786</v>
      </c>
      <c r="D60" s="21" t="s">
        <v>23</v>
      </c>
      <c r="E60" s="22" t="s">
        <v>361</v>
      </c>
      <c r="F60" s="23">
        <v>2778</v>
      </c>
      <c r="G60" s="23">
        <v>241</v>
      </c>
      <c r="H60" s="23">
        <v>317</v>
      </c>
      <c r="I60" s="23">
        <v>26247</v>
      </c>
      <c r="J60" s="23">
        <v>20677</v>
      </c>
      <c r="K60" s="23">
        <v>282</v>
      </c>
      <c r="L60" s="21" t="s">
        <v>364</v>
      </c>
      <c r="M60" s="21" t="s">
        <v>34</v>
      </c>
      <c r="N60" s="21" t="s">
        <v>16</v>
      </c>
      <c r="O60" s="38">
        <f t="shared" si="0"/>
        <v>0.1271002400274317</v>
      </c>
    </row>
    <row r="61" spans="1:15" hidden="1">
      <c r="A61" s="19" t="s">
        <v>244</v>
      </c>
      <c r="B61" s="19" t="s">
        <v>22</v>
      </c>
      <c r="C61" s="20">
        <v>45574</v>
      </c>
      <c r="D61" s="21" t="s">
        <v>14</v>
      </c>
      <c r="E61" s="22" t="s">
        <v>360</v>
      </c>
      <c r="F61" s="23">
        <v>2659</v>
      </c>
      <c r="G61" s="23">
        <v>167</v>
      </c>
      <c r="H61" s="23">
        <v>73</v>
      </c>
      <c r="I61" s="23">
        <v>23090</v>
      </c>
      <c r="J61" s="23">
        <v>25872</v>
      </c>
      <c r="K61" s="23">
        <v>293</v>
      </c>
      <c r="L61" s="21" t="s">
        <v>37</v>
      </c>
      <c r="M61" s="21"/>
      <c r="N61" s="21" t="s">
        <v>20</v>
      </c>
      <c r="O61" s="38">
        <f t="shared" si="0"/>
        <v>0.12555218709398008</v>
      </c>
    </row>
    <row r="62" spans="1:15" hidden="1">
      <c r="A62" s="19" t="s">
        <v>248</v>
      </c>
      <c r="B62" s="19" t="s">
        <v>22</v>
      </c>
      <c r="C62" s="20">
        <v>45579</v>
      </c>
      <c r="D62" s="21" t="s">
        <v>23</v>
      </c>
      <c r="E62" s="22" t="s">
        <v>18</v>
      </c>
      <c r="F62" s="23">
        <v>4303</v>
      </c>
      <c r="G62" s="23">
        <v>306</v>
      </c>
      <c r="H62" s="23">
        <v>302</v>
      </c>
      <c r="I62" s="23">
        <v>39575</v>
      </c>
      <c r="J62" s="23">
        <v>33762</v>
      </c>
      <c r="K62" s="23">
        <v>265</v>
      </c>
      <c r="L62" s="21" t="s">
        <v>19</v>
      </c>
      <c r="M62" s="21" t="s">
        <v>364</v>
      </c>
      <c r="N62" s="21" t="s">
        <v>16</v>
      </c>
      <c r="O62" s="38">
        <f t="shared" si="0"/>
        <v>0.12409349336702463</v>
      </c>
    </row>
    <row r="63" spans="1:15" hidden="1">
      <c r="A63" s="19" t="s">
        <v>257</v>
      </c>
      <c r="B63" s="19" t="s">
        <v>27</v>
      </c>
      <c r="C63" s="20">
        <v>45738</v>
      </c>
      <c r="D63" s="21" t="s">
        <v>14</v>
      </c>
      <c r="E63" s="22" t="s">
        <v>361</v>
      </c>
      <c r="F63" s="23">
        <v>4308</v>
      </c>
      <c r="G63" s="23">
        <v>171</v>
      </c>
      <c r="H63" s="23">
        <v>106</v>
      </c>
      <c r="I63" s="23">
        <v>36955</v>
      </c>
      <c r="J63" s="23">
        <v>23949</v>
      </c>
      <c r="K63" s="23">
        <v>294</v>
      </c>
      <c r="L63" s="21" t="s">
        <v>19</v>
      </c>
      <c r="M63" s="21" t="s">
        <v>365</v>
      </c>
      <c r="N63" s="21" t="s">
        <v>20</v>
      </c>
      <c r="O63" s="38">
        <f t="shared" si="0"/>
        <v>0.12406981463942633</v>
      </c>
    </row>
    <row r="64" spans="1:15" hidden="1">
      <c r="A64" s="19" t="s">
        <v>292</v>
      </c>
      <c r="B64" s="19" t="s">
        <v>22</v>
      </c>
      <c r="C64" s="20">
        <v>45626</v>
      </c>
      <c r="D64" s="21" t="s">
        <v>23</v>
      </c>
      <c r="E64" s="22" t="s">
        <v>18</v>
      </c>
      <c r="F64" s="23">
        <v>4963</v>
      </c>
      <c r="G64" s="23">
        <v>255</v>
      </c>
      <c r="H64" s="23">
        <v>193</v>
      </c>
      <c r="I64" s="23">
        <v>44386</v>
      </c>
      <c r="J64" s="23">
        <v>28415</v>
      </c>
      <c r="K64" s="23">
        <v>174</v>
      </c>
      <c r="L64" s="21" t="s">
        <v>364</v>
      </c>
      <c r="M64" s="21" t="s">
        <v>34</v>
      </c>
      <c r="N64" s="21" t="s">
        <v>16</v>
      </c>
      <c r="O64" s="38">
        <f t="shared" si="0"/>
        <v>0.12190780876853062</v>
      </c>
    </row>
    <row r="65" spans="1:15" hidden="1">
      <c r="A65" s="19" t="s">
        <v>25</v>
      </c>
      <c r="B65" s="19" t="s">
        <v>13</v>
      </c>
      <c r="C65" s="20">
        <v>45629</v>
      </c>
      <c r="D65" s="21" t="s">
        <v>14</v>
      </c>
      <c r="E65" s="22" t="s">
        <v>360</v>
      </c>
      <c r="F65" s="23">
        <v>3173</v>
      </c>
      <c r="G65" s="23">
        <v>229</v>
      </c>
      <c r="H65" s="23">
        <v>197</v>
      </c>
      <c r="I65" s="23">
        <v>29604</v>
      </c>
      <c r="J65" s="23">
        <v>21809</v>
      </c>
      <c r="K65" s="23">
        <v>272</v>
      </c>
      <c r="L65" s="21" t="s">
        <v>37</v>
      </c>
      <c r="M65" s="21" t="s">
        <v>34</v>
      </c>
      <c r="N65" s="21" t="s">
        <v>16</v>
      </c>
      <c r="O65" s="38">
        <f t="shared" si="0"/>
        <v>0.1215714092690177</v>
      </c>
    </row>
    <row r="66" spans="1:15" hidden="1">
      <c r="A66" s="19" t="s">
        <v>326</v>
      </c>
      <c r="B66" s="19" t="s">
        <v>22</v>
      </c>
      <c r="C66" s="20">
        <v>45736</v>
      </c>
      <c r="D66" s="21" t="s">
        <v>23</v>
      </c>
      <c r="E66" s="22" t="s">
        <v>42</v>
      </c>
      <c r="F66" s="23">
        <v>3393</v>
      </c>
      <c r="G66" s="23">
        <v>104</v>
      </c>
      <c r="H66" s="23">
        <v>79</v>
      </c>
      <c r="I66" s="23">
        <v>30025</v>
      </c>
      <c r="J66" s="23">
        <v>21593</v>
      </c>
      <c r="K66" s="23">
        <v>165</v>
      </c>
      <c r="L66" s="21" t="s">
        <v>364</v>
      </c>
      <c r="M66" s="21" t="s">
        <v>34</v>
      </c>
      <c r="N66" s="21" t="s">
        <v>16</v>
      </c>
      <c r="O66" s="38">
        <f t="shared" ref="O66:O129" si="1" xml:space="preserve"> (F66+ G66 + H66) / I66</f>
        <v>0.1191007493755204</v>
      </c>
    </row>
    <row r="67" spans="1:15" hidden="1">
      <c r="A67" s="19" t="s">
        <v>73</v>
      </c>
      <c r="B67" s="19" t="s">
        <v>13</v>
      </c>
      <c r="C67" s="20">
        <v>45702</v>
      </c>
      <c r="D67" s="21" t="s">
        <v>14</v>
      </c>
      <c r="E67" s="22" t="s">
        <v>33</v>
      </c>
      <c r="F67" s="23">
        <v>4891</v>
      </c>
      <c r="G67" s="23">
        <v>450</v>
      </c>
      <c r="H67" s="23">
        <v>387</v>
      </c>
      <c r="I67" s="23">
        <v>48746</v>
      </c>
      <c r="J67" s="23">
        <v>37312</v>
      </c>
      <c r="K67" s="23">
        <v>154</v>
      </c>
      <c r="L67" s="21" t="s">
        <v>37</v>
      </c>
      <c r="M67" s="21" t="s">
        <v>34</v>
      </c>
      <c r="N67" s="21" t="s">
        <v>16</v>
      </c>
      <c r="O67" s="38">
        <f t="shared" si="1"/>
        <v>0.11750707750379519</v>
      </c>
    </row>
    <row r="68" spans="1:15" hidden="1">
      <c r="A68" s="19" t="s">
        <v>172</v>
      </c>
      <c r="B68" s="19" t="s">
        <v>13</v>
      </c>
      <c r="C68" s="20">
        <v>45647</v>
      </c>
      <c r="D68" s="21" t="s">
        <v>23</v>
      </c>
      <c r="E68" s="22" t="s">
        <v>24</v>
      </c>
      <c r="F68" s="23">
        <v>4563</v>
      </c>
      <c r="G68" s="23">
        <v>398</v>
      </c>
      <c r="H68" s="23">
        <v>163</v>
      </c>
      <c r="I68" s="23">
        <v>43679</v>
      </c>
      <c r="J68" s="23">
        <v>48760</v>
      </c>
      <c r="K68" s="23">
        <v>92</v>
      </c>
      <c r="L68" s="21" t="s">
        <v>34</v>
      </c>
      <c r="M68" s="21"/>
      <c r="N68" s="21" t="s">
        <v>46</v>
      </c>
      <c r="O68" s="38">
        <f t="shared" si="1"/>
        <v>0.11731037798484398</v>
      </c>
    </row>
    <row r="69" spans="1:15" hidden="1">
      <c r="A69" s="19" t="s">
        <v>296</v>
      </c>
      <c r="B69" s="19" t="s">
        <v>13</v>
      </c>
      <c r="C69" s="20">
        <v>45442</v>
      </c>
      <c r="D69" s="21" t="s">
        <v>23</v>
      </c>
      <c r="E69" s="22" t="s">
        <v>30</v>
      </c>
      <c r="F69" s="23">
        <v>2448</v>
      </c>
      <c r="G69" s="23">
        <v>464</v>
      </c>
      <c r="H69" s="23">
        <v>98</v>
      </c>
      <c r="I69" s="23">
        <v>25737</v>
      </c>
      <c r="J69" s="23">
        <v>48545</v>
      </c>
      <c r="K69" s="23">
        <v>246</v>
      </c>
      <c r="L69" s="21" t="s">
        <v>34</v>
      </c>
      <c r="M69" s="21"/>
      <c r="N69" s="21" t="s">
        <v>46</v>
      </c>
      <c r="O69" s="38">
        <f t="shared" si="1"/>
        <v>0.11695224773672146</v>
      </c>
    </row>
    <row r="70" spans="1:15" hidden="1">
      <c r="A70" s="19" t="s">
        <v>169</v>
      </c>
      <c r="B70" s="19" t="s">
        <v>22</v>
      </c>
      <c r="C70" s="20">
        <v>45725</v>
      </c>
      <c r="D70" s="21" t="s">
        <v>14</v>
      </c>
      <c r="E70" s="22" t="s">
        <v>42</v>
      </c>
      <c r="F70" s="23">
        <v>2754</v>
      </c>
      <c r="G70" s="23">
        <v>215</v>
      </c>
      <c r="H70" s="23">
        <v>264</v>
      </c>
      <c r="I70" s="23">
        <v>27762</v>
      </c>
      <c r="J70" s="23">
        <v>70203</v>
      </c>
      <c r="K70" s="23">
        <v>289</v>
      </c>
      <c r="L70" s="21" t="s">
        <v>34</v>
      </c>
      <c r="M70" s="21"/>
      <c r="N70" s="21" t="s">
        <v>16</v>
      </c>
      <c r="O70" s="38">
        <f t="shared" si="1"/>
        <v>0.11645414595490239</v>
      </c>
    </row>
    <row r="71" spans="1:15" hidden="1">
      <c r="A71" s="19" t="s">
        <v>75</v>
      </c>
      <c r="B71" s="19" t="s">
        <v>27</v>
      </c>
      <c r="C71" s="20">
        <v>45487</v>
      </c>
      <c r="D71" s="21" t="s">
        <v>14</v>
      </c>
      <c r="E71" s="22" t="s">
        <v>42</v>
      </c>
      <c r="F71" s="23">
        <v>3806</v>
      </c>
      <c r="G71" s="23">
        <v>114</v>
      </c>
      <c r="H71" s="23">
        <v>278</v>
      </c>
      <c r="I71" s="23">
        <v>36148</v>
      </c>
      <c r="J71" s="23">
        <v>24209</v>
      </c>
      <c r="K71" s="23">
        <v>201</v>
      </c>
      <c r="L71" s="21" t="s">
        <v>19</v>
      </c>
      <c r="M71" s="21" t="s">
        <v>365</v>
      </c>
      <c r="N71" s="21" t="s">
        <v>20</v>
      </c>
      <c r="O71" s="38">
        <f t="shared" si="1"/>
        <v>0.11613367267898639</v>
      </c>
    </row>
    <row r="72" spans="1:15" hidden="1">
      <c r="A72" s="19" t="s">
        <v>175</v>
      </c>
      <c r="B72" s="19" t="s">
        <v>22</v>
      </c>
      <c r="C72" s="20">
        <v>45805</v>
      </c>
      <c r="D72" s="21" t="s">
        <v>23</v>
      </c>
      <c r="E72" s="22" t="s">
        <v>33</v>
      </c>
      <c r="F72" s="23">
        <v>4287</v>
      </c>
      <c r="G72" s="23">
        <v>273</v>
      </c>
      <c r="H72" s="23">
        <v>122</v>
      </c>
      <c r="I72" s="23">
        <v>40792</v>
      </c>
      <c r="J72" s="23">
        <v>23878</v>
      </c>
      <c r="K72" s="23">
        <v>277</v>
      </c>
      <c r="L72" s="21" t="s">
        <v>364</v>
      </c>
      <c r="M72" s="21" t="s">
        <v>34</v>
      </c>
      <c r="N72" s="21" t="s">
        <v>16</v>
      </c>
      <c r="O72" s="38">
        <f t="shared" si="1"/>
        <v>0.11477740733477153</v>
      </c>
    </row>
    <row r="73" spans="1:15" hidden="1">
      <c r="A73" s="19" t="s">
        <v>316</v>
      </c>
      <c r="B73" s="19" t="s">
        <v>13</v>
      </c>
      <c r="C73" s="20">
        <v>45413</v>
      </c>
      <c r="D73" s="21" t="s">
        <v>14</v>
      </c>
      <c r="E73" s="22" t="s">
        <v>30</v>
      </c>
      <c r="F73" s="23">
        <v>3359</v>
      </c>
      <c r="G73" s="23">
        <v>137</v>
      </c>
      <c r="H73" s="23">
        <v>387</v>
      </c>
      <c r="I73" s="23">
        <v>33861</v>
      </c>
      <c r="J73" s="23">
        <v>47257</v>
      </c>
      <c r="K73" s="23">
        <v>198</v>
      </c>
      <c r="L73" s="21" t="s">
        <v>19</v>
      </c>
      <c r="M73" s="21"/>
      <c r="N73" s="21" t="s">
        <v>20</v>
      </c>
      <c r="O73" s="38">
        <f t="shared" si="1"/>
        <v>0.11467469950680724</v>
      </c>
    </row>
    <row r="74" spans="1:15" hidden="1">
      <c r="A74" s="19" t="s">
        <v>57</v>
      </c>
      <c r="B74" s="19" t="s">
        <v>13</v>
      </c>
      <c r="C74" s="20">
        <v>45625</v>
      </c>
      <c r="D74" s="21" t="s">
        <v>14</v>
      </c>
      <c r="E74" s="22" t="s">
        <v>362</v>
      </c>
      <c r="F74" s="23">
        <v>2824</v>
      </c>
      <c r="G74" s="23">
        <v>425</v>
      </c>
      <c r="H74" s="23">
        <v>274</v>
      </c>
      <c r="I74" s="23">
        <v>31004</v>
      </c>
      <c r="J74" s="23">
        <v>53488</v>
      </c>
      <c r="K74" s="23">
        <v>268</v>
      </c>
      <c r="L74" s="21" t="s">
        <v>37</v>
      </c>
      <c r="M74" s="21" t="s">
        <v>34</v>
      </c>
      <c r="N74" s="21" t="s">
        <v>16</v>
      </c>
      <c r="O74" s="38">
        <f t="shared" si="1"/>
        <v>0.11363049929041415</v>
      </c>
    </row>
    <row r="75" spans="1:15" hidden="1">
      <c r="A75" s="19" t="s">
        <v>219</v>
      </c>
      <c r="B75" s="19" t="s">
        <v>27</v>
      </c>
      <c r="C75" s="20">
        <v>45708</v>
      </c>
      <c r="D75" s="21" t="s">
        <v>48</v>
      </c>
      <c r="E75" s="22" t="s">
        <v>30</v>
      </c>
      <c r="F75" s="23">
        <v>4957</v>
      </c>
      <c r="G75" s="23">
        <v>262</v>
      </c>
      <c r="H75" s="23">
        <v>365</v>
      </c>
      <c r="I75" s="23">
        <v>49199</v>
      </c>
      <c r="J75" s="23">
        <v>40314</v>
      </c>
      <c r="K75" s="23">
        <v>216</v>
      </c>
      <c r="L75" s="21" t="s">
        <v>19</v>
      </c>
      <c r="M75" s="21" t="s">
        <v>37</v>
      </c>
      <c r="N75" s="21" t="s">
        <v>49</v>
      </c>
      <c r="O75" s="38">
        <f t="shared" si="1"/>
        <v>0.11349824183418362</v>
      </c>
    </row>
    <row r="76" spans="1:15" hidden="1">
      <c r="A76" s="19" t="s">
        <v>41</v>
      </c>
      <c r="B76" s="19" t="s">
        <v>22</v>
      </c>
      <c r="C76" s="20">
        <v>45418</v>
      </c>
      <c r="D76" s="21" t="s">
        <v>14</v>
      </c>
      <c r="E76" s="22" t="s">
        <v>42</v>
      </c>
      <c r="F76" s="23">
        <v>3476</v>
      </c>
      <c r="G76" s="23">
        <v>355</v>
      </c>
      <c r="H76" s="23">
        <v>396</v>
      </c>
      <c r="I76" s="23">
        <v>37492</v>
      </c>
      <c r="J76" s="23">
        <v>27285</v>
      </c>
      <c r="K76" s="23">
        <v>179</v>
      </c>
      <c r="L76" s="21" t="s">
        <v>34</v>
      </c>
      <c r="M76" s="21"/>
      <c r="N76" s="21" t="s">
        <v>16</v>
      </c>
      <c r="O76" s="38">
        <f t="shared" si="1"/>
        <v>0.11274405206444041</v>
      </c>
    </row>
    <row r="77" spans="1:15" hidden="1">
      <c r="A77" s="19" t="s">
        <v>192</v>
      </c>
      <c r="B77" s="19" t="s">
        <v>13</v>
      </c>
      <c r="C77" s="20">
        <v>45610</v>
      </c>
      <c r="D77" s="21" t="s">
        <v>14</v>
      </c>
      <c r="E77" s="22" t="s">
        <v>361</v>
      </c>
      <c r="F77" s="23">
        <v>2422</v>
      </c>
      <c r="G77" s="23">
        <v>318</v>
      </c>
      <c r="H77" s="23">
        <v>118</v>
      </c>
      <c r="I77" s="23">
        <v>25386</v>
      </c>
      <c r="J77" s="23">
        <v>20873</v>
      </c>
      <c r="K77" s="23">
        <v>100</v>
      </c>
      <c r="L77" s="21" t="s">
        <v>37</v>
      </c>
      <c r="M77" s="21" t="s">
        <v>34</v>
      </c>
      <c r="N77" s="21" t="s">
        <v>16</v>
      </c>
      <c r="O77" s="38">
        <f t="shared" si="1"/>
        <v>0.11258173796580792</v>
      </c>
    </row>
    <row r="78" spans="1:15" hidden="1">
      <c r="A78" s="19" t="s">
        <v>310</v>
      </c>
      <c r="B78" s="19" t="s">
        <v>22</v>
      </c>
      <c r="C78" s="20">
        <v>45563</v>
      </c>
      <c r="D78" s="21" t="s">
        <v>23</v>
      </c>
      <c r="E78" s="22" t="s">
        <v>360</v>
      </c>
      <c r="F78" s="23">
        <v>4471</v>
      </c>
      <c r="G78" s="23">
        <v>317</v>
      </c>
      <c r="H78" s="23">
        <v>249</v>
      </c>
      <c r="I78" s="23">
        <v>44862</v>
      </c>
      <c r="J78" s="23">
        <v>33365</v>
      </c>
      <c r="K78" s="23">
        <v>184</v>
      </c>
      <c r="L78" s="21" t="s">
        <v>19</v>
      </c>
      <c r="M78" s="21" t="s">
        <v>364</v>
      </c>
      <c r="N78" s="21" t="s">
        <v>16</v>
      </c>
      <c r="O78" s="38">
        <f t="shared" si="1"/>
        <v>0.1122776514644911</v>
      </c>
    </row>
    <row r="79" spans="1:15" hidden="1">
      <c r="A79" s="19" t="s">
        <v>254</v>
      </c>
      <c r="B79" s="19" t="s">
        <v>22</v>
      </c>
      <c r="C79" s="20">
        <v>45636</v>
      </c>
      <c r="D79" s="21" t="s">
        <v>14</v>
      </c>
      <c r="E79" s="22" t="s">
        <v>363</v>
      </c>
      <c r="F79" s="23">
        <v>4673</v>
      </c>
      <c r="G79" s="23">
        <v>270</v>
      </c>
      <c r="H79" s="23">
        <v>93</v>
      </c>
      <c r="I79" s="23">
        <v>45260</v>
      </c>
      <c r="J79" s="23">
        <v>57513</v>
      </c>
      <c r="K79" s="23">
        <v>103</v>
      </c>
      <c r="L79" s="21" t="s">
        <v>34</v>
      </c>
      <c r="M79" s="21"/>
      <c r="N79" s="21" t="s">
        <v>16</v>
      </c>
      <c r="O79" s="38">
        <f t="shared" si="1"/>
        <v>0.11126822801590809</v>
      </c>
    </row>
    <row r="80" spans="1:15" hidden="1">
      <c r="A80" s="19" t="s">
        <v>90</v>
      </c>
      <c r="B80" s="19" t="s">
        <v>27</v>
      </c>
      <c r="C80" s="20">
        <v>45398</v>
      </c>
      <c r="D80" s="21" t="s">
        <v>14</v>
      </c>
      <c r="E80" s="22" t="s">
        <v>15</v>
      </c>
      <c r="F80" s="23">
        <v>4674</v>
      </c>
      <c r="G80" s="23">
        <v>326</v>
      </c>
      <c r="H80" s="23">
        <v>62</v>
      </c>
      <c r="I80" s="23">
        <v>45503</v>
      </c>
      <c r="J80" s="23">
        <v>46814</v>
      </c>
      <c r="K80" s="23">
        <v>116</v>
      </c>
      <c r="L80" s="21" t="s">
        <v>19</v>
      </c>
      <c r="M80" s="21" t="s">
        <v>365</v>
      </c>
      <c r="N80" s="21" t="s">
        <v>20</v>
      </c>
      <c r="O80" s="38">
        <f t="shared" si="1"/>
        <v>0.11124541239039185</v>
      </c>
    </row>
    <row r="81" spans="1:15" hidden="1">
      <c r="A81" s="19" t="s">
        <v>325</v>
      </c>
      <c r="B81" s="19" t="s">
        <v>13</v>
      </c>
      <c r="C81" s="20">
        <v>45724</v>
      </c>
      <c r="D81" s="21" t="s">
        <v>23</v>
      </c>
      <c r="E81" s="22" t="s">
        <v>33</v>
      </c>
      <c r="F81" s="23">
        <v>2244</v>
      </c>
      <c r="G81" s="23">
        <v>392</v>
      </c>
      <c r="H81" s="23">
        <v>231</v>
      </c>
      <c r="I81" s="23">
        <v>25834</v>
      </c>
      <c r="J81" s="23">
        <v>50906</v>
      </c>
      <c r="K81" s="23">
        <v>165</v>
      </c>
      <c r="L81" s="21" t="s">
        <v>34</v>
      </c>
      <c r="M81" s="21"/>
      <c r="N81" s="21" t="s">
        <v>46</v>
      </c>
      <c r="O81" s="38">
        <f t="shared" si="1"/>
        <v>0.1109777812185492</v>
      </c>
    </row>
    <row r="82" spans="1:15" hidden="1">
      <c r="A82" s="19" t="s">
        <v>193</v>
      </c>
      <c r="B82" s="19" t="s">
        <v>27</v>
      </c>
      <c r="C82" s="20">
        <v>45513</v>
      </c>
      <c r="D82" s="21" t="s">
        <v>48</v>
      </c>
      <c r="E82" s="22" t="s">
        <v>363</v>
      </c>
      <c r="F82" s="23">
        <v>3414</v>
      </c>
      <c r="G82" s="23">
        <v>154</v>
      </c>
      <c r="H82" s="23">
        <v>204</v>
      </c>
      <c r="I82" s="23">
        <v>34146</v>
      </c>
      <c r="J82" s="23">
        <v>44633</v>
      </c>
      <c r="K82" s="23">
        <v>256</v>
      </c>
      <c r="L82" s="21" t="s">
        <v>19</v>
      </c>
      <c r="M82" s="21" t="s">
        <v>37</v>
      </c>
      <c r="N82" s="21" t="s">
        <v>49</v>
      </c>
      <c r="O82" s="38">
        <f t="shared" si="1"/>
        <v>0.11046681895390383</v>
      </c>
    </row>
    <row r="83" spans="1:15" hidden="1">
      <c r="A83" s="19" t="s">
        <v>155</v>
      </c>
      <c r="B83" s="19" t="s">
        <v>22</v>
      </c>
      <c r="C83" s="20">
        <v>45602</v>
      </c>
      <c r="D83" s="21" t="s">
        <v>14</v>
      </c>
      <c r="E83" s="22" t="s">
        <v>363</v>
      </c>
      <c r="F83" s="23">
        <v>2956</v>
      </c>
      <c r="G83" s="23">
        <v>381</v>
      </c>
      <c r="H83" s="23">
        <v>345</v>
      </c>
      <c r="I83" s="23">
        <v>33347</v>
      </c>
      <c r="J83" s="23">
        <v>22558</v>
      </c>
      <c r="K83" s="23">
        <v>173</v>
      </c>
      <c r="L83" s="21" t="s">
        <v>34</v>
      </c>
      <c r="M83" s="21"/>
      <c r="N83" s="21" t="s">
        <v>16</v>
      </c>
      <c r="O83" s="38">
        <f t="shared" si="1"/>
        <v>0.11041472996071611</v>
      </c>
    </row>
    <row r="84" spans="1:15" hidden="1">
      <c r="A84" s="19" t="s">
        <v>54</v>
      </c>
      <c r="B84" s="19" t="s">
        <v>22</v>
      </c>
      <c r="C84" s="20">
        <v>45583</v>
      </c>
      <c r="D84" s="21" t="s">
        <v>14</v>
      </c>
      <c r="E84" s="22" t="s">
        <v>24</v>
      </c>
      <c r="F84" s="23">
        <v>2607</v>
      </c>
      <c r="G84" s="23">
        <v>379</v>
      </c>
      <c r="H84" s="23">
        <v>180</v>
      </c>
      <c r="I84" s="23">
        <v>28712</v>
      </c>
      <c r="J84" s="23">
        <v>61620</v>
      </c>
      <c r="K84" s="23">
        <v>174</v>
      </c>
      <c r="L84" s="21" t="s">
        <v>37</v>
      </c>
      <c r="M84" s="21"/>
      <c r="N84" s="21" t="s">
        <v>20</v>
      </c>
      <c r="O84" s="38">
        <f t="shared" si="1"/>
        <v>0.11026748397882419</v>
      </c>
    </row>
    <row r="85" spans="1:15" hidden="1">
      <c r="A85" s="19" t="s">
        <v>262</v>
      </c>
      <c r="B85" s="19" t="s">
        <v>27</v>
      </c>
      <c r="C85" s="20">
        <v>45723</v>
      </c>
      <c r="D85" s="21" t="s">
        <v>14</v>
      </c>
      <c r="E85" s="22" t="s">
        <v>33</v>
      </c>
      <c r="F85" s="23">
        <v>4310</v>
      </c>
      <c r="G85" s="23">
        <v>284</v>
      </c>
      <c r="H85" s="23">
        <v>306</v>
      </c>
      <c r="I85" s="23">
        <v>44606</v>
      </c>
      <c r="J85" s="23">
        <v>42604</v>
      </c>
      <c r="K85" s="23">
        <v>290</v>
      </c>
      <c r="L85" s="21" t="s">
        <v>19</v>
      </c>
      <c r="M85" s="21" t="s">
        <v>365</v>
      </c>
      <c r="N85" s="21" t="s">
        <v>20</v>
      </c>
      <c r="O85" s="38">
        <f t="shared" si="1"/>
        <v>0.10985069273191947</v>
      </c>
    </row>
    <row r="86" spans="1:15" hidden="1">
      <c r="A86" s="19" t="s">
        <v>138</v>
      </c>
      <c r="B86" s="19" t="s">
        <v>27</v>
      </c>
      <c r="C86" s="20">
        <v>45542</v>
      </c>
      <c r="D86" s="21" t="s">
        <v>48</v>
      </c>
      <c r="E86" s="22" t="s">
        <v>361</v>
      </c>
      <c r="F86" s="23">
        <v>3882</v>
      </c>
      <c r="G86" s="23">
        <v>342</v>
      </c>
      <c r="H86" s="23">
        <v>374</v>
      </c>
      <c r="I86" s="23">
        <v>41991</v>
      </c>
      <c r="J86" s="23">
        <v>48554</v>
      </c>
      <c r="K86" s="23">
        <v>118</v>
      </c>
      <c r="L86" s="21" t="s">
        <v>19</v>
      </c>
      <c r="M86" s="21" t="s">
        <v>37</v>
      </c>
      <c r="N86" s="21" t="s">
        <v>49</v>
      </c>
      <c r="O86" s="38">
        <f t="shared" si="1"/>
        <v>0.10949965468790931</v>
      </c>
    </row>
    <row r="87" spans="1:15" hidden="1">
      <c r="A87" s="19" t="s">
        <v>79</v>
      </c>
      <c r="B87" s="19" t="s">
        <v>22</v>
      </c>
      <c r="C87" s="20">
        <v>45533</v>
      </c>
      <c r="D87" s="21" t="s">
        <v>23</v>
      </c>
      <c r="E87" s="22" t="s">
        <v>30</v>
      </c>
      <c r="F87" s="23">
        <v>4276</v>
      </c>
      <c r="G87" s="23">
        <v>227</v>
      </c>
      <c r="H87" s="23">
        <v>223</v>
      </c>
      <c r="I87" s="23">
        <v>43443</v>
      </c>
      <c r="J87" s="23">
        <v>41005</v>
      </c>
      <c r="K87" s="23">
        <v>191</v>
      </c>
      <c r="L87" s="21" t="s">
        <v>19</v>
      </c>
      <c r="M87" s="21" t="s">
        <v>364</v>
      </c>
      <c r="N87" s="21" t="s">
        <v>16</v>
      </c>
      <c r="O87" s="38">
        <f t="shared" si="1"/>
        <v>0.1087862256289851</v>
      </c>
    </row>
    <row r="88" spans="1:15" hidden="1">
      <c r="A88" s="19" t="s">
        <v>71</v>
      </c>
      <c r="B88" s="19" t="s">
        <v>13</v>
      </c>
      <c r="C88" s="20">
        <v>45401</v>
      </c>
      <c r="D88" s="21" t="s">
        <v>14</v>
      </c>
      <c r="E88" s="22" t="s">
        <v>24</v>
      </c>
      <c r="F88" s="23">
        <v>4001</v>
      </c>
      <c r="G88" s="23">
        <v>353</v>
      </c>
      <c r="H88" s="23">
        <v>129</v>
      </c>
      <c r="I88" s="23">
        <v>41265</v>
      </c>
      <c r="J88" s="23">
        <v>37279</v>
      </c>
      <c r="K88" s="23">
        <v>275</v>
      </c>
      <c r="L88" s="21" t="s">
        <v>37</v>
      </c>
      <c r="M88" s="21" t="s">
        <v>34</v>
      </c>
      <c r="N88" s="21" t="s">
        <v>16</v>
      </c>
      <c r="O88" s="38">
        <f t="shared" si="1"/>
        <v>0.10863928268508422</v>
      </c>
    </row>
    <row r="89" spans="1:15" hidden="1">
      <c r="A89" s="19" t="s">
        <v>232</v>
      </c>
      <c r="B89" s="19" t="s">
        <v>22</v>
      </c>
      <c r="C89" s="20">
        <v>45302</v>
      </c>
      <c r="D89" s="21" t="s">
        <v>23</v>
      </c>
      <c r="E89" s="22" t="s">
        <v>360</v>
      </c>
      <c r="F89" s="23">
        <v>2340</v>
      </c>
      <c r="G89" s="23">
        <v>141</v>
      </c>
      <c r="H89" s="23">
        <v>206</v>
      </c>
      <c r="I89" s="23">
        <v>24916</v>
      </c>
      <c r="J89" s="23">
        <v>30582</v>
      </c>
      <c r="K89" s="23">
        <v>157</v>
      </c>
      <c r="L89" s="21" t="s">
        <v>37</v>
      </c>
      <c r="M89" s="21" t="s">
        <v>34</v>
      </c>
      <c r="N89" s="21" t="s">
        <v>16</v>
      </c>
      <c r="O89" s="38">
        <f t="shared" si="1"/>
        <v>0.10784235029699792</v>
      </c>
    </row>
    <row r="90" spans="1:15" hidden="1">
      <c r="A90" s="19" t="s">
        <v>67</v>
      </c>
      <c r="B90" s="19" t="s">
        <v>22</v>
      </c>
      <c r="C90" s="20">
        <v>45804</v>
      </c>
      <c r="D90" s="21" t="s">
        <v>23</v>
      </c>
      <c r="E90" s="22" t="s">
        <v>18</v>
      </c>
      <c r="F90" s="23">
        <v>4095</v>
      </c>
      <c r="G90" s="23">
        <v>385</v>
      </c>
      <c r="H90" s="23">
        <v>400</v>
      </c>
      <c r="I90" s="23">
        <v>45300</v>
      </c>
      <c r="J90" s="23">
        <v>31795</v>
      </c>
      <c r="K90" s="23">
        <v>80</v>
      </c>
      <c r="L90" s="21" t="s">
        <v>364</v>
      </c>
      <c r="M90" s="21" t="s">
        <v>34</v>
      </c>
      <c r="N90" s="21" t="s">
        <v>16</v>
      </c>
      <c r="O90" s="38">
        <f t="shared" si="1"/>
        <v>0.10772626931567329</v>
      </c>
    </row>
    <row r="91" spans="1:15" hidden="1">
      <c r="A91" s="19" t="s">
        <v>282</v>
      </c>
      <c r="B91" s="19" t="s">
        <v>27</v>
      </c>
      <c r="C91" s="20">
        <v>45591</v>
      </c>
      <c r="D91" s="21" t="s">
        <v>14</v>
      </c>
      <c r="E91" s="22" t="s">
        <v>24</v>
      </c>
      <c r="F91" s="23">
        <v>4676</v>
      </c>
      <c r="G91" s="23">
        <v>211</v>
      </c>
      <c r="H91" s="23">
        <v>55</v>
      </c>
      <c r="I91" s="23">
        <v>45917</v>
      </c>
      <c r="J91" s="23">
        <v>73503</v>
      </c>
      <c r="K91" s="23">
        <v>248</v>
      </c>
      <c r="L91" s="21" t="s">
        <v>19</v>
      </c>
      <c r="M91" s="21" t="s">
        <v>365</v>
      </c>
      <c r="N91" s="21" t="s">
        <v>20</v>
      </c>
      <c r="O91" s="38">
        <f t="shared" si="1"/>
        <v>0.10762898272970794</v>
      </c>
    </row>
    <row r="92" spans="1:15" hidden="1">
      <c r="A92" s="19" t="s">
        <v>225</v>
      </c>
      <c r="B92" s="19" t="s">
        <v>27</v>
      </c>
      <c r="C92" s="20">
        <v>45305</v>
      </c>
      <c r="D92" s="21" t="s">
        <v>14</v>
      </c>
      <c r="E92" s="22" t="s">
        <v>24</v>
      </c>
      <c r="F92" s="23">
        <v>3634</v>
      </c>
      <c r="G92" s="23">
        <v>280</v>
      </c>
      <c r="H92" s="23">
        <v>399</v>
      </c>
      <c r="I92" s="23">
        <v>40256</v>
      </c>
      <c r="J92" s="23">
        <v>52605</v>
      </c>
      <c r="K92" s="23">
        <v>213</v>
      </c>
      <c r="L92" s="21" t="s">
        <v>19</v>
      </c>
      <c r="M92" s="21" t="s">
        <v>365</v>
      </c>
      <c r="N92" s="21" t="s">
        <v>20</v>
      </c>
      <c r="O92" s="38">
        <f t="shared" si="1"/>
        <v>0.10713930842607314</v>
      </c>
    </row>
    <row r="93" spans="1:15" hidden="1">
      <c r="A93" s="19" t="s">
        <v>178</v>
      </c>
      <c r="B93" s="19" t="s">
        <v>22</v>
      </c>
      <c r="C93" s="20">
        <v>45696</v>
      </c>
      <c r="D93" s="21" t="s">
        <v>23</v>
      </c>
      <c r="E93" s="22" t="s">
        <v>42</v>
      </c>
      <c r="F93" s="23">
        <v>4752</v>
      </c>
      <c r="G93" s="23">
        <v>334</v>
      </c>
      <c r="H93" s="23">
        <v>56</v>
      </c>
      <c r="I93" s="23">
        <v>48017</v>
      </c>
      <c r="J93" s="23">
        <v>55534</v>
      </c>
      <c r="K93" s="23">
        <v>270</v>
      </c>
      <c r="L93" s="21" t="s">
        <v>19</v>
      </c>
      <c r="M93" s="21" t="s">
        <v>364</v>
      </c>
      <c r="N93" s="21" t="s">
        <v>16</v>
      </c>
      <c r="O93" s="38">
        <f t="shared" si="1"/>
        <v>0.10708707332819627</v>
      </c>
    </row>
    <row r="94" spans="1:15" hidden="1">
      <c r="A94" s="19" t="s">
        <v>100</v>
      </c>
      <c r="B94" s="19" t="s">
        <v>22</v>
      </c>
      <c r="C94" s="20">
        <v>45662</v>
      </c>
      <c r="D94" s="21" t="s">
        <v>14</v>
      </c>
      <c r="E94" s="22" t="s">
        <v>360</v>
      </c>
      <c r="F94" s="23">
        <v>4811</v>
      </c>
      <c r="G94" s="23">
        <v>473</v>
      </c>
      <c r="H94" s="23">
        <v>254</v>
      </c>
      <c r="I94" s="23">
        <v>51964</v>
      </c>
      <c r="J94" s="23">
        <v>68795</v>
      </c>
      <c r="K94" s="23">
        <v>107</v>
      </c>
      <c r="L94" s="21" t="s">
        <v>34</v>
      </c>
      <c r="M94" s="21"/>
      <c r="N94" s="21" t="s">
        <v>16</v>
      </c>
      <c r="O94" s="38">
        <f t="shared" si="1"/>
        <v>0.10657378184897237</v>
      </c>
    </row>
    <row r="95" spans="1:15" hidden="1">
      <c r="A95" s="19" t="s">
        <v>195</v>
      </c>
      <c r="B95" s="19" t="s">
        <v>13</v>
      </c>
      <c r="C95" s="20">
        <v>45420</v>
      </c>
      <c r="D95" s="21" t="s">
        <v>23</v>
      </c>
      <c r="E95" s="22" t="s">
        <v>361</v>
      </c>
      <c r="F95" s="23">
        <v>2414</v>
      </c>
      <c r="G95" s="23">
        <v>220</v>
      </c>
      <c r="H95" s="23">
        <v>280</v>
      </c>
      <c r="I95" s="23">
        <v>27355</v>
      </c>
      <c r="J95" s="23">
        <v>50562</v>
      </c>
      <c r="K95" s="23">
        <v>258</v>
      </c>
      <c r="L95" s="21" t="s">
        <v>34</v>
      </c>
      <c r="M95" s="21"/>
      <c r="N95" s="21" t="s">
        <v>46</v>
      </c>
      <c r="O95" s="38">
        <f t="shared" si="1"/>
        <v>0.10652531529884847</v>
      </c>
    </row>
    <row r="96" spans="1:15" hidden="1">
      <c r="A96" s="19" t="s">
        <v>87</v>
      </c>
      <c r="B96" s="19" t="s">
        <v>13</v>
      </c>
      <c r="C96" s="20">
        <v>45299</v>
      </c>
      <c r="D96" s="21" t="s">
        <v>14</v>
      </c>
      <c r="E96" s="22" t="s">
        <v>33</v>
      </c>
      <c r="F96" s="23">
        <v>2683</v>
      </c>
      <c r="G96" s="23">
        <v>405</v>
      </c>
      <c r="H96" s="23">
        <v>223</v>
      </c>
      <c r="I96" s="23">
        <v>31233</v>
      </c>
      <c r="J96" s="23">
        <v>58106</v>
      </c>
      <c r="K96" s="23">
        <v>291</v>
      </c>
      <c r="L96" s="21" t="s">
        <v>19</v>
      </c>
      <c r="M96" s="21"/>
      <c r="N96" s="21" t="s">
        <v>20</v>
      </c>
      <c r="O96" s="38">
        <f t="shared" si="1"/>
        <v>0.10600966926007749</v>
      </c>
    </row>
    <row r="97" spans="1:15" hidden="1">
      <c r="A97" s="19" t="s">
        <v>127</v>
      </c>
      <c r="B97" s="19" t="s">
        <v>13</v>
      </c>
      <c r="C97" s="20">
        <v>45317</v>
      </c>
      <c r="D97" s="21" t="s">
        <v>14</v>
      </c>
      <c r="E97" s="22" t="s">
        <v>362</v>
      </c>
      <c r="F97" s="23">
        <v>3878</v>
      </c>
      <c r="G97" s="23">
        <v>431</v>
      </c>
      <c r="H97" s="23">
        <v>97</v>
      </c>
      <c r="I97" s="23">
        <v>41763</v>
      </c>
      <c r="J97" s="23">
        <v>29729</v>
      </c>
      <c r="K97" s="23">
        <v>191</v>
      </c>
      <c r="L97" s="21" t="s">
        <v>19</v>
      </c>
      <c r="M97" s="21"/>
      <c r="N97" s="21" t="s">
        <v>20</v>
      </c>
      <c r="O97" s="38">
        <f t="shared" si="1"/>
        <v>0.10550008380623997</v>
      </c>
    </row>
    <row r="98" spans="1:15" hidden="1">
      <c r="A98" s="19" t="s">
        <v>270</v>
      </c>
      <c r="B98" s="19" t="s">
        <v>27</v>
      </c>
      <c r="C98" s="20">
        <v>45533</v>
      </c>
      <c r="D98" s="21" t="s">
        <v>14</v>
      </c>
      <c r="E98" s="22" t="s">
        <v>360</v>
      </c>
      <c r="F98" s="23">
        <v>4774</v>
      </c>
      <c r="G98" s="23">
        <v>389</v>
      </c>
      <c r="H98" s="23">
        <v>358</v>
      </c>
      <c r="I98" s="23">
        <v>52346</v>
      </c>
      <c r="J98" s="23">
        <v>30518</v>
      </c>
      <c r="K98" s="23">
        <v>277</v>
      </c>
      <c r="L98" s="21" t="s">
        <v>19</v>
      </c>
      <c r="M98" s="21" t="s">
        <v>365</v>
      </c>
      <c r="N98" s="21" t="s">
        <v>20</v>
      </c>
      <c r="O98" s="38">
        <f t="shared" si="1"/>
        <v>0.10547128720437092</v>
      </c>
    </row>
    <row r="99" spans="1:15" hidden="1">
      <c r="A99" s="19" t="s">
        <v>318</v>
      </c>
      <c r="B99" s="19" t="s">
        <v>22</v>
      </c>
      <c r="C99" s="20">
        <v>45513</v>
      </c>
      <c r="D99" s="21" t="s">
        <v>23</v>
      </c>
      <c r="E99" s="22" t="s">
        <v>363</v>
      </c>
      <c r="F99" s="23">
        <v>4877</v>
      </c>
      <c r="G99" s="23">
        <v>442</v>
      </c>
      <c r="H99" s="23">
        <v>236</v>
      </c>
      <c r="I99" s="23">
        <v>52673</v>
      </c>
      <c r="J99" s="23">
        <v>48241</v>
      </c>
      <c r="K99" s="23">
        <v>114</v>
      </c>
      <c r="L99" s="21" t="s">
        <v>19</v>
      </c>
      <c r="M99" s="21" t="s">
        <v>364</v>
      </c>
      <c r="N99" s="21" t="s">
        <v>16</v>
      </c>
      <c r="O99" s="38">
        <f t="shared" si="1"/>
        <v>0.10546200140489435</v>
      </c>
    </row>
    <row r="100" spans="1:15" hidden="1">
      <c r="A100" s="19" t="s">
        <v>158</v>
      </c>
      <c r="B100" s="19" t="s">
        <v>13</v>
      </c>
      <c r="C100" s="20">
        <v>45344</v>
      </c>
      <c r="D100" s="21" t="s">
        <v>14</v>
      </c>
      <c r="E100" s="22" t="s">
        <v>24</v>
      </c>
      <c r="F100" s="23">
        <v>1902</v>
      </c>
      <c r="G100" s="23">
        <v>394</v>
      </c>
      <c r="H100" s="23">
        <v>279</v>
      </c>
      <c r="I100" s="23">
        <v>24615</v>
      </c>
      <c r="J100" s="23">
        <v>51330</v>
      </c>
      <c r="K100" s="23">
        <v>176</v>
      </c>
      <c r="L100" s="21" t="s">
        <v>37</v>
      </c>
      <c r="M100" s="21" t="s">
        <v>34</v>
      </c>
      <c r="N100" s="21" t="s">
        <v>16</v>
      </c>
      <c r="O100" s="38">
        <f t="shared" si="1"/>
        <v>0.10461100954702417</v>
      </c>
    </row>
    <row r="101" spans="1:15" hidden="1">
      <c r="A101" s="19" t="s">
        <v>185</v>
      </c>
      <c r="B101" s="19" t="s">
        <v>13</v>
      </c>
      <c r="C101" s="20">
        <v>45407</v>
      </c>
      <c r="D101" s="21" t="s">
        <v>14</v>
      </c>
      <c r="E101" s="22" t="s">
        <v>361</v>
      </c>
      <c r="F101" s="23">
        <v>3563</v>
      </c>
      <c r="G101" s="23">
        <v>483</v>
      </c>
      <c r="H101" s="23">
        <v>227</v>
      </c>
      <c r="I101" s="23">
        <v>41085</v>
      </c>
      <c r="J101" s="23">
        <v>26393</v>
      </c>
      <c r="K101" s="23">
        <v>236</v>
      </c>
      <c r="L101" s="21" t="s">
        <v>37</v>
      </c>
      <c r="M101" s="21" t="s">
        <v>34</v>
      </c>
      <c r="N101" s="21" t="s">
        <v>16</v>
      </c>
      <c r="O101" s="38">
        <f t="shared" si="1"/>
        <v>0.10400389436534015</v>
      </c>
    </row>
    <row r="102" spans="1:15" hidden="1">
      <c r="A102" s="19" t="s">
        <v>60</v>
      </c>
      <c r="B102" s="19" t="s">
        <v>22</v>
      </c>
      <c r="C102" s="20">
        <v>45773</v>
      </c>
      <c r="D102" s="21" t="s">
        <v>14</v>
      </c>
      <c r="E102" s="22" t="s">
        <v>15</v>
      </c>
      <c r="F102" s="23">
        <v>2411</v>
      </c>
      <c r="G102" s="23">
        <v>194</v>
      </c>
      <c r="H102" s="23">
        <v>168</v>
      </c>
      <c r="I102" s="23">
        <v>26665</v>
      </c>
      <c r="J102" s="23">
        <v>71699</v>
      </c>
      <c r="K102" s="23">
        <v>197</v>
      </c>
      <c r="L102" s="21" t="s">
        <v>34</v>
      </c>
      <c r="M102" s="21"/>
      <c r="N102" s="21" t="s">
        <v>16</v>
      </c>
      <c r="O102" s="38">
        <f t="shared" si="1"/>
        <v>0.10399399962497656</v>
      </c>
    </row>
    <row r="103" spans="1:15" hidden="1">
      <c r="A103" s="19" t="s">
        <v>319</v>
      </c>
      <c r="B103" s="19" t="s">
        <v>13</v>
      </c>
      <c r="C103" s="20">
        <v>45678</v>
      </c>
      <c r="D103" s="21" t="s">
        <v>23</v>
      </c>
      <c r="E103" s="22" t="s">
        <v>24</v>
      </c>
      <c r="F103" s="23">
        <v>4918</v>
      </c>
      <c r="G103" s="23">
        <v>440</v>
      </c>
      <c r="H103" s="23">
        <v>149</v>
      </c>
      <c r="I103" s="23">
        <v>53269</v>
      </c>
      <c r="J103" s="23">
        <v>64370</v>
      </c>
      <c r="K103" s="23">
        <v>269</v>
      </c>
      <c r="L103" s="21" t="s">
        <v>34</v>
      </c>
      <c r="M103" s="21"/>
      <c r="N103" s="21" t="s">
        <v>46</v>
      </c>
      <c r="O103" s="38">
        <f t="shared" si="1"/>
        <v>0.10338095327488783</v>
      </c>
    </row>
    <row r="104" spans="1:15" hidden="1">
      <c r="A104" s="19" t="s">
        <v>204</v>
      </c>
      <c r="B104" s="19" t="s">
        <v>27</v>
      </c>
      <c r="C104" s="20">
        <v>45749</v>
      </c>
      <c r="D104" s="21" t="s">
        <v>14</v>
      </c>
      <c r="E104" s="22" t="s">
        <v>360</v>
      </c>
      <c r="F104" s="23">
        <v>4598</v>
      </c>
      <c r="G104" s="23">
        <v>455</v>
      </c>
      <c r="H104" s="23">
        <v>378</v>
      </c>
      <c r="I104" s="23">
        <v>52952</v>
      </c>
      <c r="J104" s="23">
        <v>58504</v>
      </c>
      <c r="K104" s="23">
        <v>269</v>
      </c>
      <c r="L104" s="21" t="s">
        <v>19</v>
      </c>
      <c r="M104" s="21" t="s">
        <v>365</v>
      </c>
      <c r="N104" s="21" t="s">
        <v>20</v>
      </c>
      <c r="O104" s="38">
        <f t="shared" si="1"/>
        <v>0.10256458679558846</v>
      </c>
    </row>
    <row r="105" spans="1:15" hidden="1">
      <c r="A105" s="19" t="s">
        <v>81</v>
      </c>
      <c r="B105" s="19" t="s">
        <v>27</v>
      </c>
      <c r="C105" s="20">
        <v>45425</v>
      </c>
      <c r="D105" s="21" t="s">
        <v>48</v>
      </c>
      <c r="E105" s="22" t="s">
        <v>18</v>
      </c>
      <c r="F105" s="23">
        <v>4161</v>
      </c>
      <c r="G105" s="23">
        <v>481</v>
      </c>
      <c r="H105" s="23">
        <v>61</v>
      </c>
      <c r="I105" s="23">
        <v>45884</v>
      </c>
      <c r="J105" s="23">
        <v>48955</v>
      </c>
      <c r="K105" s="23">
        <v>215</v>
      </c>
      <c r="L105" s="21" t="s">
        <v>19</v>
      </c>
      <c r="M105" s="21" t="s">
        <v>37</v>
      </c>
      <c r="N105" s="21" t="s">
        <v>49</v>
      </c>
      <c r="O105" s="38">
        <f t="shared" si="1"/>
        <v>0.10249760265016128</v>
      </c>
    </row>
    <row r="106" spans="1:15" hidden="1">
      <c r="A106" s="19" t="s">
        <v>221</v>
      </c>
      <c r="B106" s="19" t="s">
        <v>27</v>
      </c>
      <c r="C106" s="20">
        <v>45346</v>
      </c>
      <c r="D106" s="21" t="s">
        <v>48</v>
      </c>
      <c r="E106" s="22" t="s">
        <v>15</v>
      </c>
      <c r="F106" s="23">
        <v>4221</v>
      </c>
      <c r="G106" s="23">
        <v>307</v>
      </c>
      <c r="H106" s="23">
        <v>58</v>
      </c>
      <c r="I106" s="23">
        <v>45080</v>
      </c>
      <c r="J106" s="23">
        <v>37214</v>
      </c>
      <c r="K106" s="23">
        <v>240</v>
      </c>
      <c r="L106" s="21" t="s">
        <v>19</v>
      </c>
      <c r="M106" s="21" t="s">
        <v>37</v>
      </c>
      <c r="N106" s="21" t="s">
        <v>49</v>
      </c>
      <c r="O106" s="38">
        <f t="shared" si="1"/>
        <v>0.10173025732031943</v>
      </c>
    </row>
    <row r="107" spans="1:15" hidden="1">
      <c r="A107" s="19" t="s">
        <v>198</v>
      </c>
      <c r="B107" s="19" t="s">
        <v>13</v>
      </c>
      <c r="C107" s="20">
        <v>45385</v>
      </c>
      <c r="D107" s="21" t="s">
        <v>14</v>
      </c>
      <c r="E107" s="22" t="s">
        <v>33</v>
      </c>
      <c r="F107" s="23">
        <v>2762</v>
      </c>
      <c r="G107" s="23">
        <v>339</v>
      </c>
      <c r="H107" s="23">
        <v>323</v>
      </c>
      <c r="I107" s="23">
        <v>33757</v>
      </c>
      <c r="J107" s="23">
        <v>68511</v>
      </c>
      <c r="K107" s="23">
        <v>121</v>
      </c>
      <c r="L107" s="21" t="s">
        <v>37</v>
      </c>
      <c r="M107" s="21" t="s">
        <v>34</v>
      </c>
      <c r="N107" s="21" t="s">
        <v>16</v>
      </c>
      <c r="O107" s="38">
        <f t="shared" si="1"/>
        <v>0.10143081434961637</v>
      </c>
    </row>
    <row r="108" spans="1:15" hidden="1">
      <c r="A108" s="19" t="s">
        <v>130</v>
      </c>
      <c r="B108" s="19" t="s">
        <v>13</v>
      </c>
      <c r="C108" s="20">
        <v>45494</v>
      </c>
      <c r="D108" s="21" t="s">
        <v>14</v>
      </c>
      <c r="E108" s="22" t="s">
        <v>15</v>
      </c>
      <c r="F108" s="23">
        <v>3004</v>
      </c>
      <c r="G108" s="23">
        <v>415</v>
      </c>
      <c r="H108" s="23">
        <v>218</v>
      </c>
      <c r="I108" s="23">
        <v>36090</v>
      </c>
      <c r="J108" s="23">
        <v>37073</v>
      </c>
      <c r="K108" s="23">
        <v>181</v>
      </c>
      <c r="L108" s="21" t="s">
        <v>19</v>
      </c>
      <c r="M108" s="21"/>
      <c r="N108" s="21" t="s">
        <v>20</v>
      </c>
      <c r="O108" s="38">
        <f t="shared" si="1"/>
        <v>0.10077583818232197</v>
      </c>
    </row>
    <row r="109" spans="1:15" hidden="1">
      <c r="A109" s="19" t="s">
        <v>203</v>
      </c>
      <c r="B109" s="19" t="s">
        <v>13</v>
      </c>
      <c r="C109" s="20">
        <v>45447</v>
      </c>
      <c r="D109" s="21" t="s">
        <v>14</v>
      </c>
      <c r="E109" s="22" t="s">
        <v>30</v>
      </c>
      <c r="F109" s="23">
        <v>3948</v>
      </c>
      <c r="G109" s="23">
        <v>151</v>
      </c>
      <c r="H109" s="23">
        <v>249</v>
      </c>
      <c r="I109" s="23">
        <v>43147</v>
      </c>
      <c r="J109" s="23">
        <v>63136</v>
      </c>
      <c r="K109" s="23">
        <v>230</v>
      </c>
      <c r="L109" s="21" t="s">
        <v>19</v>
      </c>
      <c r="M109" s="21"/>
      <c r="N109" s="21" t="s">
        <v>20</v>
      </c>
      <c r="O109" s="38">
        <f t="shared" si="1"/>
        <v>0.10077178019329269</v>
      </c>
    </row>
    <row r="110" spans="1:15" hidden="1">
      <c r="A110" s="19" t="s">
        <v>119</v>
      </c>
      <c r="B110" s="19" t="s">
        <v>13</v>
      </c>
      <c r="C110" s="20">
        <v>45630</v>
      </c>
      <c r="D110" s="21" t="s">
        <v>14</v>
      </c>
      <c r="E110" s="22" t="s">
        <v>360</v>
      </c>
      <c r="F110" s="23">
        <v>2601</v>
      </c>
      <c r="G110" s="23">
        <v>336</v>
      </c>
      <c r="H110" s="23">
        <v>260</v>
      </c>
      <c r="I110" s="23">
        <v>32368</v>
      </c>
      <c r="J110" s="23">
        <v>49028</v>
      </c>
      <c r="K110" s="23">
        <v>120</v>
      </c>
      <c r="L110" s="21" t="s">
        <v>37</v>
      </c>
      <c r="M110" s="21" t="s">
        <v>34</v>
      </c>
      <c r="N110" s="21" t="s">
        <v>16</v>
      </c>
      <c r="O110" s="38">
        <f t="shared" si="1"/>
        <v>9.8770390509144837E-2</v>
      </c>
    </row>
    <row r="111" spans="1:15" hidden="1">
      <c r="A111" s="19" t="s">
        <v>311</v>
      </c>
      <c r="B111" s="19" t="s">
        <v>13</v>
      </c>
      <c r="C111" s="20">
        <v>45298</v>
      </c>
      <c r="D111" s="21" t="s">
        <v>14</v>
      </c>
      <c r="E111" s="22" t="s">
        <v>33</v>
      </c>
      <c r="F111" s="23">
        <v>4931</v>
      </c>
      <c r="G111" s="23">
        <v>469</v>
      </c>
      <c r="H111" s="23">
        <v>193</v>
      </c>
      <c r="I111" s="23">
        <v>56701</v>
      </c>
      <c r="J111" s="23">
        <v>69437</v>
      </c>
      <c r="K111" s="23">
        <v>291</v>
      </c>
      <c r="L111" s="21" t="s">
        <v>37</v>
      </c>
      <c r="M111" s="21" t="s">
        <v>34</v>
      </c>
      <c r="N111" s="21" t="s">
        <v>16</v>
      </c>
      <c r="O111" s="38">
        <f t="shared" si="1"/>
        <v>9.8640235621946709E-2</v>
      </c>
    </row>
    <row r="112" spans="1:15" hidden="1">
      <c r="A112" s="19" t="s">
        <v>218</v>
      </c>
      <c r="B112" s="19" t="s">
        <v>13</v>
      </c>
      <c r="C112" s="20">
        <v>45814</v>
      </c>
      <c r="D112" s="21" t="s">
        <v>14</v>
      </c>
      <c r="E112" s="22" t="s">
        <v>360</v>
      </c>
      <c r="F112" s="23">
        <v>3987</v>
      </c>
      <c r="G112" s="23">
        <v>171</v>
      </c>
      <c r="H112" s="23">
        <v>274</v>
      </c>
      <c r="I112" s="23">
        <v>45122</v>
      </c>
      <c r="J112" s="23">
        <v>65431</v>
      </c>
      <c r="K112" s="23">
        <v>168</v>
      </c>
      <c r="L112" s="21" t="s">
        <v>19</v>
      </c>
      <c r="M112" s="21"/>
      <c r="N112" s="21" t="s">
        <v>20</v>
      </c>
      <c r="O112" s="38">
        <f t="shared" si="1"/>
        <v>9.8222596516111871E-2</v>
      </c>
    </row>
    <row r="113" spans="1:15" hidden="1">
      <c r="A113" s="19" t="s">
        <v>273</v>
      </c>
      <c r="B113" s="19" t="s">
        <v>22</v>
      </c>
      <c r="C113" s="20">
        <v>45636</v>
      </c>
      <c r="D113" s="21" t="s">
        <v>23</v>
      </c>
      <c r="E113" s="22" t="s">
        <v>360</v>
      </c>
      <c r="F113" s="23">
        <v>2267</v>
      </c>
      <c r="G113" s="23">
        <v>230</v>
      </c>
      <c r="H113" s="23">
        <v>243</v>
      </c>
      <c r="I113" s="23">
        <v>27904</v>
      </c>
      <c r="J113" s="23">
        <v>69771</v>
      </c>
      <c r="K113" s="23">
        <v>255</v>
      </c>
      <c r="L113" s="21" t="s">
        <v>19</v>
      </c>
      <c r="M113" s="21" t="s">
        <v>364</v>
      </c>
      <c r="N113" s="21" t="s">
        <v>16</v>
      </c>
      <c r="O113" s="38">
        <f t="shared" si="1"/>
        <v>9.8193807339449546E-2</v>
      </c>
    </row>
    <row r="114" spans="1:15" hidden="1">
      <c r="A114" s="19" t="s">
        <v>77</v>
      </c>
      <c r="B114" s="19" t="s">
        <v>27</v>
      </c>
      <c r="C114" s="20">
        <v>45365</v>
      </c>
      <c r="D114" s="21" t="s">
        <v>48</v>
      </c>
      <c r="E114" s="22" t="s">
        <v>363</v>
      </c>
      <c r="F114" s="23">
        <v>3361</v>
      </c>
      <c r="G114" s="23">
        <v>188</v>
      </c>
      <c r="H114" s="23">
        <v>358</v>
      </c>
      <c r="I114" s="23">
        <v>39838</v>
      </c>
      <c r="J114" s="23">
        <v>24536</v>
      </c>
      <c r="K114" s="23">
        <v>120</v>
      </c>
      <c r="L114" s="21" t="s">
        <v>19</v>
      </c>
      <c r="M114" s="21" t="s">
        <v>37</v>
      </c>
      <c r="N114" s="21" t="s">
        <v>49</v>
      </c>
      <c r="O114" s="38">
        <f t="shared" si="1"/>
        <v>9.8072192379135503E-2</v>
      </c>
    </row>
    <row r="115" spans="1:15" hidden="1">
      <c r="A115" s="19" t="s">
        <v>201</v>
      </c>
      <c r="B115" s="19" t="s">
        <v>13</v>
      </c>
      <c r="C115" s="20">
        <v>45536</v>
      </c>
      <c r="D115" s="21" t="s">
        <v>23</v>
      </c>
      <c r="E115" s="22" t="s">
        <v>360</v>
      </c>
      <c r="F115" s="23">
        <v>2335</v>
      </c>
      <c r="G115" s="23">
        <v>150</v>
      </c>
      <c r="H115" s="23">
        <v>75</v>
      </c>
      <c r="I115" s="23">
        <v>26114</v>
      </c>
      <c r="J115" s="23">
        <v>57549</v>
      </c>
      <c r="K115" s="23">
        <v>135</v>
      </c>
      <c r="L115" s="21" t="s">
        <v>34</v>
      </c>
      <c r="M115" s="21"/>
      <c r="N115" s="21" t="s">
        <v>46</v>
      </c>
      <c r="O115" s="38">
        <f t="shared" si="1"/>
        <v>9.8031707130274953E-2</v>
      </c>
    </row>
    <row r="116" spans="1:15" hidden="1">
      <c r="A116" s="19" t="s">
        <v>234</v>
      </c>
      <c r="B116" s="19" t="s">
        <v>22</v>
      </c>
      <c r="C116" s="20">
        <v>45656</v>
      </c>
      <c r="D116" s="21" t="s">
        <v>14</v>
      </c>
      <c r="E116" s="22" t="s">
        <v>30</v>
      </c>
      <c r="F116" s="23">
        <v>4214</v>
      </c>
      <c r="G116" s="23">
        <v>286</v>
      </c>
      <c r="H116" s="23">
        <v>127</v>
      </c>
      <c r="I116" s="23">
        <v>47293</v>
      </c>
      <c r="J116" s="23">
        <v>27184</v>
      </c>
      <c r="K116" s="23">
        <v>232</v>
      </c>
      <c r="L116" s="21" t="s">
        <v>34</v>
      </c>
      <c r="M116" s="21"/>
      <c r="N116" s="21" t="s">
        <v>16</v>
      </c>
      <c r="O116" s="38">
        <f t="shared" si="1"/>
        <v>9.7836889180216949E-2</v>
      </c>
    </row>
    <row r="117" spans="1:15" hidden="1">
      <c r="A117" s="19" t="s">
        <v>65</v>
      </c>
      <c r="B117" s="19" t="s">
        <v>22</v>
      </c>
      <c r="C117" s="20">
        <v>45785</v>
      </c>
      <c r="D117" s="21" t="s">
        <v>23</v>
      </c>
      <c r="E117" s="22" t="s">
        <v>42</v>
      </c>
      <c r="F117" s="23">
        <v>3316</v>
      </c>
      <c r="G117" s="23">
        <v>332</v>
      </c>
      <c r="H117" s="23">
        <v>268</v>
      </c>
      <c r="I117" s="23">
        <v>40095</v>
      </c>
      <c r="J117" s="23">
        <v>36913</v>
      </c>
      <c r="K117" s="23">
        <v>265</v>
      </c>
      <c r="L117" s="21" t="s">
        <v>364</v>
      </c>
      <c r="M117" s="21" t="s">
        <v>34</v>
      </c>
      <c r="N117" s="21" t="s">
        <v>16</v>
      </c>
      <c r="O117" s="38">
        <f t="shared" si="1"/>
        <v>9.7668038408779148E-2</v>
      </c>
    </row>
    <row r="118" spans="1:15" hidden="1">
      <c r="A118" s="19" t="s">
        <v>165</v>
      </c>
      <c r="B118" s="19" t="s">
        <v>22</v>
      </c>
      <c r="C118" s="20">
        <v>45569</v>
      </c>
      <c r="D118" s="21" t="s">
        <v>23</v>
      </c>
      <c r="E118" s="22" t="s">
        <v>18</v>
      </c>
      <c r="F118" s="23">
        <v>2870</v>
      </c>
      <c r="G118" s="23">
        <v>380</v>
      </c>
      <c r="H118" s="23">
        <v>393</v>
      </c>
      <c r="I118" s="23">
        <v>37621</v>
      </c>
      <c r="J118" s="23">
        <v>71794</v>
      </c>
      <c r="K118" s="23">
        <v>127</v>
      </c>
      <c r="L118" s="21" t="s">
        <v>364</v>
      </c>
      <c r="M118" s="21" t="s">
        <v>34</v>
      </c>
      <c r="N118" s="21" t="s">
        <v>16</v>
      </c>
      <c r="O118" s="38">
        <f t="shared" si="1"/>
        <v>9.6834214933149046E-2</v>
      </c>
    </row>
    <row r="119" spans="1:15" hidden="1">
      <c r="A119" s="19" t="s">
        <v>107</v>
      </c>
      <c r="B119" s="19" t="s">
        <v>22</v>
      </c>
      <c r="C119" s="20">
        <v>45805</v>
      </c>
      <c r="D119" s="21" t="s">
        <v>14</v>
      </c>
      <c r="E119" s="22" t="s">
        <v>363</v>
      </c>
      <c r="F119" s="23">
        <v>2418</v>
      </c>
      <c r="G119" s="23">
        <v>161</v>
      </c>
      <c r="H119" s="23">
        <v>360</v>
      </c>
      <c r="I119" s="23">
        <v>30589</v>
      </c>
      <c r="J119" s="23">
        <v>41383</v>
      </c>
      <c r="K119" s="23">
        <v>88</v>
      </c>
      <c r="L119" s="21" t="s">
        <v>34</v>
      </c>
      <c r="M119" s="21"/>
      <c r="N119" s="21" t="s">
        <v>16</v>
      </c>
      <c r="O119" s="38">
        <f t="shared" si="1"/>
        <v>9.6080290300434801E-2</v>
      </c>
    </row>
    <row r="120" spans="1:15" hidden="1">
      <c r="A120" s="19" t="s">
        <v>84</v>
      </c>
      <c r="B120" s="19" t="s">
        <v>13</v>
      </c>
      <c r="C120" s="20">
        <v>45722</v>
      </c>
      <c r="D120" s="21" t="s">
        <v>14</v>
      </c>
      <c r="E120" s="22" t="s">
        <v>30</v>
      </c>
      <c r="F120" s="23">
        <v>4851</v>
      </c>
      <c r="G120" s="23">
        <v>460</v>
      </c>
      <c r="H120" s="23">
        <v>212</v>
      </c>
      <c r="I120" s="23">
        <v>58075</v>
      </c>
      <c r="J120" s="23">
        <v>59574</v>
      </c>
      <c r="K120" s="23">
        <v>239</v>
      </c>
      <c r="L120" s="21" t="s">
        <v>19</v>
      </c>
      <c r="M120" s="21"/>
      <c r="N120" s="21" t="s">
        <v>20</v>
      </c>
      <c r="O120" s="38">
        <f t="shared" si="1"/>
        <v>9.5101162290142052E-2</v>
      </c>
    </row>
    <row r="121" spans="1:15" hidden="1">
      <c r="A121" s="19" t="s">
        <v>180</v>
      </c>
      <c r="B121" s="19" t="s">
        <v>22</v>
      </c>
      <c r="C121" s="20">
        <v>45442</v>
      </c>
      <c r="D121" s="21" t="s">
        <v>23</v>
      </c>
      <c r="E121" s="22" t="s">
        <v>42</v>
      </c>
      <c r="F121" s="23">
        <v>2311</v>
      </c>
      <c r="G121" s="23">
        <v>207</v>
      </c>
      <c r="H121" s="23">
        <v>363</v>
      </c>
      <c r="I121" s="23">
        <v>30349</v>
      </c>
      <c r="J121" s="23">
        <v>32925</v>
      </c>
      <c r="K121" s="23">
        <v>88</v>
      </c>
      <c r="L121" s="21" t="s">
        <v>364</v>
      </c>
      <c r="M121" s="21" t="s">
        <v>34</v>
      </c>
      <c r="N121" s="21" t="s">
        <v>16</v>
      </c>
      <c r="O121" s="38">
        <f t="shared" si="1"/>
        <v>9.4928992718046723E-2</v>
      </c>
    </row>
    <row r="122" spans="1:15" hidden="1">
      <c r="A122" s="19" t="s">
        <v>128</v>
      </c>
      <c r="B122" s="19" t="s">
        <v>22</v>
      </c>
      <c r="C122" s="20">
        <v>45366</v>
      </c>
      <c r="D122" s="21" t="s">
        <v>23</v>
      </c>
      <c r="E122" s="22" t="s">
        <v>30</v>
      </c>
      <c r="F122" s="23">
        <v>4969</v>
      </c>
      <c r="G122" s="23">
        <v>433</v>
      </c>
      <c r="H122" s="23">
        <v>237</v>
      </c>
      <c r="I122" s="23">
        <v>59552</v>
      </c>
      <c r="J122" s="23">
        <v>23885</v>
      </c>
      <c r="K122" s="23">
        <v>157</v>
      </c>
      <c r="L122" s="21" t="s">
        <v>19</v>
      </c>
      <c r="M122" s="21" t="s">
        <v>364</v>
      </c>
      <c r="N122" s="21" t="s">
        <v>16</v>
      </c>
      <c r="O122" s="38">
        <f t="shared" si="1"/>
        <v>9.4690354648038683E-2</v>
      </c>
    </row>
    <row r="123" spans="1:15" hidden="1">
      <c r="A123" s="19" t="s">
        <v>247</v>
      </c>
      <c r="B123" s="19" t="s">
        <v>13</v>
      </c>
      <c r="C123" s="20">
        <v>45808</v>
      </c>
      <c r="D123" s="21" t="s">
        <v>14</v>
      </c>
      <c r="E123" s="22" t="s">
        <v>362</v>
      </c>
      <c r="F123" s="23">
        <v>2169</v>
      </c>
      <c r="G123" s="23">
        <v>240</v>
      </c>
      <c r="H123" s="23">
        <v>57</v>
      </c>
      <c r="I123" s="23">
        <v>26109</v>
      </c>
      <c r="J123" s="23">
        <v>46667</v>
      </c>
      <c r="K123" s="23">
        <v>133</v>
      </c>
      <c r="L123" s="21" t="s">
        <v>37</v>
      </c>
      <c r="M123" s="21" t="s">
        <v>34</v>
      </c>
      <c r="N123" s="21" t="s">
        <v>16</v>
      </c>
      <c r="O123" s="38">
        <f t="shared" si="1"/>
        <v>9.4450189589796618E-2</v>
      </c>
    </row>
    <row r="124" spans="1:15" hidden="1">
      <c r="A124" s="19" t="s">
        <v>330</v>
      </c>
      <c r="B124" s="19" t="s">
        <v>13</v>
      </c>
      <c r="C124" s="20">
        <v>45329</v>
      </c>
      <c r="D124" s="21" t="s">
        <v>14</v>
      </c>
      <c r="E124" s="22" t="s">
        <v>361</v>
      </c>
      <c r="F124" s="23">
        <v>1883</v>
      </c>
      <c r="G124" s="23">
        <v>432</v>
      </c>
      <c r="H124" s="23">
        <v>397</v>
      </c>
      <c r="I124" s="23">
        <v>28759</v>
      </c>
      <c r="J124" s="23">
        <v>18691</v>
      </c>
      <c r="K124" s="23">
        <v>270</v>
      </c>
      <c r="L124" s="21" t="s">
        <v>37</v>
      </c>
      <c r="M124" s="21" t="s">
        <v>34</v>
      </c>
      <c r="N124" s="21" t="s">
        <v>16</v>
      </c>
      <c r="O124" s="38">
        <f t="shared" si="1"/>
        <v>9.4300914496331587E-2</v>
      </c>
    </row>
    <row r="125" spans="1:15" hidden="1">
      <c r="A125" s="19" t="s">
        <v>220</v>
      </c>
      <c r="B125" s="19" t="s">
        <v>13</v>
      </c>
      <c r="C125" s="20">
        <v>45673</v>
      </c>
      <c r="D125" s="21" t="s">
        <v>14</v>
      </c>
      <c r="E125" s="22" t="s">
        <v>361</v>
      </c>
      <c r="F125" s="23">
        <v>2605</v>
      </c>
      <c r="G125" s="23">
        <v>282</v>
      </c>
      <c r="H125" s="23">
        <v>148</v>
      </c>
      <c r="I125" s="23">
        <v>32201</v>
      </c>
      <c r="J125" s="23">
        <v>49583</v>
      </c>
      <c r="K125" s="23">
        <v>241</v>
      </c>
      <c r="L125" s="21" t="s">
        <v>37</v>
      </c>
      <c r="M125" s="21" t="s">
        <v>34</v>
      </c>
      <c r="N125" s="21" t="s">
        <v>16</v>
      </c>
      <c r="O125" s="38">
        <f t="shared" si="1"/>
        <v>9.4251731312692155E-2</v>
      </c>
    </row>
    <row r="126" spans="1:15" hidden="1">
      <c r="A126" s="19" t="s">
        <v>305</v>
      </c>
      <c r="B126" s="19" t="s">
        <v>13</v>
      </c>
      <c r="C126" s="20">
        <v>45341</v>
      </c>
      <c r="D126" s="21" t="s">
        <v>14</v>
      </c>
      <c r="E126" s="22" t="s">
        <v>360</v>
      </c>
      <c r="F126" s="23">
        <v>4752</v>
      </c>
      <c r="G126" s="23">
        <v>449</v>
      </c>
      <c r="H126" s="23">
        <v>309</v>
      </c>
      <c r="I126" s="23">
        <v>58530</v>
      </c>
      <c r="J126" s="23">
        <v>26630</v>
      </c>
      <c r="K126" s="23">
        <v>234</v>
      </c>
      <c r="L126" s="21" t="s">
        <v>19</v>
      </c>
      <c r="M126" s="21"/>
      <c r="N126" s="21" t="s">
        <v>20</v>
      </c>
      <c r="O126" s="38">
        <f t="shared" si="1"/>
        <v>9.4139757389372969E-2</v>
      </c>
    </row>
    <row r="127" spans="1:15" hidden="1">
      <c r="A127" s="19" t="s">
        <v>151</v>
      </c>
      <c r="B127" s="19" t="s">
        <v>13</v>
      </c>
      <c r="C127" s="20">
        <v>45777</v>
      </c>
      <c r="D127" s="21" t="s">
        <v>23</v>
      </c>
      <c r="E127" s="22" t="s">
        <v>24</v>
      </c>
      <c r="F127" s="23">
        <v>3916</v>
      </c>
      <c r="G127" s="23">
        <v>459</v>
      </c>
      <c r="H127" s="23">
        <v>229</v>
      </c>
      <c r="I127" s="23">
        <v>48989</v>
      </c>
      <c r="J127" s="23">
        <v>39768</v>
      </c>
      <c r="K127" s="23">
        <v>200</v>
      </c>
      <c r="L127" s="21" t="s">
        <v>34</v>
      </c>
      <c r="M127" s="21"/>
      <c r="N127" s="21" t="s">
        <v>46</v>
      </c>
      <c r="O127" s="38">
        <f t="shared" si="1"/>
        <v>9.3980281287635997E-2</v>
      </c>
    </row>
    <row r="128" spans="1:15" hidden="1">
      <c r="A128" s="19" t="s">
        <v>43</v>
      </c>
      <c r="B128" s="19" t="s">
        <v>22</v>
      </c>
      <c r="C128" s="20">
        <v>45655</v>
      </c>
      <c r="D128" s="21" t="s">
        <v>23</v>
      </c>
      <c r="E128" s="22" t="s">
        <v>24</v>
      </c>
      <c r="F128" s="23">
        <v>4049</v>
      </c>
      <c r="G128" s="23">
        <v>377</v>
      </c>
      <c r="H128" s="23">
        <v>94</v>
      </c>
      <c r="I128" s="23">
        <v>48182</v>
      </c>
      <c r="J128" s="23">
        <v>42875</v>
      </c>
      <c r="K128" s="23">
        <v>172</v>
      </c>
      <c r="L128" s="21" t="s">
        <v>364</v>
      </c>
      <c r="M128" s="21" t="s">
        <v>34</v>
      </c>
      <c r="N128" s="21" t="s">
        <v>16</v>
      </c>
      <c r="O128" s="38">
        <f t="shared" si="1"/>
        <v>9.3810966751068869E-2</v>
      </c>
    </row>
    <row r="129" spans="1:15" hidden="1">
      <c r="A129" s="19" t="s">
        <v>72</v>
      </c>
      <c r="B129" s="19" t="s">
        <v>13</v>
      </c>
      <c r="C129" s="20">
        <v>45683</v>
      </c>
      <c r="D129" s="21" t="s">
        <v>23</v>
      </c>
      <c r="E129" s="22" t="s">
        <v>362</v>
      </c>
      <c r="F129" s="23">
        <v>3451</v>
      </c>
      <c r="G129" s="23">
        <v>363</v>
      </c>
      <c r="H129" s="23">
        <v>393</v>
      </c>
      <c r="I129" s="23">
        <v>44853</v>
      </c>
      <c r="J129" s="23">
        <v>69032</v>
      </c>
      <c r="K129" s="23">
        <v>211</v>
      </c>
      <c r="L129" s="21" t="s">
        <v>34</v>
      </c>
      <c r="M129" s="21"/>
      <c r="N129" s="21" t="s">
        <v>46</v>
      </c>
      <c r="O129" s="38">
        <f t="shared" si="1"/>
        <v>9.379528682585335E-2</v>
      </c>
    </row>
    <row r="130" spans="1:15" hidden="1">
      <c r="A130" s="19" t="s">
        <v>299</v>
      </c>
      <c r="B130" s="19" t="s">
        <v>27</v>
      </c>
      <c r="C130" s="20">
        <v>45464</v>
      </c>
      <c r="D130" s="21" t="s">
        <v>48</v>
      </c>
      <c r="E130" s="22" t="s">
        <v>361</v>
      </c>
      <c r="F130" s="23">
        <v>4621</v>
      </c>
      <c r="G130" s="23">
        <v>374</v>
      </c>
      <c r="H130" s="23">
        <v>298</v>
      </c>
      <c r="I130" s="23">
        <v>56979</v>
      </c>
      <c r="J130" s="23">
        <v>24098</v>
      </c>
      <c r="K130" s="23">
        <v>205</v>
      </c>
      <c r="L130" s="21" t="s">
        <v>19</v>
      </c>
      <c r="M130" s="21" t="s">
        <v>37</v>
      </c>
      <c r="N130" s="21" t="s">
        <v>49</v>
      </c>
      <c r="O130" s="38">
        <f t="shared" ref="O130:O193" si="2" xml:space="preserve"> (F130+ G130 + H130) / I130</f>
        <v>9.2893873181347508E-2</v>
      </c>
    </row>
    <row r="131" spans="1:15" hidden="1">
      <c r="A131" s="19" t="s">
        <v>275</v>
      </c>
      <c r="B131" s="19" t="s">
        <v>22</v>
      </c>
      <c r="C131" s="20">
        <v>45666</v>
      </c>
      <c r="D131" s="21" t="s">
        <v>23</v>
      </c>
      <c r="E131" s="22" t="s">
        <v>42</v>
      </c>
      <c r="F131" s="23">
        <v>3817</v>
      </c>
      <c r="G131" s="23">
        <v>284</v>
      </c>
      <c r="H131" s="23">
        <v>204</v>
      </c>
      <c r="I131" s="23">
        <v>46434</v>
      </c>
      <c r="J131" s="23">
        <v>53396</v>
      </c>
      <c r="K131" s="23">
        <v>104</v>
      </c>
      <c r="L131" s="21" t="s">
        <v>364</v>
      </c>
      <c r="M131" s="21" t="s">
        <v>34</v>
      </c>
      <c r="N131" s="21" t="s">
        <v>16</v>
      </c>
      <c r="O131" s="38">
        <f t="shared" si="2"/>
        <v>9.2712236723090841E-2</v>
      </c>
    </row>
    <row r="132" spans="1:15" hidden="1">
      <c r="A132" s="19" t="s">
        <v>173</v>
      </c>
      <c r="B132" s="19" t="s">
        <v>13</v>
      </c>
      <c r="C132" s="20">
        <v>45460</v>
      </c>
      <c r="D132" s="21" t="s">
        <v>14</v>
      </c>
      <c r="E132" s="22" t="s">
        <v>15</v>
      </c>
      <c r="F132" s="23">
        <v>4283</v>
      </c>
      <c r="G132" s="23">
        <v>471</v>
      </c>
      <c r="H132" s="23">
        <v>156</v>
      </c>
      <c r="I132" s="23">
        <v>53004</v>
      </c>
      <c r="J132" s="23">
        <v>25678</v>
      </c>
      <c r="K132" s="23">
        <v>105</v>
      </c>
      <c r="L132" s="21" t="s">
        <v>19</v>
      </c>
      <c r="M132" s="21"/>
      <c r="N132" s="21" t="s">
        <v>20</v>
      </c>
      <c r="O132" s="38">
        <f t="shared" si="2"/>
        <v>9.2634518149573616E-2</v>
      </c>
    </row>
    <row r="133" spans="1:15" hidden="1">
      <c r="A133" s="19" t="s">
        <v>162</v>
      </c>
      <c r="B133" s="19" t="s">
        <v>22</v>
      </c>
      <c r="C133" s="20">
        <v>45563</v>
      </c>
      <c r="D133" s="21" t="s">
        <v>14</v>
      </c>
      <c r="E133" s="22" t="s">
        <v>362</v>
      </c>
      <c r="F133" s="23">
        <v>4006</v>
      </c>
      <c r="G133" s="23">
        <v>420</v>
      </c>
      <c r="H133" s="23">
        <v>194</v>
      </c>
      <c r="I133" s="23">
        <v>49964</v>
      </c>
      <c r="J133" s="23">
        <v>20685</v>
      </c>
      <c r="K133" s="23">
        <v>148</v>
      </c>
      <c r="L133" s="21" t="s">
        <v>34</v>
      </c>
      <c r="M133" s="21"/>
      <c r="N133" s="21" t="s">
        <v>16</v>
      </c>
      <c r="O133" s="38">
        <f t="shared" si="2"/>
        <v>9.2466575934672959E-2</v>
      </c>
    </row>
    <row r="134" spans="1:15" hidden="1">
      <c r="A134" s="19" t="s">
        <v>182</v>
      </c>
      <c r="B134" s="19" t="s">
        <v>13</v>
      </c>
      <c r="C134" s="20">
        <v>45562</v>
      </c>
      <c r="D134" s="21" t="s">
        <v>14</v>
      </c>
      <c r="E134" s="22" t="s">
        <v>15</v>
      </c>
      <c r="F134" s="23">
        <v>3118</v>
      </c>
      <c r="G134" s="23">
        <v>116</v>
      </c>
      <c r="H134" s="23">
        <v>195</v>
      </c>
      <c r="I134" s="23">
        <v>37100</v>
      </c>
      <c r="J134" s="23">
        <v>62629</v>
      </c>
      <c r="K134" s="23">
        <v>272</v>
      </c>
      <c r="L134" s="21" t="s">
        <v>19</v>
      </c>
      <c r="M134" s="21"/>
      <c r="N134" s="21" t="s">
        <v>20</v>
      </c>
      <c r="O134" s="38">
        <f t="shared" si="2"/>
        <v>9.2425876010781671E-2</v>
      </c>
    </row>
    <row r="135" spans="1:15" hidden="1">
      <c r="A135" s="19" t="s">
        <v>196</v>
      </c>
      <c r="B135" s="19" t="s">
        <v>13</v>
      </c>
      <c r="C135" s="20">
        <v>45387</v>
      </c>
      <c r="D135" s="21" t="s">
        <v>14</v>
      </c>
      <c r="E135" s="22" t="s">
        <v>24</v>
      </c>
      <c r="F135" s="23">
        <v>4383</v>
      </c>
      <c r="G135" s="23">
        <v>352</v>
      </c>
      <c r="H135" s="23">
        <v>176</v>
      </c>
      <c r="I135" s="23">
        <v>53239</v>
      </c>
      <c r="J135" s="23">
        <v>34168</v>
      </c>
      <c r="K135" s="23">
        <v>288</v>
      </c>
      <c r="L135" s="21" t="s">
        <v>19</v>
      </c>
      <c r="M135" s="21"/>
      <c r="N135" s="21" t="s">
        <v>20</v>
      </c>
      <c r="O135" s="38">
        <f t="shared" si="2"/>
        <v>9.2244407295403744E-2</v>
      </c>
    </row>
    <row r="136" spans="1:15" hidden="1">
      <c r="A136" s="19" t="s">
        <v>94</v>
      </c>
      <c r="B136" s="19" t="s">
        <v>22</v>
      </c>
      <c r="C136" s="20">
        <v>45679</v>
      </c>
      <c r="D136" s="21" t="s">
        <v>23</v>
      </c>
      <c r="E136" s="22" t="s">
        <v>24</v>
      </c>
      <c r="F136" s="23">
        <v>4478</v>
      </c>
      <c r="G136" s="23">
        <v>101</v>
      </c>
      <c r="H136" s="23">
        <v>121</v>
      </c>
      <c r="I136" s="23">
        <v>51035</v>
      </c>
      <c r="J136" s="23">
        <v>58207</v>
      </c>
      <c r="K136" s="23">
        <v>205</v>
      </c>
      <c r="L136" s="21" t="s">
        <v>364</v>
      </c>
      <c r="M136" s="21" t="s">
        <v>34</v>
      </c>
      <c r="N136" s="21" t="s">
        <v>16</v>
      </c>
      <c r="O136" s="38">
        <f t="shared" si="2"/>
        <v>9.2093661212893113E-2</v>
      </c>
    </row>
    <row r="137" spans="1:15" hidden="1">
      <c r="A137" s="19" t="s">
        <v>259</v>
      </c>
      <c r="B137" s="19" t="s">
        <v>27</v>
      </c>
      <c r="C137" s="20">
        <v>45346</v>
      </c>
      <c r="D137" s="21" t="s">
        <v>14</v>
      </c>
      <c r="E137" s="22" t="s">
        <v>361</v>
      </c>
      <c r="F137" s="23">
        <v>4653</v>
      </c>
      <c r="G137" s="23">
        <v>226</v>
      </c>
      <c r="H137" s="23">
        <v>349</v>
      </c>
      <c r="I137" s="23">
        <v>56876</v>
      </c>
      <c r="J137" s="23">
        <v>28452</v>
      </c>
      <c r="K137" s="23">
        <v>257</v>
      </c>
      <c r="L137" s="21" t="s">
        <v>19</v>
      </c>
      <c r="M137" s="21" t="s">
        <v>365</v>
      </c>
      <c r="N137" s="21" t="s">
        <v>20</v>
      </c>
      <c r="O137" s="38">
        <f t="shared" si="2"/>
        <v>9.191926295801392E-2</v>
      </c>
    </row>
    <row r="138" spans="1:15" hidden="1">
      <c r="A138" s="19" t="s">
        <v>295</v>
      </c>
      <c r="B138" s="19" t="s">
        <v>22</v>
      </c>
      <c r="C138" s="20">
        <v>45825</v>
      </c>
      <c r="D138" s="21" t="s">
        <v>23</v>
      </c>
      <c r="E138" s="22" t="s">
        <v>18</v>
      </c>
      <c r="F138" s="23">
        <v>4341</v>
      </c>
      <c r="G138" s="23">
        <v>141</v>
      </c>
      <c r="H138" s="23">
        <v>63</v>
      </c>
      <c r="I138" s="23">
        <v>50081</v>
      </c>
      <c r="J138" s="23">
        <v>27507</v>
      </c>
      <c r="K138" s="23">
        <v>221</v>
      </c>
      <c r="L138" s="21" t="s">
        <v>19</v>
      </c>
      <c r="M138" s="21" t="s">
        <v>364</v>
      </c>
      <c r="N138" s="21" t="s">
        <v>16</v>
      </c>
      <c r="O138" s="38">
        <f t="shared" si="2"/>
        <v>9.0752980172121162E-2</v>
      </c>
    </row>
    <row r="139" spans="1:15" hidden="1">
      <c r="A139" s="19" t="s">
        <v>96</v>
      </c>
      <c r="B139" s="19" t="s">
        <v>13</v>
      </c>
      <c r="C139" s="20">
        <v>45763</v>
      </c>
      <c r="D139" s="21" t="s">
        <v>14</v>
      </c>
      <c r="E139" s="22" t="s">
        <v>360</v>
      </c>
      <c r="F139" s="23">
        <v>4836</v>
      </c>
      <c r="G139" s="23">
        <v>331</v>
      </c>
      <c r="H139" s="23">
        <v>140</v>
      </c>
      <c r="I139" s="23">
        <v>58792</v>
      </c>
      <c r="J139" s="23">
        <v>47711</v>
      </c>
      <c r="K139" s="23">
        <v>227</v>
      </c>
      <c r="L139" s="21" t="s">
        <v>37</v>
      </c>
      <c r="M139" s="21" t="s">
        <v>34</v>
      </c>
      <c r="N139" s="21" t="s">
        <v>16</v>
      </c>
      <c r="O139" s="38">
        <f t="shared" si="2"/>
        <v>9.0267383317458164E-2</v>
      </c>
    </row>
    <row r="140" spans="1:15" hidden="1">
      <c r="A140" s="19" t="s">
        <v>222</v>
      </c>
      <c r="B140" s="19" t="s">
        <v>22</v>
      </c>
      <c r="C140" s="20">
        <v>45551</v>
      </c>
      <c r="D140" s="21" t="s">
        <v>23</v>
      </c>
      <c r="E140" s="22" t="s">
        <v>362</v>
      </c>
      <c r="F140" s="23">
        <v>4422</v>
      </c>
      <c r="G140" s="23">
        <v>434</v>
      </c>
      <c r="H140" s="23">
        <v>156</v>
      </c>
      <c r="I140" s="23">
        <v>56165</v>
      </c>
      <c r="J140" s="23">
        <v>52431</v>
      </c>
      <c r="K140" s="23">
        <v>173</v>
      </c>
      <c r="L140" s="21" t="s">
        <v>19</v>
      </c>
      <c r="M140" s="21" t="s">
        <v>364</v>
      </c>
      <c r="N140" s="21" t="s">
        <v>16</v>
      </c>
      <c r="O140" s="38">
        <f t="shared" si="2"/>
        <v>8.9237069349238848E-2</v>
      </c>
    </row>
    <row r="141" spans="1:15" hidden="1">
      <c r="A141" s="19" t="s">
        <v>134</v>
      </c>
      <c r="B141" s="19" t="s">
        <v>22</v>
      </c>
      <c r="C141" s="20">
        <v>45413</v>
      </c>
      <c r="D141" s="21" t="s">
        <v>23</v>
      </c>
      <c r="E141" s="22" t="s">
        <v>362</v>
      </c>
      <c r="F141" s="23">
        <v>2587</v>
      </c>
      <c r="G141" s="23">
        <v>447</v>
      </c>
      <c r="H141" s="23">
        <v>183</v>
      </c>
      <c r="I141" s="23">
        <v>36266</v>
      </c>
      <c r="J141" s="23">
        <v>32877</v>
      </c>
      <c r="K141" s="23">
        <v>132</v>
      </c>
      <c r="L141" s="21" t="s">
        <v>19</v>
      </c>
      <c r="M141" s="21" t="s">
        <v>364</v>
      </c>
      <c r="N141" s="21" t="s">
        <v>16</v>
      </c>
      <c r="O141" s="38">
        <f t="shared" si="2"/>
        <v>8.8705674736667947E-2</v>
      </c>
    </row>
    <row r="142" spans="1:15" hidden="1">
      <c r="A142" s="19" t="s">
        <v>88</v>
      </c>
      <c r="B142" s="19" t="s">
        <v>27</v>
      </c>
      <c r="C142" s="20">
        <v>45490</v>
      </c>
      <c r="D142" s="21" t="s">
        <v>14</v>
      </c>
      <c r="E142" s="22" t="s">
        <v>33</v>
      </c>
      <c r="F142" s="23">
        <v>3135</v>
      </c>
      <c r="G142" s="23">
        <v>110</v>
      </c>
      <c r="H142" s="23">
        <v>215</v>
      </c>
      <c r="I142" s="23">
        <v>39192</v>
      </c>
      <c r="J142" s="23">
        <v>24744</v>
      </c>
      <c r="K142" s="23">
        <v>177</v>
      </c>
      <c r="L142" s="21" t="s">
        <v>19</v>
      </c>
      <c r="M142" s="21" t="s">
        <v>365</v>
      </c>
      <c r="N142" s="21" t="s">
        <v>20</v>
      </c>
      <c r="O142" s="38">
        <f t="shared" si="2"/>
        <v>8.8283323127168814E-2</v>
      </c>
    </row>
    <row r="143" spans="1:15" hidden="1">
      <c r="A143" s="19" t="s">
        <v>111</v>
      </c>
      <c r="B143" s="19" t="s">
        <v>22</v>
      </c>
      <c r="C143" s="20">
        <v>45723</v>
      </c>
      <c r="D143" s="21" t="s">
        <v>14</v>
      </c>
      <c r="E143" s="22" t="s">
        <v>30</v>
      </c>
      <c r="F143" s="23">
        <v>4234</v>
      </c>
      <c r="G143" s="23">
        <v>486</v>
      </c>
      <c r="H143" s="23">
        <v>276</v>
      </c>
      <c r="I143" s="23">
        <v>56623</v>
      </c>
      <c r="J143" s="23">
        <v>41343</v>
      </c>
      <c r="K143" s="23">
        <v>184</v>
      </c>
      <c r="L143" s="21" t="s">
        <v>37</v>
      </c>
      <c r="M143" s="21"/>
      <c r="N143" s="21" t="s">
        <v>20</v>
      </c>
      <c r="O143" s="38">
        <f t="shared" si="2"/>
        <v>8.8232696960599044E-2</v>
      </c>
    </row>
    <row r="144" spans="1:15" hidden="1">
      <c r="A144" s="19" t="s">
        <v>91</v>
      </c>
      <c r="B144" s="19" t="s">
        <v>27</v>
      </c>
      <c r="C144" s="20">
        <v>45292</v>
      </c>
      <c r="D144" s="21" t="s">
        <v>48</v>
      </c>
      <c r="E144" s="22" t="s">
        <v>18</v>
      </c>
      <c r="F144" s="23">
        <v>3437</v>
      </c>
      <c r="G144" s="23">
        <v>129</v>
      </c>
      <c r="H144" s="23">
        <v>359</v>
      </c>
      <c r="I144" s="23">
        <v>44558</v>
      </c>
      <c r="J144" s="23">
        <v>30854</v>
      </c>
      <c r="K144" s="23">
        <v>171</v>
      </c>
      <c r="L144" s="21" t="s">
        <v>19</v>
      </c>
      <c r="M144" s="21" t="s">
        <v>37</v>
      </c>
      <c r="N144" s="21" t="s">
        <v>49</v>
      </c>
      <c r="O144" s="38">
        <f t="shared" si="2"/>
        <v>8.8087436599488311E-2</v>
      </c>
    </row>
    <row r="145" spans="1:15" hidden="1">
      <c r="A145" s="19" t="s">
        <v>31</v>
      </c>
      <c r="B145" s="19" t="s">
        <v>22</v>
      </c>
      <c r="C145" s="20">
        <v>45421</v>
      </c>
      <c r="D145" s="21" t="s">
        <v>23</v>
      </c>
      <c r="E145" s="22" t="s">
        <v>360</v>
      </c>
      <c r="F145" s="23">
        <v>1428</v>
      </c>
      <c r="G145" s="23">
        <v>347</v>
      </c>
      <c r="H145" s="23">
        <v>67</v>
      </c>
      <c r="I145" s="23">
        <v>21148</v>
      </c>
      <c r="J145" s="23">
        <v>19712</v>
      </c>
      <c r="K145" s="23">
        <v>120</v>
      </c>
      <c r="L145" s="21" t="s">
        <v>19</v>
      </c>
      <c r="M145" s="21" t="s">
        <v>364</v>
      </c>
      <c r="N145" s="21" t="s">
        <v>16</v>
      </c>
      <c r="O145" s="38">
        <f t="shared" si="2"/>
        <v>8.7100435029317191E-2</v>
      </c>
    </row>
    <row r="146" spans="1:15" hidden="1">
      <c r="A146" s="19" t="s">
        <v>17</v>
      </c>
      <c r="B146" s="19" t="s">
        <v>13</v>
      </c>
      <c r="C146" s="20">
        <v>45689</v>
      </c>
      <c r="D146" s="21" t="s">
        <v>14</v>
      </c>
      <c r="E146" s="22" t="s">
        <v>18</v>
      </c>
      <c r="F146" s="23">
        <v>1934</v>
      </c>
      <c r="G146" s="23">
        <v>210</v>
      </c>
      <c r="H146" s="23">
        <v>393</v>
      </c>
      <c r="I146" s="23">
        <v>29129</v>
      </c>
      <c r="J146" s="23">
        <v>73287</v>
      </c>
      <c r="K146" s="23">
        <v>273</v>
      </c>
      <c r="L146" s="21" t="s">
        <v>19</v>
      </c>
      <c r="M146" s="21"/>
      <c r="N146" s="21" t="s">
        <v>20</v>
      </c>
      <c r="O146" s="38">
        <f t="shared" si="2"/>
        <v>8.7095334546328396E-2</v>
      </c>
    </row>
    <row r="147" spans="1:15" hidden="1">
      <c r="A147" s="19" t="s">
        <v>170</v>
      </c>
      <c r="B147" s="19" t="s">
        <v>22</v>
      </c>
      <c r="C147" s="20">
        <v>45531</v>
      </c>
      <c r="D147" s="21" t="s">
        <v>23</v>
      </c>
      <c r="E147" s="22" t="s">
        <v>24</v>
      </c>
      <c r="F147" s="23">
        <v>1856</v>
      </c>
      <c r="G147" s="23">
        <v>357</v>
      </c>
      <c r="H147" s="23">
        <v>348</v>
      </c>
      <c r="I147" s="23">
        <v>29428</v>
      </c>
      <c r="J147" s="23">
        <v>70206</v>
      </c>
      <c r="K147" s="23">
        <v>236</v>
      </c>
      <c r="L147" s="21" t="s">
        <v>364</v>
      </c>
      <c r="M147" s="21" t="s">
        <v>34</v>
      </c>
      <c r="N147" s="21" t="s">
        <v>16</v>
      </c>
      <c r="O147" s="38">
        <f t="shared" si="2"/>
        <v>8.702596166915863E-2</v>
      </c>
    </row>
    <row r="148" spans="1:15" hidden="1">
      <c r="A148" s="19" t="s">
        <v>145</v>
      </c>
      <c r="B148" s="19" t="s">
        <v>13</v>
      </c>
      <c r="C148" s="20">
        <v>45762</v>
      </c>
      <c r="D148" s="21" t="s">
        <v>14</v>
      </c>
      <c r="E148" s="22" t="s">
        <v>18</v>
      </c>
      <c r="F148" s="23">
        <v>4177</v>
      </c>
      <c r="G148" s="23">
        <v>489</v>
      </c>
      <c r="H148" s="23">
        <v>331</v>
      </c>
      <c r="I148" s="23">
        <v>57451</v>
      </c>
      <c r="J148" s="23">
        <v>73793</v>
      </c>
      <c r="K148" s="23">
        <v>251</v>
      </c>
      <c r="L148" s="21" t="s">
        <v>19</v>
      </c>
      <c r="M148" s="21"/>
      <c r="N148" s="21" t="s">
        <v>20</v>
      </c>
      <c r="O148" s="38">
        <f t="shared" si="2"/>
        <v>8.6978468608031198E-2</v>
      </c>
    </row>
    <row r="149" spans="1:15" hidden="1">
      <c r="A149" s="19" t="s">
        <v>252</v>
      </c>
      <c r="B149" s="19" t="s">
        <v>22</v>
      </c>
      <c r="C149" s="20">
        <v>45829</v>
      </c>
      <c r="D149" s="21" t="s">
        <v>14</v>
      </c>
      <c r="E149" s="22" t="s">
        <v>18</v>
      </c>
      <c r="F149" s="23">
        <v>3611</v>
      </c>
      <c r="G149" s="23">
        <v>127</v>
      </c>
      <c r="H149" s="23">
        <v>139</v>
      </c>
      <c r="I149" s="23">
        <v>44768</v>
      </c>
      <c r="J149" s="23">
        <v>29435</v>
      </c>
      <c r="K149" s="23">
        <v>178</v>
      </c>
      <c r="L149" s="21" t="s">
        <v>34</v>
      </c>
      <c r="M149" s="21"/>
      <c r="N149" s="21" t="s">
        <v>16</v>
      </c>
      <c r="O149" s="38">
        <f t="shared" si="2"/>
        <v>8.6602037169406718E-2</v>
      </c>
    </row>
    <row r="150" spans="1:15" hidden="1">
      <c r="A150" s="19" t="s">
        <v>137</v>
      </c>
      <c r="B150" s="19" t="s">
        <v>22</v>
      </c>
      <c r="C150" s="20">
        <v>45670</v>
      </c>
      <c r="D150" s="21" t="s">
        <v>14</v>
      </c>
      <c r="E150" s="22" t="s">
        <v>361</v>
      </c>
      <c r="F150" s="23">
        <v>4090</v>
      </c>
      <c r="G150" s="23">
        <v>209</v>
      </c>
      <c r="H150" s="23">
        <v>278</v>
      </c>
      <c r="I150" s="23">
        <v>52853</v>
      </c>
      <c r="J150" s="23">
        <v>57084</v>
      </c>
      <c r="K150" s="23">
        <v>102</v>
      </c>
      <c r="L150" s="21" t="s">
        <v>37</v>
      </c>
      <c r="M150" s="21"/>
      <c r="N150" s="21" t="s">
        <v>20</v>
      </c>
      <c r="O150" s="38">
        <f t="shared" si="2"/>
        <v>8.6598679355949518E-2</v>
      </c>
    </row>
    <row r="151" spans="1:15" hidden="1">
      <c r="A151" s="19" t="s">
        <v>274</v>
      </c>
      <c r="B151" s="19" t="s">
        <v>27</v>
      </c>
      <c r="C151" s="20">
        <v>45816</v>
      </c>
      <c r="D151" s="21" t="s">
        <v>14</v>
      </c>
      <c r="E151" s="22" t="s">
        <v>361</v>
      </c>
      <c r="F151" s="23">
        <v>4375</v>
      </c>
      <c r="G151" s="23">
        <v>303</v>
      </c>
      <c r="H151" s="23">
        <v>294</v>
      </c>
      <c r="I151" s="23">
        <v>57468</v>
      </c>
      <c r="J151" s="23">
        <v>53397</v>
      </c>
      <c r="K151" s="23">
        <v>159</v>
      </c>
      <c r="L151" s="21" t="s">
        <v>19</v>
      </c>
      <c r="M151" s="21" t="s">
        <v>365</v>
      </c>
      <c r="N151" s="21" t="s">
        <v>20</v>
      </c>
      <c r="O151" s="38">
        <f t="shared" si="2"/>
        <v>8.6517714206166912E-2</v>
      </c>
    </row>
    <row r="152" spans="1:15" hidden="1">
      <c r="A152" s="19" t="s">
        <v>313</v>
      </c>
      <c r="B152" s="19" t="s">
        <v>13</v>
      </c>
      <c r="C152" s="20">
        <v>45531</v>
      </c>
      <c r="D152" s="21" t="s">
        <v>14</v>
      </c>
      <c r="E152" s="22" t="s">
        <v>361</v>
      </c>
      <c r="F152" s="23">
        <v>4197</v>
      </c>
      <c r="G152" s="23">
        <v>359</v>
      </c>
      <c r="H152" s="23">
        <v>280</v>
      </c>
      <c r="I152" s="23">
        <v>56048</v>
      </c>
      <c r="J152" s="23">
        <v>70930</v>
      </c>
      <c r="K152" s="23">
        <v>295</v>
      </c>
      <c r="L152" s="21" t="s">
        <v>19</v>
      </c>
      <c r="M152" s="21"/>
      <c r="N152" s="21" t="s">
        <v>20</v>
      </c>
      <c r="O152" s="38">
        <f t="shared" si="2"/>
        <v>8.628318584070796E-2</v>
      </c>
    </row>
    <row r="153" spans="1:15" hidden="1">
      <c r="A153" s="19" t="s">
        <v>215</v>
      </c>
      <c r="B153" s="19" t="s">
        <v>27</v>
      </c>
      <c r="C153" s="20">
        <v>45769</v>
      </c>
      <c r="D153" s="21" t="s">
        <v>48</v>
      </c>
      <c r="E153" s="22" t="s">
        <v>24</v>
      </c>
      <c r="F153" s="23">
        <v>2733</v>
      </c>
      <c r="G153" s="23">
        <v>297</v>
      </c>
      <c r="H153" s="23">
        <v>235</v>
      </c>
      <c r="I153" s="23">
        <v>37980</v>
      </c>
      <c r="J153" s="23">
        <v>33058</v>
      </c>
      <c r="K153" s="23">
        <v>219</v>
      </c>
      <c r="L153" s="21" t="s">
        <v>19</v>
      </c>
      <c r="M153" s="21" t="s">
        <v>37</v>
      </c>
      <c r="N153" s="21" t="s">
        <v>49</v>
      </c>
      <c r="O153" s="38">
        <f t="shared" si="2"/>
        <v>8.5966298051606105E-2</v>
      </c>
    </row>
    <row r="154" spans="1:15" hidden="1">
      <c r="A154" s="19" t="s">
        <v>287</v>
      </c>
      <c r="B154" s="19" t="s">
        <v>22</v>
      </c>
      <c r="C154" s="20">
        <v>45451</v>
      </c>
      <c r="D154" s="21" t="s">
        <v>23</v>
      </c>
      <c r="E154" s="22" t="s">
        <v>33</v>
      </c>
      <c r="F154" s="23">
        <v>3413</v>
      </c>
      <c r="G154" s="23">
        <v>326</v>
      </c>
      <c r="H154" s="23">
        <v>86</v>
      </c>
      <c r="I154" s="23">
        <v>44680</v>
      </c>
      <c r="J154" s="23">
        <v>52719</v>
      </c>
      <c r="K154" s="23">
        <v>272</v>
      </c>
      <c r="L154" s="21" t="s">
        <v>19</v>
      </c>
      <c r="M154" s="21" t="s">
        <v>364</v>
      </c>
      <c r="N154" s="21" t="s">
        <v>16</v>
      </c>
      <c r="O154" s="38">
        <f t="shared" si="2"/>
        <v>8.5608773500447627E-2</v>
      </c>
    </row>
    <row r="155" spans="1:15" hidden="1">
      <c r="A155" s="19" t="s">
        <v>154</v>
      </c>
      <c r="B155" s="19" t="s">
        <v>22</v>
      </c>
      <c r="C155" s="20">
        <v>45421</v>
      </c>
      <c r="D155" s="21" t="s">
        <v>23</v>
      </c>
      <c r="E155" s="22" t="s">
        <v>24</v>
      </c>
      <c r="F155" s="23">
        <v>3277</v>
      </c>
      <c r="G155" s="23">
        <v>423</v>
      </c>
      <c r="H155" s="23">
        <v>259</v>
      </c>
      <c r="I155" s="23">
        <v>46328</v>
      </c>
      <c r="J155" s="23">
        <v>44293</v>
      </c>
      <c r="K155" s="23">
        <v>299</v>
      </c>
      <c r="L155" s="21" t="s">
        <v>37</v>
      </c>
      <c r="M155" s="21" t="s">
        <v>34</v>
      </c>
      <c r="N155" s="21" t="s">
        <v>16</v>
      </c>
      <c r="O155" s="38">
        <f t="shared" si="2"/>
        <v>8.5455879813503707E-2</v>
      </c>
    </row>
    <row r="156" spans="1:15" hidden="1">
      <c r="A156" s="19" t="s">
        <v>40</v>
      </c>
      <c r="B156" s="19" t="s">
        <v>22</v>
      </c>
      <c r="C156" s="20">
        <v>45573</v>
      </c>
      <c r="D156" s="21" t="s">
        <v>14</v>
      </c>
      <c r="E156" s="22" t="s">
        <v>363</v>
      </c>
      <c r="F156" s="23">
        <v>2460</v>
      </c>
      <c r="G156" s="23">
        <v>409</v>
      </c>
      <c r="H156" s="23">
        <v>253</v>
      </c>
      <c r="I156" s="23">
        <v>36702</v>
      </c>
      <c r="J156" s="23">
        <v>46122</v>
      </c>
      <c r="K156" s="23">
        <v>264</v>
      </c>
      <c r="L156" s="21" t="s">
        <v>34</v>
      </c>
      <c r="M156" s="21"/>
      <c r="N156" s="21" t="s">
        <v>16</v>
      </c>
      <c r="O156" s="38">
        <f t="shared" si="2"/>
        <v>8.5063484278785892E-2</v>
      </c>
    </row>
    <row r="157" spans="1:15" hidden="1">
      <c r="A157" s="19" t="s">
        <v>317</v>
      </c>
      <c r="B157" s="19" t="s">
        <v>27</v>
      </c>
      <c r="C157" s="20">
        <v>45468</v>
      </c>
      <c r="D157" s="21" t="s">
        <v>14</v>
      </c>
      <c r="E157" s="22" t="s">
        <v>42</v>
      </c>
      <c r="F157" s="23">
        <v>2172</v>
      </c>
      <c r="G157" s="23">
        <v>338</v>
      </c>
      <c r="H157" s="23">
        <v>70</v>
      </c>
      <c r="I157" s="23">
        <v>30515</v>
      </c>
      <c r="J157" s="23">
        <v>57853</v>
      </c>
      <c r="K157" s="23">
        <v>156</v>
      </c>
      <c r="L157" s="21" t="s">
        <v>19</v>
      </c>
      <c r="M157" s="21" t="s">
        <v>365</v>
      </c>
      <c r="N157" s="21" t="s">
        <v>20</v>
      </c>
      <c r="O157" s="38">
        <f t="shared" si="2"/>
        <v>8.4548582664263475E-2</v>
      </c>
    </row>
    <row r="158" spans="1:15" hidden="1">
      <c r="A158" s="19" t="s">
        <v>199</v>
      </c>
      <c r="B158" s="19" t="s">
        <v>27</v>
      </c>
      <c r="C158" s="20">
        <v>45660</v>
      </c>
      <c r="D158" s="21" t="s">
        <v>14</v>
      </c>
      <c r="E158" s="22" t="s">
        <v>24</v>
      </c>
      <c r="F158" s="23">
        <v>3782</v>
      </c>
      <c r="G158" s="23">
        <v>484</v>
      </c>
      <c r="H158" s="23">
        <v>144</v>
      </c>
      <c r="I158" s="23">
        <v>52172</v>
      </c>
      <c r="J158" s="23">
        <v>59386</v>
      </c>
      <c r="K158" s="23">
        <v>175</v>
      </c>
      <c r="L158" s="21" t="s">
        <v>19</v>
      </c>
      <c r="M158" s="21" t="s">
        <v>365</v>
      </c>
      <c r="N158" s="21" t="s">
        <v>20</v>
      </c>
      <c r="O158" s="38">
        <f t="shared" si="2"/>
        <v>8.4528099363643333E-2</v>
      </c>
    </row>
    <row r="159" spans="1:15" hidden="1">
      <c r="A159" s="19" t="s">
        <v>36</v>
      </c>
      <c r="B159" s="19" t="s">
        <v>22</v>
      </c>
      <c r="C159" s="20">
        <v>45357</v>
      </c>
      <c r="D159" s="21" t="s">
        <v>14</v>
      </c>
      <c r="E159" s="22" t="s">
        <v>15</v>
      </c>
      <c r="F159" s="23">
        <v>1971</v>
      </c>
      <c r="G159" s="23">
        <v>370</v>
      </c>
      <c r="H159" s="23">
        <v>306</v>
      </c>
      <c r="I159" s="23">
        <v>31316</v>
      </c>
      <c r="J159" s="23">
        <v>27897</v>
      </c>
      <c r="K159" s="23">
        <v>88</v>
      </c>
      <c r="L159" s="21" t="s">
        <v>37</v>
      </c>
      <c r="M159" s="21"/>
      <c r="N159" s="21" t="s">
        <v>20</v>
      </c>
      <c r="O159" s="38">
        <f t="shared" si="2"/>
        <v>8.4525482181632389E-2</v>
      </c>
    </row>
    <row r="160" spans="1:15" hidden="1">
      <c r="A160" s="19" t="s">
        <v>206</v>
      </c>
      <c r="B160" s="19" t="s">
        <v>13</v>
      </c>
      <c r="C160" s="20">
        <v>45475</v>
      </c>
      <c r="D160" s="21" t="s">
        <v>14</v>
      </c>
      <c r="E160" s="22" t="s">
        <v>33</v>
      </c>
      <c r="F160" s="23">
        <v>3469</v>
      </c>
      <c r="G160" s="23">
        <v>371</v>
      </c>
      <c r="H160" s="23">
        <v>76</v>
      </c>
      <c r="I160" s="23">
        <v>46493</v>
      </c>
      <c r="J160" s="23">
        <v>26906</v>
      </c>
      <c r="K160" s="23">
        <v>150</v>
      </c>
      <c r="L160" s="21" t="s">
        <v>37</v>
      </c>
      <c r="M160" s="21" t="s">
        <v>34</v>
      </c>
      <c r="N160" s="21" t="s">
        <v>16</v>
      </c>
      <c r="O160" s="38">
        <f t="shared" si="2"/>
        <v>8.4227733207149463E-2</v>
      </c>
    </row>
    <row r="161" spans="1:15" hidden="1">
      <c r="A161" s="19" t="s">
        <v>314</v>
      </c>
      <c r="B161" s="19" t="s">
        <v>13</v>
      </c>
      <c r="C161" s="20">
        <v>45589</v>
      </c>
      <c r="D161" s="21" t="s">
        <v>23</v>
      </c>
      <c r="E161" s="22" t="s">
        <v>33</v>
      </c>
      <c r="F161" s="23">
        <v>1914</v>
      </c>
      <c r="G161" s="23">
        <v>255</v>
      </c>
      <c r="H161" s="23">
        <v>156</v>
      </c>
      <c r="I161" s="23">
        <v>27660</v>
      </c>
      <c r="J161" s="23">
        <v>47776</v>
      </c>
      <c r="K161" s="23">
        <v>111</v>
      </c>
      <c r="L161" s="21" t="s">
        <v>34</v>
      </c>
      <c r="M161" s="21"/>
      <c r="N161" s="21" t="s">
        <v>46</v>
      </c>
      <c r="O161" s="38">
        <f t="shared" si="2"/>
        <v>8.4056399132321047E-2</v>
      </c>
    </row>
    <row r="162" spans="1:15" hidden="1">
      <c r="A162" s="19" t="s">
        <v>307</v>
      </c>
      <c r="B162" s="19" t="s">
        <v>13</v>
      </c>
      <c r="C162" s="20">
        <v>45691</v>
      </c>
      <c r="D162" s="21" t="s">
        <v>23</v>
      </c>
      <c r="E162" s="22" t="s">
        <v>24</v>
      </c>
      <c r="F162" s="23">
        <v>1205</v>
      </c>
      <c r="G162" s="23">
        <v>486</v>
      </c>
      <c r="H162" s="23">
        <v>269</v>
      </c>
      <c r="I162" s="23">
        <v>23341</v>
      </c>
      <c r="J162" s="23">
        <v>42411</v>
      </c>
      <c r="K162" s="23">
        <v>184</v>
      </c>
      <c r="L162" s="21" t="s">
        <v>34</v>
      </c>
      <c r="M162" s="21"/>
      <c r="N162" s="21" t="s">
        <v>46</v>
      </c>
      <c r="O162" s="38">
        <f t="shared" si="2"/>
        <v>8.3972409065592737E-2</v>
      </c>
    </row>
    <row r="163" spans="1:15" hidden="1">
      <c r="A163" s="19" t="s">
        <v>32</v>
      </c>
      <c r="B163" s="19" t="s">
        <v>22</v>
      </c>
      <c r="C163" s="20">
        <v>45823</v>
      </c>
      <c r="D163" s="21" t="s">
        <v>14</v>
      </c>
      <c r="E163" s="22" t="s">
        <v>33</v>
      </c>
      <c r="F163" s="23">
        <v>4432</v>
      </c>
      <c r="G163" s="23">
        <v>223</v>
      </c>
      <c r="H163" s="23">
        <v>299</v>
      </c>
      <c r="I163" s="23">
        <v>59016</v>
      </c>
      <c r="J163" s="23">
        <v>21742</v>
      </c>
      <c r="K163" s="23">
        <v>171</v>
      </c>
      <c r="L163" s="21" t="s">
        <v>34</v>
      </c>
      <c r="M163" s="21"/>
      <c r="N163" s="21" t="s">
        <v>16</v>
      </c>
      <c r="O163" s="38">
        <f t="shared" si="2"/>
        <v>8.3943337400027115E-2</v>
      </c>
    </row>
    <row r="164" spans="1:15" hidden="1">
      <c r="A164" s="19" t="s">
        <v>290</v>
      </c>
      <c r="B164" s="19" t="s">
        <v>22</v>
      </c>
      <c r="C164" s="20">
        <v>45662</v>
      </c>
      <c r="D164" s="21" t="s">
        <v>23</v>
      </c>
      <c r="E164" s="22" t="s">
        <v>18</v>
      </c>
      <c r="F164" s="23">
        <v>3341</v>
      </c>
      <c r="G164" s="23">
        <v>154</v>
      </c>
      <c r="H164" s="23">
        <v>123</v>
      </c>
      <c r="I164" s="23">
        <v>43369</v>
      </c>
      <c r="J164" s="23">
        <v>49035</v>
      </c>
      <c r="K164" s="23">
        <v>128</v>
      </c>
      <c r="L164" s="21" t="s">
        <v>364</v>
      </c>
      <c r="M164" s="21" t="s">
        <v>34</v>
      </c>
      <c r="N164" s="21" t="s">
        <v>16</v>
      </c>
      <c r="O164" s="38">
        <f t="shared" si="2"/>
        <v>8.3423643616408028E-2</v>
      </c>
    </row>
    <row r="165" spans="1:15" hidden="1">
      <c r="A165" s="19" t="s">
        <v>189</v>
      </c>
      <c r="B165" s="19" t="s">
        <v>13</v>
      </c>
      <c r="C165" s="20">
        <v>45394</v>
      </c>
      <c r="D165" s="21" t="s">
        <v>23</v>
      </c>
      <c r="E165" s="22" t="s">
        <v>30</v>
      </c>
      <c r="F165" s="23">
        <v>1558</v>
      </c>
      <c r="G165" s="23">
        <v>352</v>
      </c>
      <c r="H165" s="23">
        <v>202</v>
      </c>
      <c r="I165" s="23">
        <v>25405</v>
      </c>
      <c r="J165" s="23">
        <v>69941</v>
      </c>
      <c r="K165" s="23">
        <v>219</v>
      </c>
      <c r="L165" s="21" t="s">
        <v>34</v>
      </c>
      <c r="M165" s="21"/>
      <c r="N165" s="21" t="s">
        <v>46</v>
      </c>
      <c r="O165" s="38">
        <f t="shared" si="2"/>
        <v>8.3133241487896081E-2</v>
      </c>
    </row>
    <row r="166" spans="1:15" hidden="1">
      <c r="A166" s="19" t="s">
        <v>131</v>
      </c>
      <c r="B166" s="19" t="s">
        <v>22</v>
      </c>
      <c r="C166" s="20">
        <v>45577</v>
      </c>
      <c r="D166" s="21" t="s">
        <v>14</v>
      </c>
      <c r="E166" s="22" t="s">
        <v>30</v>
      </c>
      <c r="F166" s="23">
        <v>3169</v>
      </c>
      <c r="G166" s="23">
        <v>386</v>
      </c>
      <c r="H166" s="23">
        <v>175</v>
      </c>
      <c r="I166" s="23">
        <v>45012</v>
      </c>
      <c r="J166" s="23">
        <v>38508</v>
      </c>
      <c r="K166" s="23">
        <v>218</v>
      </c>
      <c r="L166" s="21" t="s">
        <v>34</v>
      </c>
      <c r="M166" s="21"/>
      <c r="N166" s="21" t="s">
        <v>16</v>
      </c>
      <c r="O166" s="38">
        <f t="shared" si="2"/>
        <v>8.2866791077934779E-2</v>
      </c>
    </row>
    <row r="167" spans="1:15" hidden="1">
      <c r="A167" s="19" t="s">
        <v>245</v>
      </c>
      <c r="B167" s="19" t="s">
        <v>27</v>
      </c>
      <c r="C167" s="20">
        <v>45672</v>
      </c>
      <c r="D167" s="21" t="s">
        <v>14</v>
      </c>
      <c r="E167" s="22" t="s">
        <v>42</v>
      </c>
      <c r="F167" s="23">
        <v>2599</v>
      </c>
      <c r="G167" s="23">
        <v>324</v>
      </c>
      <c r="H167" s="23">
        <v>182</v>
      </c>
      <c r="I167" s="23">
        <v>37525</v>
      </c>
      <c r="J167" s="23">
        <v>37216</v>
      </c>
      <c r="K167" s="23">
        <v>186</v>
      </c>
      <c r="L167" s="21" t="s">
        <v>19</v>
      </c>
      <c r="M167" s="21" t="s">
        <v>365</v>
      </c>
      <c r="N167" s="21" t="s">
        <v>20</v>
      </c>
      <c r="O167" s="38">
        <f t="shared" si="2"/>
        <v>8.2744836775483013E-2</v>
      </c>
    </row>
    <row r="168" spans="1:15" hidden="1">
      <c r="A168" s="19" t="s">
        <v>233</v>
      </c>
      <c r="B168" s="19" t="s">
        <v>13</v>
      </c>
      <c r="C168" s="20">
        <v>45571</v>
      </c>
      <c r="D168" s="21" t="s">
        <v>14</v>
      </c>
      <c r="E168" s="22" t="s">
        <v>33</v>
      </c>
      <c r="F168" s="23">
        <v>2080</v>
      </c>
      <c r="G168" s="23">
        <v>389</v>
      </c>
      <c r="H168" s="23">
        <v>92</v>
      </c>
      <c r="I168" s="23">
        <v>30971</v>
      </c>
      <c r="J168" s="23">
        <v>25347</v>
      </c>
      <c r="K168" s="23">
        <v>111</v>
      </c>
      <c r="L168" s="21" t="s">
        <v>19</v>
      </c>
      <c r="M168" s="21"/>
      <c r="N168" s="21" t="s">
        <v>20</v>
      </c>
      <c r="O168" s="38">
        <f t="shared" si="2"/>
        <v>8.2690258629040073E-2</v>
      </c>
    </row>
    <row r="169" spans="1:15" hidden="1">
      <c r="A169" s="19" t="s">
        <v>183</v>
      </c>
      <c r="B169" s="19" t="s">
        <v>22</v>
      </c>
      <c r="C169" s="20">
        <v>45819</v>
      </c>
      <c r="D169" s="21" t="s">
        <v>23</v>
      </c>
      <c r="E169" s="22" t="s">
        <v>18</v>
      </c>
      <c r="F169" s="23">
        <v>3805</v>
      </c>
      <c r="G169" s="23">
        <v>453</v>
      </c>
      <c r="H169" s="23">
        <v>63</v>
      </c>
      <c r="I169" s="23">
        <v>52395</v>
      </c>
      <c r="J169" s="23">
        <v>72934</v>
      </c>
      <c r="K169" s="23">
        <v>87</v>
      </c>
      <c r="L169" s="21" t="s">
        <v>19</v>
      </c>
      <c r="M169" s="21" t="s">
        <v>364</v>
      </c>
      <c r="N169" s="21" t="s">
        <v>16</v>
      </c>
      <c r="O169" s="38">
        <f t="shared" si="2"/>
        <v>8.2469701307376658E-2</v>
      </c>
    </row>
    <row r="170" spans="1:15" hidden="1">
      <c r="A170" s="19" t="s">
        <v>58</v>
      </c>
      <c r="B170" s="19" t="s">
        <v>27</v>
      </c>
      <c r="C170" s="20">
        <v>45356</v>
      </c>
      <c r="D170" s="21" t="s">
        <v>48</v>
      </c>
      <c r="E170" s="22" t="s">
        <v>18</v>
      </c>
      <c r="F170" s="23">
        <v>3558</v>
      </c>
      <c r="G170" s="23">
        <v>314</v>
      </c>
      <c r="H170" s="23">
        <v>199</v>
      </c>
      <c r="I170" s="23">
        <v>49612</v>
      </c>
      <c r="J170" s="23">
        <v>53929</v>
      </c>
      <c r="K170" s="23">
        <v>206</v>
      </c>
      <c r="L170" s="21" t="s">
        <v>19</v>
      </c>
      <c r="M170" s="21" t="s">
        <v>37</v>
      </c>
      <c r="N170" s="21" t="s">
        <v>49</v>
      </c>
      <c r="O170" s="38">
        <f t="shared" si="2"/>
        <v>8.205676046117874E-2</v>
      </c>
    </row>
    <row r="171" spans="1:15" hidden="1">
      <c r="A171" s="19" t="s">
        <v>266</v>
      </c>
      <c r="B171" s="19" t="s">
        <v>13</v>
      </c>
      <c r="C171" s="20">
        <v>45646</v>
      </c>
      <c r="D171" s="21" t="s">
        <v>14</v>
      </c>
      <c r="E171" s="22" t="s">
        <v>15</v>
      </c>
      <c r="F171" s="23">
        <v>2519</v>
      </c>
      <c r="G171" s="23">
        <v>202</v>
      </c>
      <c r="H171" s="23">
        <v>239</v>
      </c>
      <c r="I171" s="23">
        <v>36245</v>
      </c>
      <c r="J171" s="23">
        <v>48606</v>
      </c>
      <c r="K171" s="23">
        <v>145</v>
      </c>
      <c r="L171" s="21" t="s">
        <v>19</v>
      </c>
      <c r="M171" s="21"/>
      <c r="N171" s="21" t="s">
        <v>20</v>
      </c>
      <c r="O171" s="38">
        <f t="shared" si="2"/>
        <v>8.1666436749896543E-2</v>
      </c>
    </row>
    <row r="172" spans="1:15" hidden="1">
      <c r="A172" s="19" t="s">
        <v>102</v>
      </c>
      <c r="B172" s="19" t="s">
        <v>13</v>
      </c>
      <c r="C172" s="20">
        <v>45576</v>
      </c>
      <c r="D172" s="21" t="s">
        <v>14</v>
      </c>
      <c r="E172" s="22" t="s">
        <v>363</v>
      </c>
      <c r="F172" s="23">
        <v>1360</v>
      </c>
      <c r="G172" s="23">
        <v>249</v>
      </c>
      <c r="H172" s="23">
        <v>52</v>
      </c>
      <c r="I172" s="23">
        <v>20368</v>
      </c>
      <c r="J172" s="23">
        <v>42152</v>
      </c>
      <c r="K172" s="23">
        <v>193</v>
      </c>
      <c r="L172" s="21" t="s">
        <v>19</v>
      </c>
      <c r="M172" s="21"/>
      <c r="N172" s="21" t="s">
        <v>20</v>
      </c>
      <c r="O172" s="38">
        <f t="shared" si="2"/>
        <v>8.1549489395129612E-2</v>
      </c>
    </row>
    <row r="173" spans="1:15" hidden="1">
      <c r="A173" s="19" t="s">
        <v>176</v>
      </c>
      <c r="B173" s="19" t="s">
        <v>13</v>
      </c>
      <c r="C173" s="20">
        <v>45799</v>
      </c>
      <c r="D173" s="21" t="s">
        <v>14</v>
      </c>
      <c r="E173" s="22" t="s">
        <v>15</v>
      </c>
      <c r="F173" s="23">
        <v>2633</v>
      </c>
      <c r="G173" s="23">
        <v>318</v>
      </c>
      <c r="H173" s="23">
        <v>380</v>
      </c>
      <c r="I173" s="23">
        <v>40869</v>
      </c>
      <c r="J173" s="23">
        <v>64474</v>
      </c>
      <c r="K173" s="23">
        <v>245</v>
      </c>
      <c r="L173" s="21" t="s">
        <v>19</v>
      </c>
      <c r="M173" s="21"/>
      <c r="N173" s="21" t="s">
        <v>20</v>
      </c>
      <c r="O173" s="38">
        <f t="shared" si="2"/>
        <v>8.1504318676747664E-2</v>
      </c>
    </row>
    <row r="174" spans="1:15" hidden="1">
      <c r="A174" s="19" t="s">
        <v>179</v>
      </c>
      <c r="B174" s="19" t="s">
        <v>22</v>
      </c>
      <c r="C174" s="20">
        <v>45760</v>
      </c>
      <c r="D174" s="21" t="s">
        <v>14</v>
      </c>
      <c r="E174" s="22" t="s">
        <v>363</v>
      </c>
      <c r="F174" s="23">
        <v>3890</v>
      </c>
      <c r="G174" s="23">
        <v>408</v>
      </c>
      <c r="H174" s="23">
        <v>338</v>
      </c>
      <c r="I174" s="23">
        <v>56994</v>
      </c>
      <c r="J174" s="23">
        <v>32621</v>
      </c>
      <c r="K174" s="23">
        <v>286</v>
      </c>
      <c r="L174" s="21" t="s">
        <v>37</v>
      </c>
      <c r="M174" s="21"/>
      <c r="N174" s="21" t="s">
        <v>20</v>
      </c>
      <c r="O174" s="38">
        <f t="shared" si="2"/>
        <v>8.1341895638137346E-2</v>
      </c>
    </row>
    <row r="175" spans="1:15" hidden="1">
      <c r="A175" s="19" t="s">
        <v>55</v>
      </c>
      <c r="B175" s="19" t="s">
        <v>27</v>
      </c>
      <c r="C175" s="20">
        <v>45575</v>
      </c>
      <c r="D175" s="21" t="s">
        <v>48</v>
      </c>
      <c r="E175" s="22" t="s">
        <v>363</v>
      </c>
      <c r="F175" s="23">
        <v>4013</v>
      </c>
      <c r="G175" s="23">
        <v>320</v>
      </c>
      <c r="H175" s="23">
        <v>92</v>
      </c>
      <c r="I175" s="23">
        <v>54605</v>
      </c>
      <c r="J175" s="23">
        <v>60169</v>
      </c>
      <c r="K175" s="23">
        <v>232</v>
      </c>
      <c r="L175" s="21" t="s">
        <v>19</v>
      </c>
      <c r="M175" s="21" t="s">
        <v>37</v>
      </c>
      <c r="N175" s="21" t="s">
        <v>49</v>
      </c>
      <c r="O175" s="38">
        <f t="shared" si="2"/>
        <v>8.1036535115831879E-2</v>
      </c>
    </row>
    <row r="176" spans="1:15" hidden="1">
      <c r="A176" s="19" t="s">
        <v>263</v>
      </c>
      <c r="B176" s="19" t="s">
        <v>22</v>
      </c>
      <c r="C176" s="20">
        <v>45585</v>
      </c>
      <c r="D176" s="21" t="s">
        <v>14</v>
      </c>
      <c r="E176" s="22" t="s">
        <v>363</v>
      </c>
      <c r="F176" s="23">
        <v>2752</v>
      </c>
      <c r="G176" s="23">
        <v>309</v>
      </c>
      <c r="H176" s="23">
        <v>91</v>
      </c>
      <c r="I176" s="23">
        <v>39038</v>
      </c>
      <c r="J176" s="23">
        <v>28095</v>
      </c>
      <c r="K176" s="23">
        <v>277</v>
      </c>
      <c r="L176" s="21" t="s">
        <v>34</v>
      </c>
      <c r="M176" s="21"/>
      <c r="N176" s="21" t="s">
        <v>16</v>
      </c>
      <c r="O176" s="38">
        <f t="shared" si="2"/>
        <v>8.0741841282852611E-2</v>
      </c>
    </row>
    <row r="177" spans="1:15" hidden="1">
      <c r="A177" s="19" t="s">
        <v>61</v>
      </c>
      <c r="B177" s="19" t="s">
        <v>13</v>
      </c>
      <c r="C177" s="20">
        <v>45658</v>
      </c>
      <c r="D177" s="21" t="s">
        <v>14</v>
      </c>
      <c r="E177" s="22" t="s">
        <v>24</v>
      </c>
      <c r="F177" s="23">
        <v>4036</v>
      </c>
      <c r="G177" s="23">
        <v>112</v>
      </c>
      <c r="H177" s="23">
        <v>382</v>
      </c>
      <c r="I177" s="23">
        <v>56284</v>
      </c>
      <c r="J177" s="23">
        <v>29440</v>
      </c>
      <c r="K177" s="23">
        <v>279</v>
      </c>
      <c r="L177" s="21" t="s">
        <v>37</v>
      </c>
      <c r="M177" s="21" t="s">
        <v>34</v>
      </c>
      <c r="N177" s="21" t="s">
        <v>16</v>
      </c>
      <c r="O177" s="38">
        <f t="shared" si="2"/>
        <v>8.0484684812735408E-2</v>
      </c>
    </row>
    <row r="178" spans="1:15" hidden="1">
      <c r="A178" s="19" t="s">
        <v>250</v>
      </c>
      <c r="B178" s="19" t="s">
        <v>27</v>
      </c>
      <c r="C178" s="20">
        <v>45636</v>
      </c>
      <c r="D178" s="21" t="s">
        <v>14</v>
      </c>
      <c r="E178" s="22" t="s">
        <v>362</v>
      </c>
      <c r="F178" s="23">
        <v>2569</v>
      </c>
      <c r="G178" s="23">
        <v>140</v>
      </c>
      <c r="H178" s="23">
        <v>375</v>
      </c>
      <c r="I178" s="23">
        <v>38372</v>
      </c>
      <c r="J178" s="23">
        <v>22102</v>
      </c>
      <c r="K178" s="23">
        <v>255</v>
      </c>
      <c r="L178" s="21" t="s">
        <v>19</v>
      </c>
      <c r="M178" s="21" t="s">
        <v>365</v>
      </c>
      <c r="N178" s="21" t="s">
        <v>20</v>
      </c>
      <c r="O178" s="38">
        <f t="shared" si="2"/>
        <v>8.0371103929948923E-2</v>
      </c>
    </row>
    <row r="179" spans="1:15" hidden="1">
      <c r="A179" s="19" t="s">
        <v>53</v>
      </c>
      <c r="B179" s="19" t="s">
        <v>27</v>
      </c>
      <c r="C179" s="20">
        <v>45452</v>
      </c>
      <c r="D179" s="21" t="s">
        <v>48</v>
      </c>
      <c r="E179" s="22" t="s">
        <v>363</v>
      </c>
      <c r="F179" s="23">
        <v>2786</v>
      </c>
      <c r="G179" s="23">
        <v>368</v>
      </c>
      <c r="H179" s="23">
        <v>208</v>
      </c>
      <c r="I179" s="23">
        <v>42000</v>
      </c>
      <c r="J179" s="23">
        <v>39967</v>
      </c>
      <c r="K179" s="23">
        <v>103</v>
      </c>
      <c r="L179" s="21" t="s">
        <v>19</v>
      </c>
      <c r="M179" s="21" t="s">
        <v>37</v>
      </c>
      <c r="N179" s="21" t="s">
        <v>49</v>
      </c>
      <c r="O179" s="38">
        <f t="shared" si="2"/>
        <v>8.0047619047619048E-2</v>
      </c>
    </row>
    <row r="180" spans="1:15" hidden="1">
      <c r="A180" s="19" t="s">
        <v>159</v>
      </c>
      <c r="B180" s="19" t="s">
        <v>22</v>
      </c>
      <c r="C180" s="20">
        <v>45839</v>
      </c>
      <c r="D180" s="21" t="s">
        <v>23</v>
      </c>
      <c r="E180" s="22" t="s">
        <v>18</v>
      </c>
      <c r="F180" s="23">
        <v>3219</v>
      </c>
      <c r="G180" s="23">
        <v>424</v>
      </c>
      <c r="H180" s="23">
        <v>267</v>
      </c>
      <c r="I180" s="23">
        <v>48879</v>
      </c>
      <c r="J180" s="23">
        <v>37691</v>
      </c>
      <c r="K180" s="23">
        <v>224</v>
      </c>
      <c r="L180" s="21" t="s">
        <v>19</v>
      </c>
      <c r="M180" s="21" t="s">
        <v>364</v>
      </c>
      <c r="N180" s="21" t="s">
        <v>16</v>
      </c>
      <c r="O180" s="38">
        <f t="shared" si="2"/>
        <v>7.9993453221219743E-2</v>
      </c>
    </row>
    <row r="181" spans="1:15" hidden="1">
      <c r="A181" s="19" t="s">
        <v>236</v>
      </c>
      <c r="B181" s="19" t="s">
        <v>22</v>
      </c>
      <c r="C181" s="20">
        <v>45525</v>
      </c>
      <c r="D181" s="21" t="s">
        <v>23</v>
      </c>
      <c r="E181" s="22" t="s">
        <v>18</v>
      </c>
      <c r="F181" s="23">
        <v>3989</v>
      </c>
      <c r="G181" s="23">
        <v>476</v>
      </c>
      <c r="H181" s="23">
        <v>128</v>
      </c>
      <c r="I181" s="23">
        <v>57569</v>
      </c>
      <c r="J181" s="23">
        <v>40193</v>
      </c>
      <c r="K181" s="23">
        <v>222</v>
      </c>
      <c r="L181" s="21" t="s">
        <v>19</v>
      </c>
      <c r="M181" s="21" t="s">
        <v>364</v>
      </c>
      <c r="N181" s="21" t="s">
        <v>16</v>
      </c>
      <c r="O181" s="38">
        <f t="shared" si="2"/>
        <v>7.9782521843353188E-2</v>
      </c>
    </row>
    <row r="182" spans="1:15" hidden="1">
      <c r="A182" s="19" t="s">
        <v>122</v>
      </c>
      <c r="B182" s="19" t="s">
        <v>27</v>
      </c>
      <c r="C182" s="20">
        <v>45376</v>
      </c>
      <c r="D182" s="21" t="s">
        <v>48</v>
      </c>
      <c r="E182" s="22" t="s">
        <v>18</v>
      </c>
      <c r="F182" s="23">
        <v>1948</v>
      </c>
      <c r="G182" s="23">
        <v>155</v>
      </c>
      <c r="H182" s="23">
        <v>315</v>
      </c>
      <c r="I182" s="23">
        <v>30321</v>
      </c>
      <c r="J182" s="23">
        <v>57121</v>
      </c>
      <c r="K182" s="23">
        <v>82</v>
      </c>
      <c r="L182" s="21" t="s">
        <v>19</v>
      </c>
      <c r="M182" s="21" t="s">
        <v>37</v>
      </c>
      <c r="N182" s="21" t="s">
        <v>49</v>
      </c>
      <c r="O182" s="38">
        <f t="shared" si="2"/>
        <v>7.974671020085089E-2</v>
      </c>
    </row>
    <row r="183" spans="1:15" hidden="1">
      <c r="A183" s="19" t="s">
        <v>121</v>
      </c>
      <c r="B183" s="19" t="s">
        <v>22</v>
      </c>
      <c r="C183" s="20">
        <v>45774</v>
      </c>
      <c r="D183" s="21" t="s">
        <v>14</v>
      </c>
      <c r="E183" s="22" t="s">
        <v>18</v>
      </c>
      <c r="F183" s="23">
        <v>1165</v>
      </c>
      <c r="G183" s="23">
        <v>294</v>
      </c>
      <c r="H183" s="23">
        <v>163</v>
      </c>
      <c r="I183" s="23">
        <v>20659</v>
      </c>
      <c r="J183" s="23">
        <v>45926</v>
      </c>
      <c r="K183" s="23">
        <v>111</v>
      </c>
      <c r="L183" s="21" t="s">
        <v>37</v>
      </c>
      <c r="M183" s="21"/>
      <c r="N183" s="21" t="s">
        <v>20</v>
      </c>
      <c r="O183" s="38">
        <f t="shared" si="2"/>
        <v>7.8512996756861422E-2</v>
      </c>
    </row>
    <row r="184" spans="1:15" hidden="1">
      <c r="A184" s="19" t="s">
        <v>210</v>
      </c>
      <c r="B184" s="19" t="s">
        <v>22</v>
      </c>
      <c r="C184" s="20">
        <v>45777</v>
      </c>
      <c r="D184" s="21" t="s">
        <v>23</v>
      </c>
      <c r="E184" s="22" t="s">
        <v>360</v>
      </c>
      <c r="F184" s="23">
        <v>3929</v>
      </c>
      <c r="G184" s="23">
        <v>275</v>
      </c>
      <c r="H184" s="23">
        <v>330</v>
      </c>
      <c r="I184" s="23">
        <v>58329</v>
      </c>
      <c r="J184" s="23">
        <v>33196</v>
      </c>
      <c r="K184" s="23">
        <v>85</v>
      </c>
      <c r="L184" s="21" t="s">
        <v>364</v>
      </c>
      <c r="M184" s="21" t="s">
        <v>34</v>
      </c>
      <c r="N184" s="21" t="s">
        <v>16</v>
      </c>
      <c r="O184" s="38">
        <f t="shared" si="2"/>
        <v>7.7731488624869283E-2</v>
      </c>
    </row>
    <row r="185" spans="1:15" hidden="1">
      <c r="A185" s="19" t="s">
        <v>235</v>
      </c>
      <c r="B185" s="19" t="s">
        <v>22</v>
      </c>
      <c r="C185" s="20">
        <v>45763</v>
      </c>
      <c r="D185" s="21" t="s">
        <v>14</v>
      </c>
      <c r="E185" s="22" t="s">
        <v>360</v>
      </c>
      <c r="F185" s="23">
        <v>3792</v>
      </c>
      <c r="G185" s="23">
        <v>315</v>
      </c>
      <c r="H185" s="23">
        <v>120</v>
      </c>
      <c r="I185" s="23">
        <v>54592</v>
      </c>
      <c r="J185" s="23">
        <v>67886</v>
      </c>
      <c r="K185" s="23">
        <v>117</v>
      </c>
      <c r="L185" s="21" t="s">
        <v>37</v>
      </c>
      <c r="M185" s="21"/>
      <c r="N185" s="21" t="s">
        <v>20</v>
      </c>
      <c r="O185" s="38">
        <f t="shared" si="2"/>
        <v>7.7428927315357568E-2</v>
      </c>
    </row>
    <row r="186" spans="1:15" hidden="1">
      <c r="A186" s="19" t="s">
        <v>239</v>
      </c>
      <c r="B186" s="19" t="s">
        <v>22</v>
      </c>
      <c r="C186" s="20">
        <v>45492</v>
      </c>
      <c r="D186" s="21" t="s">
        <v>23</v>
      </c>
      <c r="E186" s="22" t="s">
        <v>362</v>
      </c>
      <c r="F186" s="23">
        <v>3071</v>
      </c>
      <c r="G186" s="23">
        <v>126</v>
      </c>
      <c r="H186" s="23">
        <v>200</v>
      </c>
      <c r="I186" s="23">
        <v>44013</v>
      </c>
      <c r="J186" s="23">
        <v>44679</v>
      </c>
      <c r="K186" s="23">
        <v>118</v>
      </c>
      <c r="L186" s="21" t="s">
        <v>19</v>
      </c>
      <c r="M186" s="21" t="s">
        <v>364</v>
      </c>
      <c r="N186" s="21" t="s">
        <v>16</v>
      </c>
      <c r="O186" s="38">
        <f t="shared" si="2"/>
        <v>7.7181741758116915E-2</v>
      </c>
    </row>
    <row r="187" spans="1:15" hidden="1">
      <c r="A187" s="19" t="s">
        <v>106</v>
      </c>
      <c r="B187" s="19" t="s">
        <v>13</v>
      </c>
      <c r="C187" s="20">
        <v>45487</v>
      </c>
      <c r="D187" s="21" t="s">
        <v>14</v>
      </c>
      <c r="E187" s="22" t="s">
        <v>360</v>
      </c>
      <c r="F187" s="23">
        <v>2464</v>
      </c>
      <c r="G187" s="23">
        <v>401</v>
      </c>
      <c r="H187" s="23">
        <v>78</v>
      </c>
      <c r="I187" s="23">
        <v>38665</v>
      </c>
      <c r="J187" s="23">
        <v>73593</v>
      </c>
      <c r="K187" s="23">
        <v>207</v>
      </c>
      <c r="L187" s="21" t="s">
        <v>19</v>
      </c>
      <c r="M187" s="21"/>
      <c r="N187" s="21" t="s">
        <v>20</v>
      </c>
      <c r="O187" s="38">
        <f t="shared" si="2"/>
        <v>7.611534979956032E-2</v>
      </c>
    </row>
    <row r="188" spans="1:15" hidden="1">
      <c r="A188" s="19" t="s">
        <v>62</v>
      </c>
      <c r="B188" s="19" t="s">
        <v>22</v>
      </c>
      <c r="C188" s="20">
        <v>45419</v>
      </c>
      <c r="D188" s="21" t="s">
        <v>23</v>
      </c>
      <c r="E188" s="22" t="s">
        <v>18</v>
      </c>
      <c r="F188" s="23">
        <v>2776</v>
      </c>
      <c r="G188" s="23">
        <v>307</v>
      </c>
      <c r="H188" s="23">
        <v>178</v>
      </c>
      <c r="I188" s="23">
        <v>43365</v>
      </c>
      <c r="J188" s="23">
        <v>48408</v>
      </c>
      <c r="K188" s="23">
        <v>138</v>
      </c>
      <c r="L188" s="21" t="s">
        <v>37</v>
      </c>
      <c r="M188" s="21" t="s">
        <v>34</v>
      </c>
      <c r="N188" s="21" t="s">
        <v>16</v>
      </c>
      <c r="O188" s="38">
        <f t="shared" si="2"/>
        <v>7.519889311656866E-2</v>
      </c>
    </row>
    <row r="189" spans="1:15" hidden="1">
      <c r="A189" s="19" t="s">
        <v>289</v>
      </c>
      <c r="B189" s="19" t="s">
        <v>22</v>
      </c>
      <c r="C189" s="20">
        <v>45676</v>
      </c>
      <c r="D189" s="21" t="s">
        <v>23</v>
      </c>
      <c r="E189" s="22" t="s">
        <v>361</v>
      </c>
      <c r="F189" s="23">
        <v>1651</v>
      </c>
      <c r="G189" s="23">
        <v>480</v>
      </c>
      <c r="H189" s="23">
        <v>282</v>
      </c>
      <c r="I189" s="23">
        <v>32140</v>
      </c>
      <c r="J189" s="23">
        <v>70560</v>
      </c>
      <c r="K189" s="23">
        <v>138</v>
      </c>
      <c r="L189" s="21" t="s">
        <v>37</v>
      </c>
      <c r="M189" s="21" t="s">
        <v>34</v>
      </c>
      <c r="N189" s="21" t="s">
        <v>16</v>
      </c>
      <c r="O189" s="38">
        <f t="shared" si="2"/>
        <v>7.5077784691972627E-2</v>
      </c>
    </row>
    <row r="190" spans="1:15" hidden="1">
      <c r="A190" s="19" t="s">
        <v>164</v>
      </c>
      <c r="B190" s="19" t="s">
        <v>22</v>
      </c>
      <c r="C190" s="20">
        <v>45792</v>
      </c>
      <c r="D190" s="21" t="s">
        <v>14</v>
      </c>
      <c r="E190" s="22" t="s">
        <v>24</v>
      </c>
      <c r="F190" s="23">
        <v>1583</v>
      </c>
      <c r="G190" s="23">
        <v>433</v>
      </c>
      <c r="H190" s="23">
        <v>249</v>
      </c>
      <c r="I190" s="23">
        <v>30256</v>
      </c>
      <c r="J190" s="23">
        <v>47066</v>
      </c>
      <c r="K190" s="23">
        <v>196</v>
      </c>
      <c r="L190" s="21" t="s">
        <v>34</v>
      </c>
      <c r="M190" s="21"/>
      <c r="N190" s="21" t="s">
        <v>16</v>
      </c>
      <c r="O190" s="38">
        <f t="shared" si="2"/>
        <v>7.4861184558434685E-2</v>
      </c>
    </row>
    <row r="191" spans="1:15" hidden="1">
      <c r="A191" s="19" t="s">
        <v>28</v>
      </c>
      <c r="B191" s="19" t="s">
        <v>27</v>
      </c>
      <c r="C191" s="20">
        <v>45456</v>
      </c>
      <c r="D191" s="21" t="s">
        <v>14</v>
      </c>
      <c r="E191" s="22" t="s">
        <v>362</v>
      </c>
      <c r="F191" s="23">
        <v>3882</v>
      </c>
      <c r="G191" s="23">
        <v>239</v>
      </c>
      <c r="H191" s="23">
        <v>275</v>
      </c>
      <c r="I191" s="23">
        <v>58748</v>
      </c>
      <c r="J191" s="23">
        <v>44646</v>
      </c>
      <c r="K191" s="23">
        <v>149</v>
      </c>
      <c r="L191" s="21" t="s">
        <v>19</v>
      </c>
      <c r="M191" s="21" t="s">
        <v>365</v>
      </c>
      <c r="N191" s="21" t="s">
        <v>20</v>
      </c>
      <c r="O191" s="38">
        <f t="shared" si="2"/>
        <v>7.4828079253761837E-2</v>
      </c>
    </row>
    <row r="192" spans="1:15" hidden="1">
      <c r="A192" s="19" t="s">
        <v>39</v>
      </c>
      <c r="B192" s="19" t="s">
        <v>22</v>
      </c>
      <c r="C192" s="20">
        <v>45826</v>
      </c>
      <c r="D192" s="21" t="s">
        <v>23</v>
      </c>
      <c r="E192" s="22" t="s">
        <v>15</v>
      </c>
      <c r="F192" s="23">
        <v>3956</v>
      </c>
      <c r="G192" s="23">
        <v>319</v>
      </c>
      <c r="H192" s="23">
        <v>61</v>
      </c>
      <c r="I192" s="23">
        <v>58162</v>
      </c>
      <c r="J192" s="23">
        <v>28720</v>
      </c>
      <c r="K192" s="23">
        <v>213</v>
      </c>
      <c r="L192" s="21" t="s">
        <v>364</v>
      </c>
      <c r="M192" s="21" t="s">
        <v>34</v>
      </c>
      <c r="N192" s="21" t="s">
        <v>16</v>
      </c>
      <c r="O192" s="38">
        <f t="shared" si="2"/>
        <v>7.4550393727863554E-2</v>
      </c>
    </row>
    <row r="193" spans="1:15" hidden="1">
      <c r="A193" s="19" t="s">
        <v>208</v>
      </c>
      <c r="B193" s="19" t="s">
        <v>13</v>
      </c>
      <c r="C193" s="20">
        <v>45640</v>
      </c>
      <c r="D193" s="21" t="s">
        <v>23</v>
      </c>
      <c r="E193" s="22" t="s">
        <v>363</v>
      </c>
      <c r="F193" s="23">
        <v>3812</v>
      </c>
      <c r="G193" s="23">
        <v>321</v>
      </c>
      <c r="H193" s="23">
        <v>289</v>
      </c>
      <c r="I193" s="23">
        <v>59838</v>
      </c>
      <c r="J193" s="23">
        <v>36337</v>
      </c>
      <c r="K193" s="23">
        <v>161</v>
      </c>
      <c r="L193" s="21" t="s">
        <v>34</v>
      </c>
      <c r="M193" s="21"/>
      <c r="N193" s="21" t="s">
        <v>46</v>
      </c>
      <c r="O193" s="38">
        <f t="shared" si="2"/>
        <v>7.3899528727564417E-2</v>
      </c>
    </row>
    <row r="194" spans="1:15" hidden="1">
      <c r="A194" s="19" t="s">
        <v>298</v>
      </c>
      <c r="B194" s="19" t="s">
        <v>27</v>
      </c>
      <c r="C194" s="20">
        <v>45368</v>
      </c>
      <c r="D194" s="21" t="s">
        <v>48</v>
      </c>
      <c r="E194" s="22" t="s">
        <v>18</v>
      </c>
      <c r="F194" s="23">
        <v>2692</v>
      </c>
      <c r="G194" s="23">
        <v>446</v>
      </c>
      <c r="H194" s="23">
        <v>216</v>
      </c>
      <c r="I194" s="23">
        <v>45818</v>
      </c>
      <c r="J194" s="23">
        <v>62723</v>
      </c>
      <c r="K194" s="23">
        <v>85</v>
      </c>
      <c r="L194" s="21" t="s">
        <v>19</v>
      </c>
      <c r="M194" s="21" t="s">
        <v>37</v>
      </c>
      <c r="N194" s="21" t="s">
        <v>49</v>
      </c>
      <c r="O194" s="38">
        <f t="shared" ref="O194:O257" si="3" xml:space="preserve"> (F194+ G194 + H194) / I194</f>
        <v>7.3202671439172376E-2</v>
      </c>
    </row>
    <row r="195" spans="1:15" hidden="1">
      <c r="A195" s="19" t="s">
        <v>110</v>
      </c>
      <c r="B195" s="19" t="s">
        <v>13</v>
      </c>
      <c r="C195" s="20">
        <v>45825</v>
      </c>
      <c r="D195" s="21" t="s">
        <v>14</v>
      </c>
      <c r="E195" s="22" t="s">
        <v>361</v>
      </c>
      <c r="F195" s="23">
        <v>2284</v>
      </c>
      <c r="G195" s="23">
        <v>187</v>
      </c>
      <c r="H195" s="23">
        <v>260</v>
      </c>
      <c r="I195" s="23">
        <v>37400</v>
      </c>
      <c r="J195" s="23">
        <v>65014</v>
      </c>
      <c r="K195" s="23">
        <v>157</v>
      </c>
      <c r="L195" s="21" t="s">
        <v>37</v>
      </c>
      <c r="M195" s="21" t="s">
        <v>34</v>
      </c>
      <c r="N195" s="21" t="s">
        <v>16</v>
      </c>
      <c r="O195" s="38">
        <f t="shared" si="3"/>
        <v>7.3021390374331557E-2</v>
      </c>
    </row>
    <row r="196" spans="1:15" hidden="1">
      <c r="A196" s="19" t="s">
        <v>212</v>
      </c>
      <c r="B196" s="19" t="s">
        <v>13</v>
      </c>
      <c r="C196" s="20">
        <v>45370</v>
      </c>
      <c r="D196" s="21" t="s">
        <v>14</v>
      </c>
      <c r="E196" s="22" t="s">
        <v>363</v>
      </c>
      <c r="F196" s="23">
        <v>2878</v>
      </c>
      <c r="G196" s="23">
        <v>278</v>
      </c>
      <c r="H196" s="23">
        <v>255</v>
      </c>
      <c r="I196" s="23">
        <v>47235</v>
      </c>
      <c r="J196" s="23">
        <v>57922</v>
      </c>
      <c r="K196" s="23">
        <v>112</v>
      </c>
      <c r="L196" s="21" t="s">
        <v>37</v>
      </c>
      <c r="M196" s="21" t="s">
        <v>34</v>
      </c>
      <c r="N196" s="21" t="s">
        <v>16</v>
      </c>
      <c r="O196" s="38">
        <f t="shared" si="3"/>
        <v>7.2213401079707848E-2</v>
      </c>
    </row>
    <row r="197" spans="1:15" hidden="1">
      <c r="A197" s="19" t="s">
        <v>177</v>
      </c>
      <c r="B197" s="19" t="s">
        <v>22</v>
      </c>
      <c r="C197" s="20">
        <v>45312</v>
      </c>
      <c r="D197" s="21" t="s">
        <v>23</v>
      </c>
      <c r="E197" s="22" t="s">
        <v>15</v>
      </c>
      <c r="F197" s="23">
        <v>2383</v>
      </c>
      <c r="G197" s="23">
        <v>136</v>
      </c>
      <c r="H197" s="23">
        <v>302</v>
      </c>
      <c r="I197" s="23">
        <v>39187</v>
      </c>
      <c r="J197" s="23">
        <v>22133</v>
      </c>
      <c r="K197" s="23">
        <v>208</v>
      </c>
      <c r="L197" s="21" t="s">
        <v>364</v>
      </c>
      <c r="M197" s="21" t="s">
        <v>34</v>
      </c>
      <c r="N197" s="21" t="s">
        <v>16</v>
      </c>
      <c r="O197" s="38">
        <f t="shared" si="3"/>
        <v>7.1988159338556151E-2</v>
      </c>
    </row>
    <row r="198" spans="1:15" hidden="1">
      <c r="A198" s="19" t="s">
        <v>277</v>
      </c>
      <c r="B198" s="19" t="s">
        <v>22</v>
      </c>
      <c r="C198" s="20">
        <v>45551</v>
      </c>
      <c r="D198" s="21" t="s">
        <v>23</v>
      </c>
      <c r="E198" s="22" t="s">
        <v>42</v>
      </c>
      <c r="F198" s="23">
        <v>3300</v>
      </c>
      <c r="G198" s="23">
        <v>354</v>
      </c>
      <c r="H198" s="23">
        <v>397</v>
      </c>
      <c r="I198" s="23">
        <v>56773</v>
      </c>
      <c r="J198" s="23">
        <v>72110</v>
      </c>
      <c r="K198" s="23">
        <v>163</v>
      </c>
      <c r="L198" s="21" t="s">
        <v>19</v>
      </c>
      <c r="M198" s="21" t="s">
        <v>364</v>
      </c>
      <c r="N198" s="21" t="s">
        <v>16</v>
      </c>
      <c r="O198" s="38">
        <f t="shared" si="3"/>
        <v>7.1354340971940891E-2</v>
      </c>
    </row>
    <row r="199" spans="1:15" hidden="1">
      <c r="A199" s="19" t="s">
        <v>237</v>
      </c>
      <c r="B199" s="19" t="s">
        <v>22</v>
      </c>
      <c r="C199" s="20">
        <v>45387</v>
      </c>
      <c r="D199" s="21" t="s">
        <v>23</v>
      </c>
      <c r="E199" s="22" t="s">
        <v>360</v>
      </c>
      <c r="F199" s="23">
        <v>2857</v>
      </c>
      <c r="G199" s="23">
        <v>443</v>
      </c>
      <c r="H199" s="23">
        <v>359</v>
      </c>
      <c r="I199" s="23">
        <v>51519</v>
      </c>
      <c r="J199" s="23">
        <v>28256</v>
      </c>
      <c r="K199" s="23">
        <v>155</v>
      </c>
      <c r="L199" s="21" t="s">
        <v>37</v>
      </c>
      <c r="M199" s="21" t="s">
        <v>34</v>
      </c>
      <c r="N199" s="21" t="s">
        <v>16</v>
      </c>
      <c r="O199" s="38">
        <f t="shared" si="3"/>
        <v>7.1022341272152026E-2</v>
      </c>
    </row>
    <row r="200" spans="1:15" hidden="1">
      <c r="A200" s="19" t="s">
        <v>209</v>
      </c>
      <c r="B200" s="19" t="s">
        <v>22</v>
      </c>
      <c r="C200" s="20">
        <v>45615</v>
      </c>
      <c r="D200" s="21" t="s">
        <v>14</v>
      </c>
      <c r="E200" s="22" t="s">
        <v>18</v>
      </c>
      <c r="F200" s="23">
        <v>2387</v>
      </c>
      <c r="G200" s="23">
        <v>353</v>
      </c>
      <c r="H200" s="23">
        <v>78</v>
      </c>
      <c r="I200" s="23">
        <v>39745</v>
      </c>
      <c r="J200" s="23">
        <v>69226</v>
      </c>
      <c r="K200" s="23">
        <v>208</v>
      </c>
      <c r="L200" s="21" t="s">
        <v>37</v>
      </c>
      <c r="M200" s="21"/>
      <c r="N200" s="21" t="s">
        <v>20</v>
      </c>
      <c r="O200" s="38">
        <f t="shared" si="3"/>
        <v>7.090200025160398E-2</v>
      </c>
    </row>
    <row r="201" spans="1:15" hidden="1">
      <c r="A201" s="19" t="s">
        <v>156</v>
      </c>
      <c r="B201" s="19" t="s">
        <v>22</v>
      </c>
      <c r="C201" s="20">
        <v>45295</v>
      </c>
      <c r="D201" s="21" t="s">
        <v>23</v>
      </c>
      <c r="E201" s="22" t="s">
        <v>362</v>
      </c>
      <c r="F201" s="23">
        <v>3208</v>
      </c>
      <c r="G201" s="23">
        <v>476</v>
      </c>
      <c r="H201" s="23">
        <v>277</v>
      </c>
      <c r="I201" s="23">
        <v>56072</v>
      </c>
      <c r="J201" s="23">
        <v>21061</v>
      </c>
      <c r="K201" s="23">
        <v>113</v>
      </c>
      <c r="L201" s="21" t="s">
        <v>364</v>
      </c>
      <c r="M201" s="21" t="s">
        <v>34</v>
      </c>
      <c r="N201" s="21" t="s">
        <v>16</v>
      </c>
      <c r="O201" s="38">
        <f t="shared" si="3"/>
        <v>7.064131830503638E-2</v>
      </c>
    </row>
    <row r="202" spans="1:15" hidden="1">
      <c r="A202" s="19" t="s">
        <v>171</v>
      </c>
      <c r="B202" s="19" t="s">
        <v>27</v>
      </c>
      <c r="C202" s="20">
        <v>45566</v>
      </c>
      <c r="D202" s="21" t="s">
        <v>48</v>
      </c>
      <c r="E202" s="22" t="s">
        <v>18</v>
      </c>
      <c r="F202" s="23">
        <v>3543</v>
      </c>
      <c r="G202" s="23">
        <v>334</v>
      </c>
      <c r="H202" s="23">
        <v>218</v>
      </c>
      <c r="I202" s="23">
        <v>58007</v>
      </c>
      <c r="J202" s="23">
        <v>24792</v>
      </c>
      <c r="K202" s="23">
        <v>273</v>
      </c>
      <c r="L202" s="21" t="s">
        <v>19</v>
      </c>
      <c r="M202" s="21" t="s">
        <v>37</v>
      </c>
      <c r="N202" s="21" t="s">
        <v>49</v>
      </c>
      <c r="O202" s="38">
        <f t="shared" si="3"/>
        <v>7.0594928198320889E-2</v>
      </c>
    </row>
    <row r="203" spans="1:15" hidden="1">
      <c r="A203" s="19" t="s">
        <v>21</v>
      </c>
      <c r="B203" s="19" t="s">
        <v>22</v>
      </c>
      <c r="C203" s="20">
        <v>45629</v>
      </c>
      <c r="D203" s="21" t="s">
        <v>23</v>
      </c>
      <c r="E203" s="22" t="s">
        <v>24</v>
      </c>
      <c r="F203" s="23">
        <v>3092</v>
      </c>
      <c r="G203" s="23">
        <v>177</v>
      </c>
      <c r="H203" s="23">
        <v>81</v>
      </c>
      <c r="I203" s="23">
        <v>47533</v>
      </c>
      <c r="J203" s="23">
        <v>29220</v>
      </c>
      <c r="K203" s="23">
        <v>121</v>
      </c>
      <c r="L203" s="21" t="s">
        <v>364</v>
      </c>
      <c r="M203" s="21" t="s">
        <v>34</v>
      </c>
      <c r="N203" s="21" t="s">
        <v>16</v>
      </c>
      <c r="O203" s="38">
        <f t="shared" si="3"/>
        <v>7.0477352576105018E-2</v>
      </c>
    </row>
    <row r="204" spans="1:15" hidden="1">
      <c r="A204" s="19" t="s">
        <v>59</v>
      </c>
      <c r="B204" s="19" t="s">
        <v>22</v>
      </c>
      <c r="C204" s="20">
        <v>45734</v>
      </c>
      <c r="D204" s="21" t="s">
        <v>23</v>
      </c>
      <c r="E204" s="22" t="s">
        <v>18</v>
      </c>
      <c r="F204" s="23">
        <v>3418</v>
      </c>
      <c r="G204" s="23">
        <v>188</v>
      </c>
      <c r="H204" s="23">
        <v>387</v>
      </c>
      <c r="I204" s="23">
        <v>57431</v>
      </c>
      <c r="J204" s="23">
        <v>36933</v>
      </c>
      <c r="K204" s="23">
        <v>202</v>
      </c>
      <c r="L204" s="21" t="s">
        <v>364</v>
      </c>
      <c r="M204" s="21" t="s">
        <v>34</v>
      </c>
      <c r="N204" s="21" t="s">
        <v>16</v>
      </c>
      <c r="O204" s="38">
        <f t="shared" si="3"/>
        <v>6.9526910553533799E-2</v>
      </c>
    </row>
    <row r="205" spans="1:15" hidden="1">
      <c r="A205" s="19" t="s">
        <v>181</v>
      </c>
      <c r="B205" s="19" t="s">
        <v>13</v>
      </c>
      <c r="C205" s="20">
        <v>45516</v>
      </c>
      <c r="D205" s="21" t="s">
        <v>23</v>
      </c>
      <c r="E205" s="22" t="s">
        <v>15</v>
      </c>
      <c r="F205" s="23">
        <v>2962</v>
      </c>
      <c r="G205" s="23">
        <v>400</v>
      </c>
      <c r="H205" s="23">
        <v>280</v>
      </c>
      <c r="I205" s="23">
        <v>52508</v>
      </c>
      <c r="J205" s="23">
        <v>58329</v>
      </c>
      <c r="K205" s="23">
        <v>219</v>
      </c>
      <c r="L205" s="21" t="s">
        <v>34</v>
      </c>
      <c r="M205" s="21"/>
      <c r="N205" s="21" t="s">
        <v>46</v>
      </c>
      <c r="O205" s="38">
        <f t="shared" si="3"/>
        <v>6.9360859297630834E-2</v>
      </c>
    </row>
    <row r="206" spans="1:15" hidden="1">
      <c r="A206" s="19" t="s">
        <v>129</v>
      </c>
      <c r="B206" s="19" t="s">
        <v>22</v>
      </c>
      <c r="C206" s="20">
        <v>45580</v>
      </c>
      <c r="D206" s="21" t="s">
        <v>14</v>
      </c>
      <c r="E206" s="22" t="s">
        <v>360</v>
      </c>
      <c r="F206" s="23">
        <v>1984</v>
      </c>
      <c r="G206" s="23">
        <v>481</v>
      </c>
      <c r="H206" s="23">
        <v>356</v>
      </c>
      <c r="I206" s="23">
        <v>40681</v>
      </c>
      <c r="J206" s="23">
        <v>63111</v>
      </c>
      <c r="K206" s="23">
        <v>258</v>
      </c>
      <c r="L206" s="21" t="s">
        <v>34</v>
      </c>
      <c r="M206" s="21"/>
      <c r="N206" s="21" t="s">
        <v>16</v>
      </c>
      <c r="O206" s="38">
        <f t="shared" si="3"/>
        <v>6.934441139598338E-2</v>
      </c>
    </row>
    <row r="207" spans="1:15" hidden="1">
      <c r="A207" s="19" t="s">
        <v>291</v>
      </c>
      <c r="B207" s="19" t="s">
        <v>22</v>
      </c>
      <c r="C207" s="20">
        <v>45612</v>
      </c>
      <c r="D207" s="21" t="s">
        <v>14</v>
      </c>
      <c r="E207" s="22" t="s">
        <v>363</v>
      </c>
      <c r="F207" s="23">
        <v>2972</v>
      </c>
      <c r="G207" s="23">
        <v>263</v>
      </c>
      <c r="H207" s="23">
        <v>308</v>
      </c>
      <c r="I207" s="23">
        <v>51740</v>
      </c>
      <c r="J207" s="23">
        <v>28214</v>
      </c>
      <c r="K207" s="23">
        <v>190</v>
      </c>
      <c r="L207" s="21" t="s">
        <v>37</v>
      </c>
      <c r="M207" s="21"/>
      <c r="N207" s="21" t="s">
        <v>20</v>
      </c>
      <c r="O207" s="38">
        <f t="shared" si="3"/>
        <v>6.8477000386548123E-2</v>
      </c>
    </row>
    <row r="208" spans="1:15" hidden="1">
      <c r="A208" s="19" t="s">
        <v>261</v>
      </c>
      <c r="B208" s="19" t="s">
        <v>13</v>
      </c>
      <c r="C208" s="20">
        <v>45379</v>
      </c>
      <c r="D208" s="21" t="s">
        <v>14</v>
      </c>
      <c r="E208" s="22" t="s">
        <v>362</v>
      </c>
      <c r="F208" s="23">
        <v>1673</v>
      </c>
      <c r="G208" s="23">
        <v>280</v>
      </c>
      <c r="H208" s="23">
        <v>67</v>
      </c>
      <c r="I208" s="23">
        <v>29847</v>
      </c>
      <c r="J208" s="23">
        <v>48016</v>
      </c>
      <c r="K208" s="23">
        <v>213</v>
      </c>
      <c r="L208" s="21" t="s">
        <v>37</v>
      </c>
      <c r="M208" s="21" t="s">
        <v>34</v>
      </c>
      <c r="N208" s="21" t="s">
        <v>16</v>
      </c>
      <c r="O208" s="38">
        <f t="shared" si="3"/>
        <v>6.76784936509532E-2</v>
      </c>
    </row>
    <row r="209" spans="1:15" hidden="1">
      <c r="A209" s="19" t="s">
        <v>133</v>
      </c>
      <c r="B209" s="19" t="s">
        <v>13</v>
      </c>
      <c r="C209" s="20">
        <v>45336</v>
      </c>
      <c r="D209" s="21" t="s">
        <v>14</v>
      </c>
      <c r="E209" s="22" t="s">
        <v>361</v>
      </c>
      <c r="F209" s="23">
        <v>1830</v>
      </c>
      <c r="G209" s="23">
        <v>112</v>
      </c>
      <c r="H209" s="23">
        <v>181</v>
      </c>
      <c r="I209" s="23">
        <v>31870</v>
      </c>
      <c r="J209" s="23">
        <v>55742</v>
      </c>
      <c r="K209" s="23">
        <v>263</v>
      </c>
      <c r="L209" s="21" t="s">
        <v>37</v>
      </c>
      <c r="M209" s="21" t="s">
        <v>34</v>
      </c>
      <c r="N209" s="21" t="s">
        <v>16</v>
      </c>
      <c r="O209" s="38">
        <f t="shared" si="3"/>
        <v>6.6614370881706936E-2</v>
      </c>
    </row>
    <row r="210" spans="1:15" hidden="1">
      <c r="A210" s="19" t="s">
        <v>308</v>
      </c>
      <c r="B210" s="19" t="s">
        <v>13</v>
      </c>
      <c r="C210" s="20">
        <v>45628</v>
      </c>
      <c r="D210" s="21" t="s">
        <v>14</v>
      </c>
      <c r="E210" s="22" t="s">
        <v>33</v>
      </c>
      <c r="F210" s="23">
        <v>3194</v>
      </c>
      <c r="G210" s="23">
        <v>292</v>
      </c>
      <c r="H210" s="23">
        <v>245</v>
      </c>
      <c r="I210" s="23">
        <v>56371</v>
      </c>
      <c r="J210" s="23">
        <v>65597</v>
      </c>
      <c r="K210" s="23">
        <v>163</v>
      </c>
      <c r="L210" s="21" t="s">
        <v>37</v>
      </c>
      <c r="M210" s="21" t="s">
        <v>34</v>
      </c>
      <c r="N210" s="21" t="s">
        <v>16</v>
      </c>
      <c r="O210" s="38">
        <f t="shared" si="3"/>
        <v>6.6186514342481059E-2</v>
      </c>
    </row>
    <row r="211" spans="1:15" hidden="1">
      <c r="A211" s="19" t="s">
        <v>303</v>
      </c>
      <c r="B211" s="19" t="s">
        <v>22</v>
      </c>
      <c r="C211" s="20">
        <v>45334</v>
      </c>
      <c r="D211" s="21" t="s">
        <v>14</v>
      </c>
      <c r="E211" s="22" t="s">
        <v>18</v>
      </c>
      <c r="F211" s="23">
        <v>2691</v>
      </c>
      <c r="G211" s="23">
        <v>486</v>
      </c>
      <c r="H211" s="23">
        <v>206</v>
      </c>
      <c r="I211" s="23">
        <v>51133</v>
      </c>
      <c r="J211" s="23">
        <v>44583</v>
      </c>
      <c r="K211" s="23">
        <v>276</v>
      </c>
      <c r="L211" s="21" t="s">
        <v>34</v>
      </c>
      <c r="M211" s="21"/>
      <c r="N211" s="21" t="s">
        <v>16</v>
      </c>
      <c r="O211" s="38">
        <f t="shared" si="3"/>
        <v>6.6160796354604659E-2</v>
      </c>
    </row>
    <row r="212" spans="1:15" hidden="1">
      <c r="A212" s="19" t="s">
        <v>223</v>
      </c>
      <c r="B212" s="19" t="s">
        <v>27</v>
      </c>
      <c r="C212" s="20">
        <v>45447</v>
      </c>
      <c r="D212" s="21" t="s">
        <v>48</v>
      </c>
      <c r="E212" s="22" t="s">
        <v>360</v>
      </c>
      <c r="F212" s="23">
        <v>1211</v>
      </c>
      <c r="G212" s="23">
        <v>431</v>
      </c>
      <c r="H212" s="23">
        <v>83</v>
      </c>
      <c r="I212" s="23">
        <v>26532</v>
      </c>
      <c r="J212" s="23">
        <v>47305</v>
      </c>
      <c r="K212" s="23">
        <v>232</v>
      </c>
      <c r="L212" s="21" t="s">
        <v>19</v>
      </c>
      <c r="M212" s="21" t="s">
        <v>37</v>
      </c>
      <c r="N212" s="21" t="s">
        <v>49</v>
      </c>
      <c r="O212" s="38">
        <f t="shared" si="3"/>
        <v>6.5015829941203071E-2</v>
      </c>
    </row>
    <row r="213" spans="1:15" hidden="1">
      <c r="A213" s="19" t="s">
        <v>265</v>
      </c>
      <c r="B213" s="19" t="s">
        <v>27</v>
      </c>
      <c r="C213" s="20">
        <v>45542</v>
      </c>
      <c r="D213" s="21" t="s">
        <v>14</v>
      </c>
      <c r="E213" s="22" t="s">
        <v>42</v>
      </c>
      <c r="F213" s="23">
        <v>2101</v>
      </c>
      <c r="G213" s="23">
        <v>411</v>
      </c>
      <c r="H213" s="23">
        <v>190</v>
      </c>
      <c r="I213" s="23">
        <v>41791</v>
      </c>
      <c r="J213" s="23">
        <v>57090</v>
      </c>
      <c r="K213" s="23">
        <v>172</v>
      </c>
      <c r="L213" s="21" t="s">
        <v>19</v>
      </c>
      <c r="M213" s="21" t="s">
        <v>365</v>
      </c>
      <c r="N213" s="21" t="s">
        <v>20</v>
      </c>
      <c r="O213" s="38">
        <f t="shared" si="3"/>
        <v>6.4655069273288512E-2</v>
      </c>
    </row>
    <row r="214" spans="1:15" hidden="1">
      <c r="A214" s="19" t="s">
        <v>47</v>
      </c>
      <c r="B214" s="19" t="s">
        <v>27</v>
      </c>
      <c r="C214" s="20">
        <v>45458</v>
      </c>
      <c r="D214" s="21" t="s">
        <v>48</v>
      </c>
      <c r="E214" s="22" t="s">
        <v>30</v>
      </c>
      <c r="F214" s="23">
        <v>1751</v>
      </c>
      <c r="G214" s="23">
        <v>143</v>
      </c>
      <c r="H214" s="23">
        <v>151</v>
      </c>
      <c r="I214" s="23">
        <v>31826</v>
      </c>
      <c r="J214" s="23">
        <v>47729</v>
      </c>
      <c r="K214" s="23">
        <v>95</v>
      </c>
      <c r="L214" s="21" t="s">
        <v>19</v>
      </c>
      <c r="M214" s="21" t="s">
        <v>37</v>
      </c>
      <c r="N214" s="21" t="s">
        <v>49</v>
      </c>
      <c r="O214" s="38">
        <f t="shared" si="3"/>
        <v>6.4255640042732362E-2</v>
      </c>
    </row>
    <row r="215" spans="1:15" hidden="1">
      <c r="A215" s="19" t="s">
        <v>123</v>
      </c>
      <c r="B215" s="19" t="s">
        <v>13</v>
      </c>
      <c r="C215" s="20">
        <v>45351</v>
      </c>
      <c r="D215" s="21" t="s">
        <v>14</v>
      </c>
      <c r="E215" s="22" t="s">
        <v>363</v>
      </c>
      <c r="F215" s="23">
        <v>1100</v>
      </c>
      <c r="G215" s="23">
        <v>229</v>
      </c>
      <c r="H215" s="23">
        <v>312</v>
      </c>
      <c r="I215" s="23">
        <v>25641</v>
      </c>
      <c r="J215" s="23">
        <v>34601</v>
      </c>
      <c r="K215" s="23">
        <v>169</v>
      </c>
      <c r="L215" s="21" t="s">
        <v>19</v>
      </c>
      <c r="M215" s="21"/>
      <c r="N215" s="21" t="s">
        <v>20</v>
      </c>
      <c r="O215" s="38">
        <f t="shared" si="3"/>
        <v>6.3999063999063993E-2</v>
      </c>
    </row>
    <row r="216" spans="1:15" hidden="1">
      <c r="A216" s="19" t="s">
        <v>66</v>
      </c>
      <c r="B216" s="19" t="s">
        <v>13</v>
      </c>
      <c r="C216" s="20">
        <v>45416</v>
      </c>
      <c r="D216" s="21" t="s">
        <v>14</v>
      </c>
      <c r="E216" s="22" t="s">
        <v>360</v>
      </c>
      <c r="F216" s="23">
        <v>2274</v>
      </c>
      <c r="G216" s="23">
        <v>243</v>
      </c>
      <c r="H216" s="23">
        <v>222</v>
      </c>
      <c r="I216" s="23">
        <v>43066</v>
      </c>
      <c r="J216" s="23">
        <v>59174</v>
      </c>
      <c r="K216" s="23">
        <v>80</v>
      </c>
      <c r="L216" s="21" t="s">
        <v>19</v>
      </c>
      <c r="M216" s="21"/>
      <c r="N216" s="21" t="s">
        <v>20</v>
      </c>
      <c r="O216" s="38">
        <f t="shared" si="3"/>
        <v>6.3600055728416843E-2</v>
      </c>
    </row>
    <row r="217" spans="1:15" hidden="1">
      <c r="A217" s="19" t="s">
        <v>231</v>
      </c>
      <c r="B217" s="19" t="s">
        <v>22</v>
      </c>
      <c r="C217" s="20">
        <v>45547</v>
      </c>
      <c r="D217" s="21" t="s">
        <v>23</v>
      </c>
      <c r="E217" s="22" t="s">
        <v>360</v>
      </c>
      <c r="F217" s="23">
        <v>1839</v>
      </c>
      <c r="G217" s="23">
        <v>223</v>
      </c>
      <c r="H217" s="23">
        <v>171</v>
      </c>
      <c r="I217" s="23">
        <v>35459</v>
      </c>
      <c r="J217" s="23">
        <v>69988</v>
      </c>
      <c r="K217" s="23">
        <v>114</v>
      </c>
      <c r="L217" s="21" t="s">
        <v>364</v>
      </c>
      <c r="M217" s="21" t="s">
        <v>34</v>
      </c>
      <c r="N217" s="21" t="s">
        <v>16</v>
      </c>
      <c r="O217" s="38">
        <f t="shared" si="3"/>
        <v>6.2974139146620034E-2</v>
      </c>
    </row>
    <row r="218" spans="1:15" hidden="1">
      <c r="A218" s="19" t="s">
        <v>214</v>
      </c>
      <c r="B218" s="19" t="s">
        <v>22</v>
      </c>
      <c r="C218" s="20">
        <v>45486</v>
      </c>
      <c r="D218" s="21" t="s">
        <v>23</v>
      </c>
      <c r="E218" s="22" t="s">
        <v>30</v>
      </c>
      <c r="F218" s="23">
        <v>2408</v>
      </c>
      <c r="G218" s="23">
        <v>323</v>
      </c>
      <c r="H218" s="23">
        <v>251</v>
      </c>
      <c r="I218" s="23">
        <v>47599</v>
      </c>
      <c r="J218" s="23">
        <v>35543</v>
      </c>
      <c r="K218" s="23">
        <v>287</v>
      </c>
      <c r="L218" s="21" t="s">
        <v>364</v>
      </c>
      <c r="M218" s="21" t="s">
        <v>34</v>
      </c>
      <c r="N218" s="21" t="s">
        <v>16</v>
      </c>
      <c r="O218" s="38">
        <f t="shared" si="3"/>
        <v>6.2648374965860634E-2</v>
      </c>
    </row>
    <row r="219" spans="1:15" hidden="1">
      <c r="A219" s="19" t="s">
        <v>135</v>
      </c>
      <c r="B219" s="19" t="s">
        <v>22</v>
      </c>
      <c r="C219" s="20">
        <v>45553</v>
      </c>
      <c r="D219" s="21" t="s">
        <v>14</v>
      </c>
      <c r="E219" s="22" t="s">
        <v>15</v>
      </c>
      <c r="F219" s="23">
        <v>2878</v>
      </c>
      <c r="G219" s="23">
        <v>265</v>
      </c>
      <c r="H219" s="23">
        <v>91</v>
      </c>
      <c r="I219" s="23">
        <v>52090</v>
      </c>
      <c r="J219" s="23">
        <v>28924</v>
      </c>
      <c r="K219" s="23">
        <v>133</v>
      </c>
      <c r="L219" s="21" t="s">
        <v>34</v>
      </c>
      <c r="M219" s="21"/>
      <c r="N219" s="21" t="s">
        <v>16</v>
      </c>
      <c r="O219" s="38">
        <f t="shared" si="3"/>
        <v>6.2084853138798232E-2</v>
      </c>
    </row>
    <row r="220" spans="1:15" hidden="1">
      <c r="A220" s="19" t="s">
        <v>297</v>
      </c>
      <c r="B220" s="19" t="s">
        <v>27</v>
      </c>
      <c r="C220" s="20">
        <v>45604</v>
      </c>
      <c r="D220" s="21" t="s">
        <v>14</v>
      </c>
      <c r="E220" s="22" t="s">
        <v>33</v>
      </c>
      <c r="F220" s="23">
        <v>2471</v>
      </c>
      <c r="G220" s="23">
        <v>166</v>
      </c>
      <c r="H220" s="23">
        <v>320</v>
      </c>
      <c r="I220" s="23">
        <v>48254</v>
      </c>
      <c r="J220" s="23">
        <v>46900</v>
      </c>
      <c r="K220" s="23">
        <v>111</v>
      </c>
      <c r="L220" s="21" t="s">
        <v>19</v>
      </c>
      <c r="M220" s="21" t="s">
        <v>365</v>
      </c>
      <c r="N220" s="21" t="s">
        <v>20</v>
      </c>
      <c r="O220" s="38">
        <f t="shared" si="3"/>
        <v>6.1279893894806647E-2</v>
      </c>
    </row>
    <row r="221" spans="1:15" hidden="1">
      <c r="A221" s="19" t="s">
        <v>117</v>
      </c>
      <c r="B221" s="19" t="s">
        <v>22</v>
      </c>
      <c r="C221" s="20">
        <v>45405</v>
      </c>
      <c r="D221" s="21" t="s">
        <v>23</v>
      </c>
      <c r="E221" s="22" t="s">
        <v>15</v>
      </c>
      <c r="F221" s="23">
        <v>2683</v>
      </c>
      <c r="G221" s="23">
        <v>496</v>
      </c>
      <c r="H221" s="23">
        <v>89</v>
      </c>
      <c r="I221" s="23">
        <v>53435</v>
      </c>
      <c r="J221" s="23">
        <v>30334</v>
      </c>
      <c r="K221" s="23">
        <v>160</v>
      </c>
      <c r="L221" s="21" t="s">
        <v>37</v>
      </c>
      <c r="M221" s="21" t="s">
        <v>34</v>
      </c>
      <c r="N221" s="21" t="s">
        <v>16</v>
      </c>
      <c r="O221" s="38">
        <f t="shared" si="3"/>
        <v>6.1158416768035934E-2</v>
      </c>
    </row>
    <row r="222" spans="1:15" hidden="1">
      <c r="A222" s="19" t="s">
        <v>328</v>
      </c>
      <c r="B222" s="19" t="s">
        <v>22</v>
      </c>
      <c r="C222" s="20">
        <v>45838</v>
      </c>
      <c r="D222" s="21" t="s">
        <v>14</v>
      </c>
      <c r="E222" s="22" t="s">
        <v>362</v>
      </c>
      <c r="F222" s="23">
        <v>2275</v>
      </c>
      <c r="G222" s="23">
        <v>285</v>
      </c>
      <c r="H222" s="23">
        <v>125</v>
      </c>
      <c r="I222" s="23">
        <v>43970</v>
      </c>
      <c r="J222" s="23">
        <v>74761</v>
      </c>
      <c r="K222" s="23">
        <v>83</v>
      </c>
      <c r="L222" s="21" t="s">
        <v>34</v>
      </c>
      <c r="M222" s="21"/>
      <c r="N222" s="21" t="s">
        <v>16</v>
      </c>
      <c r="O222" s="38">
        <f t="shared" si="3"/>
        <v>6.1064362065044349E-2</v>
      </c>
    </row>
    <row r="223" spans="1:15" hidden="1">
      <c r="A223" s="19" t="s">
        <v>174</v>
      </c>
      <c r="B223" s="19" t="s">
        <v>13</v>
      </c>
      <c r="C223" s="20">
        <v>45702</v>
      </c>
      <c r="D223" s="21" t="s">
        <v>14</v>
      </c>
      <c r="E223" s="22" t="s">
        <v>15</v>
      </c>
      <c r="F223" s="23">
        <v>2329</v>
      </c>
      <c r="G223" s="23">
        <v>373</v>
      </c>
      <c r="H223" s="23">
        <v>291</v>
      </c>
      <c r="I223" s="23">
        <v>49577</v>
      </c>
      <c r="J223" s="23">
        <v>28002</v>
      </c>
      <c r="K223" s="23">
        <v>82</v>
      </c>
      <c r="L223" s="21" t="s">
        <v>37</v>
      </c>
      <c r="M223" s="21" t="s">
        <v>34</v>
      </c>
      <c r="N223" s="21" t="s">
        <v>16</v>
      </c>
      <c r="O223" s="38">
        <f t="shared" si="3"/>
        <v>6.0370736430199488E-2</v>
      </c>
    </row>
    <row r="224" spans="1:15" hidden="1">
      <c r="A224" s="19" t="s">
        <v>115</v>
      </c>
      <c r="B224" s="19" t="s">
        <v>13</v>
      </c>
      <c r="C224" s="20">
        <v>45522</v>
      </c>
      <c r="D224" s="21" t="s">
        <v>14</v>
      </c>
      <c r="E224" s="22" t="s">
        <v>18</v>
      </c>
      <c r="F224" s="23">
        <v>2965</v>
      </c>
      <c r="G224" s="23">
        <v>328</v>
      </c>
      <c r="H224" s="23">
        <v>171</v>
      </c>
      <c r="I224" s="23">
        <v>57685</v>
      </c>
      <c r="J224" s="23">
        <v>67536</v>
      </c>
      <c r="K224" s="23">
        <v>264</v>
      </c>
      <c r="L224" s="21" t="s">
        <v>37</v>
      </c>
      <c r="M224" s="21" t="s">
        <v>34</v>
      </c>
      <c r="N224" s="21" t="s">
        <v>16</v>
      </c>
      <c r="O224" s="38">
        <f t="shared" si="3"/>
        <v>6.0050273034584378E-2</v>
      </c>
    </row>
    <row r="225" spans="1:15" hidden="1">
      <c r="A225" s="19" t="s">
        <v>327</v>
      </c>
      <c r="B225" s="19" t="s">
        <v>22</v>
      </c>
      <c r="C225" s="20">
        <v>45612</v>
      </c>
      <c r="D225" s="21" t="s">
        <v>14</v>
      </c>
      <c r="E225" s="22" t="s">
        <v>18</v>
      </c>
      <c r="F225" s="23">
        <v>2901</v>
      </c>
      <c r="G225" s="23">
        <v>108</v>
      </c>
      <c r="H225" s="23">
        <v>86</v>
      </c>
      <c r="I225" s="23">
        <v>51777</v>
      </c>
      <c r="J225" s="23">
        <v>23773</v>
      </c>
      <c r="K225" s="23">
        <v>160</v>
      </c>
      <c r="L225" s="21" t="s">
        <v>37</v>
      </c>
      <c r="M225" s="21"/>
      <c r="N225" s="21" t="s">
        <v>20</v>
      </c>
      <c r="O225" s="38">
        <f t="shared" si="3"/>
        <v>5.9775576027966085E-2</v>
      </c>
    </row>
    <row r="226" spans="1:15" hidden="1">
      <c r="A226" s="19" t="s">
        <v>184</v>
      </c>
      <c r="B226" s="19" t="s">
        <v>13</v>
      </c>
      <c r="C226" s="20">
        <v>45615</v>
      </c>
      <c r="D226" s="21" t="s">
        <v>14</v>
      </c>
      <c r="E226" s="22" t="s">
        <v>362</v>
      </c>
      <c r="F226" s="23">
        <v>2525</v>
      </c>
      <c r="G226" s="23">
        <v>272</v>
      </c>
      <c r="H226" s="23">
        <v>294</v>
      </c>
      <c r="I226" s="23">
        <v>51875</v>
      </c>
      <c r="J226" s="23">
        <v>24732</v>
      </c>
      <c r="K226" s="23">
        <v>92</v>
      </c>
      <c r="L226" s="21" t="s">
        <v>19</v>
      </c>
      <c r="M226" s="21"/>
      <c r="N226" s="21" t="s">
        <v>20</v>
      </c>
      <c r="O226" s="38">
        <f t="shared" si="3"/>
        <v>5.9585542168674697E-2</v>
      </c>
    </row>
    <row r="227" spans="1:15" hidden="1">
      <c r="A227" s="19" t="s">
        <v>112</v>
      </c>
      <c r="B227" s="19" t="s">
        <v>13</v>
      </c>
      <c r="C227" s="20">
        <v>45530</v>
      </c>
      <c r="D227" s="21" t="s">
        <v>14</v>
      </c>
      <c r="E227" s="22" t="s">
        <v>42</v>
      </c>
      <c r="F227" s="23">
        <v>2102</v>
      </c>
      <c r="G227" s="23">
        <v>181</v>
      </c>
      <c r="H227" s="23">
        <v>306</v>
      </c>
      <c r="I227" s="23">
        <v>43650</v>
      </c>
      <c r="J227" s="23">
        <v>50079</v>
      </c>
      <c r="K227" s="23">
        <v>182</v>
      </c>
      <c r="L227" s="21" t="s">
        <v>19</v>
      </c>
      <c r="M227" s="21"/>
      <c r="N227" s="21" t="s">
        <v>20</v>
      </c>
      <c r="O227" s="38">
        <f t="shared" si="3"/>
        <v>5.9312714776632303E-2</v>
      </c>
    </row>
    <row r="228" spans="1:15" hidden="1">
      <c r="A228" s="19" t="s">
        <v>153</v>
      </c>
      <c r="B228" s="19" t="s">
        <v>27</v>
      </c>
      <c r="C228" s="20">
        <v>45424</v>
      </c>
      <c r="D228" s="21" t="s">
        <v>14</v>
      </c>
      <c r="E228" s="22" t="s">
        <v>363</v>
      </c>
      <c r="F228" s="23">
        <v>2911</v>
      </c>
      <c r="G228" s="23">
        <v>467</v>
      </c>
      <c r="H228" s="23">
        <v>94</v>
      </c>
      <c r="I228" s="23">
        <v>59083</v>
      </c>
      <c r="J228" s="23">
        <v>49762</v>
      </c>
      <c r="K228" s="23">
        <v>236</v>
      </c>
      <c r="L228" s="21" t="s">
        <v>19</v>
      </c>
      <c r="M228" s="21" t="s">
        <v>365</v>
      </c>
      <c r="N228" s="21" t="s">
        <v>20</v>
      </c>
      <c r="O228" s="38">
        <f t="shared" si="3"/>
        <v>5.8764788517847777E-2</v>
      </c>
    </row>
    <row r="229" spans="1:15" hidden="1">
      <c r="A229" s="19" t="s">
        <v>83</v>
      </c>
      <c r="B229" s="19" t="s">
        <v>22</v>
      </c>
      <c r="C229" s="20">
        <v>45516</v>
      </c>
      <c r="D229" s="21" t="s">
        <v>23</v>
      </c>
      <c r="E229" s="22" t="s">
        <v>362</v>
      </c>
      <c r="F229" s="23">
        <v>2842</v>
      </c>
      <c r="G229" s="23">
        <v>213</v>
      </c>
      <c r="H229" s="23">
        <v>331</v>
      </c>
      <c r="I229" s="23">
        <v>57660</v>
      </c>
      <c r="J229" s="23">
        <v>68606</v>
      </c>
      <c r="K229" s="23">
        <v>87</v>
      </c>
      <c r="L229" s="21" t="s">
        <v>364</v>
      </c>
      <c r="M229" s="21" t="s">
        <v>34</v>
      </c>
      <c r="N229" s="21" t="s">
        <v>16</v>
      </c>
      <c r="O229" s="38">
        <f t="shared" si="3"/>
        <v>5.8723551855705859E-2</v>
      </c>
    </row>
    <row r="230" spans="1:15" hidden="1">
      <c r="A230" s="19" t="s">
        <v>321</v>
      </c>
      <c r="B230" s="19" t="s">
        <v>13</v>
      </c>
      <c r="C230" s="20">
        <v>45472</v>
      </c>
      <c r="D230" s="21" t="s">
        <v>14</v>
      </c>
      <c r="E230" s="22" t="s">
        <v>42</v>
      </c>
      <c r="F230" s="23">
        <v>2088</v>
      </c>
      <c r="G230" s="23">
        <v>490</v>
      </c>
      <c r="H230" s="23">
        <v>124</v>
      </c>
      <c r="I230" s="23">
        <v>46544</v>
      </c>
      <c r="J230" s="23">
        <v>69346</v>
      </c>
      <c r="K230" s="23">
        <v>178</v>
      </c>
      <c r="L230" s="21" t="s">
        <v>37</v>
      </c>
      <c r="M230" s="21" t="s">
        <v>34</v>
      </c>
      <c r="N230" s="21" t="s">
        <v>16</v>
      </c>
      <c r="O230" s="38">
        <f t="shared" si="3"/>
        <v>5.8052595393606049E-2</v>
      </c>
    </row>
    <row r="231" spans="1:15" hidden="1">
      <c r="A231" s="19" t="s">
        <v>149</v>
      </c>
      <c r="B231" s="19" t="s">
        <v>22</v>
      </c>
      <c r="C231" s="20">
        <v>45806</v>
      </c>
      <c r="D231" s="21" t="s">
        <v>23</v>
      </c>
      <c r="E231" s="22" t="s">
        <v>361</v>
      </c>
      <c r="F231" s="23">
        <v>2134</v>
      </c>
      <c r="G231" s="23">
        <v>322</v>
      </c>
      <c r="H231" s="23">
        <v>114</v>
      </c>
      <c r="I231" s="23">
        <v>44338</v>
      </c>
      <c r="J231" s="23">
        <v>52165</v>
      </c>
      <c r="K231" s="23">
        <v>176</v>
      </c>
      <c r="L231" s="21" t="s">
        <v>364</v>
      </c>
      <c r="M231" s="21" t="s">
        <v>34</v>
      </c>
      <c r="N231" s="21" t="s">
        <v>16</v>
      </c>
      <c r="O231" s="38">
        <f t="shared" si="3"/>
        <v>5.7963823356939871E-2</v>
      </c>
    </row>
    <row r="232" spans="1:15" hidden="1">
      <c r="A232" s="19" t="s">
        <v>306</v>
      </c>
      <c r="B232" s="19" t="s">
        <v>22</v>
      </c>
      <c r="C232" s="20">
        <v>45720</v>
      </c>
      <c r="D232" s="21" t="s">
        <v>14</v>
      </c>
      <c r="E232" s="22" t="s">
        <v>15</v>
      </c>
      <c r="F232" s="23">
        <v>2177</v>
      </c>
      <c r="G232" s="23">
        <v>258</v>
      </c>
      <c r="H232" s="23">
        <v>292</v>
      </c>
      <c r="I232" s="23">
        <v>47276</v>
      </c>
      <c r="J232" s="23">
        <v>51324</v>
      </c>
      <c r="K232" s="23">
        <v>143</v>
      </c>
      <c r="L232" s="21" t="s">
        <v>34</v>
      </c>
      <c r="M232" s="21"/>
      <c r="N232" s="21" t="s">
        <v>16</v>
      </c>
      <c r="O232" s="38">
        <f t="shared" si="3"/>
        <v>5.7682545054573146E-2</v>
      </c>
    </row>
    <row r="233" spans="1:15" hidden="1">
      <c r="A233" s="19" t="s">
        <v>285</v>
      </c>
      <c r="B233" s="19" t="s">
        <v>22</v>
      </c>
      <c r="C233" s="20">
        <v>45385</v>
      </c>
      <c r="D233" s="21" t="s">
        <v>23</v>
      </c>
      <c r="E233" s="22" t="s">
        <v>33</v>
      </c>
      <c r="F233" s="23">
        <v>2291</v>
      </c>
      <c r="G233" s="23">
        <v>146</v>
      </c>
      <c r="H233" s="23">
        <v>399</v>
      </c>
      <c r="I233" s="23">
        <v>49319</v>
      </c>
      <c r="J233" s="23">
        <v>28056</v>
      </c>
      <c r="K233" s="23">
        <v>90</v>
      </c>
      <c r="L233" s="21" t="s">
        <v>19</v>
      </c>
      <c r="M233" s="21" t="s">
        <v>364</v>
      </c>
      <c r="N233" s="21" t="s">
        <v>16</v>
      </c>
      <c r="O233" s="38">
        <f t="shared" si="3"/>
        <v>5.7503193495407452E-2</v>
      </c>
    </row>
    <row r="234" spans="1:15" hidden="1">
      <c r="A234" s="19" t="s">
        <v>205</v>
      </c>
      <c r="B234" s="19" t="s">
        <v>22</v>
      </c>
      <c r="C234" s="20">
        <v>45748</v>
      </c>
      <c r="D234" s="21" t="s">
        <v>23</v>
      </c>
      <c r="E234" s="22" t="s">
        <v>361</v>
      </c>
      <c r="F234" s="23">
        <v>2665</v>
      </c>
      <c r="G234" s="23">
        <v>143</v>
      </c>
      <c r="H234" s="23">
        <v>315</v>
      </c>
      <c r="I234" s="23">
        <v>54808</v>
      </c>
      <c r="J234" s="23">
        <v>29818</v>
      </c>
      <c r="K234" s="23">
        <v>98</v>
      </c>
      <c r="L234" s="21" t="s">
        <v>19</v>
      </c>
      <c r="M234" s="21" t="s">
        <v>364</v>
      </c>
      <c r="N234" s="21" t="s">
        <v>16</v>
      </c>
      <c r="O234" s="38">
        <f t="shared" si="3"/>
        <v>5.6980732739746021E-2</v>
      </c>
    </row>
    <row r="235" spans="1:15" hidden="1">
      <c r="A235" s="19" t="s">
        <v>224</v>
      </c>
      <c r="B235" s="19" t="s">
        <v>22</v>
      </c>
      <c r="C235" s="20">
        <v>45422</v>
      </c>
      <c r="D235" s="21" t="s">
        <v>23</v>
      </c>
      <c r="E235" s="22" t="s">
        <v>18</v>
      </c>
      <c r="F235" s="23">
        <v>2784</v>
      </c>
      <c r="G235" s="23">
        <v>111</v>
      </c>
      <c r="H235" s="23">
        <v>399</v>
      </c>
      <c r="I235" s="23">
        <v>58366</v>
      </c>
      <c r="J235" s="23">
        <v>69512</v>
      </c>
      <c r="K235" s="23">
        <v>269</v>
      </c>
      <c r="L235" s="21" t="s">
        <v>364</v>
      </c>
      <c r="M235" s="21" t="s">
        <v>34</v>
      </c>
      <c r="N235" s="21" t="s">
        <v>16</v>
      </c>
      <c r="O235" s="38">
        <f t="shared" si="3"/>
        <v>5.6436966727204191E-2</v>
      </c>
    </row>
    <row r="236" spans="1:15" hidden="1">
      <c r="A236" s="19" t="s">
        <v>329</v>
      </c>
      <c r="B236" s="19" t="s">
        <v>22</v>
      </c>
      <c r="C236" s="20">
        <v>45303</v>
      </c>
      <c r="D236" s="21" t="s">
        <v>23</v>
      </c>
      <c r="E236" s="22" t="s">
        <v>360</v>
      </c>
      <c r="F236" s="23">
        <v>2227</v>
      </c>
      <c r="G236" s="23">
        <v>494</v>
      </c>
      <c r="H236" s="23">
        <v>161</v>
      </c>
      <c r="I236" s="23">
        <v>51651</v>
      </c>
      <c r="J236" s="23">
        <v>68074</v>
      </c>
      <c r="K236" s="23">
        <v>240</v>
      </c>
      <c r="L236" s="21" t="s">
        <v>19</v>
      </c>
      <c r="M236" s="21" t="s">
        <v>364</v>
      </c>
      <c r="N236" s="21" t="s">
        <v>16</v>
      </c>
      <c r="O236" s="38">
        <f t="shared" si="3"/>
        <v>5.5797564422760453E-2</v>
      </c>
    </row>
    <row r="237" spans="1:15" hidden="1">
      <c r="A237" s="19" t="s">
        <v>294</v>
      </c>
      <c r="B237" s="19" t="s">
        <v>27</v>
      </c>
      <c r="C237" s="20">
        <v>45808</v>
      </c>
      <c r="D237" s="21" t="s">
        <v>48</v>
      </c>
      <c r="E237" s="22" t="s">
        <v>30</v>
      </c>
      <c r="F237" s="23">
        <v>2162</v>
      </c>
      <c r="G237" s="23">
        <v>318</v>
      </c>
      <c r="H237" s="23">
        <v>83</v>
      </c>
      <c r="I237" s="23">
        <v>46719</v>
      </c>
      <c r="J237" s="23">
        <v>20482</v>
      </c>
      <c r="K237" s="23">
        <v>185</v>
      </c>
      <c r="L237" s="21" t="s">
        <v>19</v>
      </c>
      <c r="M237" s="21" t="s">
        <v>37</v>
      </c>
      <c r="N237" s="21" t="s">
        <v>49</v>
      </c>
      <c r="O237" s="38">
        <f t="shared" si="3"/>
        <v>5.4859907104176028E-2</v>
      </c>
    </row>
    <row r="238" spans="1:15" hidden="1">
      <c r="A238" s="19" t="s">
        <v>304</v>
      </c>
      <c r="B238" s="19" t="s">
        <v>13</v>
      </c>
      <c r="C238" s="20">
        <v>45573</v>
      </c>
      <c r="D238" s="21" t="s">
        <v>14</v>
      </c>
      <c r="E238" s="22" t="s">
        <v>18</v>
      </c>
      <c r="F238" s="23">
        <v>2110</v>
      </c>
      <c r="G238" s="23">
        <v>384</v>
      </c>
      <c r="H238" s="23">
        <v>236</v>
      </c>
      <c r="I238" s="23">
        <v>49965</v>
      </c>
      <c r="J238" s="23">
        <v>61555</v>
      </c>
      <c r="K238" s="23">
        <v>195</v>
      </c>
      <c r="L238" s="21" t="s">
        <v>19</v>
      </c>
      <c r="M238" s="21"/>
      <c r="N238" s="21" t="s">
        <v>20</v>
      </c>
      <c r="O238" s="38">
        <f t="shared" si="3"/>
        <v>5.4638246772740921E-2</v>
      </c>
    </row>
    <row r="239" spans="1:15" hidden="1">
      <c r="A239" s="19" t="s">
        <v>161</v>
      </c>
      <c r="B239" s="19" t="s">
        <v>22</v>
      </c>
      <c r="C239" s="20">
        <v>45736</v>
      </c>
      <c r="D239" s="21" t="s">
        <v>14</v>
      </c>
      <c r="E239" s="22" t="s">
        <v>42</v>
      </c>
      <c r="F239" s="23">
        <v>1564</v>
      </c>
      <c r="G239" s="23">
        <v>362</v>
      </c>
      <c r="H239" s="23">
        <v>371</v>
      </c>
      <c r="I239" s="23">
        <v>42075</v>
      </c>
      <c r="J239" s="23">
        <v>66659</v>
      </c>
      <c r="K239" s="23">
        <v>205</v>
      </c>
      <c r="L239" s="21" t="s">
        <v>37</v>
      </c>
      <c r="M239" s="21"/>
      <c r="N239" s="21" t="s">
        <v>20</v>
      </c>
      <c r="O239" s="38">
        <f t="shared" si="3"/>
        <v>5.4592988710635768E-2</v>
      </c>
    </row>
    <row r="240" spans="1:15" hidden="1">
      <c r="A240" s="19" t="s">
        <v>312</v>
      </c>
      <c r="B240" s="19" t="s">
        <v>22</v>
      </c>
      <c r="C240" s="20">
        <v>45343</v>
      </c>
      <c r="D240" s="21" t="s">
        <v>23</v>
      </c>
      <c r="E240" s="22" t="s">
        <v>30</v>
      </c>
      <c r="F240" s="23">
        <v>2604</v>
      </c>
      <c r="G240" s="23">
        <v>439</v>
      </c>
      <c r="H240" s="23">
        <v>148</v>
      </c>
      <c r="I240" s="23">
        <v>58468</v>
      </c>
      <c r="J240" s="23">
        <v>39629</v>
      </c>
      <c r="K240" s="23">
        <v>163</v>
      </c>
      <c r="L240" s="21" t="s">
        <v>364</v>
      </c>
      <c r="M240" s="21" t="s">
        <v>34</v>
      </c>
      <c r="N240" s="21" t="s">
        <v>16</v>
      </c>
      <c r="O240" s="38">
        <f t="shared" si="3"/>
        <v>5.4576862557296296E-2</v>
      </c>
    </row>
    <row r="241" spans="1:15" hidden="1">
      <c r="A241" s="19" t="s">
        <v>293</v>
      </c>
      <c r="B241" s="19" t="s">
        <v>27</v>
      </c>
      <c r="C241" s="20">
        <v>45378</v>
      </c>
      <c r="D241" s="21" t="s">
        <v>14</v>
      </c>
      <c r="E241" s="22" t="s">
        <v>361</v>
      </c>
      <c r="F241" s="23">
        <v>2399</v>
      </c>
      <c r="G241" s="23">
        <v>191</v>
      </c>
      <c r="H241" s="23">
        <v>221</v>
      </c>
      <c r="I241" s="23">
        <v>51603</v>
      </c>
      <c r="J241" s="23">
        <v>40033</v>
      </c>
      <c r="K241" s="23">
        <v>173</v>
      </c>
      <c r="L241" s="21" t="s">
        <v>19</v>
      </c>
      <c r="M241" s="21" t="s">
        <v>365</v>
      </c>
      <c r="N241" s="21" t="s">
        <v>20</v>
      </c>
      <c r="O241" s="38">
        <f t="shared" si="3"/>
        <v>5.4473577117609438E-2</v>
      </c>
    </row>
    <row r="242" spans="1:15" hidden="1">
      <c r="A242" s="19" t="s">
        <v>38</v>
      </c>
      <c r="B242" s="19" t="s">
        <v>13</v>
      </c>
      <c r="C242" s="20">
        <v>45426</v>
      </c>
      <c r="D242" s="21" t="s">
        <v>14</v>
      </c>
      <c r="E242" s="22" t="s">
        <v>15</v>
      </c>
      <c r="F242" s="23">
        <v>1485</v>
      </c>
      <c r="G242" s="23">
        <v>353</v>
      </c>
      <c r="H242" s="23">
        <v>244</v>
      </c>
      <c r="I242" s="23">
        <v>38419</v>
      </c>
      <c r="J242" s="23">
        <v>38556</v>
      </c>
      <c r="K242" s="23">
        <v>86</v>
      </c>
      <c r="L242" s="21" t="s">
        <v>37</v>
      </c>
      <c r="M242" s="21" t="s">
        <v>34</v>
      </c>
      <c r="N242" s="21" t="s">
        <v>16</v>
      </c>
      <c r="O242" s="38">
        <f t="shared" si="3"/>
        <v>5.4191936281527367E-2</v>
      </c>
    </row>
    <row r="243" spans="1:15" hidden="1">
      <c r="A243" s="19" t="s">
        <v>268</v>
      </c>
      <c r="B243" s="19" t="s">
        <v>13</v>
      </c>
      <c r="C243" s="20">
        <v>45823</v>
      </c>
      <c r="D243" s="21" t="s">
        <v>14</v>
      </c>
      <c r="E243" s="22" t="s">
        <v>18</v>
      </c>
      <c r="F243" s="23">
        <v>2478</v>
      </c>
      <c r="G243" s="23">
        <v>427</v>
      </c>
      <c r="H243" s="23">
        <v>242</v>
      </c>
      <c r="I243" s="23">
        <v>59272</v>
      </c>
      <c r="J243" s="23">
        <v>37833</v>
      </c>
      <c r="K243" s="23">
        <v>214</v>
      </c>
      <c r="L243" s="21" t="s">
        <v>37</v>
      </c>
      <c r="M243" s="21" t="s">
        <v>34</v>
      </c>
      <c r="N243" s="21" t="s">
        <v>16</v>
      </c>
      <c r="O243" s="38">
        <f t="shared" si="3"/>
        <v>5.3094209744904843E-2</v>
      </c>
    </row>
    <row r="244" spans="1:15" hidden="1">
      <c r="A244" s="19" t="s">
        <v>142</v>
      </c>
      <c r="B244" s="19" t="s">
        <v>13</v>
      </c>
      <c r="C244" s="20">
        <v>45704</v>
      </c>
      <c r="D244" s="21" t="s">
        <v>14</v>
      </c>
      <c r="E244" s="22" t="s">
        <v>42</v>
      </c>
      <c r="F244" s="23">
        <v>1333</v>
      </c>
      <c r="G244" s="23">
        <v>286</v>
      </c>
      <c r="H244" s="23">
        <v>298</v>
      </c>
      <c r="I244" s="23">
        <v>36174</v>
      </c>
      <c r="J244" s="23">
        <v>34517</v>
      </c>
      <c r="K244" s="23">
        <v>170</v>
      </c>
      <c r="L244" s="21" t="s">
        <v>37</v>
      </c>
      <c r="M244" s="21" t="s">
        <v>34</v>
      </c>
      <c r="N244" s="21" t="s">
        <v>16</v>
      </c>
      <c r="O244" s="38">
        <f t="shared" si="3"/>
        <v>5.2993862995521647E-2</v>
      </c>
    </row>
    <row r="245" spans="1:15" hidden="1">
      <c r="A245" s="19" t="s">
        <v>255</v>
      </c>
      <c r="B245" s="19" t="s">
        <v>27</v>
      </c>
      <c r="C245" s="20">
        <v>45323</v>
      </c>
      <c r="D245" s="21" t="s">
        <v>14</v>
      </c>
      <c r="E245" s="22" t="s">
        <v>360</v>
      </c>
      <c r="F245" s="23">
        <v>1432</v>
      </c>
      <c r="G245" s="23">
        <v>437</v>
      </c>
      <c r="H245" s="23">
        <v>267</v>
      </c>
      <c r="I245" s="23">
        <v>40634</v>
      </c>
      <c r="J245" s="23">
        <v>54511</v>
      </c>
      <c r="K245" s="23">
        <v>197</v>
      </c>
      <c r="L245" s="21" t="s">
        <v>19</v>
      </c>
      <c r="M245" s="21" t="s">
        <v>365</v>
      </c>
      <c r="N245" s="21" t="s">
        <v>20</v>
      </c>
      <c r="O245" s="38">
        <f t="shared" si="3"/>
        <v>5.2566815966924252E-2</v>
      </c>
    </row>
    <row r="246" spans="1:15" hidden="1">
      <c r="A246" s="19" t="s">
        <v>256</v>
      </c>
      <c r="B246" s="19" t="s">
        <v>22</v>
      </c>
      <c r="C246" s="20">
        <v>45308</v>
      </c>
      <c r="D246" s="21" t="s">
        <v>23</v>
      </c>
      <c r="E246" s="22" t="s">
        <v>24</v>
      </c>
      <c r="F246" s="23">
        <v>2174</v>
      </c>
      <c r="G246" s="23">
        <v>499</v>
      </c>
      <c r="H246" s="23">
        <v>212</v>
      </c>
      <c r="I246" s="23">
        <v>54938</v>
      </c>
      <c r="J246" s="23">
        <v>27190</v>
      </c>
      <c r="K246" s="23">
        <v>265</v>
      </c>
      <c r="L246" s="21" t="s">
        <v>364</v>
      </c>
      <c r="M246" s="21" t="s">
        <v>34</v>
      </c>
      <c r="N246" s="21" t="s">
        <v>16</v>
      </c>
      <c r="O246" s="38">
        <f t="shared" si="3"/>
        <v>5.2513742764570971E-2</v>
      </c>
    </row>
    <row r="247" spans="1:15" hidden="1">
      <c r="A247" s="19" t="s">
        <v>286</v>
      </c>
      <c r="B247" s="19" t="s">
        <v>22</v>
      </c>
      <c r="C247" s="20">
        <v>45481</v>
      </c>
      <c r="D247" s="21" t="s">
        <v>23</v>
      </c>
      <c r="E247" s="22" t="s">
        <v>360</v>
      </c>
      <c r="F247" s="23">
        <v>2304</v>
      </c>
      <c r="G247" s="23">
        <v>289</v>
      </c>
      <c r="H247" s="23">
        <v>161</v>
      </c>
      <c r="I247" s="23">
        <v>52645</v>
      </c>
      <c r="J247" s="23">
        <v>66262</v>
      </c>
      <c r="K247" s="23">
        <v>146</v>
      </c>
      <c r="L247" s="21" t="s">
        <v>364</v>
      </c>
      <c r="M247" s="21" t="s">
        <v>34</v>
      </c>
      <c r="N247" s="21" t="s">
        <v>16</v>
      </c>
      <c r="O247" s="38">
        <f t="shared" si="3"/>
        <v>5.2312660271630736E-2</v>
      </c>
    </row>
    <row r="248" spans="1:15" hidden="1">
      <c r="A248" s="19" t="s">
        <v>103</v>
      </c>
      <c r="B248" s="19" t="s">
        <v>27</v>
      </c>
      <c r="C248" s="20">
        <v>45783</v>
      </c>
      <c r="D248" s="21" t="s">
        <v>48</v>
      </c>
      <c r="E248" s="22" t="s">
        <v>15</v>
      </c>
      <c r="F248" s="23">
        <v>1085</v>
      </c>
      <c r="G248" s="23">
        <v>496</v>
      </c>
      <c r="H248" s="23">
        <v>320</v>
      </c>
      <c r="I248" s="23">
        <v>36528</v>
      </c>
      <c r="J248" s="23">
        <v>38599</v>
      </c>
      <c r="K248" s="23">
        <v>270</v>
      </c>
      <c r="L248" s="21" t="s">
        <v>19</v>
      </c>
      <c r="M248" s="21" t="s">
        <v>37</v>
      </c>
      <c r="N248" s="21" t="s">
        <v>49</v>
      </c>
      <c r="O248" s="38">
        <f t="shared" si="3"/>
        <v>5.2042268944371438E-2</v>
      </c>
    </row>
    <row r="249" spans="1:15" hidden="1">
      <c r="A249" s="19" t="s">
        <v>246</v>
      </c>
      <c r="B249" s="19" t="s">
        <v>22</v>
      </c>
      <c r="C249" s="20">
        <v>45669</v>
      </c>
      <c r="D249" s="21" t="s">
        <v>14</v>
      </c>
      <c r="E249" s="22" t="s">
        <v>361</v>
      </c>
      <c r="F249" s="23">
        <v>1765</v>
      </c>
      <c r="G249" s="23">
        <v>285</v>
      </c>
      <c r="H249" s="23">
        <v>100</v>
      </c>
      <c r="I249" s="23">
        <v>41313</v>
      </c>
      <c r="J249" s="23">
        <v>56575</v>
      </c>
      <c r="K249" s="23">
        <v>174</v>
      </c>
      <c r="L249" s="21" t="s">
        <v>37</v>
      </c>
      <c r="M249" s="21"/>
      <c r="N249" s="21" t="s">
        <v>20</v>
      </c>
      <c r="O249" s="38">
        <f t="shared" si="3"/>
        <v>5.2041730205988429E-2</v>
      </c>
    </row>
    <row r="250" spans="1:15" hidden="1">
      <c r="A250" s="19" t="s">
        <v>302</v>
      </c>
      <c r="B250" s="19" t="s">
        <v>22</v>
      </c>
      <c r="C250" s="20">
        <v>45603</v>
      </c>
      <c r="D250" s="21" t="s">
        <v>14</v>
      </c>
      <c r="E250" s="22" t="s">
        <v>18</v>
      </c>
      <c r="F250" s="23">
        <v>2229</v>
      </c>
      <c r="G250" s="23">
        <v>395</v>
      </c>
      <c r="H250" s="23">
        <v>328</v>
      </c>
      <c r="I250" s="23">
        <v>56921</v>
      </c>
      <c r="J250" s="23">
        <v>37176</v>
      </c>
      <c r="K250" s="23">
        <v>126</v>
      </c>
      <c r="L250" s="21" t="s">
        <v>37</v>
      </c>
      <c r="M250" s="21"/>
      <c r="N250" s="21" t="s">
        <v>20</v>
      </c>
      <c r="O250" s="38">
        <f t="shared" si="3"/>
        <v>5.1861351697967357E-2</v>
      </c>
    </row>
    <row r="251" spans="1:15" hidden="1">
      <c r="A251" s="19" t="s">
        <v>226</v>
      </c>
      <c r="B251" s="19" t="s">
        <v>13</v>
      </c>
      <c r="C251" s="20">
        <v>45669</v>
      </c>
      <c r="D251" s="21" t="s">
        <v>14</v>
      </c>
      <c r="E251" s="22" t="s">
        <v>363</v>
      </c>
      <c r="F251" s="23">
        <v>1771</v>
      </c>
      <c r="G251" s="23">
        <v>487</v>
      </c>
      <c r="H251" s="23">
        <v>272</v>
      </c>
      <c r="I251" s="23">
        <v>48810</v>
      </c>
      <c r="J251" s="23">
        <v>48084</v>
      </c>
      <c r="K251" s="23">
        <v>272</v>
      </c>
      <c r="L251" s="21" t="s">
        <v>37</v>
      </c>
      <c r="M251" s="21" t="s">
        <v>34</v>
      </c>
      <c r="N251" s="21" t="s">
        <v>16</v>
      </c>
      <c r="O251" s="38">
        <f t="shared" si="3"/>
        <v>5.1833640647408315E-2</v>
      </c>
    </row>
    <row r="252" spans="1:15" hidden="1">
      <c r="A252" s="19" t="s">
        <v>56</v>
      </c>
      <c r="B252" s="19" t="s">
        <v>22</v>
      </c>
      <c r="C252" s="20">
        <v>45791</v>
      </c>
      <c r="D252" s="21" t="s">
        <v>23</v>
      </c>
      <c r="E252" s="22" t="s">
        <v>363</v>
      </c>
      <c r="F252" s="23">
        <v>2707</v>
      </c>
      <c r="G252" s="23">
        <v>103</v>
      </c>
      <c r="H252" s="23">
        <v>51</v>
      </c>
      <c r="I252" s="23">
        <v>55302</v>
      </c>
      <c r="J252" s="23">
        <v>18801</v>
      </c>
      <c r="K252" s="23">
        <v>147</v>
      </c>
      <c r="L252" s="21" t="s">
        <v>19</v>
      </c>
      <c r="M252" s="21" t="s">
        <v>364</v>
      </c>
      <c r="N252" s="21" t="s">
        <v>16</v>
      </c>
      <c r="O252" s="38">
        <f t="shared" si="3"/>
        <v>5.173411449857148E-2</v>
      </c>
    </row>
    <row r="253" spans="1:15" hidden="1">
      <c r="A253" s="19" t="s">
        <v>105</v>
      </c>
      <c r="B253" s="19" t="s">
        <v>22</v>
      </c>
      <c r="C253" s="20">
        <v>45313</v>
      </c>
      <c r="D253" s="21" t="s">
        <v>23</v>
      </c>
      <c r="E253" s="22" t="s">
        <v>363</v>
      </c>
      <c r="F253" s="23">
        <v>1554</v>
      </c>
      <c r="G253" s="23">
        <v>455</v>
      </c>
      <c r="H253" s="23">
        <v>158</v>
      </c>
      <c r="I253" s="23">
        <v>41947</v>
      </c>
      <c r="J253" s="23">
        <v>48578</v>
      </c>
      <c r="K253" s="23">
        <v>101</v>
      </c>
      <c r="L253" s="21" t="s">
        <v>37</v>
      </c>
      <c r="M253" s="21" t="s">
        <v>34</v>
      </c>
      <c r="N253" s="21" t="s">
        <v>16</v>
      </c>
      <c r="O253" s="38">
        <f t="shared" si="3"/>
        <v>5.1660428636136076E-2</v>
      </c>
    </row>
    <row r="254" spans="1:15" hidden="1">
      <c r="A254" s="19" t="s">
        <v>144</v>
      </c>
      <c r="B254" s="19" t="s">
        <v>22</v>
      </c>
      <c r="C254" s="20">
        <v>45489</v>
      </c>
      <c r="D254" s="21" t="s">
        <v>14</v>
      </c>
      <c r="E254" s="22" t="s">
        <v>33</v>
      </c>
      <c r="F254" s="23">
        <v>1803</v>
      </c>
      <c r="G254" s="23">
        <v>273</v>
      </c>
      <c r="H254" s="23">
        <v>287</v>
      </c>
      <c r="I254" s="23">
        <v>46176</v>
      </c>
      <c r="J254" s="23">
        <v>25488</v>
      </c>
      <c r="K254" s="23">
        <v>141</v>
      </c>
      <c r="L254" s="21" t="s">
        <v>34</v>
      </c>
      <c r="M254" s="21"/>
      <c r="N254" s="21" t="s">
        <v>16</v>
      </c>
      <c r="O254" s="38">
        <f t="shared" si="3"/>
        <v>5.1173769923769923E-2</v>
      </c>
    </row>
    <row r="255" spans="1:15" hidden="1">
      <c r="A255" s="19" t="s">
        <v>283</v>
      </c>
      <c r="B255" s="19" t="s">
        <v>27</v>
      </c>
      <c r="C255" s="20">
        <v>45512</v>
      </c>
      <c r="D255" s="21" t="s">
        <v>14</v>
      </c>
      <c r="E255" s="22" t="s">
        <v>363</v>
      </c>
      <c r="F255" s="23">
        <v>1994</v>
      </c>
      <c r="G255" s="23">
        <v>197</v>
      </c>
      <c r="H255" s="23">
        <v>290</v>
      </c>
      <c r="I255" s="23">
        <v>49500</v>
      </c>
      <c r="J255" s="23">
        <v>23343</v>
      </c>
      <c r="K255" s="23">
        <v>160</v>
      </c>
      <c r="L255" s="21" t="s">
        <v>19</v>
      </c>
      <c r="M255" s="21" t="s">
        <v>365</v>
      </c>
      <c r="N255" s="21" t="s">
        <v>20</v>
      </c>
      <c r="O255" s="38">
        <f t="shared" si="3"/>
        <v>5.0121212121212122E-2</v>
      </c>
    </row>
    <row r="256" spans="1:15" hidden="1">
      <c r="A256" s="19" t="s">
        <v>190</v>
      </c>
      <c r="B256" s="19" t="s">
        <v>27</v>
      </c>
      <c r="C256" s="20">
        <v>45330</v>
      </c>
      <c r="D256" s="21" t="s">
        <v>48</v>
      </c>
      <c r="E256" s="22" t="s">
        <v>33</v>
      </c>
      <c r="F256" s="23">
        <v>1889</v>
      </c>
      <c r="G256" s="23">
        <v>298</v>
      </c>
      <c r="H256" s="23">
        <v>122</v>
      </c>
      <c r="I256" s="23">
        <v>46225</v>
      </c>
      <c r="J256" s="23">
        <v>74305</v>
      </c>
      <c r="K256" s="23">
        <v>293</v>
      </c>
      <c r="L256" s="21" t="s">
        <v>19</v>
      </c>
      <c r="M256" s="21" t="s">
        <v>37</v>
      </c>
      <c r="N256" s="21" t="s">
        <v>49</v>
      </c>
      <c r="O256" s="38">
        <f t="shared" si="3"/>
        <v>4.9951325040562468E-2</v>
      </c>
    </row>
    <row r="257" spans="1:15" hidden="1">
      <c r="A257" s="19" t="s">
        <v>146</v>
      </c>
      <c r="B257" s="19" t="s">
        <v>13</v>
      </c>
      <c r="C257" s="20">
        <v>45781</v>
      </c>
      <c r="D257" s="21" t="s">
        <v>23</v>
      </c>
      <c r="E257" s="22" t="s">
        <v>24</v>
      </c>
      <c r="F257" s="23">
        <v>1311</v>
      </c>
      <c r="G257" s="23">
        <v>181</v>
      </c>
      <c r="H257" s="23">
        <v>361</v>
      </c>
      <c r="I257" s="23">
        <v>37148</v>
      </c>
      <c r="J257" s="23">
        <v>44875</v>
      </c>
      <c r="K257" s="23">
        <v>245</v>
      </c>
      <c r="L257" s="21" t="s">
        <v>34</v>
      </c>
      <c r="M257" s="21"/>
      <c r="N257" s="21" t="s">
        <v>46</v>
      </c>
      <c r="O257" s="38">
        <f t="shared" si="3"/>
        <v>4.9881554861634543E-2</v>
      </c>
    </row>
    <row r="258" spans="1:15" hidden="1">
      <c r="A258" s="19" t="s">
        <v>260</v>
      </c>
      <c r="B258" s="19" t="s">
        <v>27</v>
      </c>
      <c r="C258" s="20">
        <v>45791</v>
      </c>
      <c r="D258" s="21" t="s">
        <v>14</v>
      </c>
      <c r="E258" s="22" t="s">
        <v>15</v>
      </c>
      <c r="F258" s="23">
        <v>1701</v>
      </c>
      <c r="G258" s="23">
        <v>272</v>
      </c>
      <c r="H258" s="23">
        <v>385</v>
      </c>
      <c r="I258" s="23">
        <v>47496</v>
      </c>
      <c r="J258" s="23">
        <v>40832</v>
      </c>
      <c r="K258" s="23">
        <v>246</v>
      </c>
      <c r="L258" s="21" t="s">
        <v>19</v>
      </c>
      <c r="M258" s="21" t="s">
        <v>365</v>
      </c>
      <c r="N258" s="21" t="s">
        <v>20</v>
      </c>
      <c r="O258" s="38">
        <f t="shared" ref="O258:O301" si="4" xml:space="preserve"> (F258+ G258 + H258) / I258</f>
        <v>4.9646286003031836E-2</v>
      </c>
    </row>
    <row r="259" spans="1:15" hidden="1">
      <c r="A259" s="19" t="s">
        <v>271</v>
      </c>
      <c r="B259" s="19" t="s">
        <v>22</v>
      </c>
      <c r="C259" s="20">
        <v>45550</v>
      </c>
      <c r="D259" s="21" t="s">
        <v>14</v>
      </c>
      <c r="E259" s="22" t="s">
        <v>30</v>
      </c>
      <c r="F259" s="23">
        <v>2145</v>
      </c>
      <c r="G259" s="23">
        <v>340</v>
      </c>
      <c r="H259" s="23">
        <v>85</v>
      </c>
      <c r="I259" s="23">
        <v>53323</v>
      </c>
      <c r="J259" s="23">
        <v>49938</v>
      </c>
      <c r="K259" s="23">
        <v>104</v>
      </c>
      <c r="L259" s="21" t="s">
        <v>34</v>
      </c>
      <c r="M259" s="21"/>
      <c r="N259" s="21" t="s">
        <v>16</v>
      </c>
      <c r="O259" s="38">
        <f t="shared" si="4"/>
        <v>4.819683813738912E-2</v>
      </c>
    </row>
    <row r="260" spans="1:15" hidden="1">
      <c r="A260" s="19" t="s">
        <v>85</v>
      </c>
      <c r="B260" s="19" t="s">
        <v>22</v>
      </c>
      <c r="C260" s="20">
        <v>45420</v>
      </c>
      <c r="D260" s="21" t="s">
        <v>14</v>
      </c>
      <c r="E260" s="22" t="s">
        <v>18</v>
      </c>
      <c r="F260" s="23">
        <v>1828</v>
      </c>
      <c r="G260" s="23">
        <v>450</v>
      </c>
      <c r="H260" s="23">
        <v>214</v>
      </c>
      <c r="I260" s="23">
        <v>52115</v>
      </c>
      <c r="J260" s="23">
        <v>19166</v>
      </c>
      <c r="K260" s="23">
        <v>190</v>
      </c>
      <c r="L260" s="21" t="s">
        <v>34</v>
      </c>
      <c r="M260" s="21"/>
      <c r="N260" s="21" t="s">
        <v>16</v>
      </c>
      <c r="O260" s="38">
        <f t="shared" si="4"/>
        <v>4.781732706514439E-2</v>
      </c>
    </row>
    <row r="261" spans="1:15" hidden="1">
      <c r="A261" s="19" t="s">
        <v>163</v>
      </c>
      <c r="B261" s="19" t="s">
        <v>27</v>
      </c>
      <c r="C261" s="20">
        <v>45318</v>
      </c>
      <c r="D261" s="21" t="s">
        <v>14</v>
      </c>
      <c r="E261" s="22" t="s">
        <v>42</v>
      </c>
      <c r="F261" s="23">
        <v>1976</v>
      </c>
      <c r="G261" s="23">
        <v>262</v>
      </c>
      <c r="H261" s="23">
        <v>218</v>
      </c>
      <c r="I261" s="23">
        <v>51696</v>
      </c>
      <c r="J261" s="23">
        <v>44846</v>
      </c>
      <c r="K261" s="23">
        <v>139</v>
      </c>
      <c r="L261" s="21" t="s">
        <v>19</v>
      </c>
      <c r="M261" s="21" t="s">
        <v>365</v>
      </c>
      <c r="N261" s="21" t="s">
        <v>20</v>
      </c>
      <c r="O261" s="38">
        <f t="shared" si="4"/>
        <v>4.7508511296812134E-2</v>
      </c>
    </row>
    <row r="262" spans="1:15" hidden="1">
      <c r="A262" s="19" t="s">
        <v>44</v>
      </c>
      <c r="B262" s="19" t="s">
        <v>22</v>
      </c>
      <c r="C262" s="20">
        <v>45453</v>
      </c>
      <c r="D262" s="21" t="s">
        <v>14</v>
      </c>
      <c r="E262" s="22" t="s">
        <v>362</v>
      </c>
      <c r="F262" s="23">
        <v>1514</v>
      </c>
      <c r="G262" s="23">
        <v>164</v>
      </c>
      <c r="H262" s="23">
        <v>275</v>
      </c>
      <c r="I262" s="23">
        <v>41364</v>
      </c>
      <c r="J262" s="23">
        <v>44389</v>
      </c>
      <c r="K262" s="23">
        <v>83</v>
      </c>
      <c r="L262" s="21" t="s">
        <v>34</v>
      </c>
      <c r="M262" s="21"/>
      <c r="N262" s="21" t="s">
        <v>16</v>
      </c>
      <c r="O262" s="38">
        <f t="shared" si="4"/>
        <v>4.7214969538729328E-2</v>
      </c>
    </row>
    <row r="263" spans="1:15" hidden="1">
      <c r="A263" s="19" t="s">
        <v>150</v>
      </c>
      <c r="B263" s="19" t="s">
        <v>13</v>
      </c>
      <c r="C263" s="20">
        <v>45674</v>
      </c>
      <c r="D263" s="21" t="s">
        <v>14</v>
      </c>
      <c r="E263" s="22" t="s">
        <v>33</v>
      </c>
      <c r="F263" s="23">
        <v>2266</v>
      </c>
      <c r="G263" s="23">
        <v>126</v>
      </c>
      <c r="H263" s="23">
        <v>140</v>
      </c>
      <c r="I263" s="23">
        <v>53759</v>
      </c>
      <c r="J263" s="23">
        <v>46834</v>
      </c>
      <c r="K263" s="23">
        <v>277</v>
      </c>
      <c r="L263" s="21" t="s">
        <v>19</v>
      </c>
      <c r="M263" s="21"/>
      <c r="N263" s="21" t="s">
        <v>20</v>
      </c>
      <c r="O263" s="38">
        <f t="shared" si="4"/>
        <v>4.7099090384865788E-2</v>
      </c>
    </row>
    <row r="264" spans="1:15" hidden="1">
      <c r="A264" s="19" t="s">
        <v>99</v>
      </c>
      <c r="B264" s="19" t="s">
        <v>22</v>
      </c>
      <c r="C264" s="20">
        <v>45643</v>
      </c>
      <c r="D264" s="21" t="s">
        <v>23</v>
      </c>
      <c r="E264" s="22" t="s">
        <v>361</v>
      </c>
      <c r="F264" s="23">
        <v>1316</v>
      </c>
      <c r="G264" s="23">
        <v>472</v>
      </c>
      <c r="H264" s="23">
        <v>286</v>
      </c>
      <c r="I264" s="23">
        <v>44692</v>
      </c>
      <c r="J264" s="23">
        <v>53343</v>
      </c>
      <c r="K264" s="23">
        <v>227</v>
      </c>
      <c r="L264" s="21" t="s">
        <v>19</v>
      </c>
      <c r="M264" s="21" t="s">
        <v>364</v>
      </c>
      <c r="N264" s="21" t="s">
        <v>16</v>
      </c>
      <c r="O264" s="38">
        <f t="shared" si="4"/>
        <v>4.6406515707509172E-2</v>
      </c>
    </row>
    <row r="265" spans="1:15" hidden="1">
      <c r="A265" s="19" t="s">
        <v>249</v>
      </c>
      <c r="B265" s="19" t="s">
        <v>22</v>
      </c>
      <c r="C265" s="20">
        <v>45332</v>
      </c>
      <c r="D265" s="21" t="s">
        <v>14</v>
      </c>
      <c r="E265" s="22" t="s">
        <v>363</v>
      </c>
      <c r="F265" s="23">
        <v>1519</v>
      </c>
      <c r="G265" s="23">
        <v>456</v>
      </c>
      <c r="H265" s="23">
        <v>379</v>
      </c>
      <c r="I265" s="23">
        <v>51611</v>
      </c>
      <c r="J265" s="23">
        <v>45880</v>
      </c>
      <c r="K265" s="23">
        <v>176</v>
      </c>
      <c r="L265" s="21" t="s">
        <v>37</v>
      </c>
      <c r="M265" s="21"/>
      <c r="N265" s="21" t="s">
        <v>20</v>
      </c>
      <c r="O265" s="38">
        <f t="shared" si="4"/>
        <v>4.5610431884675749E-2</v>
      </c>
    </row>
    <row r="266" spans="1:15" hidden="1">
      <c r="A266" s="19" t="s">
        <v>230</v>
      </c>
      <c r="B266" s="19" t="s">
        <v>22</v>
      </c>
      <c r="C266" s="20">
        <v>45369</v>
      </c>
      <c r="D266" s="21" t="s">
        <v>14</v>
      </c>
      <c r="E266" s="22" t="s">
        <v>24</v>
      </c>
      <c r="F266" s="23">
        <v>2033</v>
      </c>
      <c r="G266" s="23">
        <v>420</v>
      </c>
      <c r="H266" s="23">
        <v>94</v>
      </c>
      <c r="I266" s="23">
        <v>56290</v>
      </c>
      <c r="J266" s="23">
        <v>57391</v>
      </c>
      <c r="K266" s="23">
        <v>196</v>
      </c>
      <c r="L266" s="21" t="s">
        <v>34</v>
      </c>
      <c r="M266" s="21"/>
      <c r="N266" s="21" t="s">
        <v>16</v>
      </c>
      <c r="O266" s="38">
        <f t="shared" si="4"/>
        <v>4.5247823769763724E-2</v>
      </c>
    </row>
    <row r="267" spans="1:15" hidden="1">
      <c r="A267" s="19" t="s">
        <v>323</v>
      </c>
      <c r="B267" s="19" t="s">
        <v>27</v>
      </c>
      <c r="C267" s="20">
        <v>45765</v>
      </c>
      <c r="D267" s="21" t="s">
        <v>48</v>
      </c>
      <c r="E267" s="22" t="s">
        <v>42</v>
      </c>
      <c r="F267" s="23">
        <v>1265</v>
      </c>
      <c r="G267" s="23">
        <v>230</v>
      </c>
      <c r="H267" s="23">
        <v>364</v>
      </c>
      <c r="I267" s="23">
        <v>41312</v>
      </c>
      <c r="J267" s="23">
        <v>50382</v>
      </c>
      <c r="K267" s="23">
        <v>106</v>
      </c>
      <c r="L267" s="21" t="s">
        <v>19</v>
      </c>
      <c r="M267" s="21" t="s">
        <v>37</v>
      </c>
      <c r="N267" s="21" t="s">
        <v>49</v>
      </c>
      <c r="O267" s="38">
        <f t="shared" si="4"/>
        <v>4.4999031758326875E-2</v>
      </c>
    </row>
    <row r="268" spans="1:15" hidden="1">
      <c r="A268" s="19" t="s">
        <v>116</v>
      </c>
      <c r="B268" s="19" t="s">
        <v>22</v>
      </c>
      <c r="C268" s="20">
        <v>45791</v>
      </c>
      <c r="D268" s="21" t="s">
        <v>23</v>
      </c>
      <c r="E268" s="22" t="s">
        <v>360</v>
      </c>
      <c r="F268" s="23">
        <v>1371</v>
      </c>
      <c r="G268" s="23">
        <v>139</v>
      </c>
      <c r="H268" s="23">
        <v>96</v>
      </c>
      <c r="I268" s="23">
        <v>36140</v>
      </c>
      <c r="J268" s="23">
        <v>39395</v>
      </c>
      <c r="K268" s="23">
        <v>169</v>
      </c>
      <c r="L268" s="21" t="s">
        <v>37</v>
      </c>
      <c r="M268" s="21" t="s">
        <v>34</v>
      </c>
      <c r="N268" s="21" t="s">
        <v>16</v>
      </c>
      <c r="O268" s="38">
        <f t="shared" si="4"/>
        <v>4.4438295517432211E-2</v>
      </c>
    </row>
    <row r="269" spans="1:15" hidden="1">
      <c r="A269" s="19" t="s">
        <v>64</v>
      </c>
      <c r="B269" s="19" t="s">
        <v>13</v>
      </c>
      <c r="C269" s="20">
        <v>45666</v>
      </c>
      <c r="D269" s="21" t="s">
        <v>14</v>
      </c>
      <c r="E269" s="22" t="s">
        <v>24</v>
      </c>
      <c r="F269" s="23">
        <v>1015</v>
      </c>
      <c r="G269" s="23">
        <v>366</v>
      </c>
      <c r="H269" s="23">
        <v>308</v>
      </c>
      <c r="I269" s="23">
        <v>38127</v>
      </c>
      <c r="J269" s="23">
        <v>63790</v>
      </c>
      <c r="K269" s="23">
        <v>287</v>
      </c>
      <c r="L269" s="21" t="s">
        <v>37</v>
      </c>
      <c r="M269" s="21" t="s">
        <v>34</v>
      </c>
      <c r="N269" s="21" t="s">
        <v>16</v>
      </c>
      <c r="O269" s="38">
        <f t="shared" si="4"/>
        <v>4.4299315445747112E-2</v>
      </c>
    </row>
    <row r="270" spans="1:15" hidden="1">
      <c r="A270" s="19" t="s">
        <v>281</v>
      </c>
      <c r="B270" s="19" t="s">
        <v>22</v>
      </c>
      <c r="C270" s="20">
        <v>45480</v>
      </c>
      <c r="D270" s="21" t="s">
        <v>14</v>
      </c>
      <c r="E270" s="22" t="s">
        <v>362</v>
      </c>
      <c r="F270" s="23">
        <v>1848</v>
      </c>
      <c r="G270" s="23">
        <v>417</v>
      </c>
      <c r="H270" s="23">
        <v>294</v>
      </c>
      <c r="I270" s="23">
        <v>57819</v>
      </c>
      <c r="J270" s="23">
        <v>19798</v>
      </c>
      <c r="K270" s="23">
        <v>262</v>
      </c>
      <c r="L270" s="21" t="s">
        <v>37</v>
      </c>
      <c r="M270" s="21"/>
      <c r="N270" s="21" t="s">
        <v>20</v>
      </c>
      <c r="O270" s="38">
        <f t="shared" si="4"/>
        <v>4.4258807658382193E-2</v>
      </c>
    </row>
    <row r="271" spans="1:15" hidden="1">
      <c r="A271" s="19" t="s">
        <v>92</v>
      </c>
      <c r="B271" s="19" t="s">
        <v>22</v>
      </c>
      <c r="C271" s="20">
        <v>45599</v>
      </c>
      <c r="D271" s="21" t="s">
        <v>23</v>
      </c>
      <c r="E271" s="22" t="s">
        <v>360</v>
      </c>
      <c r="F271" s="23">
        <v>1959</v>
      </c>
      <c r="G271" s="23">
        <v>316</v>
      </c>
      <c r="H271" s="23">
        <v>82</v>
      </c>
      <c r="I271" s="23">
        <v>54036</v>
      </c>
      <c r="J271" s="23">
        <v>69015</v>
      </c>
      <c r="K271" s="23">
        <v>182</v>
      </c>
      <c r="L271" s="21" t="s">
        <v>364</v>
      </c>
      <c r="M271" s="21" t="s">
        <v>34</v>
      </c>
      <c r="N271" s="21" t="s">
        <v>16</v>
      </c>
      <c r="O271" s="38">
        <f t="shared" si="4"/>
        <v>4.3619068768968837E-2</v>
      </c>
    </row>
    <row r="272" spans="1:15" hidden="1">
      <c r="A272" s="19" t="s">
        <v>51</v>
      </c>
      <c r="B272" s="19" t="s">
        <v>13</v>
      </c>
      <c r="C272" s="20">
        <v>45603</v>
      </c>
      <c r="D272" s="21" t="s">
        <v>23</v>
      </c>
      <c r="E272" s="22" t="s">
        <v>360</v>
      </c>
      <c r="F272" s="23">
        <v>1678</v>
      </c>
      <c r="G272" s="23">
        <v>423</v>
      </c>
      <c r="H272" s="23">
        <v>323</v>
      </c>
      <c r="I272" s="23">
        <v>55668</v>
      </c>
      <c r="J272" s="23">
        <v>37945</v>
      </c>
      <c r="K272" s="23">
        <v>230</v>
      </c>
      <c r="L272" s="21" t="s">
        <v>34</v>
      </c>
      <c r="M272" s="21"/>
      <c r="N272" s="21" t="s">
        <v>46</v>
      </c>
      <c r="O272" s="38">
        <f t="shared" si="4"/>
        <v>4.3543867212761371E-2</v>
      </c>
    </row>
    <row r="273" spans="1:15" hidden="1">
      <c r="A273" s="19" t="s">
        <v>211</v>
      </c>
      <c r="B273" s="19" t="s">
        <v>22</v>
      </c>
      <c r="C273" s="20">
        <v>45370</v>
      </c>
      <c r="D273" s="21" t="s">
        <v>14</v>
      </c>
      <c r="E273" s="22" t="s">
        <v>363</v>
      </c>
      <c r="F273" s="23">
        <v>2191</v>
      </c>
      <c r="G273" s="23">
        <v>288</v>
      </c>
      <c r="H273" s="23">
        <v>83</v>
      </c>
      <c r="I273" s="23">
        <v>59606</v>
      </c>
      <c r="J273" s="23">
        <v>24765</v>
      </c>
      <c r="K273" s="23">
        <v>281</v>
      </c>
      <c r="L273" s="21" t="s">
        <v>37</v>
      </c>
      <c r="M273" s="21"/>
      <c r="N273" s="21" t="s">
        <v>20</v>
      </c>
      <c r="O273" s="38">
        <f t="shared" si="4"/>
        <v>4.2982250109049422E-2</v>
      </c>
    </row>
    <row r="274" spans="1:15" hidden="1">
      <c r="A274" s="19" t="s">
        <v>148</v>
      </c>
      <c r="B274" s="19" t="s">
        <v>22</v>
      </c>
      <c r="C274" s="20">
        <v>45428</v>
      </c>
      <c r="D274" s="21" t="s">
        <v>23</v>
      </c>
      <c r="E274" s="22" t="s">
        <v>361</v>
      </c>
      <c r="F274" s="23">
        <v>2023</v>
      </c>
      <c r="G274" s="23">
        <v>124</v>
      </c>
      <c r="H274" s="23">
        <v>99</v>
      </c>
      <c r="I274" s="23">
        <v>54524</v>
      </c>
      <c r="J274" s="23">
        <v>34790</v>
      </c>
      <c r="K274" s="23">
        <v>195</v>
      </c>
      <c r="L274" s="21" t="s">
        <v>19</v>
      </c>
      <c r="M274" s="21" t="s">
        <v>364</v>
      </c>
      <c r="N274" s="21" t="s">
        <v>16</v>
      </c>
      <c r="O274" s="38">
        <f t="shared" si="4"/>
        <v>4.1192869195216787E-2</v>
      </c>
    </row>
    <row r="275" spans="1:15" hidden="1">
      <c r="A275" s="19" t="s">
        <v>104</v>
      </c>
      <c r="B275" s="19" t="s">
        <v>22</v>
      </c>
      <c r="C275" s="20">
        <v>45431</v>
      </c>
      <c r="D275" s="21" t="s">
        <v>23</v>
      </c>
      <c r="E275" s="22" t="s">
        <v>30</v>
      </c>
      <c r="F275" s="23">
        <v>1763</v>
      </c>
      <c r="G275" s="23">
        <v>206</v>
      </c>
      <c r="H275" s="23">
        <v>187</v>
      </c>
      <c r="I275" s="23">
        <v>53342</v>
      </c>
      <c r="J275" s="23">
        <v>25095</v>
      </c>
      <c r="K275" s="23">
        <v>88</v>
      </c>
      <c r="L275" s="21" t="s">
        <v>19</v>
      </c>
      <c r="M275" s="21" t="s">
        <v>364</v>
      </c>
      <c r="N275" s="21" t="s">
        <v>16</v>
      </c>
      <c r="O275" s="38">
        <f t="shared" si="4"/>
        <v>4.0418432004799221E-2</v>
      </c>
    </row>
    <row r="276" spans="1:15" hidden="1">
      <c r="A276" s="19" t="s">
        <v>242</v>
      </c>
      <c r="B276" s="19" t="s">
        <v>22</v>
      </c>
      <c r="C276" s="20">
        <v>45827</v>
      </c>
      <c r="D276" s="21" t="s">
        <v>23</v>
      </c>
      <c r="E276" s="22" t="s">
        <v>362</v>
      </c>
      <c r="F276" s="23">
        <v>1433</v>
      </c>
      <c r="G276" s="23">
        <v>452</v>
      </c>
      <c r="H276" s="23">
        <v>305</v>
      </c>
      <c r="I276" s="23">
        <v>54541</v>
      </c>
      <c r="J276" s="23">
        <v>63700</v>
      </c>
      <c r="K276" s="23">
        <v>296</v>
      </c>
      <c r="L276" s="21" t="s">
        <v>19</v>
      </c>
      <c r="M276" s="21" t="s">
        <v>364</v>
      </c>
      <c r="N276" s="21" t="s">
        <v>16</v>
      </c>
      <c r="O276" s="38">
        <f t="shared" si="4"/>
        <v>4.0153279184466734E-2</v>
      </c>
    </row>
    <row r="277" spans="1:15" hidden="1">
      <c r="A277" s="19" t="s">
        <v>74</v>
      </c>
      <c r="B277" s="19" t="s">
        <v>13</v>
      </c>
      <c r="C277" s="20">
        <v>45541</v>
      </c>
      <c r="D277" s="21" t="s">
        <v>14</v>
      </c>
      <c r="E277" s="22" t="s">
        <v>24</v>
      </c>
      <c r="F277" s="23">
        <v>1452</v>
      </c>
      <c r="G277" s="23">
        <v>281</v>
      </c>
      <c r="H277" s="23">
        <v>326</v>
      </c>
      <c r="I277" s="23">
        <v>51556</v>
      </c>
      <c r="J277" s="23">
        <v>62599</v>
      </c>
      <c r="K277" s="23">
        <v>290</v>
      </c>
      <c r="L277" s="21" t="s">
        <v>19</v>
      </c>
      <c r="M277" s="21"/>
      <c r="N277" s="21" t="s">
        <v>20</v>
      </c>
      <c r="O277" s="38">
        <f t="shared" si="4"/>
        <v>3.9937155714174881E-2</v>
      </c>
    </row>
    <row r="278" spans="1:15" hidden="1">
      <c r="A278" s="19" t="s">
        <v>69</v>
      </c>
      <c r="B278" s="19" t="s">
        <v>13</v>
      </c>
      <c r="C278" s="20">
        <v>45621</v>
      </c>
      <c r="D278" s="21" t="s">
        <v>14</v>
      </c>
      <c r="E278" s="22" t="s">
        <v>363</v>
      </c>
      <c r="F278" s="23">
        <v>1341</v>
      </c>
      <c r="G278" s="23">
        <v>472</v>
      </c>
      <c r="H278" s="23">
        <v>238</v>
      </c>
      <c r="I278" s="23">
        <v>51386</v>
      </c>
      <c r="J278" s="23">
        <v>51706</v>
      </c>
      <c r="K278" s="23">
        <v>133</v>
      </c>
      <c r="L278" s="21" t="s">
        <v>19</v>
      </c>
      <c r="M278" s="21"/>
      <c r="N278" s="21" t="s">
        <v>20</v>
      </c>
      <c r="O278" s="38">
        <f t="shared" si="4"/>
        <v>3.9913595142645857E-2</v>
      </c>
    </row>
    <row r="279" spans="1:15" hidden="1">
      <c r="A279" s="19" t="s">
        <v>143</v>
      </c>
      <c r="B279" s="19" t="s">
        <v>13</v>
      </c>
      <c r="C279" s="20">
        <v>45544</v>
      </c>
      <c r="D279" s="21" t="s">
        <v>14</v>
      </c>
      <c r="E279" s="22" t="s">
        <v>24</v>
      </c>
      <c r="F279" s="23">
        <v>1616</v>
      </c>
      <c r="G279" s="23">
        <v>360</v>
      </c>
      <c r="H279" s="23">
        <v>180</v>
      </c>
      <c r="I279" s="23">
        <v>54342</v>
      </c>
      <c r="J279" s="23">
        <v>18796</v>
      </c>
      <c r="K279" s="23">
        <v>282</v>
      </c>
      <c r="L279" s="21" t="s">
        <v>37</v>
      </c>
      <c r="M279" s="21" t="s">
        <v>34</v>
      </c>
      <c r="N279" s="21" t="s">
        <v>16</v>
      </c>
      <c r="O279" s="38">
        <f t="shared" si="4"/>
        <v>3.9674653122814763E-2</v>
      </c>
    </row>
    <row r="280" spans="1:15" hidden="1">
      <c r="A280" s="19" t="s">
        <v>238</v>
      </c>
      <c r="B280" s="19" t="s">
        <v>22</v>
      </c>
      <c r="C280" s="20">
        <v>45754</v>
      </c>
      <c r="D280" s="21" t="s">
        <v>14</v>
      </c>
      <c r="E280" s="22" t="s">
        <v>363</v>
      </c>
      <c r="F280" s="23">
        <v>1403</v>
      </c>
      <c r="G280" s="23">
        <v>385</v>
      </c>
      <c r="H280" s="23">
        <v>344</v>
      </c>
      <c r="I280" s="23">
        <v>54223</v>
      </c>
      <c r="J280" s="23">
        <v>72595</v>
      </c>
      <c r="K280" s="23">
        <v>239</v>
      </c>
      <c r="L280" s="21" t="s">
        <v>37</v>
      </c>
      <c r="M280" s="21"/>
      <c r="N280" s="21" t="s">
        <v>20</v>
      </c>
      <c r="O280" s="38">
        <f t="shared" si="4"/>
        <v>3.9319108127547353E-2</v>
      </c>
    </row>
    <row r="281" spans="1:15" hidden="1">
      <c r="A281" s="19" t="s">
        <v>68</v>
      </c>
      <c r="B281" s="19" t="s">
        <v>13</v>
      </c>
      <c r="C281" s="20">
        <v>45545</v>
      </c>
      <c r="D281" s="21" t="s">
        <v>23</v>
      </c>
      <c r="E281" s="22" t="s">
        <v>24</v>
      </c>
      <c r="F281" s="23">
        <v>1230</v>
      </c>
      <c r="G281" s="23">
        <v>309</v>
      </c>
      <c r="H281" s="23">
        <v>207</v>
      </c>
      <c r="I281" s="23">
        <v>44629</v>
      </c>
      <c r="J281" s="23">
        <v>40699</v>
      </c>
      <c r="K281" s="23">
        <v>195</v>
      </c>
      <c r="L281" s="21" t="s">
        <v>34</v>
      </c>
      <c r="M281" s="21"/>
      <c r="N281" s="21" t="s">
        <v>46</v>
      </c>
      <c r="O281" s="38">
        <f t="shared" si="4"/>
        <v>3.9122543637545096E-2</v>
      </c>
    </row>
    <row r="282" spans="1:15" hidden="1">
      <c r="A282" s="19" t="s">
        <v>186</v>
      </c>
      <c r="B282" s="19" t="s">
        <v>27</v>
      </c>
      <c r="C282" s="20">
        <v>45538</v>
      </c>
      <c r="D282" s="21" t="s">
        <v>48</v>
      </c>
      <c r="E282" s="22" t="s">
        <v>362</v>
      </c>
      <c r="F282" s="23">
        <v>1437</v>
      </c>
      <c r="G282" s="23">
        <v>494</v>
      </c>
      <c r="H282" s="23">
        <v>129</v>
      </c>
      <c r="I282" s="23">
        <v>53048</v>
      </c>
      <c r="J282" s="23">
        <v>44090</v>
      </c>
      <c r="K282" s="23">
        <v>230</v>
      </c>
      <c r="L282" s="21" t="s">
        <v>19</v>
      </c>
      <c r="M282" s="21" t="s">
        <v>37</v>
      </c>
      <c r="N282" s="21" t="s">
        <v>49</v>
      </c>
      <c r="O282" s="38">
        <f t="shared" si="4"/>
        <v>3.8832755240536872E-2</v>
      </c>
    </row>
    <row r="283" spans="1:15" hidden="1">
      <c r="A283" s="19" t="s">
        <v>93</v>
      </c>
      <c r="B283" s="19" t="s">
        <v>22</v>
      </c>
      <c r="C283" s="20">
        <v>45480</v>
      </c>
      <c r="D283" s="21" t="s">
        <v>14</v>
      </c>
      <c r="E283" s="22" t="s">
        <v>24</v>
      </c>
      <c r="F283" s="23">
        <v>1035</v>
      </c>
      <c r="G283" s="23">
        <v>137</v>
      </c>
      <c r="H283" s="23">
        <v>184</v>
      </c>
      <c r="I283" s="23">
        <v>37302</v>
      </c>
      <c r="J283" s="23">
        <v>68953</v>
      </c>
      <c r="K283" s="23">
        <v>237</v>
      </c>
      <c r="L283" s="21" t="s">
        <v>37</v>
      </c>
      <c r="M283" s="21"/>
      <c r="N283" s="21" t="s">
        <v>20</v>
      </c>
      <c r="O283" s="38">
        <f t="shared" si="4"/>
        <v>3.6351938233874857E-2</v>
      </c>
    </row>
    <row r="284" spans="1:15" hidden="1">
      <c r="A284" s="19" t="s">
        <v>152</v>
      </c>
      <c r="B284" s="19" t="s">
        <v>22</v>
      </c>
      <c r="C284" s="20">
        <v>45346</v>
      </c>
      <c r="D284" s="21" t="s">
        <v>23</v>
      </c>
      <c r="E284" s="22" t="s">
        <v>361</v>
      </c>
      <c r="F284" s="23">
        <v>1022</v>
      </c>
      <c r="G284" s="23">
        <v>463</v>
      </c>
      <c r="H284" s="23">
        <v>360</v>
      </c>
      <c r="I284" s="23">
        <v>51468</v>
      </c>
      <c r="J284" s="23">
        <v>24279</v>
      </c>
      <c r="K284" s="23">
        <v>230</v>
      </c>
      <c r="L284" s="21" t="s">
        <v>19</v>
      </c>
      <c r="M284" s="21" t="s">
        <v>364</v>
      </c>
      <c r="N284" s="21" t="s">
        <v>16</v>
      </c>
      <c r="O284" s="38">
        <f t="shared" si="4"/>
        <v>3.5847516903707161E-2</v>
      </c>
    </row>
    <row r="285" spans="1:15" hidden="1">
      <c r="A285" s="19" t="s">
        <v>227</v>
      </c>
      <c r="B285" s="19" t="s">
        <v>27</v>
      </c>
      <c r="C285" s="20">
        <v>45634</v>
      </c>
      <c r="D285" s="21" t="s">
        <v>14</v>
      </c>
      <c r="E285" s="22" t="s">
        <v>33</v>
      </c>
      <c r="F285" s="23">
        <v>1424</v>
      </c>
      <c r="G285" s="23">
        <v>396</v>
      </c>
      <c r="H285" s="23">
        <v>312</v>
      </c>
      <c r="I285" s="23">
        <v>59517</v>
      </c>
      <c r="J285" s="23">
        <v>46102</v>
      </c>
      <c r="K285" s="23">
        <v>239</v>
      </c>
      <c r="L285" s="21" t="s">
        <v>19</v>
      </c>
      <c r="M285" s="21" t="s">
        <v>365</v>
      </c>
      <c r="N285" s="21" t="s">
        <v>20</v>
      </c>
      <c r="O285" s="38">
        <f t="shared" si="4"/>
        <v>3.5821698002251455E-2</v>
      </c>
    </row>
    <row r="286" spans="1:15" hidden="1">
      <c r="A286" s="19" t="s">
        <v>95</v>
      </c>
      <c r="B286" s="19" t="s">
        <v>27</v>
      </c>
      <c r="C286" s="20">
        <v>45438</v>
      </c>
      <c r="D286" s="21" t="s">
        <v>14</v>
      </c>
      <c r="E286" s="22" t="s">
        <v>363</v>
      </c>
      <c r="F286" s="23">
        <v>1488</v>
      </c>
      <c r="G286" s="23">
        <v>327</v>
      </c>
      <c r="H286" s="23">
        <v>110</v>
      </c>
      <c r="I286" s="23">
        <v>53805</v>
      </c>
      <c r="J286" s="23">
        <v>30239</v>
      </c>
      <c r="K286" s="23">
        <v>109</v>
      </c>
      <c r="L286" s="21" t="s">
        <v>19</v>
      </c>
      <c r="M286" s="21" t="s">
        <v>365</v>
      </c>
      <c r="N286" s="21" t="s">
        <v>20</v>
      </c>
      <c r="O286" s="38">
        <f t="shared" si="4"/>
        <v>3.5777344113000653E-2</v>
      </c>
    </row>
    <row r="287" spans="1:15" hidden="1">
      <c r="A287" s="19" t="s">
        <v>194</v>
      </c>
      <c r="B287" s="19" t="s">
        <v>13</v>
      </c>
      <c r="C287" s="20">
        <v>45835</v>
      </c>
      <c r="D287" s="21" t="s">
        <v>23</v>
      </c>
      <c r="E287" s="22" t="s">
        <v>362</v>
      </c>
      <c r="F287" s="23">
        <v>1342</v>
      </c>
      <c r="G287" s="23">
        <v>332</v>
      </c>
      <c r="H287" s="23">
        <v>163</v>
      </c>
      <c r="I287" s="23">
        <v>51712</v>
      </c>
      <c r="J287" s="23">
        <v>57922</v>
      </c>
      <c r="K287" s="23">
        <v>168</v>
      </c>
      <c r="L287" s="21" t="s">
        <v>34</v>
      </c>
      <c r="M287" s="21"/>
      <c r="N287" s="21" t="s">
        <v>46</v>
      </c>
      <c r="O287" s="38">
        <f t="shared" si="4"/>
        <v>3.5523669554455448E-2</v>
      </c>
    </row>
    <row r="288" spans="1:15" hidden="1">
      <c r="A288" s="19" t="s">
        <v>228</v>
      </c>
      <c r="B288" s="19" t="s">
        <v>22</v>
      </c>
      <c r="C288" s="20">
        <v>45689</v>
      </c>
      <c r="D288" s="21" t="s">
        <v>23</v>
      </c>
      <c r="E288" s="22" t="s">
        <v>33</v>
      </c>
      <c r="F288" s="23">
        <v>1079</v>
      </c>
      <c r="G288" s="23">
        <v>265</v>
      </c>
      <c r="H288" s="23">
        <v>190</v>
      </c>
      <c r="I288" s="23">
        <v>43786</v>
      </c>
      <c r="J288" s="23">
        <v>72428</v>
      </c>
      <c r="K288" s="23">
        <v>222</v>
      </c>
      <c r="L288" s="21" t="s">
        <v>37</v>
      </c>
      <c r="M288" s="21" t="s">
        <v>34</v>
      </c>
      <c r="N288" s="21" t="s">
        <v>16</v>
      </c>
      <c r="O288" s="38">
        <f t="shared" si="4"/>
        <v>3.5034029141734799E-2</v>
      </c>
    </row>
    <row r="289" spans="1:15" hidden="1">
      <c r="A289" s="19" t="s">
        <v>147</v>
      </c>
      <c r="B289" s="19" t="s">
        <v>13</v>
      </c>
      <c r="C289" s="20">
        <v>45340</v>
      </c>
      <c r="D289" s="21" t="s">
        <v>23</v>
      </c>
      <c r="E289" s="22" t="s">
        <v>363</v>
      </c>
      <c r="F289" s="23">
        <v>1516</v>
      </c>
      <c r="G289" s="23">
        <v>215</v>
      </c>
      <c r="H289" s="23">
        <v>332</v>
      </c>
      <c r="I289" s="23">
        <v>58981</v>
      </c>
      <c r="J289" s="23">
        <v>36118</v>
      </c>
      <c r="K289" s="23">
        <v>211</v>
      </c>
      <c r="L289" s="21" t="s">
        <v>34</v>
      </c>
      <c r="M289" s="21"/>
      <c r="N289" s="21" t="s">
        <v>46</v>
      </c>
      <c r="O289" s="38">
        <f t="shared" si="4"/>
        <v>3.4977365592309385E-2</v>
      </c>
    </row>
    <row r="290" spans="1:15" hidden="1">
      <c r="A290" s="19" t="s">
        <v>157</v>
      </c>
      <c r="B290" s="19" t="s">
        <v>22</v>
      </c>
      <c r="C290" s="20">
        <v>45319</v>
      </c>
      <c r="D290" s="21" t="s">
        <v>14</v>
      </c>
      <c r="E290" s="22" t="s">
        <v>361</v>
      </c>
      <c r="F290" s="23">
        <v>1456</v>
      </c>
      <c r="G290" s="23">
        <v>265</v>
      </c>
      <c r="H290" s="23">
        <v>137</v>
      </c>
      <c r="I290" s="23">
        <v>53485</v>
      </c>
      <c r="J290" s="23">
        <v>59729</v>
      </c>
      <c r="K290" s="23">
        <v>145</v>
      </c>
      <c r="L290" s="21" t="s">
        <v>37</v>
      </c>
      <c r="M290" s="21"/>
      <c r="N290" s="21" t="s">
        <v>20</v>
      </c>
      <c r="O290" s="38">
        <f t="shared" si="4"/>
        <v>3.4738711788351875E-2</v>
      </c>
    </row>
    <row r="291" spans="1:15" hidden="1">
      <c r="A291" s="19" t="s">
        <v>315</v>
      </c>
      <c r="B291" s="19" t="s">
        <v>27</v>
      </c>
      <c r="C291" s="20">
        <v>45686</v>
      </c>
      <c r="D291" s="21" t="s">
        <v>14</v>
      </c>
      <c r="E291" s="22" t="s">
        <v>24</v>
      </c>
      <c r="F291" s="23">
        <v>1334</v>
      </c>
      <c r="G291" s="23">
        <v>357</v>
      </c>
      <c r="H291" s="23">
        <v>257</v>
      </c>
      <c r="I291" s="23">
        <v>56910</v>
      </c>
      <c r="J291" s="23">
        <v>70606</v>
      </c>
      <c r="K291" s="23">
        <v>228</v>
      </c>
      <c r="L291" s="21" t="s">
        <v>19</v>
      </c>
      <c r="M291" s="21" t="s">
        <v>365</v>
      </c>
      <c r="N291" s="21" t="s">
        <v>20</v>
      </c>
      <c r="O291" s="38">
        <f t="shared" si="4"/>
        <v>3.4229485151994379E-2</v>
      </c>
    </row>
    <row r="292" spans="1:15" hidden="1">
      <c r="A292" s="19" t="s">
        <v>240</v>
      </c>
      <c r="B292" s="19" t="s">
        <v>22</v>
      </c>
      <c r="C292" s="20">
        <v>45780</v>
      </c>
      <c r="D292" s="21" t="s">
        <v>23</v>
      </c>
      <c r="E292" s="22" t="s">
        <v>33</v>
      </c>
      <c r="F292" s="23">
        <v>1010</v>
      </c>
      <c r="G292" s="23">
        <v>361</v>
      </c>
      <c r="H292" s="23">
        <v>240</v>
      </c>
      <c r="I292" s="23">
        <v>47229</v>
      </c>
      <c r="J292" s="23">
        <v>72573</v>
      </c>
      <c r="K292" s="23">
        <v>275</v>
      </c>
      <c r="L292" s="21" t="s">
        <v>37</v>
      </c>
      <c r="M292" s="21" t="s">
        <v>34</v>
      </c>
      <c r="N292" s="21" t="s">
        <v>16</v>
      </c>
      <c r="O292" s="38">
        <f t="shared" si="4"/>
        <v>3.4110398272247981E-2</v>
      </c>
    </row>
    <row r="293" spans="1:15" hidden="1">
      <c r="A293" s="19" t="s">
        <v>288</v>
      </c>
      <c r="B293" s="19" t="s">
        <v>27</v>
      </c>
      <c r="C293" s="20">
        <v>45736</v>
      </c>
      <c r="D293" s="21" t="s">
        <v>48</v>
      </c>
      <c r="E293" s="22" t="s">
        <v>363</v>
      </c>
      <c r="F293" s="23">
        <v>1453</v>
      </c>
      <c r="G293" s="23">
        <v>156</v>
      </c>
      <c r="H293" s="23">
        <v>178</v>
      </c>
      <c r="I293" s="23">
        <v>52980</v>
      </c>
      <c r="J293" s="23">
        <v>57180</v>
      </c>
      <c r="K293" s="23">
        <v>286</v>
      </c>
      <c r="L293" s="21" t="s">
        <v>19</v>
      </c>
      <c r="M293" s="21" t="s">
        <v>37</v>
      </c>
      <c r="N293" s="21" t="s">
        <v>49</v>
      </c>
      <c r="O293" s="38">
        <f t="shared" si="4"/>
        <v>3.3729709324273313E-2</v>
      </c>
    </row>
    <row r="294" spans="1:15" hidden="1">
      <c r="A294" s="19" t="s">
        <v>300</v>
      </c>
      <c r="B294" s="19" t="s">
        <v>22</v>
      </c>
      <c r="C294" s="20">
        <v>45609</v>
      </c>
      <c r="D294" s="21" t="s">
        <v>23</v>
      </c>
      <c r="E294" s="22" t="s">
        <v>24</v>
      </c>
      <c r="F294" s="23">
        <v>1409</v>
      </c>
      <c r="G294" s="23">
        <v>466</v>
      </c>
      <c r="H294" s="23">
        <v>105</v>
      </c>
      <c r="I294" s="23">
        <v>58923</v>
      </c>
      <c r="J294" s="23">
        <v>38753</v>
      </c>
      <c r="K294" s="23">
        <v>265</v>
      </c>
      <c r="L294" s="21" t="s">
        <v>19</v>
      </c>
      <c r="M294" s="21" t="s">
        <v>364</v>
      </c>
      <c r="N294" s="21" t="s">
        <v>16</v>
      </c>
      <c r="O294" s="38">
        <f t="shared" si="4"/>
        <v>3.3603177027646251E-2</v>
      </c>
    </row>
    <row r="295" spans="1:15" hidden="1">
      <c r="A295" s="19" t="s">
        <v>324</v>
      </c>
      <c r="B295" s="19" t="s">
        <v>13</v>
      </c>
      <c r="C295" s="20">
        <v>45653</v>
      </c>
      <c r="D295" s="21" t="s">
        <v>14</v>
      </c>
      <c r="E295" s="22" t="s">
        <v>363</v>
      </c>
      <c r="F295" s="23">
        <v>1436</v>
      </c>
      <c r="G295" s="23">
        <v>219</v>
      </c>
      <c r="H295" s="23">
        <v>229</v>
      </c>
      <c r="I295" s="23">
        <v>58488</v>
      </c>
      <c r="J295" s="23">
        <v>24314</v>
      </c>
      <c r="K295" s="23">
        <v>147</v>
      </c>
      <c r="L295" s="21" t="s">
        <v>19</v>
      </c>
      <c r="M295" s="21"/>
      <c r="N295" s="21" t="s">
        <v>20</v>
      </c>
      <c r="O295" s="38">
        <f t="shared" si="4"/>
        <v>3.221173574066475E-2</v>
      </c>
    </row>
    <row r="296" spans="1:15" hidden="1">
      <c r="A296" s="19" t="s">
        <v>258</v>
      </c>
      <c r="B296" s="19" t="s">
        <v>27</v>
      </c>
      <c r="C296" s="20">
        <v>45442</v>
      </c>
      <c r="D296" s="21" t="s">
        <v>48</v>
      </c>
      <c r="E296" s="22" t="s">
        <v>362</v>
      </c>
      <c r="F296" s="23">
        <v>1060</v>
      </c>
      <c r="G296" s="23">
        <v>442</v>
      </c>
      <c r="H296" s="23">
        <v>319</v>
      </c>
      <c r="I296" s="23">
        <v>57194</v>
      </c>
      <c r="J296" s="23">
        <v>24258</v>
      </c>
      <c r="K296" s="23">
        <v>101</v>
      </c>
      <c r="L296" s="21" t="s">
        <v>19</v>
      </c>
      <c r="M296" s="21" t="s">
        <v>37</v>
      </c>
      <c r="N296" s="21" t="s">
        <v>49</v>
      </c>
      <c r="O296" s="38">
        <f t="shared" si="4"/>
        <v>3.1839004091338254E-2</v>
      </c>
    </row>
    <row r="297" spans="1:15" hidden="1">
      <c r="A297" s="19" t="s">
        <v>241</v>
      </c>
      <c r="B297" s="19" t="s">
        <v>22</v>
      </c>
      <c r="C297" s="20">
        <v>45396</v>
      </c>
      <c r="D297" s="21" t="s">
        <v>23</v>
      </c>
      <c r="E297" s="22" t="s">
        <v>15</v>
      </c>
      <c r="F297" s="23">
        <v>1295</v>
      </c>
      <c r="G297" s="23">
        <v>153</v>
      </c>
      <c r="H297" s="23">
        <v>81</v>
      </c>
      <c r="I297" s="23">
        <v>48350</v>
      </c>
      <c r="J297" s="23">
        <v>61033</v>
      </c>
      <c r="K297" s="23">
        <v>232</v>
      </c>
      <c r="L297" s="21" t="s">
        <v>19</v>
      </c>
      <c r="M297" s="21" t="s">
        <v>364</v>
      </c>
      <c r="N297" s="21" t="s">
        <v>16</v>
      </c>
      <c r="O297" s="38">
        <f t="shared" si="4"/>
        <v>3.1623578076525334E-2</v>
      </c>
    </row>
    <row r="298" spans="1:15" hidden="1">
      <c r="A298" s="19" t="s">
        <v>253</v>
      </c>
      <c r="B298" s="19" t="s">
        <v>22</v>
      </c>
      <c r="C298" s="20">
        <v>45462</v>
      </c>
      <c r="D298" s="21" t="s">
        <v>14</v>
      </c>
      <c r="E298" s="22" t="s">
        <v>362</v>
      </c>
      <c r="F298" s="23">
        <v>1224</v>
      </c>
      <c r="G298" s="23">
        <v>168</v>
      </c>
      <c r="H298" s="23">
        <v>199</v>
      </c>
      <c r="I298" s="23">
        <v>54232</v>
      </c>
      <c r="J298" s="23">
        <v>52844</v>
      </c>
      <c r="K298" s="23">
        <v>271</v>
      </c>
      <c r="L298" s="21" t="s">
        <v>37</v>
      </c>
      <c r="M298" s="21"/>
      <c r="N298" s="21" t="s">
        <v>20</v>
      </c>
      <c r="O298" s="38">
        <f t="shared" si="4"/>
        <v>2.9336922849977874E-2</v>
      </c>
    </row>
    <row r="299" spans="1:15" hidden="1">
      <c r="A299" s="19" t="s">
        <v>160</v>
      </c>
      <c r="B299" s="19" t="s">
        <v>27</v>
      </c>
      <c r="C299" s="20">
        <v>45301</v>
      </c>
      <c r="D299" s="21" t="s">
        <v>14</v>
      </c>
      <c r="E299" s="22" t="s">
        <v>18</v>
      </c>
      <c r="F299" s="23">
        <v>1261</v>
      </c>
      <c r="G299" s="23">
        <v>190</v>
      </c>
      <c r="H299" s="23">
        <v>233</v>
      </c>
      <c r="I299" s="23">
        <v>59888</v>
      </c>
      <c r="J299" s="23">
        <v>51449</v>
      </c>
      <c r="K299" s="23">
        <v>205</v>
      </c>
      <c r="L299" s="21" t="s">
        <v>19</v>
      </c>
      <c r="M299" s="21" t="s">
        <v>365</v>
      </c>
      <c r="N299" s="21" t="s">
        <v>20</v>
      </c>
      <c r="O299" s="38">
        <f t="shared" si="4"/>
        <v>2.811915575741384E-2</v>
      </c>
    </row>
    <row r="300" spans="1:15" hidden="1">
      <c r="A300" s="19" t="s">
        <v>168</v>
      </c>
      <c r="B300" s="19" t="s">
        <v>22</v>
      </c>
      <c r="C300" s="20">
        <v>45624</v>
      </c>
      <c r="D300" s="21" t="s">
        <v>23</v>
      </c>
      <c r="E300" s="22" t="s">
        <v>24</v>
      </c>
      <c r="F300" s="23">
        <v>1131</v>
      </c>
      <c r="G300" s="23">
        <v>100</v>
      </c>
      <c r="H300" s="23">
        <v>116</v>
      </c>
      <c r="I300" s="23">
        <v>48437</v>
      </c>
      <c r="J300" s="23">
        <v>72704</v>
      </c>
      <c r="K300" s="23">
        <v>236</v>
      </c>
      <c r="L300" s="21" t="s">
        <v>19</v>
      </c>
      <c r="M300" s="21" t="s">
        <v>364</v>
      </c>
      <c r="N300" s="21" t="s">
        <v>16</v>
      </c>
      <c r="O300" s="38">
        <f t="shared" si="4"/>
        <v>2.7809319322005904E-2</v>
      </c>
    </row>
    <row r="301" spans="1:15" hidden="1">
      <c r="A301" s="19" t="s">
        <v>89</v>
      </c>
      <c r="B301" s="19" t="s">
        <v>27</v>
      </c>
      <c r="C301" s="20">
        <v>45514</v>
      </c>
      <c r="D301" s="21" t="s">
        <v>14</v>
      </c>
      <c r="E301" s="22" t="s">
        <v>363</v>
      </c>
      <c r="F301" s="23">
        <v>1105</v>
      </c>
      <c r="G301" s="23">
        <v>181</v>
      </c>
      <c r="H301" s="23">
        <v>55</v>
      </c>
      <c r="I301" s="23">
        <v>53581</v>
      </c>
      <c r="J301" s="23">
        <v>74048</v>
      </c>
      <c r="K301" s="23">
        <v>220</v>
      </c>
      <c r="L301" s="21" t="s">
        <v>19</v>
      </c>
      <c r="M301" s="21" t="s">
        <v>365</v>
      </c>
      <c r="N301" s="21" t="s">
        <v>20</v>
      </c>
      <c r="O301" s="38">
        <f t="shared" si="4"/>
        <v>2.50275284149232E-2</v>
      </c>
    </row>
    <row r="303" spans="1:15">
      <c r="B303" s="17"/>
      <c r="C303" s="17"/>
      <c r="D303" s="17"/>
      <c r="E303" s="17"/>
      <c r="F303" s="17"/>
    </row>
    <row r="304" spans="1:15">
      <c r="B304" s="60"/>
      <c r="C304" s="60"/>
      <c r="D304" s="67"/>
      <c r="E304" s="67"/>
      <c r="F304" s="67"/>
    </row>
    <row r="305" spans="2:6">
      <c r="B305" s="60"/>
      <c r="C305" s="60"/>
      <c r="D305" s="67"/>
      <c r="E305" s="67"/>
      <c r="F305" s="67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9461-4567-445E-AA53-9073C2055BA2}">
  <dimension ref="A1:Z301"/>
  <sheetViews>
    <sheetView topLeftCell="B1" zoomScale="70" zoomScaleNormal="70" workbookViewId="0">
      <pane ySplit="1" topLeftCell="A2" activePane="bottomLeft" state="frozen"/>
      <selection activeCell="N1" sqref="N1"/>
      <selection pane="bottomLeft" activeCell="Z8" sqref="Z8"/>
    </sheetView>
  </sheetViews>
  <sheetFormatPr defaultColWidth="14.42578125" defaultRowHeight="15.75"/>
  <cols>
    <col min="1" max="1" width="13.28515625" style="25" hidden="1" customWidth="1"/>
    <col min="2" max="2" width="14.7109375" style="25" bestFit="1" customWidth="1"/>
    <col min="3" max="3" width="11.85546875" style="29" hidden="1" customWidth="1"/>
    <col min="4" max="4" width="19.42578125" style="30" bestFit="1" customWidth="1"/>
    <col min="5" max="5" width="43.140625" style="30" hidden="1" customWidth="1"/>
    <col min="6" max="6" width="11.7109375" style="31" bestFit="1" customWidth="1"/>
    <col min="7" max="7" width="13.42578125" style="31" bestFit="1" customWidth="1"/>
    <col min="8" max="8" width="17" style="31" bestFit="1" customWidth="1"/>
    <col min="9" max="9" width="18.42578125" style="31" hidden="1" customWidth="1"/>
    <col min="10" max="10" width="12.5703125" style="31" hidden="1" customWidth="1"/>
    <col min="11" max="11" width="12.42578125" style="31" hidden="1" customWidth="1"/>
    <col min="12" max="13" width="19.7109375" style="30" hidden="1" customWidth="1"/>
    <col min="14" max="14" width="23.140625" style="30" hidden="1" customWidth="1"/>
    <col min="15" max="15" width="23.85546875" style="32" hidden="1" customWidth="1"/>
    <col min="16" max="17" width="8.7109375" style="18" customWidth="1"/>
    <col min="18" max="18" width="15.42578125" style="18" bestFit="1" customWidth="1"/>
    <col min="19" max="19" width="13.140625" style="25" bestFit="1" customWidth="1"/>
    <col min="20" max="20" width="15" style="25" bestFit="1" customWidth="1"/>
    <col min="21" max="21" width="18.5703125" style="25" bestFit="1" customWidth="1"/>
    <col min="22" max="22" width="8.7109375" style="25" customWidth="1"/>
    <col min="23" max="23" width="18.5703125" style="25" bestFit="1" customWidth="1"/>
    <col min="24" max="24" width="16.140625" style="25" bestFit="1" customWidth="1"/>
    <col min="25" max="28" width="8.7109375" style="25" customWidth="1"/>
    <col min="29" max="16384" width="14.42578125" style="25"/>
  </cols>
  <sheetData>
    <row r="1" spans="1:26" s="18" customFormat="1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3" t="s">
        <v>358</v>
      </c>
      <c r="M1" s="33" t="s">
        <v>359</v>
      </c>
      <c r="N1" s="33" t="s">
        <v>11</v>
      </c>
      <c r="O1" s="36" t="s">
        <v>368</v>
      </c>
      <c r="P1" s="17"/>
      <c r="Q1" s="17"/>
      <c r="R1" s="17"/>
      <c r="S1" s="17"/>
      <c r="T1" s="17"/>
      <c r="U1" s="17"/>
      <c r="W1" s="74"/>
      <c r="X1" s="74"/>
      <c r="Y1" s="17"/>
      <c r="Z1" s="17"/>
    </row>
    <row r="2" spans="1:26">
      <c r="A2" s="19" t="s">
        <v>12</v>
      </c>
      <c r="B2" s="19" t="s">
        <v>13</v>
      </c>
      <c r="C2" s="20">
        <v>45781</v>
      </c>
      <c r="D2" s="21" t="s">
        <v>14</v>
      </c>
      <c r="E2" s="22" t="s">
        <v>15</v>
      </c>
      <c r="F2" s="23">
        <v>2414</v>
      </c>
      <c r="G2" s="23">
        <v>245</v>
      </c>
      <c r="H2" s="23">
        <v>137</v>
      </c>
      <c r="I2" s="23">
        <v>21181</v>
      </c>
      <c r="J2" s="23">
        <v>45292</v>
      </c>
      <c r="K2" s="23">
        <v>133</v>
      </c>
      <c r="L2" s="21" t="s">
        <v>37</v>
      </c>
      <c r="M2" s="21" t="s">
        <v>34</v>
      </c>
      <c r="N2" s="21" t="s">
        <v>16</v>
      </c>
      <c r="O2" s="24">
        <f t="shared" ref="O2:O65" si="0" xml:space="preserve"> (F2+ G2 + H2) / I2</f>
        <v>0.13200509890939993</v>
      </c>
      <c r="P2" s="17"/>
      <c r="Q2" s="17"/>
      <c r="R2" s="17"/>
      <c r="S2" s="17"/>
      <c r="T2" s="17"/>
      <c r="U2" s="17"/>
      <c r="W2" s="74"/>
      <c r="X2" s="74"/>
      <c r="Y2" s="17"/>
      <c r="Z2" s="17"/>
    </row>
    <row r="3" spans="1:26">
      <c r="A3" s="19" t="s">
        <v>17</v>
      </c>
      <c r="B3" s="19" t="s">
        <v>13</v>
      </c>
      <c r="C3" s="20">
        <v>45689</v>
      </c>
      <c r="D3" s="21" t="s">
        <v>14</v>
      </c>
      <c r="E3" s="22" t="s">
        <v>18</v>
      </c>
      <c r="F3" s="23">
        <v>1934</v>
      </c>
      <c r="G3" s="23">
        <v>210</v>
      </c>
      <c r="H3" s="23">
        <v>393</v>
      </c>
      <c r="I3" s="23">
        <v>29129</v>
      </c>
      <c r="J3" s="23">
        <v>73287</v>
      </c>
      <c r="K3" s="23">
        <v>273</v>
      </c>
      <c r="L3" s="21" t="s">
        <v>19</v>
      </c>
      <c r="M3" s="21"/>
      <c r="N3" s="21" t="s">
        <v>20</v>
      </c>
      <c r="O3" s="24">
        <f t="shared" si="0"/>
        <v>8.7095334546328396E-2</v>
      </c>
      <c r="P3" s="17"/>
      <c r="Q3" s="17"/>
      <c r="R3"/>
      <c r="S3"/>
      <c r="T3" s="26"/>
    </row>
    <row r="4" spans="1:26">
      <c r="A4" s="19" t="s">
        <v>21</v>
      </c>
      <c r="B4" s="19" t="s">
        <v>22</v>
      </c>
      <c r="C4" s="20">
        <v>45629</v>
      </c>
      <c r="D4" s="21" t="s">
        <v>23</v>
      </c>
      <c r="E4" s="22" t="s">
        <v>24</v>
      </c>
      <c r="F4" s="23">
        <v>3092</v>
      </c>
      <c r="G4" s="23">
        <v>177</v>
      </c>
      <c r="H4" s="23">
        <v>81</v>
      </c>
      <c r="I4" s="23">
        <v>47533</v>
      </c>
      <c r="J4" s="23">
        <v>29220</v>
      </c>
      <c r="K4" s="23">
        <v>121</v>
      </c>
      <c r="L4" s="21" t="s">
        <v>364</v>
      </c>
      <c r="M4" s="21" t="s">
        <v>34</v>
      </c>
      <c r="N4" s="21" t="s">
        <v>16</v>
      </c>
      <c r="O4" s="24">
        <f t="shared" si="0"/>
        <v>7.0477352576105018E-2</v>
      </c>
      <c r="P4" s="27"/>
      <c r="Q4" s="27"/>
      <c r="R4" s="15" t="s">
        <v>3</v>
      </c>
      <c r="S4" t="s">
        <v>369</v>
      </c>
      <c r="T4" t="s">
        <v>370</v>
      </c>
      <c r="U4" t="s">
        <v>371</v>
      </c>
      <c r="W4"/>
      <c r="X4"/>
      <c r="Y4"/>
    </row>
    <row r="5" spans="1:26">
      <c r="A5" s="19" t="s">
        <v>25</v>
      </c>
      <c r="B5" s="19" t="s">
        <v>13</v>
      </c>
      <c r="C5" s="20">
        <v>45629</v>
      </c>
      <c r="D5" s="21" t="s">
        <v>14</v>
      </c>
      <c r="E5" s="22" t="s">
        <v>360</v>
      </c>
      <c r="F5" s="23">
        <v>3173</v>
      </c>
      <c r="G5" s="23">
        <v>229</v>
      </c>
      <c r="H5" s="23">
        <v>197</v>
      </c>
      <c r="I5" s="23">
        <v>29604</v>
      </c>
      <c r="J5" s="23">
        <v>21809</v>
      </c>
      <c r="K5" s="23">
        <v>272</v>
      </c>
      <c r="L5" s="21" t="s">
        <v>37</v>
      </c>
      <c r="M5" s="21" t="s">
        <v>34</v>
      </c>
      <c r="N5" s="21" t="s">
        <v>16</v>
      </c>
      <c r="O5" s="24">
        <f t="shared" si="0"/>
        <v>0.1215714092690177</v>
      </c>
      <c r="P5" s="27"/>
      <c r="Q5" s="27"/>
      <c r="R5" s="16" t="s">
        <v>48</v>
      </c>
      <c r="S5" s="46">
        <v>89871</v>
      </c>
      <c r="T5" s="46">
        <v>9086</v>
      </c>
      <c r="U5" s="46">
        <v>6826</v>
      </c>
      <c r="W5"/>
      <c r="X5"/>
      <c r="Y5"/>
    </row>
    <row r="6" spans="1:26">
      <c r="A6" s="19" t="s">
        <v>26</v>
      </c>
      <c r="B6" s="19" t="s">
        <v>27</v>
      </c>
      <c r="C6" s="20">
        <v>45388</v>
      </c>
      <c r="D6" s="21" t="s">
        <v>14</v>
      </c>
      <c r="E6" s="22" t="s">
        <v>361</v>
      </c>
      <c r="F6" s="23">
        <v>2748</v>
      </c>
      <c r="G6" s="23">
        <v>145</v>
      </c>
      <c r="H6" s="23">
        <v>315</v>
      </c>
      <c r="I6" s="23">
        <v>24401</v>
      </c>
      <c r="J6" s="23">
        <v>61182</v>
      </c>
      <c r="K6" s="23">
        <v>200</v>
      </c>
      <c r="L6" s="21" t="s">
        <v>19</v>
      </c>
      <c r="M6" s="21" t="s">
        <v>365</v>
      </c>
      <c r="N6" s="21" t="s">
        <v>20</v>
      </c>
      <c r="O6" s="24">
        <f t="shared" si="0"/>
        <v>0.1314700217204213</v>
      </c>
      <c r="P6" s="27"/>
      <c r="Q6" s="27"/>
      <c r="R6" s="47" t="s">
        <v>27</v>
      </c>
      <c r="S6" s="68">
        <v>89871</v>
      </c>
      <c r="T6" s="68">
        <v>9086</v>
      </c>
      <c r="U6" s="68">
        <v>6826</v>
      </c>
      <c r="W6"/>
      <c r="X6"/>
      <c r="Y6"/>
    </row>
    <row r="7" spans="1:26">
      <c r="A7" s="19" t="s">
        <v>28</v>
      </c>
      <c r="B7" s="19" t="s">
        <v>27</v>
      </c>
      <c r="C7" s="20">
        <v>45456</v>
      </c>
      <c r="D7" s="21" t="s">
        <v>14</v>
      </c>
      <c r="E7" s="22" t="s">
        <v>362</v>
      </c>
      <c r="F7" s="23">
        <v>3882</v>
      </c>
      <c r="G7" s="23">
        <v>239</v>
      </c>
      <c r="H7" s="23">
        <v>275</v>
      </c>
      <c r="I7" s="23">
        <v>58748</v>
      </c>
      <c r="J7" s="23">
        <v>44646</v>
      </c>
      <c r="K7" s="23">
        <v>149</v>
      </c>
      <c r="L7" s="21" t="s">
        <v>19</v>
      </c>
      <c r="M7" s="21" t="s">
        <v>365</v>
      </c>
      <c r="N7" s="21" t="s">
        <v>20</v>
      </c>
      <c r="O7" s="24">
        <f t="shared" si="0"/>
        <v>7.4828079253761837E-2</v>
      </c>
      <c r="P7" s="27"/>
      <c r="Q7" s="27"/>
      <c r="R7" s="16" t="s">
        <v>23</v>
      </c>
      <c r="S7" s="46">
        <v>333918</v>
      </c>
      <c r="T7" s="46">
        <v>34487</v>
      </c>
      <c r="U7" s="46">
        <v>24098</v>
      </c>
      <c r="W7"/>
      <c r="X7"/>
      <c r="Y7"/>
    </row>
    <row r="8" spans="1:26">
      <c r="A8" s="19" t="s">
        <v>29</v>
      </c>
      <c r="B8" s="19" t="s">
        <v>22</v>
      </c>
      <c r="C8" s="20">
        <v>45645</v>
      </c>
      <c r="D8" s="21" t="s">
        <v>23</v>
      </c>
      <c r="E8" s="22" t="s">
        <v>30</v>
      </c>
      <c r="F8" s="23">
        <v>4674</v>
      </c>
      <c r="G8" s="23">
        <v>409</v>
      </c>
      <c r="H8" s="23">
        <v>327</v>
      </c>
      <c r="I8" s="23">
        <v>20756</v>
      </c>
      <c r="J8" s="23">
        <v>63599</v>
      </c>
      <c r="K8" s="23">
        <v>212</v>
      </c>
      <c r="L8" s="21" t="s">
        <v>37</v>
      </c>
      <c r="M8" s="21" t="s">
        <v>34</v>
      </c>
      <c r="N8" s="21" t="s">
        <v>16</v>
      </c>
      <c r="O8" s="24">
        <f t="shared" si="0"/>
        <v>0.26064752360763155</v>
      </c>
      <c r="P8" s="27"/>
      <c r="Q8" s="27"/>
      <c r="R8" s="47" t="s">
        <v>13</v>
      </c>
      <c r="S8" s="46">
        <v>61815</v>
      </c>
      <c r="T8" s="46">
        <v>7993</v>
      </c>
      <c r="U8" s="46">
        <v>5656</v>
      </c>
      <c r="W8"/>
      <c r="X8"/>
      <c r="Y8"/>
    </row>
    <row r="9" spans="1:26">
      <c r="A9" s="19" t="s">
        <v>31</v>
      </c>
      <c r="B9" s="19" t="s">
        <v>22</v>
      </c>
      <c r="C9" s="20">
        <v>45421</v>
      </c>
      <c r="D9" s="21" t="s">
        <v>23</v>
      </c>
      <c r="E9" s="22" t="s">
        <v>360</v>
      </c>
      <c r="F9" s="23">
        <v>1428</v>
      </c>
      <c r="G9" s="23">
        <v>347</v>
      </c>
      <c r="H9" s="23">
        <v>67</v>
      </c>
      <c r="I9" s="23">
        <v>21148</v>
      </c>
      <c r="J9" s="23">
        <v>19712</v>
      </c>
      <c r="K9" s="23">
        <v>120</v>
      </c>
      <c r="L9" s="21" t="s">
        <v>19</v>
      </c>
      <c r="M9" s="21" t="s">
        <v>364</v>
      </c>
      <c r="N9" s="21" t="s">
        <v>16</v>
      </c>
      <c r="O9" s="24">
        <f t="shared" si="0"/>
        <v>8.7100435029317191E-2</v>
      </c>
      <c r="R9" s="47" t="s">
        <v>22</v>
      </c>
      <c r="S9" s="68">
        <v>272103</v>
      </c>
      <c r="T9" s="68">
        <v>26494</v>
      </c>
      <c r="U9" s="68">
        <v>18442</v>
      </c>
      <c r="W9"/>
      <c r="X9"/>
      <c r="Y9"/>
    </row>
    <row r="10" spans="1:26">
      <c r="A10" s="19" t="s">
        <v>32</v>
      </c>
      <c r="B10" s="19" t="s">
        <v>22</v>
      </c>
      <c r="C10" s="20">
        <v>45823</v>
      </c>
      <c r="D10" s="21" t="s">
        <v>14</v>
      </c>
      <c r="E10" s="22" t="s">
        <v>33</v>
      </c>
      <c r="F10" s="23">
        <v>4432</v>
      </c>
      <c r="G10" s="23">
        <v>223</v>
      </c>
      <c r="H10" s="23">
        <v>299</v>
      </c>
      <c r="I10" s="23">
        <v>59016</v>
      </c>
      <c r="J10" s="23">
        <v>21742</v>
      </c>
      <c r="K10" s="23">
        <v>171</v>
      </c>
      <c r="L10" s="21" t="s">
        <v>34</v>
      </c>
      <c r="M10" s="21"/>
      <c r="N10" s="21" t="s">
        <v>16</v>
      </c>
      <c r="O10" s="24">
        <f t="shared" si="0"/>
        <v>8.3943337400027115E-2</v>
      </c>
      <c r="R10" s="16" t="s">
        <v>14</v>
      </c>
      <c r="S10" s="46">
        <v>473386</v>
      </c>
      <c r="T10" s="46">
        <v>49828</v>
      </c>
      <c r="U10" s="46">
        <v>36142</v>
      </c>
      <c r="W10"/>
      <c r="X10"/>
      <c r="Y10"/>
    </row>
    <row r="11" spans="1:26">
      <c r="A11" s="19" t="s">
        <v>35</v>
      </c>
      <c r="B11" s="19" t="s">
        <v>22</v>
      </c>
      <c r="C11" s="20">
        <v>45630</v>
      </c>
      <c r="D11" s="21" t="s">
        <v>14</v>
      </c>
      <c r="E11" s="22" t="s">
        <v>360</v>
      </c>
      <c r="F11" s="23">
        <v>2357</v>
      </c>
      <c r="G11" s="23">
        <v>274</v>
      </c>
      <c r="H11" s="23">
        <v>172</v>
      </c>
      <c r="I11" s="23">
        <v>21566</v>
      </c>
      <c r="J11" s="23">
        <v>66829</v>
      </c>
      <c r="K11" s="23">
        <v>284</v>
      </c>
      <c r="L11" s="21" t="s">
        <v>34</v>
      </c>
      <c r="M11" s="21"/>
      <c r="N11" s="21" t="s">
        <v>16</v>
      </c>
      <c r="O11" s="24">
        <f t="shared" si="0"/>
        <v>0.12997310581470833</v>
      </c>
      <c r="R11" s="47" t="s">
        <v>13</v>
      </c>
      <c r="S11" s="68">
        <v>189658</v>
      </c>
      <c r="T11" s="68">
        <v>21292</v>
      </c>
      <c r="U11" s="68">
        <v>15162</v>
      </c>
      <c r="W11"/>
      <c r="X11"/>
      <c r="Y11"/>
    </row>
    <row r="12" spans="1:26">
      <c r="A12" s="19" t="s">
        <v>36</v>
      </c>
      <c r="B12" s="19" t="s">
        <v>22</v>
      </c>
      <c r="C12" s="20">
        <v>45357</v>
      </c>
      <c r="D12" s="21" t="s">
        <v>14</v>
      </c>
      <c r="E12" s="22" t="s">
        <v>15</v>
      </c>
      <c r="F12" s="23">
        <v>1971</v>
      </c>
      <c r="G12" s="23">
        <v>370</v>
      </c>
      <c r="H12" s="23">
        <v>306</v>
      </c>
      <c r="I12" s="23">
        <v>31316</v>
      </c>
      <c r="J12" s="23">
        <v>27897</v>
      </c>
      <c r="K12" s="23">
        <v>88</v>
      </c>
      <c r="L12" s="21" t="s">
        <v>37</v>
      </c>
      <c r="M12" s="21"/>
      <c r="N12" s="21" t="s">
        <v>20</v>
      </c>
      <c r="O12" s="24">
        <f t="shared" si="0"/>
        <v>8.4525482181632389E-2</v>
      </c>
      <c r="R12" s="47" t="s">
        <v>22</v>
      </c>
      <c r="S12" s="46">
        <v>178192</v>
      </c>
      <c r="T12" s="46">
        <v>19004</v>
      </c>
      <c r="U12" s="46">
        <v>13135</v>
      </c>
      <c r="W12"/>
      <c r="X12"/>
      <c r="Y12"/>
    </row>
    <row r="13" spans="1:26">
      <c r="A13" s="19" t="s">
        <v>38</v>
      </c>
      <c r="B13" s="19" t="s">
        <v>13</v>
      </c>
      <c r="C13" s="20">
        <v>45426</v>
      </c>
      <c r="D13" s="21" t="s">
        <v>14</v>
      </c>
      <c r="E13" s="22" t="s">
        <v>15</v>
      </c>
      <c r="F13" s="23">
        <v>1485</v>
      </c>
      <c r="G13" s="23">
        <v>353</v>
      </c>
      <c r="H13" s="23">
        <v>244</v>
      </c>
      <c r="I13" s="23">
        <v>38419</v>
      </c>
      <c r="J13" s="23">
        <v>38556</v>
      </c>
      <c r="K13" s="23">
        <v>86</v>
      </c>
      <c r="L13" s="21" t="s">
        <v>37</v>
      </c>
      <c r="M13" s="21" t="s">
        <v>34</v>
      </c>
      <c r="N13" s="21" t="s">
        <v>16</v>
      </c>
      <c r="O13" s="24">
        <f t="shared" si="0"/>
        <v>5.4191936281527367E-2</v>
      </c>
      <c r="R13" s="47" t="s">
        <v>27</v>
      </c>
      <c r="S13" s="46">
        <v>105536</v>
      </c>
      <c r="T13" s="46">
        <v>9532</v>
      </c>
      <c r="U13" s="46">
        <v>7845</v>
      </c>
      <c r="W13"/>
      <c r="X13"/>
      <c r="Y13"/>
    </row>
    <row r="14" spans="1:26">
      <c r="A14" s="19" t="s">
        <v>39</v>
      </c>
      <c r="B14" s="19" t="s">
        <v>22</v>
      </c>
      <c r="C14" s="20">
        <v>45826</v>
      </c>
      <c r="D14" s="21" t="s">
        <v>23</v>
      </c>
      <c r="E14" s="22" t="s">
        <v>15</v>
      </c>
      <c r="F14" s="23">
        <v>3956</v>
      </c>
      <c r="G14" s="23">
        <v>319</v>
      </c>
      <c r="H14" s="23">
        <v>61</v>
      </c>
      <c r="I14" s="23">
        <v>58162</v>
      </c>
      <c r="J14" s="23">
        <v>28720</v>
      </c>
      <c r="K14" s="23">
        <v>213</v>
      </c>
      <c r="L14" s="21" t="s">
        <v>364</v>
      </c>
      <c r="M14" s="21" t="s">
        <v>34</v>
      </c>
      <c r="N14" s="21" t="s">
        <v>16</v>
      </c>
      <c r="O14" s="24">
        <f t="shared" si="0"/>
        <v>7.4550393727863554E-2</v>
      </c>
      <c r="R14"/>
      <c r="S14"/>
      <c r="T14"/>
      <c r="U14"/>
      <c r="W14"/>
      <c r="X14"/>
      <c r="Y14"/>
    </row>
    <row r="15" spans="1:26">
      <c r="A15" s="19" t="s">
        <v>40</v>
      </c>
      <c r="B15" s="19" t="s">
        <v>22</v>
      </c>
      <c r="C15" s="20">
        <v>45573</v>
      </c>
      <c r="D15" s="21" t="s">
        <v>14</v>
      </c>
      <c r="E15" s="22" t="s">
        <v>363</v>
      </c>
      <c r="F15" s="23">
        <v>2460</v>
      </c>
      <c r="G15" s="23">
        <v>409</v>
      </c>
      <c r="H15" s="23">
        <v>253</v>
      </c>
      <c r="I15" s="23">
        <v>36702</v>
      </c>
      <c r="J15" s="23">
        <v>46122</v>
      </c>
      <c r="K15" s="23">
        <v>264</v>
      </c>
      <c r="L15" s="21" t="s">
        <v>34</v>
      </c>
      <c r="M15" s="21"/>
      <c r="N15" s="21" t="s">
        <v>16</v>
      </c>
      <c r="O15" s="24">
        <f t="shared" si="0"/>
        <v>8.5063484278785892E-2</v>
      </c>
      <c r="R15"/>
      <c r="S15"/>
      <c r="T15"/>
      <c r="W15"/>
      <c r="X15"/>
      <c r="Y15"/>
    </row>
    <row r="16" spans="1:26">
      <c r="A16" s="19" t="s">
        <v>41</v>
      </c>
      <c r="B16" s="19" t="s">
        <v>22</v>
      </c>
      <c r="C16" s="20">
        <v>45418</v>
      </c>
      <c r="D16" s="21" t="s">
        <v>14</v>
      </c>
      <c r="E16" s="22" t="s">
        <v>42</v>
      </c>
      <c r="F16" s="23">
        <v>3476</v>
      </c>
      <c r="G16" s="23">
        <v>355</v>
      </c>
      <c r="H16" s="23">
        <v>396</v>
      </c>
      <c r="I16" s="23">
        <v>37492</v>
      </c>
      <c r="J16" s="23">
        <v>27285</v>
      </c>
      <c r="K16" s="23">
        <v>179</v>
      </c>
      <c r="L16" s="21" t="s">
        <v>34</v>
      </c>
      <c r="M16" s="21"/>
      <c r="N16" s="21" t="s">
        <v>16</v>
      </c>
      <c r="O16" s="24">
        <f t="shared" si="0"/>
        <v>0.11274405206444041</v>
      </c>
      <c r="R16"/>
      <c r="S16"/>
      <c r="T16"/>
      <c r="W16"/>
      <c r="X16"/>
      <c r="Y16"/>
    </row>
    <row r="17" spans="1:25">
      <c r="A17" s="19" t="s">
        <v>43</v>
      </c>
      <c r="B17" s="19" t="s">
        <v>22</v>
      </c>
      <c r="C17" s="20">
        <v>45655</v>
      </c>
      <c r="D17" s="21" t="s">
        <v>23</v>
      </c>
      <c r="E17" s="22" t="s">
        <v>24</v>
      </c>
      <c r="F17" s="23">
        <v>4049</v>
      </c>
      <c r="G17" s="23">
        <v>377</v>
      </c>
      <c r="H17" s="23">
        <v>94</v>
      </c>
      <c r="I17" s="23">
        <v>48182</v>
      </c>
      <c r="J17" s="23">
        <v>42875</v>
      </c>
      <c r="K17" s="23">
        <v>172</v>
      </c>
      <c r="L17" s="21" t="s">
        <v>364</v>
      </c>
      <c r="M17" s="21" t="s">
        <v>34</v>
      </c>
      <c r="N17" s="21" t="s">
        <v>16</v>
      </c>
      <c r="O17" s="24">
        <f t="shared" si="0"/>
        <v>9.3810966751068869E-2</v>
      </c>
      <c r="R17"/>
      <c r="S17"/>
      <c r="T17"/>
      <c r="W17"/>
      <c r="X17"/>
      <c r="Y17"/>
    </row>
    <row r="18" spans="1:25">
      <c r="A18" s="19" t="s">
        <v>44</v>
      </c>
      <c r="B18" s="19" t="s">
        <v>22</v>
      </c>
      <c r="C18" s="20">
        <v>45453</v>
      </c>
      <c r="D18" s="21" t="s">
        <v>14</v>
      </c>
      <c r="E18" s="22" t="s">
        <v>362</v>
      </c>
      <c r="F18" s="23">
        <v>1514</v>
      </c>
      <c r="G18" s="23">
        <v>164</v>
      </c>
      <c r="H18" s="23">
        <v>275</v>
      </c>
      <c r="I18" s="23">
        <v>41364</v>
      </c>
      <c r="J18" s="23">
        <v>44389</v>
      </c>
      <c r="K18" s="23">
        <v>83</v>
      </c>
      <c r="L18" s="21" t="s">
        <v>34</v>
      </c>
      <c r="M18" s="21"/>
      <c r="N18" s="21" t="s">
        <v>16</v>
      </c>
      <c r="O18" s="24">
        <f t="shared" si="0"/>
        <v>4.7214969538729328E-2</v>
      </c>
      <c r="R18"/>
      <c r="S18"/>
      <c r="T18"/>
      <c r="W18"/>
      <c r="X18"/>
      <c r="Y18"/>
    </row>
    <row r="19" spans="1:25">
      <c r="A19" s="19" t="s">
        <v>45</v>
      </c>
      <c r="B19" s="19" t="s">
        <v>13</v>
      </c>
      <c r="C19" s="20">
        <v>45325</v>
      </c>
      <c r="D19" s="21" t="s">
        <v>23</v>
      </c>
      <c r="E19" s="22" t="s">
        <v>361</v>
      </c>
      <c r="F19" s="23">
        <v>4281</v>
      </c>
      <c r="G19" s="23">
        <v>101</v>
      </c>
      <c r="H19" s="23">
        <v>163</v>
      </c>
      <c r="I19" s="23">
        <v>32278</v>
      </c>
      <c r="J19" s="23">
        <v>53382</v>
      </c>
      <c r="K19" s="23">
        <v>235</v>
      </c>
      <c r="L19" s="21" t="s">
        <v>34</v>
      </c>
      <c r="M19" s="21"/>
      <c r="N19" s="21" t="s">
        <v>46</v>
      </c>
      <c r="O19" s="24">
        <f t="shared" si="0"/>
        <v>0.1408079806679472</v>
      </c>
      <c r="R19"/>
      <c r="S19"/>
      <c r="T19"/>
      <c r="W19"/>
      <c r="X19"/>
      <c r="Y19"/>
    </row>
    <row r="20" spans="1:25">
      <c r="A20" s="19" t="s">
        <v>47</v>
      </c>
      <c r="B20" s="19" t="s">
        <v>27</v>
      </c>
      <c r="C20" s="20">
        <v>45458</v>
      </c>
      <c r="D20" s="21" t="s">
        <v>48</v>
      </c>
      <c r="E20" s="22" t="s">
        <v>30</v>
      </c>
      <c r="F20" s="23">
        <v>1751</v>
      </c>
      <c r="G20" s="23">
        <v>143</v>
      </c>
      <c r="H20" s="23">
        <v>151</v>
      </c>
      <c r="I20" s="23">
        <v>31826</v>
      </c>
      <c r="J20" s="23">
        <v>47729</v>
      </c>
      <c r="K20" s="23">
        <v>95</v>
      </c>
      <c r="L20" s="21" t="s">
        <v>19</v>
      </c>
      <c r="M20" s="21" t="s">
        <v>37</v>
      </c>
      <c r="N20" s="21" t="s">
        <v>49</v>
      </c>
      <c r="O20" s="24">
        <f t="shared" si="0"/>
        <v>6.4255640042732362E-2</v>
      </c>
      <c r="R20"/>
      <c r="S20"/>
      <c r="T20"/>
      <c r="W20"/>
      <c r="X20"/>
      <c r="Y20"/>
    </row>
    <row r="21" spans="1:25">
      <c r="A21" s="19" t="s">
        <v>50</v>
      </c>
      <c r="B21" s="19" t="s">
        <v>13</v>
      </c>
      <c r="C21" s="20">
        <v>45478</v>
      </c>
      <c r="D21" s="21" t="s">
        <v>14</v>
      </c>
      <c r="E21" s="22" t="s">
        <v>42</v>
      </c>
      <c r="F21" s="23">
        <v>3753</v>
      </c>
      <c r="G21" s="23">
        <v>411</v>
      </c>
      <c r="H21" s="23">
        <v>308</v>
      </c>
      <c r="I21" s="23">
        <v>29138</v>
      </c>
      <c r="J21" s="23">
        <v>27678</v>
      </c>
      <c r="K21" s="23">
        <v>90</v>
      </c>
      <c r="L21" s="21" t="s">
        <v>19</v>
      </c>
      <c r="M21" s="21"/>
      <c r="N21" s="21" t="s">
        <v>20</v>
      </c>
      <c r="O21" s="24">
        <f t="shared" si="0"/>
        <v>0.15347655981879332</v>
      </c>
      <c r="R21"/>
      <c r="S21"/>
      <c r="T21"/>
      <c r="W21"/>
      <c r="X21"/>
      <c r="Y21"/>
    </row>
    <row r="22" spans="1:25">
      <c r="A22" s="19" t="s">
        <v>51</v>
      </c>
      <c r="B22" s="19" t="s">
        <v>13</v>
      </c>
      <c r="C22" s="20">
        <v>45603</v>
      </c>
      <c r="D22" s="21" t="s">
        <v>23</v>
      </c>
      <c r="E22" s="22" t="s">
        <v>360</v>
      </c>
      <c r="F22" s="23">
        <v>1678</v>
      </c>
      <c r="G22" s="23">
        <v>423</v>
      </c>
      <c r="H22" s="23">
        <v>323</v>
      </c>
      <c r="I22" s="23">
        <v>55668</v>
      </c>
      <c r="J22" s="23">
        <v>37945</v>
      </c>
      <c r="K22" s="23">
        <v>230</v>
      </c>
      <c r="L22" s="21" t="s">
        <v>34</v>
      </c>
      <c r="M22" s="21"/>
      <c r="N22" s="21" t="s">
        <v>46</v>
      </c>
      <c r="O22" s="24">
        <f t="shared" si="0"/>
        <v>4.3543867212761371E-2</v>
      </c>
    </row>
    <row r="23" spans="1:25">
      <c r="A23" s="19" t="s">
        <v>52</v>
      </c>
      <c r="B23" s="19" t="s">
        <v>13</v>
      </c>
      <c r="C23" s="20">
        <v>45823</v>
      </c>
      <c r="D23" s="21" t="s">
        <v>14</v>
      </c>
      <c r="E23" s="22" t="s">
        <v>362</v>
      </c>
      <c r="F23" s="23">
        <v>4896</v>
      </c>
      <c r="G23" s="23">
        <v>466</v>
      </c>
      <c r="H23" s="23">
        <v>233</v>
      </c>
      <c r="I23" s="23">
        <v>28621</v>
      </c>
      <c r="J23" s="23">
        <v>34270</v>
      </c>
      <c r="K23" s="23">
        <v>84</v>
      </c>
      <c r="L23" s="21" t="s">
        <v>37</v>
      </c>
      <c r="M23" s="21" t="s">
        <v>34</v>
      </c>
      <c r="N23" s="21" t="s">
        <v>16</v>
      </c>
      <c r="O23" s="24">
        <f t="shared" si="0"/>
        <v>0.19548583208133888</v>
      </c>
    </row>
    <row r="24" spans="1:25">
      <c r="A24" s="19" t="s">
        <v>53</v>
      </c>
      <c r="B24" s="19" t="s">
        <v>27</v>
      </c>
      <c r="C24" s="20">
        <v>45452</v>
      </c>
      <c r="D24" s="21" t="s">
        <v>48</v>
      </c>
      <c r="E24" s="22" t="s">
        <v>363</v>
      </c>
      <c r="F24" s="23">
        <v>2786</v>
      </c>
      <c r="G24" s="23">
        <v>368</v>
      </c>
      <c r="H24" s="23">
        <v>208</v>
      </c>
      <c r="I24" s="23">
        <v>42000</v>
      </c>
      <c r="J24" s="23">
        <v>39967</v>
      </c>
      <c r="K24" s="23">
        <v>103</v>
      </c>
      <c r="L24" s="21" t="s">
        <v>19</v>
      </c>
      <c r="M24" s="21" t="s">
        <v>37</v>
      </c>
      <c r="N24" s="21" t="s">
        <v>49</v>
      </c>
      <c r="O24" s="24">
        <f t="shared" si="0"/>
        <v>8.0047619047619048E-2</v>
      </c>
    </row>
    <row r="25" spans="1:25">
      <c r="A25" s="19" t="s">
        <v>54</v>
      </c>
      <c r="B25" s="19" t="s">
        <v>22</v>
      </c>
      <c r="C25" s="20">
        <v>45583</v>
      </c>
      <c r="D25" s="21" t="s">
        <v>14</v>
      </c>
      <c r="E25" s="22" t="s">
        <v>24</v>
      </c>
      <c r="F25" s="23">
        <v>2607</v>
      </c>
      <c r="G25" s="23">
        <v>379</v>
      </c>
      <c r="H25" s="23">
        <v>180</v>
      </c>
      <c r="I25" s="23">
        <v>28712</v>
      </c>
      <c r="J25" s="23">
        <v>61620</v>
      </c>
      <c r="K25" s="23">
        <v>174</v>
      </c>
      <c r="L25" s="21" t="s">
        <v>37</v>
      </c>
      <c r="M25" s="21"/>
      <c r="N25" s="21" t="s">
        <v>20</v>
      </c>
      <c r="O25" s="24">
        <f t="shared" si="0"/>
        <v>0.11026748397882419</v>
      </c>
    </row>
    <row r="26" spans="1:25">
      <c r="A26" s="19" t="s">
        <v>55</v>
      </c>
      <c r="B26" s="19" t="s">
        <v>27</v>
      </c>
      <c r="C26" s="20">
        <v>45575</v>
      </c>
      <c r="D26" s="21" t="s">
        <v>48</v>
      </c>
      <c r="E26" s="22" t="s">
        <v>363</v>
      </c>
      <c r="F26" s="23">
        <v>4013</v>
      </c>
      <c r="G26" s="23">
        <v>320</v>
      </c>
      <c r="H26" s="23">
        <v>92</v>
      </c>
      <c r="I26" s="23">
        <v>54605</v>
      </c>
      <c r="J26" s="23">
        <v>60169</v>
      </c>
      <c r="K26" s="23">
        <v>232</v>
      </c>
      <c r="L26" s="21" t="s">
        <v>19</v>
      </c>
      <c r="M26" s="21" t="s">
        <v>37</v>
      </c>
      <c r="N26" s="21" t="s">
        <v>49</v>
      </c>
      <c r="O26" s="24">
        <f t="shared" si="0"/>
        <v>8.1036535115831879E-2</v>
      </c>
    </row>
    <row r="27" spans="1:25">
      <c r="A27" s="19" t="s">
        <v>56</v>
      </c>
      <c r="B27" s="19" t="s">
        <v>22</v>
      </c>
      <c r="C27" s="20">
        <v>45791</v>
      </c>
      <c r="D27" s="21" t="s">
        <v>23</v>
      </c>
      <c r="E27" s="22" t="s">
        <v>363</v>
      </c>
      <c r="F27" s="23">
        <v>2707</v>
      </c>
      <c r="G27" s="23">
        <v>103</v>
      </c>
      <c r="H27" s="23">
        <v>51</v>
      </c>
      <c r="I27" s="23">
        <v>55302</v>
      </c>
      <c r="J27" s="23">
        <v>18801</v>
      </c>
      <c r="K27" s="23">
        <v>147</v>
      </c>
      <c r="L27" s="21" t="s">
        <v>19</v>
      </c>
      <c r="M27" s="21" t="s">
        <v>364</v>
      </c>
      <c r="N27" s="21" t="s">
        <v>16</v>
      </c>
      <c r="O27" s="24">
        <f t="shared" si="0"/>
        <v>5.173411449857148E-2</v>
      </c>
    </row>
    <row r="28" spans="1:25">
      <c r="A28" s="19" t="s">
        <v>57</v>
      </c>
      <c r="B28" s="19" t="s">
        <v>13</v>
      </c>
      <c r="C28" s="20">
        <v>45625</v>
      </c>
      <c r="D28" s="21" t="s">
        <v>14</v>
      </c>
      <c r="E28" s="22" t="s">
        <v>362</v>
      </c>
      <c r="F28" s="23">
        <v>2824</v>
      </c>
      <c r="G28" s="23">
        <v>425</v>
      </c>
      <c r="H28" s="23">
        <v>274</v>
      </c>
      <c r="I28" s="23">
        <v>31004</v>
      </c>
      <c r="J28" s="23">
        <v>53488</v>
      </c>
      <c r="K28" s="23">
        <v>268</v>
      </c>
      <c r="L28" s="21" t="s">
        <v>37</v>
      </c>
      <c r="M28" s="21" t="s">
        <v>34</v>
      </c>
      <c r="N28" s="21" t="s">
        <v>16</v>
      </c>
      <c r="O28" s="24">
        <f t="shared" si="0"/>
        <v>0.11363049929041415</v>
      </c>
    </row>
    <row r="29" spans="1:25">
      <c r="A29" s="19" t="s">
        <v>58</v>
      </c>
      <c r="B29" s="19" t="s">
        <v>27</v>
      </c>
      <c r="C29" s="20">
        <v>45356</v>
      </c>
      <c r="D29" s="21" t="s">
        <v>48</v>
      </c>
      <c r="E29" s="22" t="s">
        <v>18</v>
      </c>
      <c r="F29" s="23">
        <v>3558</v>
      </c>
      <c r="G29" s="23">
        <v>314</v>
      </c>
      <c r="H29" s="23">
        <v>199</v>
      </c>
      <c r="I29" s="23">
        <v>49612</v>
      </c>
      <c r="J29" s="23">
        <v>53929</v>
      </c>
      <c r="K29" s="23">
        <v>206</v>
      </c>
      <c r="L29" s="21" t="s">
        <v>19</v>
      </c>
      <c r="M29" s="21" t="s">
        <v>37</v>
      </c>
      <c r="N29" s="21" t="s">
        <v>49</v>
      </c>
      <c r="O29" s="24">
        <f t="shared" si="0"/>
        <v>8.205676046117874E-2</v>
      </c>
    </row>
    <row r="30" spans="1:25">
      <c r="A30" s="19" t="s">
        <v>59</v>
      </c>
      <c r="B30" s="19" t="s">
        <v>22</v>
      </c>
      <c r="C30" s="20">
        <v>45734</v>
      </c>
      <c r="D30" s="21" t="s">
        <v>23</v>
      </c>
      <c r="E30" s="22" t="s">
        <v>18</v>
      </c>
      <c r="F30" s="23">
        <v>3418</v>
      </c>
      <c r="G30" s="23">
        <v>188</v>
      </c>
      <c r="H30" s="23">
        <v>387</v>
      </c>
      <c r="I30" s="23">
        <v>57431</v>
      </c>
      <c r="J30" s="23">
        <v>36933</v>
      </c>
      <c r="K30" s="23">
        <v>202</v>
      </c>
      <c r="L30" s="21" t="s">
        <v>364</v>
      </c>
      <c r="M30" s="21" t="s">
        <v>34</v>
      </c>
      <c r="N30" s="21" t="s">
        <v>16</v>
      </c>
      <c r="O30" s="24">
        <f t="shared" si="0"/>
        <v>6.9526910553533799E-2</v>
      </c>
    </row>
    <row r="31" spans="1:25">
      <c r="A31" s="19" t="s">
        <v>60</v>
      </c>
      <c r="B31" s="19" t="s">
        <v>22</v>
      </c>
      <c r="C31" s="20">
        <v>45773</v>
      </c>
      <c r="D31" s="21" t="s">
        <v>14</v>
      </c>
      <c r="E31" s="22" t="s">
        <v>15</v>
      </c>
      <c r="F31" s="23">
        <v>2411</v>
      </c>
      <c r="G31" s="23">
        <v>194</v>
      </c>
      <c r="H31" s="23">
        <v>168</v>
      </c>
      <c r="I31" s="23">
        <v>26665</v>
      </c>
      <c r="J31" s="23">
        <v>71699</v>
      </c>
      <c r="K31" s="23">
        <v>197</v>
      </c>
      <c r="L31" s="21" t="s">
        <v>34</v>
      </c>
      <c r="M31" s="21"/>
      <c r="N31" s="21" t="s">
        <v>16</v>
      </c>
      <c r="O31" s="24">
        <f t="shared" si="0"/>
        <v>0.10399399962497656</v>
      </c>
    </row>
    <row r="32" spans="1:25">
      <c r="A32" s="19" t="s">
        <v>61</v>
      </c>
      <c r="B32" s="19" t="s">
        <v>13</v>
      </c>
      <c r="C32" s="20">
        <v>45658</v>
      </c>
      <c r="D32" s="21" t="s">
        <v>14</v>
      </c>
      <c r="E32" s="22" t="s">
        <v>24</v>
      </c>
      <c r="F32" s="23">
        <v>4036</v>
      </c>
      <c r="G32" s="23">
        <v>112</v>
      </c>
      <c r="H32" s="23">
        <v>382</v>
      </c>
      <c r="I32" s="23">
        <v>56284</v>
      </c>
      <c r="J32" s="23">
        <v>29440</v>
      </c>
      <c r="K32" s="23">
        <v>279</v>
      </c>
      <c r="L32" s="21" t="s">
        <v>37</v>
      </c>
      <c r="M32" s="21" t="s">
        <v>34</v>
      </c>
      <c r="N32" s="21" t="s">
        <v>16</v>
      </c>
      <c r="O32" s="24">
        <f t="shared" si="0"/>
        <v>8.0484684812735408E-2</v>
      </c>
    </row>
    <row r="33" spans="1:15">
      <c r="A33" s="19" t="s">
        <v>62</v>
      </c>
      <c r="B33" s="19" t="s">
        <v>22</v>
      </c>
      <c r="C33" s="20">
        <v>45419</v>
      </c>
      <c r="D33" s="21" t="s">
        <v>23</v>
      </c>
      <c r="E33" s="22" t="s">
        <v>18</v>
      </c>
      <c r="F33" s="23">
        <v>2776</v>
      </c>
      <c r="G33" s="23">
        <v>307</v>
      </c>
      <c r="H33" s="23">
        <v>178</v>
      </c>
      <c r="I33" s="23">
        <v>43365</v>
      </c>
      <c r="J33" s="23">
        <v>48408</v>
      </c>
      <c r="K33" s="23">
        <v>138</v>
      </c>
      <c r="L33" s="21" t="s">
        <v>37</v>
      </c>
      <c r="M33" s="21" t="s">
        <v>34</v>
      </c>
      <c r="N33" s="21" t="s">
        <v>16</v>
      </c>
      <c r="O33" s="24">
        <f t="shared" si="0"/>
        <v>7.519889311656866E-2</v>
      </c>
    </row>
    <row r="34" spans="1:15">
      <c r="A34" s="19" t="s">
        <v>63</v>
      </c>
      <c r="B34" s="19" t="s">
        <v>22</v>
      </c>
      <c r="C34" s="20">
        <v>45574</v>
      </c>
      <c r="D34" s="21" t="s">
        <v>23</v>
      </c>
      <c r="E34" s="22" t="s">
        <v>15</v>
      </c>
      <c r="F34" s="23">
        <v>4929</v>
      </c>
      <c r="G34" s="23">
        <v>182</v>
      </c>
      <c r="H34" s="23">
        <v>95</v>
      </c>
      <c r="I34" s="23">
        <v>32181</v>
      </c>
      <c r="J34" s="23">
        <v>31084</v>
      </c>
      <c r="K34" s="23">
        <v>289</v>
      </c>
      <c r="L34" s="21" t="s">
        <v>19</v>
      </c>
      <c r="M34" s="21" t="s">
        <v>364</v>
      </c>
      <c r="N34" s="21" t="s">
        <v>16</v>
      </c>
      <c r="O34" s="24">
        <f t="shared" si="0"/>
        <v>0.16177247444144061</v>
      </c>
    </row>
    <row r="35" spans="1:15">
      <c r="A35" s="19" t="s">
        <v>64</v>
      </c>
      <c r="B35" s="19" t="s">
        <v>13</v>
      </c>
      <c r="C35" s="20">
        <v>45666</v>
      </c>
      <c r="D35" s="21" t="s">
        <v>14</v>
      </c>
      <c r="E35" s="22" t="s">
        <v>24</v>
      </c>
      <c r="F35" s="23">
        <v>1015</v>
      </c>
      <c r="G35" s="23">
        <v>366</v>
      </c>
      <c r="H35" s="23">
        <v>308</v>
      </c>
      <c r="I35" s="23">
        <v>38127</v>
      </c>
      <c r="J35" s="23">
        <v>63790</v>
      </c>
      <c r="K35" s="23">
        <v>287</v>
      </c>
      <c r="L35" s="21" t="s">
        <v>37</v>
      </c>
      <c r="M35" s="21" t="s">
        <v>34</v>
      </c>
      <c r="N35" s="21" t="s">
        <v>16</v>
      </c>
      <c r="O35" s="24">
        <f t="shared" si="0"/>
        <v>4.4299315445747112E-2</v>
      </c>
    </row>
    <row r="36" spans="1:15">
      <c r="A36" s="19" t="s">
        <v>65</v>
      </c>
      <c r="B36" s="19" t="s">
        <v>22</v>
      </c>
      <c r="C36" s="20">
        <v>45785</v>
      </c>
      <c r="D36" s="21" t="s">
        <v>23</v>
      </c>
      <c r="E36" s="22" t="s">
        <v>42</v>
      </c>
      <c r="F36" s="23">
        <v>3316</v>
      </c>
      <c r="G36" s="23">
        <v>332</v>
      </c>
      <c r="H36" s="23">
        <v>268</v>
      </c>
      <c r="I36" s="23">
        <v>40095</v>
      </c>
      <c r="J36" s="23">
        <v>36913</v>
      </c>
      <c r="K36" s="23">
        <v>265</v>
      </c>
      <c r="L36" s="21" t="s">
        <v>364</v>
      </c>
      <c r="M36" s="21" t="s">
        <v>34</v>
      </c>
      <c r="N36" s="21" t="s">
        <v>16</v>
      </c>
      <c r="O36" s="24">
        <f t="shared" si="0"/>
        <v>9.7668038408779148E-2</v>
      </c>
    </row>
    <row r="37" spans="1:15">
      <c r="A37" s="19" t="s">
        <v>66</v>
      </c>
      <c r="B37" s="19" t="s">
        <v>13</v>
      </c>
      <c r="C37" s="20">
        <v>45416</v>
      </c>
      <c r="D37" s="21" t="s">
        <v>14</v>
      </c>
      <c r="E37" s="22" t="s">
        <v>360</v>
      </c>
      <c r="F37" s="23">
        <v>2274</v>
      </c>
      <c r="G37" s="23">
        <v>243</v>
      </c>
      <c r="H37" s="23">
        <v>222</v>
      </c>
      <c r="I37" s="23">
        <v>43066</v>
      </c>
      <c r="J37" s="23">
        <v>59174</v>
      </c>
      <c r="K37" s="23">
        <v>80</v>
      </c>
      <c r="L37" s="21" t="s">
        <v>19</v>
      </c>
      <c r="M37" s="21"/>
      <c r="N37" s="21" t="s">
        <v>20</v>
      </c>
      <c r="O37" s="24">
        <f t="shared" si="0"/>
        <v>6.3600055728416843E-2</v>
      </c>
    </row>
    <row r="38" spans="1:15">
      <c r="A38" s="19" t="s">
        <v>67</v>
      </c>
      <c r="B38" s="19" t="s">
        <v>22</v>
      </c>
      <c r="C38" s="20">
        <v>45804</v>
      </c>
      <c r="D38" s="21" t="s">
        <v>23</v>
      </c>
      <c r="E38" s="22" t="s">
        <v>18</v>
      </c>
      <c r="F38" s="23">
        <v>4095</v>
      </c>
      <c r="G38" s="23">
        <v>385</v>
      </c>
      <c r="H38" s="23">
        <v>400</v>
      </c>
      <c r="I38" s="23">
        <v>45300</v>
      </c>
      <c r="J38" s="23">
        <v>31795</v>
      </c>
      <c r="K38" s="23">
        <v>80</v>
      </c>
      <c r="L38" s="21" t="s">
        <v>364</v>
      </c>
      <c r="M38" s="21" t="s">
        <v>34</v>
      </c>
      <c r="N38" s="21" t="s">
        <v>16</v>
      </c>
      <c r="O38" s="24">
        <f t="shared" si="0"/>
        <v>0.10772626931567329</v>
      </c>
    </row>
    <row r="39" spans="1:15">
      <c r="A39" s="19" t="s">
        <v>68</v>
      </c>
      <c r="B39" s="19" t="s">
        <v>13</v>
      </c>
      <c r="C39" s="20">
        <v>45545</v>
      </c>
      <c r="D39" s="21" t="s">
        <v>23</v>
      </c>
      <c r="E39" s="22" t="s">
        <v>24</v>
      </c>
      <c r="F39" s="23">
        <v>1230</v>
      </c>
      <c r="G39" s="23">
        <v>309</v>
      </c>
      <c r="H39" s="23">
        <v>207</v>
      </c>
      <c r="I39" s="23">
        <v>44629</v>
      </c>
      <c r="J39" s="23">
        <v>40699</v>
      </c>
      <c r="K39" s="23">
        <v>195</v>
      </c>
      <c r="L39" s="21" t="s">
        <v>34</v>
      </c>
      <c r="M39" s="21"/>
      <c r="N39" s="21" t="s">
        <v>46</v>
      </c>
      <c r="O39" s="24">
        <f t="shared" si="0"/>
        <v>3.9122543637545096E-2</v>
      </c>
    </row>
    <row r="40" spans="1:15">
      <c r="A40" s="19" t="s">
        <v>69</v>
      </c>
      <c r="B40" s="19" t="s">
        <v>13</v>
      </c>
      <c r="C40" s="20">
        <v>45621</v>
      </c>
      <c r="D40" s="21" t="s">
        <v>14</v>
      </c>
      <c r="E40" s="22" t="s">
        <v>363</v>
      </c>
      <c r="F40" s="23">
        <v>1341</v>
      </c>
      <c r="G40" s="23">
        <v>472</v>
      </c>
      <c r="H40" s="23">
        <v>238</v>
      </c>
      <c r="I40" s="23">
        <v>51386</v>
      </c>
      <c r="J40" s="23">
        <v>51706</v>
      </c>
      <c r="K40" s="23">
        <v>133</v>
      </c>
      <c r="L40" s="21" t="s">
        <v>19</v>
      </c>
      <c r="M40" s="21"/>
      <c r="N40" s="21" t="s">
        <v>20</v>
      </c>
      <c r="O40" s="24">
        <f t="shared" si="0"/>
        <v>3.9913595142645857E-2</v>
      </c>
    </row>
    <row r="41" spans="1:15">
      <c r="A41" s="19" t="s">
        <v>70</v>
      </c>
      <c r="B41" s="19" t="s">
        <v>22</v>
      </c>
      <c r="C41" s="20">
        <v>45818</v>
      </c>
      <c r="D41" s="21" t="s">
        <v>14</v>
      </c>
      <c r="E41" s="22" t="s">
        <v>18</v>
      </c>
      <c r="F41" s="23">
        <v>3615</v>
      </c>
      <c r="G41" s="23">
        <v>192</v>
      </c>
      <c r="H41" s="23">
        <v>162</v>
      </c>
      <c r="I41" s="23">
        <v>27492</v>
      </c>
      <c r="J41" s="23">
        <v>35341</v>
      </c>
      <c r="K41" s="23">
        <v>125</v>
      </c>
      <c r="L41" s="21" t="s">
        <v>34</v>
      </c>
      <c r="M41" s="21"/>
      <c r="N41" s="21" t="s">
        <v>16</v>
      </c>
      <c r="O41" s="24">
        <f t="shared" si="0"/>
        <v>0.14436927106067218</v>
      </c>
    </row>
    <row r="42" spans="1:15">
      <c r="A42" s="19" t="s">
        <v>71</v>
      </c>
      <c r="B42" s="19" t="s">
        <v>13</v>
      </c>
      <c r="C42" s="20">
        <v>45401</v>
      </c>
      <c r="D42" s="21" t="s">
        <v>14</v>
      </c>
      <c r="E42" s="22" t="s">
        <v>24</v>
      </c>
      <c r="F42" s="23">
        <v>4001</v>
      </c>
      <c r="G42" s="23">
        <v>353</v>
      </c>
      <c r="H42" s="23">
        <v>129</v>
      </c>
      <c r="I42" s="23">
        <v>41265</v>
      </c>
      <c r="J42" s="23">
        <v>37279</v>
      </c>
      <c r="K42" s="23">
        <v>275</v>
      </c>
      <c r="L42" s="21" t="s">
        <v>37</v>
      </c>
      <c r="M42" s="21" t="s">
        <v>34</v>
      </c>
      <c r="N42" s="21" t="s">
        <v>16</v>
      </c>
      <c r="O42" s="24">
        <f t="shared" si="0"/>
        <v>0.10863928268508422</v>
      </c>
    </row>
    <row r="43" spans="1:15">
      <c r="A43" s="19" t="s">
        <v>72</v>
      </c>
      <c r="B43" s="19" t="s">
        <v>13</v>
      </c>
      <c r="C43" s="20">
        <v>45683</v>
      </c>
      <c r="D43" s="21" t="s">
        <v>23</v>
      </c>
      <c r="E43" s="22" t="s">
        <v>362</v>
      </c>
      <c r="F43" s="23">
        <v>3451</v>
      </c>
      <c r="G43" s="23">
        <v>363</v>
      </c>
      <c r="H43" s="23">
        <v>393</v>
      </c>
      <c r="I43" s="23">
        <v>44853</v>
      </c>
      <c r="J43" s="23">
        <v>69032</v>
      </c>
      <c r="K43" s="23">
        <v>211</v>
      </c>
      <c r="L43" s="21" t="s">
        <v>34</v>
      </c>
      <c r="M43" s="21"/>
      <c r="N43" s="21" t="s">
        <v>46</v>
      </c>
      <c r="O43" s="24">
        <f t="shared" si="0"/>
        <v>9.379528682585335E-2</v>
      </c>
    </row>
    <row r="44" spans="1:15">
      <c r="A44" s="19" t="s">
        <v>73</v>
      </c>
      <c r="B44" s="19" t="s">
        <v>13</v>
      </c>
      <c r="C44" s="20">
        <v>45702</v>
      </c>
      <c r="D44" s="21" t="s">
        <v>14</v>
      </c>
      <c r="E44" s="22" t="s">
        <v>33</v>
      </c>
      <c r="F44" s="23">
        <v>4891</v>
      </c>
      <c r="G44" s="23">
        <v>450</v>
      </c>
      <c r="H44" s="23">
        <v>387</v>
      </c>
      <c r="I44" s="23">
        <v>48746</v>
      </c>
      <c r="J44" s="23">
        <v>37312</v>
      </c>
      <c r="K44" s="23">
        <v>154</v>
      </c>
      <c r="L44" s="21" t="s">
        <v>37</v>
      </c>
      <c r="M44" s="21" t="s">
        <v>34</v>
      </c>
      <c r="N44" s="21" t="s">
        <v>16</v>
      </c>
      <c r="O44" s="24">
        <f t="shared" si="0"/>
        <v>0.11750707750379519</v>
      </c>
    </row>
    <row r="45" spans="1:15">
      <c r="A45" s="19" t="s">
        <v>74</v>
      </c>
      <c r="B45" s="19" t="s">
        <v>13</v>
      </c>
      <c r="C45" s="20">
        <v>45541</v>
      </c>
      <c r="D45" s="21" t="s">
        <v>14</v>
      </c>
      <c r="E45" s="22" t="s">
        <v>24</v>
      </c>
      <c r="F45" s="23">
        <v>1452</v>
      </c>
      <c r="G45" s="23">
        <v>281</v>
      </c>
      <c r="H45" s="23">
        <v>326</v>
      </c>
      <c r="I45" s="23">
        <v>51556</v>
      </c>
      <c r="J45" s="23">
        <v>62599</v>
      </c>
      <c r="K45" s="23">
        <v>290</v>
      </c>
      <c r="L45" s="21" t="s">
        <v>19</v>
      </c>
      <c r="M45" s="21"/>
      <c r="N45" s="21" t="s">
        <v>20</v>
      </c>
      <c r="O45" s="24">
        <f t="shared" si="0"/>
        <v>3.9937155714174881E-2</v>
      </c>
    </row>
    <row r="46" spans="1:15">
      <c r="A46" s="19" t="s">
        <v>75</v>
      </c>
      <c r="B46" s="19" t="s">
        <v>27</v>
      </c>
      <c r="C46" s="20">
        <v>45487</v>
      </c>
      <c r="D46" s="21" t="s">
        <v>14</v>
      </c>
      <c r="E46" s="22" t="s">
        <v>42</v>
      </c>
      <c r="F46" s="23">
        <v>3806</v>
      </c>
      <c r="G46" s="23">
        <v>114</v>
      </c>
      <c r="H46" s="23">
        <v>278</v>
      </c>
      <c r="I46" s="23">
        <v>36148</v>
      </c>
      <c r="J46" s="23">
        <v>24209</v>
      </c>
      <c r="K46" s="23">
        <v>201</v>
      </c>
      <c r="L46" s="21" t="s">
        <v>19</v>
      </c>
      <c r="M46" s="21" t="s">
        <v>365</v>
      </c>
      <c r="N46" s="21" t="s">
        <v>20</v>
      </c>
      <c r="O46" s="24">
        <f t="shared" si="0"/>
        <v>0.11613367267898639</v>
      </c>
    </row>
    <row r="47" spans="1:15">
      <c r="A47" s="19" t="s">
        <v>76</v>
      </c>
      <c r="B47" s="19" t="s">
        <v>13</v>
      </c>
      <c r="C47" s="20">
        <v>45334</v>
      </c>
      <c r="D47" s="21" t="s">
        <v>14</v>
      </c>
      <c r="E47" s="22" t="s">
        <v>18</v>
      </c>
      <c r="F47" s="23">
        <v>2923</v>
      </c>
      <c r="G47" s="23">
        <v>330</v>
      </c>
      <c r="H47" s="23">
        <v>250</v>
      </c>
      <c r="I47" s="23">
        <v>23993</v>
      </c>
      <c r="J47" s="23">
        <v>74590</v>
      </c>
      <c r="K47" s="23">
        <v>92</v>
      </c>
      <c r="L47" s="21" t="s">
        <v>19</v>
      </c>
      <c r="M47" s="21"/>
      <c r="N47" s="21" t="s">
        <v>20</v>
      </c>
      <c r="O47" s="24">
        <f t="shared" si="0"/>
        <v>0.14600091693410577</v>
      </c>
    </row>
    <row r="48" spans="1:15">
      <c r="A48" s="19" t="s">
        <v>77</v>
      </c>
      <c r="B48" s="19" t="s">
        <v>27</v>
      </c>
      <c r="C48" s="20">
        <v>45365</v>
      </c>
      <c r="D48" s="21" t="s">
        <v>48</v>
      </c>
      <c r="E48" s="22" t="s">
        <v>363</v>
      </c>
      <c r="F48" s="23">
        <v>3361</v>
      </c>
      <c r="G48" s="23">
        <v>188</v>
      </c>
      <c r="H48" s="23">
        <v>358</v>
      </c>
      <c r="I48" s="23">
        <v>39838</v>
      </c>
      <c r="J48" s="23">
        <v>24536</v>
      </c>
      <c r="K48" s="23">
        <v>120</v>
      </c>
      <c r="L48" s="21" t="s">
        <v>19</v>
      </c>
      <c r="M48" s="21" t="s">
        <v>37</v>
      </c>
      <c r="N48" s="21" t="s">
        <v>49</v>
      </c>
      <c r="O48" s="24">
        <f t="shared" si="0"/>
        <v>9.8072192379135503E-2</v>
      </c>
    </row>
    <row r="49" spans="1:15">
      <c r="A49" s="19" t="s">
        <v>78</v>
      </c>
      <c r="B49" s="19" t="s">
        <v>13</v>
      </c>
      <c r="C49" s="20">
        <v>45693</v>
      </c>
      <c r="D49" s="21" t="s">
        <v>23</v>
      </c>
      <c r="E49" s="22" t="s">
        <v>361</v>
      </c>
      <c r="F49" s="23">
        <v>3074</v>
      </c>
      <c r="G49" s="23">
        <v>371</v>
      </c>
      <c r="H49" s="23">
        <v>348</v>
      </c>
      <c r="I49" s="23">
        <v>24104</v>
      </c>
      <c r="J49" s="23">
        <v>57803</v>
      </c>
      <c r="K49" s="23">
        <v>213</v>
      </c>
      <c r="L49" s="21" t="s">
        <v>34</v>
      </c>
      <c r="M49" s="21"/>
      <c r="N49" s="21" t="s">
        <v>46</v>
      </c>
      <c r="O49" s="24">
        <f t="shared" si="0"/>
        <v>0.15735977431131762</v>
      </c>
    </row>
    <row r="50" spans="1:15">
      <c r="A50" s="19" t="s">
        <v>79</v>
      </c>
      <c r="B50" s="19" t="s">
        <v>22</v>
      </c>
      <c r="C50" s="20">
        <v>45533</v>
      </c>
      <c r="D50" s="21" t="s">
        <v>23</v>
      </c>
      <c r="E50" s="22" t="s">
        <v>30</v>
      </c>
      <c r="F50" s="23">
        <v>4276</v>
      </c>
      <c r="G50" s="23">
        <v>227</v>
      </c>
      <c r="H50" s="23">
        <v>223</v>
      </c>
      <c r="I50" s="23">
        <v>43443</v>
      </c>
      <c r="J50" s="23">
        <v>41005</v>
      </c>
      <c r="K50" s="23">
        <v>191</v>
      </c>
      <c r="L50" s="21" t="s">
        <v>19</v>
      </c>
      <c r="M50" s="21" t="s">
        <v>364</v>
      </c>
      <c r="N50" s="21" t="s">
        <v>16</v>
      </c>
      <c r="O50" s="24">
        <f t="shared" si="0"/>
        <v>0.1087862256289851</v>
      </c>
    </row>
    <row r="51" spans="1:15">
      <c r="A51" s="19" t="s">
        <v>80</v>
      </c>
      <c r="B51" s="19" t="s">
        <v>22</v>
      </c>
      <c r="C51" s="20">
        <v>45769</v>
      </c>
      <c r="D51" s="21" t="s">
        <v>14</v>
      </c>
      <c r="E51" s="22" t="s">
        <v>15</v>
      </c>
      <c r="F51" s="23">
        <v>4401</v>
      </c>
      <c r="G51" s="23">
        <v>421</v>
      </c>
      <c r="H51" s="23">
        <v>216</v>
      </c>
      <c r="I51" s="23">
        <v>24890</v>
      </c>
      <c r="J51" s="23">
        <v>54361</v>
      </c>
      <c r="K51" s="23">
        <v>148</v>
      </c>
      <c r="L51" s="21" t="s">
        <v>34</v>
      </c>
      <c r="M51" s="21"/>
      <c r="N51" s="21" t="s">
        <v>16</v>
      </c>
      <c r="O51" s="24">
        <f t="shared" si="0"/>
        <v>0.20241060666934513</v>
      </c>
    </row>
    <row r="52" spans="1:15">
      <c r="A52" s="19" t="s">
        <v>81</v>
      </c>
      <c r="B52" s="19" t="s">
        <v>27</v>
      </c>
      <c r="C52" s="20">
        <v>45425</v>
      </c>
      <c r="D52" s="21" t="s">
        <v>48</v>
      </c>
      <c r="E52" s="22" t="s">
        <v>18</v>
      </c>
      <c r="F52" s="23">
        <v>4161</v>
      </c>
      <c r="G52" s="23">
        <v>481</v>
      </c>
      <c r="H52" s="23">
        <v>61</v>
      </c>
      <c r="I52" s="23">
        <v>45884</v>
      </c>
      <c r="J52" s="23">
        <v>48955</v>
      </c>
      <c r="K52" s="23">
        <v>215</v>
      </c>
      <c r="L52" s="21" t="s">
        <v>19</v>
      </c>
      <c r="M52" s="21" t="s">
        <v>37</v>
      </c>
      <c r="N52" s="21" t="s">
        <v>49</v>
      </c>
      <c r="O52" s="24">
        <f t="shared" si="0"/>
        <v>0.10249760265016128</v>
      </c>
    </row>
    <row r="53" spans="1:15">
      <c r="A53" s="19" t="s">
        <v>82</v>
      </c>
      <c r="B53" s="19" t="s">
        <v>22</v>
      </c>
      <c r="C53" s="20">
        <v>45539</v>
      </c>
      <c r="D53" s="21" t="s">
        <v>23</v>
      </c>
      <c r="E53" s="22" t="s">
        <v>24</v>
      </c>
      <c r="F53" s="23">
        <v>2613</v>
      </c>
      <c r="G53" s="23">
        <v>455</v>
      </c>
      <c r="H53" s="23">
        <v>228</v>
      </c>
      <c r="I53" s="23">
        <v>21645</v>
      </c>
      <c r="J53" s="23">
        <v>61334</v>
      </c>
      <c r="K53" s="23">
        <v>261</v>
      </c>
      <c r="L53" s="21" t="s">
        <v>19</v>
      </c>
      <c r="M53" s="21" t="s">
        <v>364</v>
      </c>
      <c r="N53" s="21" t="s">
        <v>16</v>
      </c>
      <c r="O53" s="24">
        <f t="shared" si="0"/>
        <v>0.15227535227535227</v>
      </c>
    </row>
    <row r="54" spans="1:15">
      <c r="A54" s="19" t="s">
        <v>83</v>
      </c>
      <c r="B54" s="19" t="s">
        <v>22</v>
      </c>
      <c r="C54" s="20">
        <v>45516</v>
      </c>
      <c r="D54" s="21" t="s">
        <v>23</v>
      </c>
      <c r="E54" s="22" t="s">
        <v>362</v>
      </c>
      <c r="F54" s="23">
        <v>2842</v>
      </c>
      <c r="G54" s="23">
        <v>213</v>
      </c>
      <c r="H54" s="23">
        <v>331</v>
      </c>
      <c r="I54" s="23">
        <v>57660</v>
      </c>
      <c r="J54" s="23">
        <v>68606</v>
      </c>
      <c r="K54" s="23">
        <v>87</v>
      </c>
      <c r="L54" s="21" t="s">
        <v>364</v>
      </c>
      <c r="M54" s="21" t="s">
        <v>34</v>
      </c>
      <c r="N54" s="21" t="s">
        <v>16</v>
      </c>
      <c r="O54" s="24">
        <f t="shared" si="0"/>
        <v>5.8723551855705859E-2</v>
      </c>
    </row>
    <row r="55" spans="1:15">
      <c r="A55" s="19" t="s">
        <v>84</v>
      </c>
      <c r="B55" s="19" t="s">
        <v>13</v>
      </c>
      <c r="C55" s="20">
        <v>45722</v>
      </c>
      <c r="D55" s="21" t="s">
        <v>14</v>
      </c>
      <c r="E55" s="22" t="s">
        <v>30</v>
      </c>
      <c r="F55" s="23">
        <v>4851</v>
      </c>
      <c r="G55" s="23">
        <v>460</v>
      </c>
      <c r="H55" s="23">
        <v>212</v>
      </c>
      <c r="I55" s="23">
        <v>58075</v>
      </c>
      <c r="J55" s="23">
        <v>59574</v>
      </c>
      <c r="K55" s="23">
        <v>239</v>
      </c>
      <c r="L55" s="21" t="s">
        <v>19</v>
      </c>
      <c r="M55" s="21"/>
      <c r="N55" s="21" t="s">
        <v>20</v>
      </c>
      <c r="O55" s="24">
        <f t="shared" si="0"/>
        <v>9.5101162290142052E-2</v>
      </c>
    </row>
    <row r="56" spans="1:15">
      <c r="A56" s="19" t="s">
        <v>85</v>
      </c>
      <c r="B56" s="19" t="s">
        <v>22</v>
      </c>
      <c r="C56" s="20">
        <v>45420</v>
      </c>
      <c r="D56" s="21" t="s">
        <v>14</v>
      </c>
      <c r="E56" s="22" t="s">
        <v>18</v>
      </c>
      <c r="F56" s="23">
        <v>1828</v>
      </c>
      <c r="G56" s="23">
        <v>450</v>
      </c>
      <c r="H56" s="23">
        <v>214</v>
      </c>
      <c r="I56" s="23">
        <v>52115</v>
      </c>
      <c r="J56" s="23">
        <v>19166</v>
      </c>
      <c r="K56" s="23">
        <v>190</v>
      </c>
      <c r="L56" s="21" t="s">
        <v>34</v>
      </c>
      <c r="M56" s="21"/>
      <c r="N56" s="21" t="s">
        <v>16</v>
      </c>
      <c r="O56" s="24">
        <f t="shared" si="0"/>
        <v>4.781732706514439E-2</v>
      </c>
    </row>
    <row r="57" spans="1:15">
      <c r="A57" s="19" t="s">
        <v>86</v>
      </c>
      <c r="B57" s="19" t="s">
        <v>13</v>
      </c>
      <c r="C57" s="20">
        <v>45707</v>
      </c>
      <c r="D57" s="21" t="s">
        <v>23</v>
      </c>
      <c r="E57" s="22" t="s">
        <v>363</v>
      </c>
      <c r="F57" s="23">
        <v>2422</v>
      </c>
      <c r="G57" s="23">
        <v>455</v>
      </c>
      <c r="H57" s="23">
        <v>376</v>
      </c>
      <c r="I57" s="23">
        <v>23428</v>
      </c>
      <c r="J57" s="23">
        <v>46775</v>
      </c>
      <c r="K57" s="23">
        <v>259</v>
      </c>
      <c r="L57" s="21" t="s">
        <v>34</v>
      </c>
      <c r="M57" s="21"/>
      <c r="N57" s="21" t="s">
        <v>46</v>
      </c>
      <c r="O57" s="24">
        <f t="shared" si="0"/>
        <v>0.13885094758408742</v>
      </c>
    </row>
    <row r="58" spans="1:15">
      <c r="A58" s="19" t="s">
        <v>87</v>
      </c>
      <c r="B58" s="19" t="s">
        <v>13</v>
      </c>
      <c r="C58" s="20">
        <v>45299</v>
      </c>
      <c r="D58" s="21" t="s">
        <v>14</v>
      </c>
      <c r="E58" s="22" t="s">
        <v>33</v>
      </c>
      <c r="F58" s="23">
        <v>2683</v>
      </c>
      <c r="G58" s="23">
        <v>405</v>
      </c>
      <c r="H58" s="23">
        <v>223</v>
      </c>
      <c r="I58" s="23">
        <v>31233</v>
      </c>
      <c r="J58" s="23">
        <v>58106</v>
      </c>
      <c r="K58" s="23">
        <v>291</v>
      </c>
      <c r="L58" s="21" t="s">
        <v>19</v>
      </c>
      <c r="M58" s="21"/>
      <c r="N58" s="21" t="s">
        <v>20</v>
      </c>
      <c r="O58" s="24">
        <f t="shared" si="0"/>
        <v>0.10600966926007749</v>
      </c>
    </row>
    <row r="59" spans="1:15">
      <c r="A59" s="19" t="s">
        <v>88</v>
      </c>
      <c r="B59" s="19" t="s">
        <v>27</v>
      </c>
      <c r="C59" s="20">
        <v>45490</v>
      </c>
      <c r="D59" s="21" t="s">
        <v>14</v>
      </c>
      <c r="E59" s="22" t="s">
        <v>33</v>
      </c>
      <c r="F59" s="23">
        <v>3135</v>
      </c>
      <c r="G59" s="23">
        <v>110</v>
      </c>
      <c r="H59" s="23">
        <v>215</v>
      </c>
      <c r="I59" s="23">
        <v>39192</v>
      </c>
      <c r="J59" s="23">
        <v>24744</v>
      </c>
      <c r="K59" s="23">
        <v>177</v>
      </c>
      <c r="L59" s="21" t="s">
        <v>19</v>
      </c>
      <c r="M59" s="21" t="s">
        <v>365</v>
      </c>
      <c r="N59" s="21" t="s">
        <v>20</v>
      </c>
      <c r="O59" s="24">
        <f t="shared" si="0"/>
        <v>8.8283323127168814E-2</v>
      </c>
    </row>
    <row r="60" spans="1:15">
      <c r="A60" s="19" t="s">
        <v>89</v>
      </c>
      <c r="B60" s="19" t="s">
        <v>27</v>
      </c>
      <c r="C60" s="20">
        <v>45514</v>
      </c>
      <c r="D60" s="21" t="s">
        <v>14</v>
      </c>
      <c r="E60" s="22" t="s">
        <v>363</v>
      </c>
      <c r="F60" s="23">
        <v>1105</v>
      </c>
      <c r="G60" s="23">
        <v>181</v>
      </c>
      <c r="H60" s="23">
        <v>55</v>
      </c>
      <c r="I60" s="23">
        <v>53581</v>
      </c>
      <c r="J60" s="23">
        <v>74048</v>
      </c>
      <c r="K60" s="23">
        <v>220</v>
      </c>
      <c r="L60" s="21" t="s">
        <v>19</v>
      </c>
      <c r="M60" s="21" t="s">
        <v>365</v>
      </c>
      <c r="N60" s="21" t="s">
        <v>20</v>
      </c>
      <c r="O60" s="24">
        <f t="shared" si="0"/>
        <v>2.50275284149232E-2</v>
      </c>
    </row>
    <row r="61" spans="1:15">
      <c r="A61" s="19" t="s">
        <v>90</v>
      </c>
      <c r="B61" s="19" t="s">
        <v>27</v>
      </c>
      <c r="C61" s="20">
        <v>45398</v>
      </c>
      <c r="D61" s="21" t="s">
        <v>14</v>
      </c>
      <c r="E61" s="22" t="s">
        <v>15</v>
      </c>
      <c r="F61" s="23">
        <v>4674</v>
      </c>
      <c r="G61" s="23">
        <v>326</v>
      </c>
      <c r="H61" s="23">
        <v>62</v>
      </c>
      <c r="I61" s="23">
        <v>45503</v>
      </c>
      <c r="J61" s="23">
        <v>46814</v>
      </c>
      <c r="K61" s="23">
        <v>116</v>
      </c>
      <c r="L61" s="21" t="s">
        <v>19</v>
      </c>
      <c r="M61" s="21" t="s">
        <v>365</v>
      </c>
      <c r="N61" s="21" t="s">
        <v>20</v>
      </c>
      <c r="O61" s="24">
        <f t="shared" si="0"/>
        <v>0.11124541239039185</v>
      </c>
    </row>
    <row r="62" spans="1:15">
      <c r="A62" s="19" t="s">
        <v>91</v>
      </c>
      <c r="B62" s="19" t="s">
        <v>27</v>
      </c>
      <c r="C62" s="20">
        <v>45292</v>
      </c>
      <c r="D62" s="21" t="s">
        <v>48</v>
      </c>
      <c r="E62" s="22" t="s">
        <v>18</v>
      </c>
      <c r="F62" s="23">
        <v>3437</v>
      </c>
      <c r="G62" s="23">
        <v>129</v>
      </c>
      <c r="H62" s="23">
        <v>359</v>
      </c>
      <c r="I62" s="23">
        <v>44558</v>
      </c>
      <c r="J62" s="23">
        <v>30854</v>
      </c>
      <c r="K62" s="23">
        <v>171</v>
      </c>
      <c r="L62" s="21" t="s">
        <v>19</v>
      </c>
      <c r="M62" s="21" t="s">
        <v>37</v>
      </c>
      <c r="N62" s="21" t="s">
        <v>49</v>
      </c>
      <c r="O62" s="24">
        <f t="shared" si="0"/>
        <v>8.8087436599488311E-2</v>
      </c>
    </row>
    <row r="63" spans="1:15">
      <c r="A63" s="19" t="s">
        <v>92</v>
      </c>
      <c r="B63" s="19" t="s">
        <v>22</v>
      </c>
      <c r="C63" s="20">
        <v>45599</v>
      </c>
      <c r="D63" s="21" t="s">
        <v>23</v>
      </c>
      <c r="E63" s="22" t="s">
        <v>360</v>
      </c>
      <c r="F63" s="23">
        <v>1959</v>
      </c>
      <c r="G63" s="23">
        <v>316</v>
      </c>
      <c r="H63" s="23">
        <v>82</v>
      </c>
      <c r="I63" s="23">
        <v>54036</v>
      </c>
      <c r="J63" s="23">
        <v>69015</v>
      </c>
      <c r="K63" s="23">
        <v>182</v>
      </c>
      <c r="L63" s="21" t="s">
        <v>364</v>
      </c>
      <c r="M63" s="21" t="s">
        <v>34</v>
      </c>
      <c r="N63" s="21" t="s">
        <v>16</v>
      </c>
      <c r="O63" s="24">
        <f t="shared" si="0"/>
        <v>4.3619068768968837E-2</v>
      </c>
    </row>
    <row r="64" spans="1:15">
      <c r="A64" s="19" t="s">
        <v>93</v>
      </c>
      <c r="B64" s="19" t="s">
        <v>22</v>
      </c>
      <c r="C64" s="20">
        <v>45480</v>
      </c>
      <c r="D64" s="21" t="s">
        <v>14</v>
      </c>
      <c r="E64" s="22" t="s">
        <v>24</v>
      </c>
      <c r="F64" s="23">
        <v>1035</v>
      </c>
      <c r="G64" s="23">
        <v>137</v>
      </c>
      <c r="H64" s="23">
        <v>184</v>
      </c>
      <c r="I64" s="23">
        <v>37302</v>
      </c>
      <c r="J64" s="23">
        <v>68953</v>
      </c>
      <c r="K64" s="23">
        <v>237</v>
      </c>
      <c r="L64" s="21" t="s">
        <v>37</v>
      </c>
      <c r="M64" s="21"/>
      <c r="N64" s="21" t="s">
        <v>20</v>
      </c>
      <c r="O64" s="24">
        <f t="shared" si="0"/>
        <v>3.6351938233874857E-2</v>
      </c>
    </row>
    <row r="65" spans="1:15">
      <c r="A65" s="19" t="s">
        <v>94</v>
      </c>
      <c r="B65" s="19" t="s">
        <v>22</v>
      </c>
      <c r="C65" s="20">
        <v>45679</v>
      </c>
      <c r="D65" s="21" t="s">
        <v>23</v>
      </c>
      <c r="E65" s="22" t="s">
        <v>24</v>
      </c>
      <c r="F65" s="23">
        <v>4478</v>
      </c>
      <c r="G65" s="23">
        <v>101</v>
      </c>
      <c r="H65" s="23">
        <v>121</v>
      </c>
      <c r="I65" s="23">
        <v>51035</v>
      </c>
      <c r="J65" s="23">
        <v>58207</v>
      </c>
      <c r="K65" s="23">
        <v>205</v>
      </c>
      <c r="L65" s="21" t="s">
        <v>364</v>
      </c>
      <c r="M65" s="21" t="s">
        <v>34</v>
      </c>
      <c r="N65" s="21" t="s">
        <v>16</v>
      </c>
      <c r="O65" s="24">
        <f t="shared" si="0"/>
        <v>9.2093661212893113E-2</v>
      </c>
    </row>
    <row r="66" spans="1:15">
      <c r="A66" s="19" t="s">
        <v>95</v>
      </c>
      <c r="B66" s="19" t="s">
        <v>27</v>
      </c>
      <c r="C66" s="20">
        <v>45438</v>
      </c>
      <c r="D66" s="21" t="s">
        <v>14</v>
      </c>
      <c r="E66" s="22" t="s">
        <v>363</v>
      </c>
      <c r="F66" s="23">
        <v>1488</v>
      </c>
      <c r="G66" s="23">
        <v>327</v>
      </c>
      <c r="H66" s="23">
        <v>110</v>
      </c>
      <c r="I66" s="23">
        <v>53805</v>
      </c>
      <c r="J66" s="23">
        <v>30239</v>
      </c>
      <c r="K66" s="23">
        <v>109</v>
      </c>
      <c r="L66" s="21" t="s">
        <v>19</v>
      </c>
      <c r="M66" s="21" t="s">
        <v>365</v>
      </c>
      <c r="N66" s="21" t="s">
        <v>20</v>
      </c>
      <c r="O66" s="24">
        <f t="shared" ref="O66:O129" si="1" xml:space="preserve"> (F66+ G66 + H66) / I66</f>
        <v>3.5777344113000653E-2</v>
      </c>
    </row>
    <row r="67" spans="1:15">
      <c r="A67" s="19" t="s">
        <v>96</v>
      </c>
      <c r="B67" s="19" t="s">
        <v>13</v>
      </c>
      <c r="C67" s="20">
        <v>45763</v>
      </c>
      <c r="D67" s="21" t="s">
        <v>14</v>
      </c>
      <c r="E67" s="22" t="s">
        <v>360</v>
      </c>
      <c r="F67" s="23">
        <v>4836</v>
      </c>
      <c r="G67" s="23">
        <v>331</v>
      </c>
      <c r="H67" s="23">
        <v>140</v>
      </c>
      <c r="I67" s="23">
        <v>58792</v>
      </c>
      <c r="J67" s="23">
        <v>47711</v>
      </c>
      <c r="K67" s="23">
        <v>227</v>
      </c>
      <c r="L67" s="21" t="s">
        <v>37</v>
      </c>
      <c r="M67" s="21" t="s">
        <v>34</v>
      </c>
      <c r="N67" s="21" t="s">
        <v>16</v>
      </c>
      <c r="O67" s="24">
        <f t="shared" si="1"/>
        <v>9.0267383317458164E-2</v>
      </c>
    </row>
    <row r="68" spans="1:15">
      <c r="A68" s="19" t="s">
        <v>97</v>
      </c>
      <c r="B68" s="19" t="s">
        <v>27</v>
      </c>
      <c r="C68" s="20">
        <v>45384</v>
      </c>
      <c r="D68" s="21" t="s">
        <v>48</v>
      </c>
      <c r="E68" s="22" t="s">
        <v>42</v>
      </c>
      <c r="F68" s="23">
        <v>4563</v>
      </c>
      <c r="G68" s="23">
        <v>488</v>
      </c>
      <c r="H68" s="23">
        <v>356</v>
      </c>
      <c r="I68" s="23">
        <v>30619</v>
      </c>
      <c r="J68" s="23">
        <v>23328</v>
      </c>
      <c r="K68" s="23">
        <v>267</v>
      </c>
      <c r="L68" s="21" t="s">
        <v>19</v>
      </c>
      <c r="M68" s="21" t="s">
        <v>37</v>
      </c>
      <c r="N68" s="21" t="s">
        <v>49</v>
      </c>
      <c r="O68" s="24">
        <f t="shared" si="1"/>
        <v>0.17658969920637513</v>
      </c>
    </row>
    <row r="69" spans="1:15">
      <c r="A69" s="19" t="s">
        <v>98</v>
      </c>
      <c r="B69" s="19" t="s">
        <v>22</v>
      </c>
      <c r="C69" s="20">
        <v>45379</v>
      </c>
      <c r="D69" s="21" t="s">
        <v>14</v>
      </c>
      <c r="E69" s="22" t="s">
        <v>361</v>
      </c>
      <c r="F69" s="23">
        <v>3276</v>
      </c>
      <c r="G69" s="23">
        <v>421</v>
      </c>
      <c r="H69" s="23">
        <v>114</v>
      </c>
      <c r="I69" s="23">
        <v>20580</v>
      </c>
      <c r="J69" s="23">
        <v>30324</v>
      </c>
      <c r="K69" s="23">
        <v>221</v>
      </c>
      <c r="L69" s="21" t="s">
        <v>37</v>
      </c>
      <c r="M69" s="21"/>
      <c r="N69" s="21" t="s">
        <v>20</v>
      </c>
      <c r="O69" s="24">
        <f t="shared" si="1"/>
        <v>0.18517978620019437</v>
      </c>
    </row>
    <row r="70" spans="1:15">
      <c r="A70" s="19" t="s">
        <v>99</v>
      </c>
      <c r="B70" s="19" t="s">
        <v>22</v>
      </c>
      <c r="C70" s="20">
        <v>45643</v>
      </c>
      <c r="D70" s="21" t="s">
        <v>23</v>
      </c>
      <c r="E70" s="22" t="s">
        <v>361</v>
      </c>
      <c r="F70" s="23">
        <v>1316</v>
      </c>
      <c r="G70" s="23">
        <v>472</v>
      </c>
      <c r="H70" s="23">
        <v>286</v>
      </c>
      <c r="I70" s="23">
        <v>44692</v>
      </c>
      <c r="J70" s="23">
        <v>53343</v>
      </c>
      <c r="K70" s="23">
        <v>227</v>
      </c>
      <c r="L70" s="21" t="s">
        <v>19</v>
      </c>
      <c r="M70" s="21" t="s">
        <v>364</v>
      </c>
      <c r="N70" s="21" t="s">
        <v>16</v>
      </c>
      <c r="O70" s="24">
        <f t="shared" si="1"/>
        <v>4.6406515707509172E-2</v>
      </c>
    </row>
    <row r="71" spans="1:15">
      <c r="A71" s="19" t="s">
        <v>100</v>
      </c>
      <c r="B71" s="19" t="s">
        <v>22</v>
      </c>
      <c r="C71" s="20">
        <v>45662</v>
      </c>
      <c r="D71" s="21" t="s">
        <v>14</v>
      </c>
      <c r="E71" s="22" t="s">
        <v>360</v>
      </c>
      <c r="F71" s="23">
        <v>4811</v>
      </c>
      <c r="G71" s="23">
        <v>473</v>
      </c>
      <c r="H71" s="23">
        <v>254</v>
      </c>
      <c r="I71" s="23">
        <v>51964</v>
      </c>
      <c r="J71" s="23">
        <v>68795</v>
      </c>
      <c r="K71" s="23">
        <v>107</v>
      </c>
      <c r="L71" s="21" t="s">
        <v>34</v>
      </c>
      <c r="M71" s="21"/>
      <c r="N71" s="21" t="s">
        <v>16</v>
      </c>
      <c r="O71" s="24">
        <f t="shared" si="1"/>
        <v>0.10657378184897237</v>
      </c>
    </row>
    <row r="72" spans="1:15">
      <c r="A72" s="19" t="s">
        <v>101</v>
      </c>
      <c r="B72" s="19" t="s">
        <v>22</v>
      </c>
      <c r="C72" s="20">
        <v>45302</v>
      </c>
      <c r="D72" s="21" t="s">
        <v>14</v>
      </c>
      <c r="E72" s="22" t="s">
        <v>362</v>
      </c>
      <c r="F72" s="23">
        <v>4218</v>
      </c>
      <c r="G72" s="23">
        <v>247</v>
      </c>
      <c r="H72" s="23">
        <v>183</v>
      </c>
      <c r="I72" s="23">
        <v>28914</v>
      </c>
      <c r="J72" s="23">
        <v>18310</v>
      </c>
      <c r="K72" s="23">
        <v>135</v>
      </c>
      <c r="L72" s="21" t="s">
        <v>37</v>
      </c>
      <c r="M72" s="21"/>
      <c r="N72" s="21" t="s">
        <v>20</v>
      </c>
      <c r="O72" s="24">
        <f t="shared" si="1"/>
        <v>0.1607525766064882</v>
      </c>
    </row>
    <row r="73" spans="1:15">
      <c r="A73" s="19" t="s">
        <v>102</v>
      </c>
      <c r="B73" s="19" t="s">
        <v>13</v>
      </c>
      <c r="C73" s="20">
        <v>45576</v>
      </c>
      <c r="D73" s="21" t="s">
        <v>14</v>
      </c>
      <c r="E73" s="22" t="s">
        <v>363</v>
      </c>
      <c r="F73" s="23">
        <v>1360</v>
      </c>
      <c r="G73" s="23">
        <v>249</v>
      </c>
      <c r="H73" s="23">
        <v>52</v>
      </c>
      <c r="I73" s="23">
        <v>20368</v>
      </c>
      <c r="J73" s="23">
        <v>42152</v>
      </c>
      <c r="K73" s="23">
        <v>193</v>
      </c>
      <c r="L73" s="21" t="s">
        <v>19</v>
      </c>
      <c r="M73" s="21"/>
      <c r="N73" s="21" t="s">
        <v>20</v>
      </c>
      <c r="O73" s="24">
        <f t="shared" si="1"/>
        <v>8.1549489395129612E-2</v>
      </c>
    </row>
    <row r="74" spans="1:15">
      <c r="A74" s="19" t="s">
        <v>103</v>
      </c>
      <c r="B74" s="19" t="s">
        <v>27</v>
      </c>
      <c r="C74" s="20">
        <v>45783</v>
      </c>
      <c r="D74" s="21" t="s">
        <v>48</v>
      </c>
      <c r="E74" s="22" t="s">
        <v>15</v>
      </c>
      <c r="F74" s="23">
        <v>1085</v>
      </c>
      <c r="G74" s="23">
        <v>496</v>
      </c>
      <c r="H74" s="23">
        <v>320</v>
      </c>
      <c r="I74" s="23">
        <v>36528</v>
      </c>
      <c r="J74" s="23">
        <v>38599</v>
      </c>
      <c r="K74" s="23">
        <v>270</v>
      </c>
      <c r="L74" s="21" t="s">
        <v>19</v>
      </c>
      <c r="M74" s="21" t="s">
        <v>37</v>
      </c>
      <c r="N74" s="21" t="s">
        <v>49</v>
      </c>
      <c r="O74" s="24">
        <f t="shared" si="1"/>
        <v>5.2042268944371438E-2</v>
      </c>
    </row>
    <row r="75" spans="1:15">
      <c r="A75" s="19" t="s">
        <v>104</v>
      </c>
      <c r="B75" s="19" t="s">
        <v>22</v>
      </c>
      <c r="C75" s="20">
        <v>45431</v>
      </c>
      <c r="D75" s="21" t="s">
        <v>23</v>
      </c>
      <c r="E75" s="22" t="s">
        <v>30</v>
      </c>
      <c r="F75" s="23">
        <v>1763</v>
      </c>
      <c r="G75" s="23">
        <v>206</v>
      </c>
      <c r="H75" s="23">
        <v>187</v>
      </c>
      <c r="I75" s="23">
        <v>53342</v>
      </c>
      <c r="J75" s="23">
        <v>25095</v>
      </c>
      <c r="K75" s="23">
        <v>88</v>
      </c>
      <c r="L75" s="21" t="s">
        <v>19</v>
      </c>
      <c r="M75" s="21" t="s">
        <v>364</v>
      </c>
      <c r="N75" s="21" t="s">
        <v>16</v>
      </c>
      <c r="O75" s="24">
        <f t="shared" si="1"/>
        <v>4.0418432004799221E-2</v>
      </c>
    </row>
    <row r="76" spans="1:15">
      <c r="A76" s="19" t="s">
        <v>105</v>
      </c>
      <c r="B76" s="19" t="s">
        <v>22</v>
      </c>
      <c r="C76" s="20">
        <v>45313</v>
      </c>
      <c r="D76" s="21" t="s">
        <v>23</v>
      </c>
      <c r="E76" s="22" t="s">
        <v>363</v>
      </c>
      <c r="F76" s="23">
        <v>1554</v>
      </c>
      <c r="G76" s="23">
        <v>455</v>
      </c>
      <c r="H76" s="23">
        <v>158</v>
      </c>
      <c r="I76" s="23">
        <v>41947</v>
      </c>
      <c r="J76" s="23">
        <v>48578</v>
      </c>
      <c r="K76" s="23">
        <v>101</v>
      </c>
      <c r="L76" s="21" t="s">
        <v>37</v>
      </c>
      <c r="M76" s="21" t="s">
        <v>34</v>
      </c>
      <c r="N76" s="21" t="s">
        <v>16</v>
      </c>
      <c r="O76" s="24">
        <f t="shared" si="1"/>
        <v>5.1660428636136076E-2</v>
      </c>
    </row>
    <row r="77" spans="1:15">
      <c r="A77" s="19" t="s">
        <v>106</v>
      </c>
      <c r="B77" s="19" t="s">
        <v>13</v>
      </c>
      <c r="C77" s="20">
        <v>45487</v>
      </c>
      <c r="D77" s="21" t="s">
        <v>14</v>
      </c>
      <c r="E77" s="22" t="s">
        <v>360</v>
      </c>
      <c r="F77" s="23">
        <v>2464</v>
      </c>
      <c r="G77" s="23">
        <v>401</v>
      </c>
      <c r="H77" s="23">
        <v>78</v>
      </c>
      <c r="I77" s="23">
        <v>38665</v>
      </c>
      <c r="J77" s="23">
        <v>73593</v>
      </c>
      <c r="K77" s="23">
        <v>207</v>
      </c>
      <c r="L77" s="21" t="s">
        <v>19</v>
      </c>
      <c r="M77" s="21"/>
      <c r="N77" s="21" t="s">
        <v>20</v>
      </c>
      <c r="O77" s="24">
        <f t="shared" si="1"/>
        <v>7.611534979956032E-2</v>
      </c>
    </row>
    <row r="78" spans="1:15">
      <c r="A78" s="19" t="s">
        <v>107</v>
      </c>
      <c r="B78" s="19" t="s">
        <v>22</v>
      </c>
      <c r="C78" s="20">
        <v>45805</v>
      </c>
      <c r="D78" s="21" t="s">
        <v>14</v>
      </c>
      <c r="E78" s="22" t="s">
        <v>363</v>
      </c>
      <c r="F78" s="23">
        <v>2418</v>
      </c>
      <c r="G78" s="23">
        <v>161</v>
      </c>
      <c r="H78" s="23">
        <v>360</v>
      </c>
      <c r="I78" s="23">
        <v>30589</v>
      </c>
      <c r="J78" s="23">
        <v>41383</v>
      </c>
      <c r="K78" s="23">
        <v>88</v>
      </c>
      <c r="L78" s="21" t="s">
        <v>34</v>
      </c>
      <c r="M78" s="21"/>
      <c r="N78" s="21" t="s">
        <v>16</v>
      </c>
      <c r="O78" s="24">
        <f t="shared" si="1"/>
        <v>9.6080290300434801E-2</v>
      </c>
    </row>
    <row r="79" spans="1:15">
      <c r="A79" s="19" t="s">
        <v>108</v>
      </c>
      <c r="B79" s="19" t="s">
        <v>22</v>
      </c>
      <c r="C79" s="20">
        <v>45678</v>
      </c>
      <c r="D79" s="21" t="s">
        <v>23</v>
      </c>
      <c r="E79" s="22" t="s">
        <v>15</v>
      </c>
      <c r="F79" s="23">
        <v>2494</v>
      </c>
      <c r="G79" s="23">
        <v>494</v>
      </c>
      <c r="H79" s="23">
        <v>55</v>
      </c>
      <c r="I79" s="23">
        <v>22580</v>
      </c>
      <c r="J79" s="23">
        <v>22214</v>
      </c>
      <c r="K79" s="23">
        <v>109</v>
      </c>
      <c r="L79" s="21" t="s">
        <v>364</v>
      </c>
      <c r="M79" s="21" t="s">
        <v>34</v>
      </c>
      <c r="N79" s="21" t="s">
        <v>16</v>
      </c>
      <c r="O79" s="24">
        <f t="shared" si="1"/>
        <v>0.13476527900797167</v>
      </c>
    </row>
    <row r="80" spans="1:15">
      <c r="A80" s="19" t="s">
        <v>109</v>
      </c>
      <c r="B80" s="19" t="s">
        <v>27</v>
      </c>
      <c r="C80" s="20">
        <v>45304</v>
      </c>
      <c r="D80" s="21" t="s">
        <v>48</v>
      </c>
      <c r="E80" s="22" t="s">
        <v>24</v>
      </c>
      <c r="F80" s="23">
        <v>4781</v>
      </c>
      <c r="G80" s="23">
        <v>191</v>
      </c>
      <c r="H80" s="23">
        <v>122</v>
      </c>
      <c r="I80" s="23">
        <v>35535</v>
      </c>
      <c r="J80" s="23">
        <v>50777</v>
      </c>
      <c r="K80" s="23">
        <v>128</v>
      </c>
      <c r="L80" s="21" t="s">
        <v>19</v>
      </c>
      <c r="M80" s="21" t="s">
        <v>37</v>
      </c>
      <c r="N80" s="21" t="s">
        <v>49</v>
      </c>
      <c r="O80" s="24">
        <f t="shared" si="1"/>
        <v>0.14335162515829464</v>
      </c>
    </row>
    <row r="81" spans="1:15">
      <c r="A81" s="19" t="s">
        <v>110</v>
      </c>
      <c r="B81" s="19" t="s">
        <v>13</v>
      </c>
      <c r="C81" s="20">
        <v>45825</v>
      </c>
      <c r="D81" s="21" t="s">
        <v>14</v>
      </c>
      <c r="E81" s="22" t="s">
        <v>361</v>
      </c>
      <c r="F81" s="23">
        <v>2284</v>
      </c>
      <c r="G81" s="23">
        <v>187</v>
      </c>
      <c r="H81" s="23">
        <v>260</v>
      </c>
      <c r="I81" s="23">
        <v>37400</v>
      </c>
      <c r="J81" s="23">
        <v>65014</v>
      </c>
      <c r="K81" s="23">
        <v>157</v>
      </c>
      <c r="L81" s="21" t="s">
        <v>37</v>
      </c>
      <c r="M81" s="21" t="s">
        <v>34</v>
      </c>
      <c r="N81" s="21" t="s">
        <v>16</v>
      </c>
      <c r="O81" s="24">
        <f t="shared" si="1"/>
        <v>7.3021390374331557E-2</v>
      </c>
    </row>
    <row r="82" spans="1:15">
      <c r="A82" s="19" t="s">
        <v>111</v>
      </c>
      <c r="B82" s="19" t="s">
        <v>22</v>
      </c>
      <c r="C82" s="20">
        <v>45723</v>
      </c>
      <c r="D82" s="21" t="s">
        <v>14</v>
      </c>
      <c r="E82" s="22" t="s">
        <v>30</v>
      </c>
      <c r="F82" s="23">
        <v>4234</v>
      </c>
      <c r="G82" s="23">
        <v>486</v>
      </c>
      <c r="H82" s="23">
        <v>276</v>
      </c>
      <c r="I82" s="23">
        <v>56623</v>
      </c>
      <c r="J82" s="23">
        <v>41343</v>
      </c>
      <c r="K82" s="23">
        <v>184</v>
      </c>
      <c r="L82" s="21" t="s">
        <v>37</v>
      </c>
      <c r="M82" s="21"/>
      <c r="N82" s="21" t="s">
        <v>20</v>
      </c>
      <c r="O82" s="24">
        <f t="shared" si="1"/>
        <v>8.8232696960599044E-2</v>
      </c>
    </row>
    <row r="83" spans="1:15">
      <c r="A83" s="19" t="s">
        <v>112</v>
      </c>
      <c r="B83" s="19" t="s">
        <v>13</v>
      </c>
      <c r="C83" s="20">
        <v>45530</v>
      </c>
      <c r="D83" s="21" t="s">
        <v>14</v>
      </c>
      <c r="E83" s="22" t="s">
        <v>42</v>
      </c>
      <c r="F83" s="23">
        <v>2102</v>
      </c>
      <c r="G83" s="23">
        <v>181</v>
      </c>
      <c r="H83" s="23">
        <v>306</v>
      </c>
      <c r="I83" s="23">
        <v>43650</v>
      </c>
      <c r="J83" s="23">
        <v>50079</v>
      </c>
      <c r="K83" s="23">
        <v>182</v>
      </c>
      <c r="L83" s="21" t="s">
        <v>19</v>
      </c>
      <c r="M83" s="21"/>
      <c r="N83" s="21" t="s">
        <v>20</v>
      </c>
      <c r="O83" s="24">
        <f t="shared" si="1"/>
        <v>5.9312714776632303E-2</v>
      </c>
    </row>
    <row r="84" spans="1:15">
      <c r="A84" s="19" t="s">
        <v>113</v>
      </c>
      <c r="B84" s="19" t="s">
        <v>22</v>
      </c>
      <c r="C84" s="20">
        <v>45660</v>
      </c>
      <c r="D84" s="21" t="s">
        <v>23</v>
      </c>
      <c r="E84" s="22" t="s">
        <v>30</v>
      </c>
      <c r="F84" s="23">
        <v>4845</v>
      </c>
      <c r="G84" s="23">
        <v>158</v>
      </c>
      <c r="H84" s="23">
        <v>84</v>
      </c>
      <c r="I84" s="23">
        <v>34578</v>
      </c>
      <c r="J84" s="23">
        <v>51480</v>
      </c>
      <c r="K84" s="23">
        <v>180</v>
      </c>
      <c r="L84" s="21" t="s">
        <v>37</v>
      </c>
      <c r="M84" s="21" t="s">
        <v>34</v>
      </c>
      <c r="N84" s="21" t="s">
        <v>16</v>
      </c>
      <c r="O84" s="24">
        <f t="shared" si="1"/>
        <v>0.1471166637746544</v>
      </c>
    </row>
    <row r="85" spans="1:15">
      <c r="A85" s="19" t="s">
        <v>114</v>
      </c>
      <c r="B85" s="19" t="s">
        <v>22</v>
      </c>
      <c r="C85" s="20">
        <v>45507</v>
      </c>
      <c r="D85" s="21" t="s">
        <v>14</v>
      </c>
      <c r="E85" s="22" t="s">
        <v>42</v>
      </c>
      <c r="F85" s="23">
        <v>4247</v>
      </c>
      <c r="G85" s="23">
        <v>390</v>
      </c>
      <c r="H85" s="23">
        <v>213</v>
      </c>
      <c r="I85" s="23">
        <v>29785</v>
      </c>
      <c r="J85" s="23">
        <v>57768</v>
      </c>
      <c r="K85" s="23">
        <v>122</v>
      </c>
      <c r="L85" s="21" t="s">
        <v>34</v>
      </c>
      <c r="M85" s="21"/>
      <c r="N85" s="21" t="s">
        <v>16</v>
      </c>
      <c r="O85" s="24">
        <f t="shared" si="1"/>
        <v>0.16283364109451065</v>
      </c>
    </row>
    <row r="86" spans="1:15">
      <c r="A86" s="19" t="s">
        <v>115</v>
      </c>
      <c r="B86" s="19" t="s">
        <v>13</v>
      </c>
      <c r="C86" s="20">
        <v>45522</v>
      </c>
      <c r="D86" s="21" t="s">
        <v>14</v>
      </c>
      <c r="E86" s="22" t="s">
        <v>18</v>
      </c>
      <c r="F86" s="23">
        <v>2965</v>
      </c>
      <c r="G86" s="23">
        <v>328</v>
      </c>
      <c r="H86" s="23">
        <v>171</v>
      </c>
      <c r="I86" s="23">
        <v>57685</v>
      </c>
      <c r="J86" s="23">
        <v>67536</v>
      </c>
      <c r="K86" s="23">
        <v>264</v>
      </c>
      <c r="L86" s="21" t="s">
        <v>37</v>
      </c>
      <c r="M86" s="21" t="s">
        <v>34</v>
      </c>
      <c r="N86" s="21" t="s">
        <v>16</v>
      </c>
      <c r="O86" s="24">
        <f t="shared" si="1"/>
        <v>6.0050273034584378E-2</v>
      </c>
    </row>
    <row r="87" spans="1:15">
      <c r="A87" s="19" t="s">
        <v>116</v>
      </c>
      <c r="B87" s="19" t="s">
        <v>22</v>
      </c>
      <c r="C87" s="20">
        <v>45791</v>
      </c>
      <c r="D87" s="21" t="s">
        <v>23</v>
      </c>
      <c r="E87" s="22" t="s">
        <v>360</v>
      </c>
      <c r="F87" s="23">
        <v>1371</v>
      </c>
      <c r="G87" s="23">
        <v>139</v>
      </c>
      <c r="H87" s="23">
        <v>96</v>
      </c>
      <c r="I87" s="23">
        <v>36140</v>
      </c>
      <c r="J87" s="23">
        <v>39395</v>
      </c>
      <c r="K87" s="23">
        <v>169</v>
      </c>
      <c r="L87" s="21" t="s">
        <v>37</v>
      </c>
      <c r="M87" s="21" t="s">
        <v>34</v>
      </c>
      <c r="N87" s="21" t="s">
        <v>16</v>
      </c>
      <c r="O87" s="24">
        <f t="shared" si="1"/>
        <v>4.4438295517432211E-2</v>
      </c>
    </row>
    <row r="88" spans="1:15">
      <c r="A88" s="19" t="s">
        <v>117</v>
      </c>
      <c r="B88" s="19" t="s">
        <v>22</v>
      </c>
      <c r="C88" s="20">
        <v>45405</v>
      </c>
      <c r="D88" s="21" t="s">
        <v>23</v>
      </c>
      <c r="E88" s="22" t="s">
        <v>15</v>
      </c>
      <c r="F88" s="23">
        <v>2683</v>
      </c>
      <c r="G88" s="23">
        <v>496</v>
      </c>
      <c r="H88" s="23">
        <v>89</v>
      </c>
      <c r="I88" s="23">
        <v>53435</v>
      </c>
      <c r="J88" s="23">
        <v>30334</v>
      </c>
      <c r="K88" s="23">
        <v>160</v>
      </c>
      <c r="L88" s="21" t="s">
        <v>37</v>
      </c>
      <c r="M88" s="21" t="s">
        <v>34</v>
      </c>
      <c r="N88" s="21" t="s">
        <v>16</v>
      </c>
      <c r="O88" s="24">
        <f t="shared" si="1"/>
        <v>6.1158416768035934E-2</v>
      </c>
    </row>
    <row r="89" spans="1:15">
      <c r="A89" s="19" t="s">
        <v>118</v>
      </c>
      <c r="B89" s="19" t="s">
        <v>22</v>
      </c>
      <c r="C89" s="20">
        <v>45705</v>
      </c>
      <c r="D89" s="21" t="s">
        <v>23</v>
      </c>
      <c r="E89" s="22" t="s">
        <v>362</v>
      </c>
      <c r="F89" s="23">
        <v>4796</v>
      </c>
      <c r="G89" s="23">
        <v>427</v>
      </c>
      <c r="H89" s="23">
        <v>339</v>
      </c>
      <c r="I89" s="23">
        <v>30752</v>
      </c>
      <c r="J89" s="23">
        <v>33870</v>
      </c>
      <c r="K89" s="23">
        <v>298</v>
      </c>
      <c r="L89" s="21" t="s">
        <v>37</v>
      </c>
      <c r="M89" s="21" t="s">
        <v>34</v>
      </c>
      <c r="N89" s="21" t="s">
        <v>16</v>
      </c>
      <c r="O89" s="24">
        <f t="shared" si="1"/>
        <v>0.18086628511966701</v>
      </c>
    </row>
    <row r="90" spans="1:15">
      <c r="A90" s="19" t="s">
        <v>119</v>
      </c>
      <c r="B90" s="19" t="s">
        <v>13</v>
      </c>
      <c r="C90" s="20">
        <v>45630</v>
      </c>
      <c r="D90" s="21" t="s">
        <v>14</v>
      </c>
      <c r="E90" s="22" t="s">
        <v>360</v>
      </c>
      <c r="F90" s="23">
        <v>2601</v>
      </c>
      <c r="G90" s="23">
        <v>336</v>
      </c>
      <c r="H90" s="23">
        <v>260</v>
      </c>
      <c r="I90" s="23">
        <v>32368</v>
      </c>
      <c r="J90" s="23">
        <v>49028</v>
      </c>
      <c r="K90" s="23">
        <v>120</v>
      </c>
      <c r="L90" s="21" t="s">
        <v>37</v>
      </c>
      <c r="M90" s="21" t="s">
        <v>34</v>
      </c>
      <c r="N90" s="21" t="s">
        <v>16</v>
      </c>
      <c r="O90" s="24">
        <f t="shared" si="1"/>
        <v>9.8770390509144837E-2</v>
      </c>
    </row>
    <row r="91" spans="1:15">
      <c r="A91" s="19" t="s">
        <v>120</v>
      </c>
      <c r="B91" s="19" t="s">
        <v>22</v>
      </c>
      <c r="C91" s="20">
        <v>45495</v>
      </c>
      <c r="D91" s="21" t="s">
        <v>23</v>
      </c>
      <c r="E91" s="22" t="s">
        <v>360</v>
      </c>
      <c r="F91" s="23">
        <v>3336</v>
      </c>
      <c r="G91" s="23">
        <v>229</v>
      </c>
      <c r="H91" s="23">
        <v>337</v>
      </c>
      <c r="I91" s="23">
        <v>22117</v>
      </c>
      <c r="J91" s="23">
        <v>26205</v>
      </c>
      <c r="K91" s="23">
        <v>160</v>
      </c>
      <c r="L91" s="21" t="s">
        <v>364</v>
      </c>
      <c r="M91" s="21" t="s">
        <v>34</v>
      </c>
      <c r="N91" s="21" t="s">
        <v>16</v>
      </c>
      <c r="O91" s="24">
        <f t="shared" si="1"/>
        <v>0.17642537414658407</v>
      </c>
    </row>
    <row r="92" spans="1:15">
      <c r="A92" s="19" t="s">
        <v>121</v>
      </c>
      <c r="B92" s="19" t="s">
        <v>22</v>
      </c>
      <c r="C92" s="20">
        <v>45774</v>
      </c>
      <c r="D92" s="21" t="s">
        <v>14</v>
      </c>
      <c r="E92" s="22" t="s">
        <v>18</v>
      </c>
      <c r="F92" s="23">
        <v>1165</v>
      </c>
      <c r="G92" s="23">
        <v>294</v>
      </c>
      <c r="H92" s="23">
        <v>163</v>
      </c>
      <c r="I92" s="23">
        <v>20659</v>
      </c>
      <c r="J92" s="23">
        <v>45926</v>
      </c>
      <c r="K92" s="23">
        <v>111</v>
      </c>
      <c r="L92" s="21" t="s">
        <v>37</v>
      </c>
      <c r="M92" s="21"/>
      <c r="N92" s="21" t="s">
        <v>20</v>
      </c>
      <c r="O92" s="24">
        <f t="shared" si="1"/>
        <v>7.8512996756861422E-2</v>
      </c>
    </row>
    <row r="93" spans="1:15">
      <c r="A93" s="19" t="s">
        <v>122</v>
      </c>
      <c r="B93" s="19" t="s">
        <v>27</v>
      </c>
      <c r="C93" s="20">
        <v>45376</v>
      </c>
      <c r="D93" s="21" t="s">
        <v>48</v>
      </c>
      <c r="E93" s="22" t="s">
        <v>18</v>
      </c>
      <c r="F93" s="23">
        <v>1948</v>
      </c>
      <c r="G93" s="23">
        <v>155</v>
      </c>
      <c r="H93" s="23">
        <v>315</v>
      </c>
      <c r="I93" s="23">
        <v>30321</v>
      </c>
      <c r="J93" s="23">
        <v>57121</v>
      </c>
      <c r="K93" s="23">
        <v>82</v>
      </c>
      <c r="L93" s="21" t="s">
        <v>19</v>
      </c>
      <c r="M93" s="21" t="s">
        <v>37</v>
      </c>
      <c r="N93" s="21" t="s">
        <v>49</v>
      </c>
      <c r="O93" s="24">
        <f t="shared" si="1"/>
        <v>7.974671020085089E-2</v>
      </c>
    </row>
    <row r="94" spans="1:15">
      <c r="A94" s="19" t="s">
        <v>123</v>
      </c>
      <c r="B94" s="19" t="s">
        <v>13</v>
      </c>
      <c r="C94" s="20">
        <v>45351</v>
      </c>
      <c r="D94" s="21" t="s">
        <v>14</v>
      </c>
      <c r="E94" s="22" t="s">
        <v>363</v>
      </c>
      <c r="F94" s="23">
        <v>1100</v>
      </c>
      <c r="G94" s="23">
        <v>229</v>
      </c>
      <c r="H94" s="23">
        <v>312</v>
      </c>
      <c r="I94" s="23">
        <v>25641</v>
      </c>
      <c r="J94" s="23">
        <v>34601</v>
      </c>
      <c r="K94" s="23">
        <v>169</v>
      </c>
      <c r="L94" s="21" t="s">
        <v>19</v>
      </c>
      <c r="M94" s="21"/>
      <c r="N94" s="21" t="s">
        <v>20</v>
      </c>
      <c r="O94" s="24">
        <f t="shared" si="1"/>
        <v>6.3999063999063993E-2</v>
      </c>
    </row>
    <row r="95" spans="1:15">
      <c r="A95" s="19" t="s">
        <v>124</v>
      </c>
      <c r="B95" s="19" t="s">
        <v>22</v>
      </c>
      <c r="C95" s="20">
        <v>45609</v>
      </c>
      <c r="D95" s="21" t="s">
        <v>23</v>
      </c>
      <c r="E95" s="22" t="s">
        <v>33</v>
      </c>
      <c r="F95" s="23">
        <v>4628</v>
      </c>
      <c r="G95" s="23">
        <v>257</v>
      </c>
      <c r="H95" s="23">
        <v>397</v>
      </c>
      <c r="I95" s="23">
        <v>36686</v>
      </c>
      <c r="J95" s="23">
        <v>54683</v>
      </c>
      <c r="K95" s="23">
        <v>98</v>
      </c>
      <c r="L95" s="21" t="s">
        <v>37</v>
      </c>
      <c r="M95" s="21" t="s">
        <v>34</v>
      </c>
      <c r="N95" s="21" t="s">
        <v>16</v>
      </c>
      <c r="O95" s="24">
        <f t="shared" si="1"/>
        <v>0.1439786294499264</v>
      </c>
    </row>
    <row r="96" spans="1:15">
      <c r="A96" s="19" t="s">
        <v>125</v>
      </c>
      <c r="B96" s="19" t="s">
        <v>13</v>
      </c>
      <c r="C96" s="20">
        <v>45373</v>
      </c>
      <c r="D96" s="21" t="s">
        <v>23</v>
      </c>
      <c r="E96" s="22" t="s">
        <v>15</v>
      </c>
      <c r="F96" s="23">
        <v>2319</v>
      </c>
      <c r="G96" s="23">
        <v>484</v>
      </c>
      <c r="H96" s="23">
        <v>193</v>
      </c>
      <c r="I96" s="23">
        <v>21202</v>
      </c>
      <c r="J96" s="23">
        <v>18091</v>
      </c>
      <c r="K96" s="23">
        <v>241</v>
      </c>
      <c r="L96" s="21" t="s">
        <v>34</v>
      </c>
      <c r="M96" s="21"/>
      <c r="N96" s="21" t="s">
        <v>46</v>
      </c>
      <c r="O96" s="24">
        <f t="shared" si="1"/>
        <v>0.14130742382794076</v>
      </c>
    </row>
    <row r="97" spans="1:15">
      <c r="A97" s="19" t="s">
        <v>126</v>
      </c>
      <c r="B97" s="19" t="s">
        <v>22</v>
      </c>
      <c r="C97" s="20">
        <v>45367</v>
      </c>
      <c r="D97" s="21" t="s">
        <v>23</v>
      </c>
      <c r="E97" s="22" t="s">
        <v>360</v>
      </c>
      <c r="F97" s="23">
        <v>2895</v>
      </c>
      <c r="G97" s="23">
        <v>292</v>
      </c>
      <c r="H97" s="23">
        <v>90</v>
      </c>
      <c r="I97" s="23">
        <v>24223</v>
      </c>
      <c r="J97" s="23">
        <v>54626</v>
      </c>
      <c r="K97" s="23">
        <v>114</v>
      </c>
      <c r="L97" s="21" t="s">
        <v>37</v>
      </c>
      <c r="M97" s="21" t="s">
        <v>34</v>
      </c>
      <c r="N97" s="21" t="s">
        <v>16</v>
      </c>
      <c r="O97" s="24">
        <f t="shared" si="1"/>
        <v>0.13528464682326713</v>
      </c>
    </row>
    <row r="98" spans="1:15">
      <c r="A98" s="19" t="s">
        <v>127</v>
      </c>
      <c r="B98" s="19" t="s">
        <v>13</v>
      </c>
      <c r="C98" s="20">
        <v>45317</v>
      </c>
      <c r="D98" s="21" t="s">
        <v>14</v>
      </c>
      <c r="E98" s="22" t="s">
        <v>362</v>
      </c>
      <c r="F98" s="23">
        <v>3878</v>
      </c>
      <c r="G98" s="23">
        <v>431</v>
      </c>
      <c r="H98" s="23">
        <v>97</v>
      </c>
      <c r="I98" s="23">
        <v>41763</v>
      </c>
      <c r="J98" s="23">
        <v>29729</v>
      </c>
      <c r="K98" s="23">
        <v>191</v>
      </c>
      <c r="L98" s="21" t="s">
        <v>19</v>
      </c>
      <c r="M98" s="21"/>
      <c r="N98" s="21" t="s">
        <v>20</v>
      </c>
      <c r="O98" s="24">
        <f t="shared" si="1"/>
        <v>0.10550008380623997</v>
      </c>
    </row>
    <row r="99" spans="1:15">
      <c r="A99" s="19" t="s">
        <v>128</v>
      </c>
      <c r="B99" s="19" t="s">
        <v>22</v>
      </c>
      <c r="C99" s="20">
        <v>45366</v>
      </c>
      <c r="D99" s="21" t="s">
        <v>23</v>
      </c>
      <c r="E99" s="22" t="s">
        <v>30</v>
      </c>
      <c r="F99" s="23">
        <v>4969</v>
      </c>
      <c r="G99" s="23">
        <v>433</v>
      </c>
      <c r="H99" s="23">
        <v>237</v>
      </c>
      <c r="I99" s="23">
        <v>59552</v>
      </c>
      <c r="J99" s="23">
        <v>23885</v>
      </c>
      <c r="K99" s="23">
        <v>157</v>
      </c>
      <c r="L99" s="21" t="s">
        <v>19</v>
      </c>
      <c r="M99" s="21" t="s">
        <v>364</v>
      </c>
      <c r="N99" s="21" t="s">
        <v>16</v>
      </c>
      <c r="O99" s="24">
        <f t="shared" si="1"/>
        <v>9.4690354648038683E-2</v>
      </c>
    </row>
    <row r="100" spans="1:15">
      <c r="A100" s="19" t="s">
        <v>129</v>
      </c>
      <c r="B100" s="19" t="s">
        <v>22</v>
      </c>
      <c r="C100" s="20">
        <v>45580</v>
      </c>
      <c r="D100" s="21" t="s">
        <v>14</v>
      </c>
      <c r="E100" s="22" t="s">
        <v>360</v>
      </c>
      <c r="F100" s="23">
        <v>1984</v>
      </c>
      <c r="G100" s="23">
        <v>481</v>
      </c>
      <c r="H100" s="23">
        <v>356</v>
      </c>
      <c r="I100" s="23">
        <v>40681</v>
      </c>
      <c r="J100" s="23">
        <v>63111</v>
      </c>
      <c r="K100" s="23">
        <v>258</v>
      </c>
      <c r="L100" s="21" t="s">
        <v>34</v>
      </c>
      <c r="M100" s="21"/>
      <c r="N100" s="21" t="s">
        <v>16</v>
      </c>
      <c r="O100" s="24">
        <f t="shared" si="1"/>
        <v>6.934441139598338E-2</v>
      </c>
    </row>
    <row r="101" spans="1:15">
      <c r="A101" s="19" t="s">
        <v>130</v>
      </c>
      <c r="B101" s="19" t="s">
        <v>13</v>
      </c>
      <c r="C101" s="20">
        <v>45494</v>
      </c>
      <c r="D101" s="21" t="s">
        <v>14</v>
      </c>
      <c r="E101" s="22" t="s">
        <v>15</v>
      </c>
      <c r="F101" s="23">
        <v>3004</v>
      </c>
      <c r="G101" s="23">
        <v>415</v>
      </c>
      <c r="H101" s="23">
        <v>218</v>
      </c>
      <c r="I101" s="23">
        <v>36090</v>
      </c>
      <c r="J101" s="23">
        <v>37073</v>
      </c>
      <c r="K101" s="23">
        <v>181</v>
      </c>
      <c r="L101" s="21" t="s">
        <v>19</v>
      </c>
      <c r="M101" s="21"/>
      <c r="N101" s="21" t="s">
        <v>20</v>
      </c>
      <c r="O101" s="24">
        <f t="shared" si="1"/>
        <v>0.10077583818232197</v>
      </c>
    </row>
    <row r="102" spans="1:15">
      <c r="A102" s="19" t="s">
        <v>131</v>
      </c>
      <c r="B102" s="19" t="s">
        <v>22</v>
      </c>
      <c r="C102" s="20">
        <v>45577</v>
      </c>
      <c r="D102" s="21" t="s">
        <v>14</v>
      </c>
      <c r="E102" s="22" t="s">
        <v>30</v>
      </c>
      <c r="F102" s="23">
        <v>3169</v>
      </c>
      <c r="G102" s="23">
        <v>386</v>
      </c>
      <c r="H102" s="23">
        <v>175</v>
      </c>
      <c r="I102" s="23">
        <v>45012</v>
      </c>
      <c r="J102" s="23">
        <v>38508</v>
      </c>
      <c r="K102" s="23">
        <v>218</v>
      </c>
      <c r="L102" s="21" t="s">
        <v>34</v>
      </c>
      <c r="M102" s="21"/>
      <c r="N102" s="21" t="s">
        <v>16</v>
      </c>
      <c r="O102" s="24">
        <f t="shared" si="1"/>
        <v>8.2866791077934779E-2</v>
      </c>
    </row>
    <row r="103" spans="1:15">
      <c r="A103" s="19" t="s">
        <v>132</v>
      </c>
      <c r="B103" s="19" t="s">
        <v>22</v>
      </c>
      <c r="C103" s="20">
        <v>45591</v>
      </c>
      <c r="D103" s="21" t="s">
        <v>14</v>
      </c>
      <c r="E103" s="22" t="s">
        <v>15</v>
      </c>
      <c r="F103" s="23">
        <v>3036</v>
      </c>
      <c r="G103" s="23">
        <v>293</v>
      </c>
      <c r="H103" s="23">
        <v>115</v>
      </c>
      <c r="I103" s="23">
        <v>23776</v>
      </c>
      <c r="J103" s="23">
        <v>46386</v>
      </c>
      <c r="K103" s="23">
        <v>282</v>
      </c>
      <c r="L103" s="21" t="s">
        <v>34</v>
      </c>
      <c r="M103" s="21"/>
      <c r="N103" s="21" t="s">
        <v>16</v>
      </c>
      <c r="O103" s="24">
        <f t="shared" si="1"/>
        <v>0.14485195154777927</v>
      </c>
    </row>
    <row r="104" spans="1:15">
      <c r="A104" s="19" t="s">
        <v>133</v>
      </c>
      <c r="B104" s="19" t="s">
        <v>13</v>
      </c>
      <c r="C104" s="20">
        <v>45336</v>
      </c>
      <c r="D104" s="21" t="s">
        <v>14</v>
      </c>
      <c r="E104" s="22" t="s">
        <v>361</v>
      </c>
      <c r="F104" s="23">
        <v>1830</v>
      </c>
      <c r="G104" s="23">
        <v>112</v>
      </c>
      <c r="H104" s="23">
        <v>181</v>
      </c>
      <c r="I104" s="23">
        <v>31870</v>
      </c>
      <c r="J104" s="23">
        <v>55742</v>
      </c>
      <c r="K104" s="23">
        <v>263</v>
      </c>
      <c r="L104" s="21" t="s">
        <v>37</v>
      </c>
      <c r="M104" s="21" t="s">
        <v>34</v>
      </c>
      <c r="N104" s="21" t="s">
        <v>16</v>
      </c>
      <c r="O104" s="24">
        <f t="shared" si="1"/>
        <v>6.6614370881706936E-2</v>
      </c>
    </row>
    <row r="105" spans="1:15">
      <c r="A105" s="19" t="s">
        <v>134</v>
      </c>
      <c r="B105" s="19" t="s">
        <v>22</v>
      </c>
      <c r="C105" s="20">
        <v>45413</v>
      </c>
      <c r="D105" s="21" t="s">
        <v>23</v>
      </c>
      <c r="E105" s="22" t="s">
        <v>362</v>
      </c>
      <c r="F105" s="23">
        <v>2587</v>
      </c>
      <c r="G105" s="23">
        <v>447</v>
      </c>
      <c r="H105" s="23">
        <v>183</v>
      </c>
      <c r="I105" s="23">
        <v>36266</v>
      </c>
      <c r="J105" s="23">
        <v>32877</v>
      </c>
      <c r="K105" s="23">
        <v>132</v>
      </c>
      <c r="L105" s="21" t="s">
        <v>19</v>
      </c>
      <c r="M105" s="21" t="s">
        <v>364</v>
      </c>
      <c r="N105" s="21" t="s">
        <v>16</v>
      </c>
      <c r="O105" s="24">
        <f t="shared" si="1"/>
        <v>8.8705674736667947E-2</v>
      </c>
    </row>
    <row r="106" spans="1:15">
      <c r="A106" s="19" t="s">
        <v>135</v>
      </c>
      <c r="B106" s="19" t="s">
        <v>22</v>
      </c>
      <c r="C106" s="20">
        <v>45553</v>
      </c>
      <c r="D106" s="21" t="s">
        <v>14</v>
      </c>
      <c r="E106" s="22" t="s">
        <v>15</v>
      </c>
      <c r="F106" s="23">
        <v>2878</v>
      </c>
      <c r="G106" s="23">
        <v>265</v>
      </c>
      <c r="H106" s="23">
        <v>91</v>
      </c>
      <c r="I106" s="23">
        <v>52090</v>
      </c>
      <c r="J106" s="23">
        <v>28924</v>
      </c>
      <c r="K106" s="23">
        <v>133</v>
      </c>
      <c r="L106" s="21" t="s">
        <v>34</v>
      </c>
      <c r="M106" s="21"/>
      <c r="N106" s="21" t="s">
        <v>16</v>
      </c>
      <c r="O106" s="24">
        <f t="shared" si="1"/>
        <v>6.2084853138798232E-2</v>
      </c>
    </row>
    <row r="107" spans="1:15">
      <c r="A107" s="19" t="s">
        <v>136</v>
      </c>
      <c r="B107" s="19" t="s">
        <v>22</v>
      </c>
      <c r="C107" s="20">
        <v>45677</v>
      </c>
      <c r="D107" s="21" t="s">
        <v>23</v>
      </c>
      <c r="E107" s="22" t="s">
        <v>24</v>
      </c>
      <c r="F107" s="23">
        <v>4619</v>
      </c>
      <c r="G107" s="23">
        <v>272</v>
      </c>
      <c r="H107" s="23">
        <v>57</v>
      </c>
      <c r="I107" s="23">
        <v>21334</v>
      </c>
      <c r="J107" s="23">
        <v>46292</v>
      </c>
      <c r="K107" s="23">
        <v>91</v>
      </c>
      <c r="L107" s="21" t="s">
        <v>37</v>
      </c>
      <c r="M107" s="21" t="s">
        <v>34</v>
      </c>
      <c r="N107" s="21" t="s">
        <v>16</v>
      </c>
      <c r="O107" s="24">
        <f t="shared" si="1"/>
        <v>0.23193025217961938</v>
      </c>
    </row>
    <row r="108" spans="1:15">
      <c r="A108" s="19" t="s">
        <v>137</v>
      </c>
      <c r="B108" s="19" t="s">
        <v>22</v>
      </c>
      <c r="C108" s="20">
        <v>45670</v>
      </c>
      <c r="D108" s="21" t="s">
        <v>14</v>
      </c>
      <c r="E108" s="22" t="s">
        <v>361</v>
      </c>
      <c r="F108" s="23">
        <v>4090</v>
      </c>
      <c r="G108" s="23">
        <v>209</v>
      </c>
      <c r="H108" s="23">
        <v>278</v>
      </c>
      <c r="I108" s="23">
        <v>52853</v>
      </c>
      <c r="J108" s="23">
        <v>57084</v>
      </c>
      <c r="K108" s="23">
        <v>102</v>
      </c>
      <c r="L108" s="21" t="s">
        <v>37</v>
      </c>
      <c r="M108" s="21"/>
      <c r="N108" s="21" t="s">
        <v>20</v>
      </c>
      <c r="O108" s="24">
        <f t="shared" si="1"/>
        <v>8.6598679355949518E-2</v>
      </c>
    </row>
    <row r="109" spans="1:15">
      <c r="A109" s="19" t="s">
        <v>138</v>
      </c>
      <c r="B109" s="19" t="s">
        <v>27</v>
      </c>
      <c r="C109" s="20">
        <v>45542</v>
      </c>
      <c r="D109" s="21" t="s">
        <v>48</v>
      </c>
      <c r="E109" s="22" t="s">
        <v>361</v>
      </c>
      <c r="F109" s="23">
        <v>3882</v>
      </c>
      <c r="G109" s="23">
        <v>342</v>
      </c>
      <c r="H109" s="23">
        <v>374</v>
      </c>
      <c r="I109" s="23">
        <v>41991</v>
      </c>
      <c r="J109" s="23">
        <v>48554</v>
      </c>
      <c r="K109" s="23">
        <v>118</v>
      </c>
      <c r="L109" s="21" t="s">
        <v>19</v>
      </c>
      <c r="M109" s="21" t="s">
        <v>37</v>
      </c>
      <c r="N109" s="21" t="s">
        <v>49</v>
      </c>
      <c r="O109" s="24">
        <f t="shared" si="1"/>
        <v>0.10949965468790931</v>
      </c>
    </row>
    <row r="110" spans="1:15">
      <c r="A110" s="19" t="s">
        <v>139</v>
      </c>
      <c r="B110" s="19" t="s">
        <v>13</v>
      </c>
      <c r="C110" s="20">
        <v>45617</v>
      </c>
      <c r="D110" s="21" t="s">
        <v>14</v>
      </c>
      <c r="E110" s="22" t="s">
        <v>361</v>
      </c>
      <c r="F110" s="23">
        <v>4581</v>
      </c>
      <c r="G110" s="23">
        <v>181</v>
      </c>
      <c r="H110" s="23">
        <v>112</v>
      </c>
      <c r="I110" s="23">
        <v>35221</v>
      </c>
      <c r="J110" s="23">
        <v>28797</v>
      </c>
      <c r="K110" s="23">
        <v>164</v>
      </c>
      <c r="L110" s="21" t="s">
        <v>37</v>
      </c>
      <c r="M110" s="21" t="s">
        <v>34</v>
      </c>
      <c r="N110" s="21" t="s">
        <v>16</v>
      </c>
      <c r="O110" s="24">
        <f t="shared" si="1"/>
        <v>0.13838335084182732</v>
      </c>
    </row>
    <row r="111" spans="1:15">
      <c r="A111" s="19" t="s">
        <v>140</v>
      </c>
      <c r="B111" s="19" t="s">
        <v>13</v>
      </c>
      <c r="C111" s="20">
        <v>45469</v>
      </c>
      <c r="D111" s="21" t="s">
        <v>14</v>
      </c>
      <c r="E111" s="22" t="s">
        <v>24</v>
      </c>
      <c r="F111" s="23">
        <v>3253</v>
      </c>
      <c r="G111" s="23">
        <v>483</v>
      </c>
      <c r="H111" s="23">
        <v>336</v>
      </c>
      <c r="I111" s="23">
        <v>25397</v>
      </c>
      <c r="J111" s="23">
        <v>51485</v>
      </c>
      <c r="K111" s="23">
        <v>131</v>
      </c>
      <c r="L111" s="21" t="s">
        <v>19</v>
      </c>
      <c r="M111" s="21"/>
      <c r="N111" s="21" t="s">
        <v>20</v>
      </c>
      <c r="O111" s="24">
        <f t="shared" si="1"/>
        <v>0.16033389770445328</v>
      </c>
    </row>
    <row r="112" spans="1:15">
      <c r="A112" s="19" t="s">
        <v>141</v>
      </c>
      <c r="B112" s="19" t="s">
        <v>27</v>
      </c>
      <c r="C112" s="20">
        <v>45493</v>
      </c>
      <c r="D112" s="21" t="s">
        <v>48</v>
      </c>
      <c r="E112" s="22" t="s">
        <v>361</v>
      </c>
      <c r="F112" s="23">
        <v>4955</v>
      </c>
      <c r="G112" s="23">
        <v>299</v>
      </c>
      <c r="H112" s="23">
        <v>345</v>
      </c>
      <c r="I112" s="23">
        <v>33644</v>
      </c>
      <c r="J112" s="23">
        <v>43547</v>
      </c>
      <c r="K112" s="23">
        <v>194</v>
      </c>
      <c r="L112" s="21" t="s">
        <v>19</v>
      </c>
      <c r="M112" s="21" t="s">
        <v>37</v>
      </c>
      <c r="N112" s="21" t="s">
        <v>49</v>
      </c>
      <c r="O112" s="24">
        <f t="shared" si="1"/>
        <v>0.16641897515158721</v>
      </c>
    </row>
    <row r="113" spans="1:15">
      <c r="A113" s="19" t="s">
        <v>142</v>
      </c>
      <c r="B113" s="19" t="s">
        <v>13</v>
      </c>
      <c r="C113" s="20">
        <v>45704</v>
      </c>
      <c r="D113" s="21" t="s">
        <v>14</v>
      </c>
      <c r="E113" s="22" t="s">
        <v>42</v>
      </c>
      <c r="F113" s="23">
        <v>1333</v>
      </c>
      <c r="G113" s="23">
        <v>286</v>
      </c>
      <c r="H113" s="23">
        <v>298</v>
      </c>
      <c r="I113" s="23">
        <v>36174</v>
      </c>
      <c r="J113" s="23">
        <v>34517</v>
      </c>
      <c r="K113" s="23">
        <v>170</v>
      </c>
      <c r="L113" s="21" t="s">
        <v>37</v>
      </c>
      <c r="M113" s="21" t="s">
        <v>34</v>
      </c>
      <c r="N113" s="21" t="s">
        <v>16</v>
      </c>
      <c r="O113" s="24">
        <f t="shared" si="1"/>
        <v>5.2993862995521647E-2</v>
      </c>
    </row>
    <row r="114" spans="1:15">
      <c r="A114" s="19" t="s">
        <v>143</v>
      </c>
      <c r="B114" s="19" t="s">
        <v>13</v>
      </c>
      <c r="C114" s="20">
        <v>45544</v>
      </c>
      <c r="D114" s="21" t="s">
        <v>14</v>
      </c>
      <c r="E114" s="22" t="s">
        <v>24</v>
      </c>
      <c r="F114" s="23">
        <v>1616</v>
      </c>
      <c r="G114" s="23">
        <v>360</v>
      </c>
      <c r="H114" s="23">
        <v>180</v>
      </c>
      <c r="I114" s="23">
        <v>54342</v>
      </c>
      <c r="J114" s="23">
        <v>18796</v>
      </c>
      <c r="K114" s="23">
        <v>282</v>
      </c>
      <c r="L114" s="21" t="s">
        <v>37</v>
      </c>
      <c r="M114" s="21" t="s">
        <v>34</v>
      </c>
      <c r="N114" s="21" t="s">
        <v>16</v>
      </c>
      <c r="O114" s="24">
        <f t="shared" si="1"/>
        <v>3.9674653122814763E-2</v>
      </c>
    </row>
    <row r="115" spans="1:15">
      <c r="A115" s="19" t="s">
        <v>144</v>
      </c>
      <c r="B115" s="19" t="s">
        <v>22</v>
      </c>
      <c r="C115" s="20">
        <v>45489</v>
      </c>
      <c r="D115" s="21" t="s">
        <v>14</v>
      </c>
      <c r="E115" s="22" t="s">
        <v>33</v>
      </c>
      <c r="F115" s="23">
        <v>1803</v>
      </c>
      <c r="G115" s="23">
        <v>273</v>
      </c>
      <c r="H115" s="23">
        <v>287</v>
      </c>
      <c r="I115" s="23">
        <v>46176</v>
      </c>
      <c r="J115" s="23">
        <v>25488</v>
      </c>
      <c r="K115" s="23">
        <v>141</v>
      </c>
      <c r="L115" s="21" t="s">
        <v>34</v>
      </c>
      <c r="M115" s="21"/>
      <c r="N115" s="21" t="s">
        <v>16</v>
      </c>
      <c r="O115" s="24">
        <f t="shared" si="1"/>
        <v>5.1173769923769923E-2</v>
      </c>
    </row>
    <row r="116" spans="1:15">
      <c r="A116" s="19" t="s">
        <v>145</v>
      </c>
      <c r="B116" s="19" t="s">
        <v>13</v>
      </c>
      <c r="C116" s="20">
        <v>45762</v>
      </c>
      <c r="D116" s="21" t="s">
        <v>14</v>
      </c>
      <c r="E116" s="22" t="s">
        <v>18</v>
      </c>
      <c r="F116" s="23">
        <v>4177</v>
      </c>
      <c r="G116" s="23">
        <v>489</v>
      </c>
      <c r="H116" s="23">
        <v>331</v>
      </c>
      <c r="I116" s="23">
        <v>57451</v>
      </c>
      <c r="J116" s="23">
        <v>73793</v>
      </c>
      <c r="K116" s="23">
        <v>251</v>
      </c>
      <c r="L116" s="21" t="s">
        <v>19</v>
      </c>
      <c r="M116" s="21"/>
      <c r="N116" s="21" t="s">
        <v>20</v>
      </c>
      <c r="O116" s="24">
        <f t="shared" si="1"/>
        <v>8.6978468608031198E-2</v>
      </c>
    </row>
    <row r="117" spans="1:15">
      <c r="A117" s="19" t="s">
        <v>146</v>
      </c>
      <c r="B117" s="19" t="s">
        <v>13</v>
      </c>
      <c r="C117" s="20">
        <v>45781</v>
      </c>
      <c r="D117" s="21" t="s">
        <v>23</v>
      </c>
      <c r="E117" s="22" t="s">
        <v>24</v>
      </c>
      <c r="F117" s="23">
        <v>1311</v>
      </c>
      <c r="G117" s="23">
        <v>181</v>
      </c>
      <c r="H117" s="23">
        <v>361</v>
      </c>
      <c r="I117" s="23">
        <v>37148</v>
      </c>
      <c r="J117" s="23">
        <v>44875</v>
      </c>
      <c r="K117" s="23">
        <v>245</v>
      </c>
      <c r="L117" s="21" t="s">
        <v>34</v>
      </c>
      <c r="M117" s="21"/>
      <c r="N117" s="21" t="s">
        <v>46</v>
      </c>
      <c r="O117" s="24">
        <f t="shared" si="1"/>
        <v>4.9881554861634543E-2</v>
      </c>
    </row>
    <row r="118" spans="1:15">
      <c r="A118" s="19" t="s">
        <v>147</v>
      </c>
      <c r="B118" s="19" t="s">
        <v>13</v>
      </c>
      <c r="C118" s="20">
        <v>45340</v>
      </c>
      <c r="D118" s="21" t="s">
        <v>23</v>
      </c>
      <c r="E118" s="22" t="s">
        <v>363</v>
      </c>
      <c r="F118" s="23">
        <v>1516</v>
      </c>
      <c r="G118" s="23">
        <v>215</v>
      </c>
      <c r="H118" s="23">
        <v>332</v>
      </c>
      <c r="I118" s="23">
        <v>58981</v>
      </c>
      <c r="J118" s="23">
        <v>36118</v>
      </c>
      <c r="K118" s="23">
        <v>211</v>
      </c>
      <c r="L118" s="21" t="s">
        <v>34</v>
      </c>
      <c r="M118" s="21"/>
      <c r="N118" s="21" t="s">
        <v>46</v>
      </c>
      <c r="O118" s="24">
        <f t="shared" si="1"/>
        <v>3.4977365592309385E-2</v>
      </c>
    </row>
    <row r="119" spans="1:15">
      <c r="A119" s="19" t="s">
        <v>148</v>
      </c>
      <c r="B119" s="19" t="s">
        <v>22</v>
      </c>
      <c r="C119" s="20">
        <v>45428</v>
      </c>
      <c r="D119" s="21" t="s">
        <v>23</v>
      </c>
      <c r="E119" s="22" t="s">
        <v>361</v>
      </c>
      <c r="F119" s="23">
        <v>2023</v>
      </c>
      <c r="G119" s="23">
        <v>124</v>
      </c>
      <c r="H119" s="23">
        <v>99</v>
      </c>
      <c r="I119" s="23">
        <v>54524</v>
      </c>
      <c r="J119" s="23">
        <v>34790</v>
      </c>
      <c r="K119" s="23">
        <v>195</v>
      </c>
      <c r="L119" s="21" t="s">
        <v>19</v>
      </c>
      <c r="M119" s="21" t="s">
        <v>364</v>
      </c>
      <c r="N119" s="21" t="s">
        <v>16</v>
      </c>
      <c r="O119" s="24">
        <f t="shared" si="1"/>
        <v>4.1192869195216787E-2</v>
      </c>
    </row>
    <row r="120" spans="1:15">
      <c r="A120" s="19" t="s">
        <v>149</v>
      </c>
      <c r="B120" s="19" t="s">
        <v>22</v>
      </c>
      <c r="C120" s="20">
        <v>45806</v>
      </c>
      <c r="D120" s="21" t="s">
        <v>23</v>
      </c>
      <c r="E120" s="22" t="s">
        <v>361</v>
      </c>
      <c r="F120" s="23">
        <v>2134</v>
      </c>
      <c r="G120" s="23">
        <v>322</v>
      </c>
      <c r="H120" s="23">
        <v>114</v>
      </c>
      <c r="I120" s="23">
        <v>44338</v>
      </c>
      <c r="J120" s="23">
        <v>52165</v>
      </c>
      <c r="K120" s="23">
        <v>176</v>
      </c>
      <c r="L120" s="21" t="s">
        <v>364</v>
      </c>
      <c r="M120" s="21" t="s">
        <v>34</v>
      </c>
      <c r="N120" s="21" t="s">
        <v>16</v>
      </c>
      <c r="O120" s="24">
        <f t="shared" si="1"/>
        <v>5.7963823356939871E-2</v>
      </c>
    </row>
    <row r="121" spans="1:15">
      <c r="A121" s="19" t="s">
        <v>150</v>
      </c>
      <c r="B121" s="19" t="s">
        <v>13</v>
      </c>
      <c r="C121" s="20">
        <v>45674</v>
      </c>
      <c r="D121" s="21" t="s">
        <v>14</v>
      </c>
      <c r="E121" s="22" t="s">
        <v>33</v>
      </c>
      <c r="F121" s="23">
        <v>2266</v>
      </c>
      <c r="G121" s="23">
        <v>126</v>
      </c>
      <c r="H121" s="23">
        <v>140</v>
      </c>
      <c r="I121" s="23">
        <v>53759</v>
      </c>
      <c r="J121" s="23">
        <v>46834</v>
      </c>
      <c r="K121" s="23">
        <v>277</v>
      </c>
      <c r="L121" s="21" t="s">
        <v>19</v>
      </c>
      <c r="M121" s="21"/>
      <c r="N121" s="21" t="s">
        <v>20</v>
      </c>
      <c r="O121" s="24">
        <f t="shared" si="1"/>
        <v>4.7099090384865788E-2</v>
      </c>
    </row>
    <row r="122" spans="1:15">
      <c r="A122" s="19" t="s">
        <v>151</v>
      </c>
      <c r="B122" s="19" t="s">
        <v>13</v>
      </c>
      <c r="C122" s="20">
        <v>45777</v>
      </c>
      <c r="D122" s="21" t="s">
        <v>23</v>
      </c>
      <c r="E122" s="22" t="s">
        <v>24</v>
      </c>
      <c r="F122" s="23">
        <v>3916</v>
      </c>
      <c r="G122" s="23">
        <v>459</v>
      </c>
      <c r="H122" s="23">
        <v>229</v>
      </c>
      <c r="I122" s="23">
        <v>48989</v>
      </c>
      <c r="J122" s="23">
        <v>39768</v>
      </c>
      <c r="K122" s="23">
        <v>200</v>
      </c>
      <c r="L122" s="21" t="s">
        <v>34</v>
      </c>
      <c r="M122" s="21"/>
      <c r="N122" s="21" t="s">
        <v>46</v>
      </c>
      <c r="O122" s="24">
        <f t="shared" si="1"/>
        <v>9.3980281287635997E-2</v>
      </c>
    </row>
    <row r="123" spans="1:15">
      <c r="A123" s="19" t="s">
        <v>152</v>
      </c>
      <c r="B123" s="19" t="s">
        <v>22</v>
      </c>
      <c r="C123" s="20">
        <v>45346</v>
      </c>
      <c r="D123" s="21" t="s">
        <v>23</v>
      </c>
      <c r="E123" s="22" t="s">
        <v>361</v>
      </c>
      <c r="F123" s="23">
        <v>1022</v>
      </c>
      <c r="G123" s="23">
        <v>463</v>
      </c>
      <c r="H123" s="23">
        <v>360</v>
      </c>
      <c r="I123" s="23">
        <v>51468</v>
      </c>
      <c r="J123" s="23">
        <v>24279</v>
      </c>
      <c r="K123" s="23">
        <v>230</v>
      </c>
      <c r="L123" s="21" t="s">
        <v>19</v>
      </c>
      <c r="M123" s="21" t="s">
        <v>364</v>
      </c>
      <c r="N123" s="21" t="s">
        <v>16</v>
      </c>
      <c r="O123" s="24">
        <f t="shared" si="1"/>
        <v>3.5847516903707161E-2</v>
      </c>
    </row>
    <row r="124" spans="1:15">
      <c r="A124" s="19" t="s">
        <v>153</v>
      </c>
      <c r="B124" s="19" t="s">
        <v>27</v>
      </c>
      <c r="C124" s="20">
        <v>45424</v>
      </c>
      <c r="D124" s="21" t="s">
        <v>14</v>
      </c>
      <c r="E124" s="22" t="s">
        <v>363</v>
      </c>
      <c r="F124" s="23">
        <v>2911</v>
      </c>
      <c r="G124" s="23">
        <v>467</v>
      </c>
      <c r="H124" s="23">
        <v>94</v>
      </c>
      <c r="I124" s="23">
        <v>59083</v>
      </c>
      <c r="J124" s="23">
        <v>49762</v>
      </c>
      <c r="K124" s="23">
        <v>236</v>
      </c>
      <c r="L124" s="21" t="s">
        <v>19</v>
      </c>
      <c r="M124" s="21" t="s">
        <v>365</v>
      </c>
      <c r="N124" s="21" t="s">
        <v>20</v>
      </c>
      <c r="O124" s="24">
        <f t="shared" si="1"/>
        <v>5.8764788517847777E-2</v>
      </c>
    </row>
    <row r="125" spans="1:15">
      <c r="A125" s="19" t="s">
        <v>154</v>
      </c>
      <c r="B125" s="19" t="s">
        <v>22</v>
      </c>
      <c r="C125" s="20">
        <v>45421</v>
      </c>
      <c r="D125" s="21" t="s">
        <v>23</v>
      </c>
      <c r="E125" s="22" t="s">
        <v>24</v>
      </c>
      <c r="F125" s="23">
        <v>3277</v>
      </c>
      <c r="G125" s="23">
        <v>423</v>
      </c>
      <c r="H125" s="23">
        <v>259</v>
      </c>
      <c r="I125" s="23">
        <v>46328</v>
      </c>
      <c r="J125" s="23">
        <v>44293</v>
      </c>
      <c r="K125" s="23">
        <v>299</v>
      </c>
      <c r="L125" s="21" t="s">
        <v>37</v>
      </c>
      <c r="M125" s="21" t="s">
        <v>34</v>
      </c>
      <c r="N125" s="21" t="s">
        <v>16</v>
      </c>
      <c r="O125" s="24">
        <f t="shared" si="1"/>
        <v>8.5455879813503707E-2</v>
      </c>
    </row>
    <row r="126" spans="1:15">
      <c r="A126" s="19" t="s">
        <v>155</v>
      </c>
      <c r="B126" s="19" t="s">
        <v>22</v>
      </c>
      <c r="C126" s="20">
        <v>45602</v>
      </c>
      <c r="D126" s="21" t="s">
        <v>14</v>
      </c>
      <c r="E126" s="22" t="s">
        <v>363</v>
      </c>
      <c r="F126" s="23">
        <v>2956</v>
      </c>
      <c r="G126" s="23">
        <v>381</v>
      </c>
      <c r="H126" s="23">
        <v>345</v>
      </c>
      <c r="I126" s="23">
        <v>33347</v>
      </c>
      <c r="J126" s="23">
        <v>22558</v>
      </c>
      <c r="K126" s="23">
        <v>173</v>
      </c>
      <c r="L126" s="21" t="s">
        <v>34</v>
      </c>
      <c r="M126" s="21"/>
      <c r="N126" s="21" t="s">
        <v>16</v>
      </c>
      <c r="O126" s="24">
        <f t="shared" si="1"/>
        <v>0.11041472996071611</v>
      </c>
    </row>
    <row r="127" spans="1:15">
      <c r="A127" s="19" t="s">
        <v>156</v>
      </c>
      <c r="B127" s="19" t="s">
        <v>22</v>
      </c>
      <c r="C127" s="20">
        <v>45295</v>
      </c>
      <c r="D127" s="21" t="s">
        <v>23</v>
      </c>
      <c r="E127" s="22" t="s">
        <v>362</v>
      </c>
      <c r="F127" s="23">
        <v>3208</v>
      </c>
      <c r="G127" s="23">
        <v>476</v>
      </c>
      <c r="H127" s="23">
        <v>277</v>
      </c>
      <c r="I127" s="23">
        <v>56072</v>
      </c>
      <c r="J127" s="23">
        <v>21061</v>
      </c>
      <c r="K127" s="23">
        <v>113</v>
      </c>
      <c r="L127" s="21" t="s">
        <v>364</v>
      </c>
      <c r="M127" s="21" t="s">
        <v>34</v>
      </c>
      <c r="N127" s="21" t="s">
        <v>16</v>
      </c>
      <c r="O127" s="24">
        <f t="shared" si="1"/>
        <v>7.064131830503638E-2</v>
      </c>
    </row>
    <row r="128" spans="1:15">
      <c r="A128" s="19" t="s">
        <v>157</v>
      </c>
      <c r="B128" s="19" t="s">
        <v>22</v>
      </c>
      <c r="C128" s="20">
        <v>45319</v>
      </c>
      <c r="D128" s="21" t="s">
        <v>14</v>
      </c>
      <c r="E128" s="22" t="s">
        <v>361</v>
      </c>
      <c r="F128" s="23">
        <v>1456</v>
      </c>
      <c r="G128" s="23">
        <v>265</v>
      </c>
      <c r="H128" s="23">
        <v>137</v>
      </c>
      <c r="I128" s="23">
        <v>53485</v>
      </c>
      <c r="J128" s="23">
        <v>59729</v>
      </c>
      <c r="K128" s="23">
        <v>145</v>
      </c>
      <c r="L128" s="21" t="s">
        <v>37</v>
      </c>
      <c r="M128" s="21"/>
      <c r="N128" s="21" t="s">
        <v>20</v>
      </c>
      <c r="O128" s="24">
        <f t="shared" si="1"/>
        <v>3.4738711788351875E-2</v>
      </c>
    </row>
    <row r="129" spans="1:15">
      <c r="A129" s="19" t="s">
        <v>158</v>
      </c>
      <c r="B129" s="19" t="s">
        <v>13</v>
      </c>
      <c r="C129" s="20">
        <v>45344</v>
      </c>
      <c r="D129" s="21" t="s">
        <v>14</v>
      </c>
      <c r="E129" s="22" t="s">
        <v>24</v>
      </c>
      <c r="F129" s="23">
        <v>1902</v>
      </c>
      <c r="G129" s="23">
        <v>394</v>
      </c>
      <c r="H129" s="23">
        <v>279</v>
      </c>
      <c r="I129" s="23">
        <v>24615</v>
      </c>
      <c r="J129" s="23">
        <v>51330</v>
      </c>
      <c r="K129" s="23">
        <v>176</v>
      </c>
      <c r="L129" s="21" t="s">
        <v>37</v>
      </c>
      <c r="M129" s="21" t="s">
        <v>34</v>
      </c>
      <c r="N129" s="21" t="s">
        <v>16</v>
      </c>
      <c r="O129" s="24">
        <f t="shared" si="1"/>
        <v>0.10461100954702417</v>
      </c>
    </row>
    <row r="130" spans="1:15">
      <c r="A130" s="19" t="s">
        <v>159</v>
      </c>
      <c r="B130" s="19" t="s">
        <v>22</v>
      </c>
      <c r="C130" s="20">
        <v>45839</v>
      </c>
      <c r="D130" s="21" t="s">
        <v>23</v>
      </c>
      <c r="E130" s="22" t="s">
        <v>18</v>
      </c>
      <c r="F130" s="23">
        <v>3219</v>
      </c>
      <c r="G130" s="23">
        <v>424</v>
      </c>
      <c r="H130" s="23">
        <v>267</v>
      </c>
      <c r="I130" s="23">
        <v>48879</v>
      </c>
      <c r="J130" s="23">
        <v>37691</v>
      </c>
      <c r="K130" s="23">
        <v>224</v>
      </c>
      <c r="L130" s="21" t="s">
        <v>19</v>
      </c>
      <c r="M130" s="21" t="s">
        <v>364</v>
      </c>
      <c r="N130" s="21" t="s">
        <v>16</v>
      </c>
      <c r="O130" s="24">
        <f t="shared" ref="O130:O193" si="2" xml:space="preserve"> (F130+ G130 + H130) / I130</f>
        <v>7.9993453221219743E-2</v>
      </c>
    </row>
    <row r="131" spans="1:15">
      <c r="A131" s="19" t="s">
        <v>160</v>
      </c>
      <c r="B131" s="19" t="s">
        <v>27</v>
      </c>
      <c r="C131" s="20">
        <v>45301</v>
      </c>
      <c r="D131" s="21" t="s">
        <v>14</v>
      </c>
      <c r="E131" s="22" t="s">
        <v>18</v>
      </c>
      <c r="F131" s="23">
        <v>1261</v>
      </c>
      <c r="G131" s="23">
        <v>190</v>
      </c>
      <c r="H131" s="23">
        <v>233</v>
      </c>
      <c r="I131" s="23">
        <v>59888</v>
      </c>
      <c r="J131" s="23">
        <v>51449</v>
      </c>
      <c r="K131" s="23">
        <v>205</v>
      </c>
      <c r="L131" s="21" t="s">
        <v>19</v>
      </c>
      <c r="M131" s="21" t="s">
        <v>365</v>
      </c>
      <c r="N131" s="21" t="s">
        <v>20</v>
      </c>
      <c r="O131" s="24">
        <f t="shared" si="2"/>
        <v>2.811915575741384E-2</v>
      </c>
    </row>
    <row r="132" spans="1:15">
      <c r="A132" s="19" t="s">
        <v>161</v>
      </c>
      <c r="B132" s="19" t="s">
        <v>22</v>
      </c>
      <c r="C132" s="20">
        <v>45736</v>
      </c>
      <c r="D132" s="21" t="s">
        <v>14</v>
      </c>
      <c r="E132" s="22" t="s">
        <v>42</v>
      </c>
      <c r="F132" s="23">
        <v>1564</v>
      </c>
      <c r="G132" s="23">
        <v>362</v>
      </c>
      <c r="H132" s="23">
        <v>371</v>
      </c>
      <c r="I132" s="23">
        <v>42075</v>
      </c>
      <c r="J132" s="23">
        <v>66659</v>
      </c>
      <c r="K132" s="23">
        <v>205</v>
      </c>
      <c r="L132" s="21" t="s">
        <v>37</v>
      </c>
      <c r="M132" s="21"/>
      <c r="N132" s="21" t="s">
        <v>20</v>
      </c>
      <c r="O132" s="24">
        <f t="shared" si="2"/>
        <v>5.4592988710635768E-2</v>
      </c>
    </row>
    <row r="133" spans="1:15">
      <c r="A133" s="19" t="s">
        <v>162</v>
      </c>
      <c r="B133" s="19" t="s">
        <v>22</v>
      </c>
      <c r="C133" s="20">
        <v>45563</v>
      </c>
      <c r="D133" s="21" t="s">
        <v>14</v>
      </c>
      <c r="E133" s="22" t="s">
        <v>362</v>
      </c>
      <c r="F133" s="23">
        <v>4006</v>
      </c>
      <c r="G133" s="23">
        <v>420</v>
      </c>
      <c r="H133" s="23">
        <v>194</v>
      </c>
      <c r="I133" s="23">
        <v>49964</v>
      </c>
      <c r="J133" s="23">
        <v>20685</v>
      </c>
      <c r="K133" s="23">
        <v>148</v>
      </c>
      <c r="L133" s="21" t="s">
        <v>34</v>
      </c>
      <c r="M133" s="21"/>
      <c r="N133" s="21" t="s">
        <v>16</v>
      </c>
      <c r="O133" s="24">
        <f t="shared" si="2"/>
        <v>9.2466575934672959E-2</v>
      </c>
    </row>
    <row r="134" spans="1:15">
      <c r="A134" s="19" t="s">
        <v>163</v>
      </c>
      <c r="B134" s="19" t="s">
        <v>27</v>
      </c>
      <c r="C134" s="20">
        <v>45318</v>
      </c>
      <c r="D134" s="21" t="s">
        <v>14</v>
      </c>
      <c r="E134" s="22" t="s">
        <v>42</v>
      </c>
      <c r="F134" s="23">
        <v>1976</v>
      </c>
      <c r="G134" s="23">
        <v>262</v>
      </c>
      <c r="H134" s="23">
        <v>218</v>
      </c>
      <c r="I134" s="23">
        <v>51696</v>
      </c>
      <c r="J134" s="23">
        <v>44846</v>
      </c>
      <c r="K134" s="23">
        <v>139</v>
      </c>
      <c r="L134" s="21" t="s">
        <v>19</v>
      </c>
      <c r="M134" s="21" t="s">
        <v>365</v>
      </c>
      <c r="N134" s="21" t="s">
        <v>20</v>
      </c>
      <c r="O134" s="24">
        <f t="shared" si="2"/>
        <v>4.7508511296812134E-2</v>
      </c>
    </row>
    <row r="135" spans="1:15">
      <c r="A135" s="19" t="s">
        <v>164</v>
      </c>
      <c r="B135" s="19" t="s">
        <v>22</v>
      </c>
      <c r="C135" s="20">
        <v>45792</v>
      </c>
      <c r="D135" s="21" t="s">
        <v>14</v>
      </c>
      <c r="E135" s="22" t="s">
        <v>24</v>
      </c>
      <c r="F135" s="23">
        <v>1583</v>
      </c>
      <c r="G135" s="23">
        <v>433</v>
      </c>
      <c r="H135" s="23">
        <v>249</v>
      </c>
      <c r="I135" s="23">
        <v>30256</v>
      </c>
      <c r="J135" s="23">
        <v>47066</v>
      </c>
      <c r="K135" s="23">
        <v>196</v>
      </c>
      <c r="L135" s="21" t="s">
        <v>34</v>
      </c>
      <c r="M135" s="21"/>
      <c r="N135" s="21" t="s">
        <v>16</v>
      </c>
      <c r="O135" s="24">
        <f t="shared" si="2"/>
        <v>7.4861184558434685E-2</v>
      </c>
    </row>
    <row r="136" spans="1:15">
      <c r="A136" s="19" t="s">
        <v>165</v>
      </c>
      <c r="B136" s="19" t="s">
        <v>22</v>
      </c>
      <c r="C136" s="20">
        <v>45569</v>
      </c>
      <c r="D136" s="21" t="s">
        <v>23</v>
      </c>
      <c r="E136" s="22" t="s">
        <v>18</v>
      </c>
      <c r="F136" s="23">
        <v>2870</v>
      </c>
      <c r="G136" s="23">
        <v>380</v>
      </c>
      <c r="H136" s="23">
        <v>393</v>
      </c>
      <c r="I136" s="23">
        <v>37621</v>
      </c>
      <c r="J136" s="23">
        <v>71794</v>
      </c>
      <c r="K136" s="23">
        <v>127</v>
      </c>
      <c r="L136" s="21" t="s">
        <v>364</v>
      </c>
      <c r="M136" s="21" t="s">
        <v>34</v>
      </c>
      <c r="N136" s="21" t="s">
        <v>16</v>
      </c>
      <c r="O136" s="24">
        <f t="shared" si="2"/>
        <v>9.6834214933149046E-2</v>
      </c>
    </row>
    <row r="137" spans="1:15">
      <c r="A137" s="19" t="s">
        <v>166</v>
      </c>
      <c r="B137" s="19" t="s">
        <v>22</v>
      </c>
      <c r="C137" s="20">
        <v>45615</v>
      </c>
      <c r="D137" s="21" t="s">
        <v>14</v>
      </c>
      <c r="E137" s="22" t="s">
        <v>33</v>
      </c>
      <c r="F137" s="23">
        <v>3728</v>
      </c>
      <c r="G137" s="23">
        <v>271</v>
      </c>
      <c r="H137" s="23">
        <v>275</v>
      </c>
      <c r="I137" s="23">
        <v>22827</v>
      </c>
      <c r="J137" s="23">
        <v>37034</v>
      </c>
      <c r="K137" s="23">
        <v>199</v>
      </c>
      <c r="L137" s="21" t="s">
        <v>34</v>
      </c>
      <c r="M137" s="21"/>
      <c r="N137" s="21" t="s">
        <v>16</v>
      </c>
      <c r="O137" s="24">
        <f t="shared" si="2"/>
        <v>0.18723441538528934</v>
      </c>
    </row>
    <row r="138" spans="1:15">
      <c r="A138" s="19" t="s">
        <v>167</v>
      </c>
      <c r="B138" s="19" t="s">
        <v>22</v>
      </c>
      <c r="C138" s="20">
        <v>45387</v>
      </c>
      <c r="D138" s="21" t="s">
        <v>23</v>
      </c>
      <c r="E138" s="22" t="s">
        <v>24</v>
      </c>
      <c r="F138" s="23">
        <v>4965</v>
      </c>
      <c r="G138" s="23">
        <v>175</v>
      </c>
      <c r="H138" s="23">
        <v>307</v>
      </c>
      <c r="I138" s="23">
        <v>32793</v>
      </c>
      <c r="J138" s="23">
        <v>43412</v>
      </c>
      <c r="K138" s="23">
        <v>296</v>
      </c>
      <c r="L138" s="21" t="s">
        <v>37</v>
      </c>
      <c r="M138" s="21" t="s">
        <v>34</v>
      </c>
      <c r="N138" s="21" t="s">
        <v>16</v>
      </c>
      <c r="O138" s="24">
        <f t="shared" si="2"/>
        <v>0.16610252187966945</v>
      </c>
    </row>
    <row r="139" spans="1:15">
      <c r="A139" s="19" t="s">
        <v>168</v>
      </c>
      <c r="B139" s="19" t="s">
        <v>22</v>
      </c>
      <c r="C139" s="20">
        <v>45624</v>
      </c>
      <c r="D139" s="21" t="s">
        <v>23</v>
      </c>
      <c r="E139" s="22" t="s">
        <v>24</v>
      </c>
      <c r="F139" s="23">
        <v>1131</v>
      </c>
      <c r="G139" s="23">
        <v>100</v>
      </c>
      <c r="H139" s="23">
        <v>116</v>
      </c>
      <c r="I139" s="23">
        <v>48437</v>
      </c>
      <c r="J139" s="23">
        <v>72704</v>
      </c>
      <c r="K139" s="23">
        <v>236</v>
      </c>
      <c r="L139" s="21" t="s">
        <v>19</v>
      </c>
      <c r="M139" s="21" t="s">
        <v>364</v>
      </c>
      <c r="N139" s="21" t="s">
        <v>16</v>
      </c>
      <c r="O139" s="24">
        <f t="shared" si="2"/>
        <v>2.7809319322005904E-2</v>
      </c>
    </row>
    <row r="140" spans="1:15">
      <c r="A140" s="19" t="s">
        <v>169</v>
      </c>
      <c r="B140" s="19" t="s">
        <v>22</v>
      </c>
      <c r="C140" s="20">
        <v>45725</v>
      </c>
      <c r="D140" s="21" t="s">
        <v>14</v>
      </c>
      <c r="E140" s="22" t="s">
        <v>42</v>
      </c>
      <c r="F140" s="23">
        <v>2754</v>
      </c>
      <c r="G140" s="23">
        <v>215</v>
      </c>
      <c r="H140" s="23">
        <v>264</v>
      </c>
      <c r="I140" s="23">
        <v>27762</v>
      </c>
      <c r="J140" s="23">
        <v>70203</v>
      </c>
      <c r="K140" s="23">
        <v>289</v>
      </c>
      <c r="L140" s="21" t="s">
        <v>34</v>
      </c>
      <c r="M140" s="21"/>
      <c r="N140" s="21" t="s">
        <v>16</v>
      </c>
      <c r="O140" s="24">
        <f t="shared" si="2"/>
        <v>0.11645414595490239</v>
      </c>
    </row>
    <row r="141" spans="1:15">
      <c r="A141" s="19" t="s">
        <v>170</v>
      </c>
      <c r="B141" s="19" t="s">
        <v>22</v>
      </c>
      <c r="C141" s="20">
        <v>45531</v>
      </c>
      <c r="D141" s="21" t="s">
        <v>23</v>
      </c>
      <c r="E141" s="22" t="s">
        <v>24</v>
      </c>
      <c r="F141" s="23">
        <v>1856</v>
      </c>
      <c r="G141" s="23">
        <v>357</v>
      </c>
      <c r="H141" s="23">
        <v>348</v>
      </c>
      <c r="I141" s="23">
        <v>29428</v>
      </c>
      <c r="J141" s="23">
        <v>70206</v>
      </c>
      <c r="K141" s="23">
        <v>236</v>
      </c>
      <c r="L141" s="21" t="s">
        <v>364</v>
      </c>
      <c r="M141" s="21" t="s">
        <v>34</v>
      </c>
      <c r="N141" s="21" t="s">
        <v>16</v>
      </c>
      <c r="O141" s="24">
        <f t="shared" si="2"/>
        <v>8.702596166915863E-2</v>
      </c>
    </row>
    <row r="142" spans="1:15">
      <c r="A142" s="19" t="s">
        <v>171</v>
      </c>
      <c r="B142" s="19" t="s">
        <v>27</v>
      </c>
      <c r="C142" s="20">
        <v>45566</v>
      </c>
      <c r="D142" s="21" t="s">
        <v>48</v>
      </c>
      <c r="E142" s="22" t="s">
        <v>18</v>
      </c>
      <c r="F142" s="23">
        <v>3543</v>
      </c>
      <c r="G142" s="23">
        <v>334</v>
      </c>
      <c r="H142" s="23">
        <v>218</v>
      </c>
      <c r="I142" s="23">
        <v>58007</v>
      </c>
      <c r="J142" s="23">
        <v>24792</v>
      </c>
      <c r="K142" s="23">
        <v>273</v>
      </c>
      <c r="L142" s="21" t="s">
        <v>19</v>
      </c>
      <c r="M142" s="21" t="s">
        <v>37</v>
      </c>
      <c r="N142" s="21" t="s">
        <v>49</v>
      </c>
      <c r="O142" s="24">
        <f t="shared" si="2"/>
        <v>7.0594928198320889E-2</v>
      </c>
    </row>
    <row r="143" spans="1:15">
      <c r="A143" s="19" t="s">
        <v>172</v>
      </c>
      <c r="B143" s="19" t="s">
        <v>13</v>
      </c>
      <c r="C143" s="20">
        <v>45647</v>
      </c>
      <c r="D143" s="21" t="s">
        <v>23</v>
      </c>
      <c r="E143" s="22" t="s">
        <v>24</v>
      </c>
      <c r="F143" s="23">
        <v>4563</v>
      </c>
      <c r="G143" s="23">
        <v>398</v>
      </c>
      <c r="H143" s="23">
        <v>163</v>
      </c>
      <c r="I143" s="23">
        <v>43679</v>
      </c>
      <c r="J143" s="23">
        <v>48760</v>
      </c>
      <c r="K143" s="23">
        <v>92</v>
      </c>
      <c r="L143" s="21" t="s">
        <v>34</v>
      </c>
      <c r="M143" s="21"/>
      <c r="N143" s="21" t="s">
        <v>46</v>
      </c>
      <c r="O143" s="24">
        <f t="shared" si="2"/>
        <v>0.11731037798484398</v>
      </c>
    </row>
    <row r="144" spans="1:15">
      <c r="A144" s="19" t="s">
        <v>173</v>
      </c>
      <c r="B144" s="19" t="s">
        <v>13</v>
      </c>
      <c r="C144" s="20">
        <v>45460</v>
      </c>
      <c r="D144" s="21" t="s">
        <v>14</v>
      </c>
      <c r="E144" s="22" t="s">
        <v>15</v>
      </c>
      <c r="F144" s="23">
        <v>4283</v>
      </c>
      <c r="G144" s="23">
        <v>471</v>
      </c>
      <c r="H144" s="23">
        <v>156</v>
      </c>
      <c r="I144" s="23">
        <v>53004</v>
      </c>
      <c r="J144" s="23">
        <v>25678</v>
      </c>
      <c r="K144" s="23">
        <v>105</v>
      </c>
      <c r="L144" s="21" t="s">
        <v>19</v>
      </c>
      <c r="M144" s="21"/>
      <c r="N144" s="21" t="s">
        <v>20</v>
      </c>
      <c r="O144" s="24">
        <f t="shared" si="2"/>
        <v>9.2634518149573616E-2</v>
      </c>
    </row>
    <row r="145" spans="1:15">
      <c r="A145" s="19" t="s">
        <v>174</v>
      </c>
      <c r="B145" s="19" t="s">
        <v>13</v>
      </c>
      <c r="C145" s="20">
        <v>45702</v>
      </c>
      <c r="D145" s="21" t="s">
        <v>14</v>
      </c>
      <c r="E145" s="22" t="s">
        <v>15</v>
      </c>
      <c r="F145" s="23">
        <v>2329</v>
      </c>
      <c r="G145" s="23">
        <v>373</v>
      </c>
      <c r="H145" s="23">
        <v>291</v>
      </c>
      <c r="I145" s="23">
        <v>49577</v>
      </c>
      <c r="J145" s="23">
        <v>28002</v>
      </c>
      <c r="K145" s="23">
        <v>82</v>
      </c>
      <c r="L145" s="21" t="s">
        <v>37</v>
      </c>
      <c r="M145" s="21" t="s">
        <v>34</v>
      </c>
      <c r="N145" s="21" t="s">
        <v>16</v>
      </c>
      <c r="O145" s="24">
        <f t="shared" si="2"/>
        <v>6.0370736430199488E-2</v>
      </c>
    </row>
    <row r="146" spans="1:15">
      <c r="A146" s="19" t="s">
        <v>175</v>
      </c>
      <c r="B146" s="19" t="s">
        <v>22</v>
      </c>
      <c r="C146" s="20">
        <v>45805</v>
      </c>
      <c r="D146" s="21" t="s">
        <v>23</v>
      </c>
      <c r="E146" s="22" t="s">
        <v>33</v>
      </c>
      <c r="F146" s="23">
        <v>4287</v>
      </c>
      <c r="G146" s="23">
        <v>273</v>
      </c>
      <c r="H146" s="23">
        <v>122</v>
      </c>
      <c r="I146" s="23">
        <v>40792</v>
      </c>
      <c r="J146" s="23">
        <v>23878</v>
      </c>
      <c r="K146" s="23">
        <v>277</v>
      </c>
      <c r="L146" s="21" t="s">
        <v>364</v>
      </c>
      <c r="M146" s="21" t="s">
        <v>34</v>
      </c>
      <c r="N146" s="21" t="s">
        <v>16</v>
      </c>
      <c r="O146" s="24">
        <f t="shared" si="2"/>
        <v>0.11477740733477153</v>
      </c>
    </row>
    <row r="147" spans="1:15">
      <c r="A147" s="19" t="s">
        <v>176</v>
      </c>
      <c r="B147" s="19" t="s">
        <v>13</v>
      </c>
      <c r="C147" s="20">
        <v>45799</v>
      </c>
      <c r="D147" s="21" t="s">
        <v>14</v>
      </c>
      <c r="E147" s="22" t="s">
        <v>15</v>
      </c>
      <c r="F147" s="23">
        <v>2633</v>
      </c>
      <c r="G147" s="23">
        <v>318</v>
      </c>
      <c r="H147" s="23">
        <v>380</v>
      </c>
      <c r="I147" s="23">
        <v>40869</v>
      </c>
      <c r="J147" s="23">
        <v>64474</v>
      </c>
      <c r="K147" s="23">
        <v>245</v>
      </c>
      <c r="L147" s="21" t="s">
        <v>19</v>
      </c>
      <c r="M147" s="21"/>
      <c r="N147" s="21" t="s">
        <v>20</v>
      </c>
      <c r="O147" s="24">
        <f t="shared" si="2"/>
        <v>8.1504318676747664E-2</v>
      </c>
    </row>
    <row r="148" spans="1:15">
      <c r="A148" s="19" t="s">
        <v>177</v>
      </c>
      <c r="B148" s="19" t="s">
        <v>22</v>
      </c>
      <c r="C148" s="20">
        <v>45312</v>
      </c>
      <c r="D148" s="21" t="s">
        <v>23</v>
      </c>
      <c r="E148" s="22" t="s">
        <v>15</v>
      </c>
      <c r="F148" s="23">
        <v>2383</v>
      </c>
      <c r="G148" s="23">
        <v>136</v>
      </c>
      <c r="H148" s="23">
        <v>302</v>
      </c>
      <c r="I148" s="23">
        <v>39187</v>
      </c>
      <c r="J148" s="23">
        <v>22133</v>
      </c>
      <c r="K148" s="23">
        <v>208</v>
      </c>
      <c r="L148" s="21" t="s">
        <v>364</v>
      </c>
      <c r="M148" s="21" t="s">
        <v>34</v>
      </c>
      <c r="N148" s="21" t="s">
        <v>16</v>
      </c>
      <c r="O148" s="24">
        <f t="shared" si="2"/>
        <v>7.1988159338556151E-2</v>
      </c>
    </row>
    <row r="149" spans="1:15">
      <c r="A149" s="19" t="s">
        <v>178</v>
      </c>
      <c r="B149" s="19" t="s">
        <v>22</v>
      </c>
      <c r="C149" s="20">
        <v>45696</v>
      </c>
      <c r="D149" s="21" t="s">
        <v>23</v>
      </c>
      <c r="E149" s="22" t="s">
        <v>42</v>
      </c>
      <c r="F149" s="23">
        <v>4752</v>
      </c>
      <c r="G149" s="23">
        <v>334</v>
      </c>
      <c r="H149" s="23">
        <v>56</v>
      </c>
      <c r="I149" s="23">
        <v>48017</v>
      </c>
      <c r="J149" s="23">
        <v>55534</v>
      </c>
      <c r="K149" s="23">
        <v>270</v>
      </c>
      <c r="L149" s="21" t="s">
        <v>19</v>
      </c>
      <c r="M149" s="21" t="s">
        <v>364</v>
      </c>
      <c r="N149" s="21" t="s">
        <v>16</v>
      </c>
      <c r="O149" s="24">
        <f t="shared" si="2"/>
        <v>0.10708707332819627</v>
      </c>
    </row>
    <row r="150" spans="1:15">
      <c r="A150" s="19" t="s">
        <v>179</v>
      </c>
      <c r="B150" s="19" t="s">
        <v>22</v>
      </c>
      <c r="C150" s="20">
        <v>45760</v>
      </c>
      <c r="D150" s="21" t="s">
        <v>14</v>
      </c>
      <c r="E150" s="22" t="s">
        <v>363</v>
      </c>
      <c r="F150" s="23">
        <v>3890</v>
      </c>
      <c r="G150" s="23">
        <v>408</v>
      </c>
      <c r="H150" s="23">
        <v>338</v>
      </c>
      <c r="I150" s="23">
        <v>56994</v>
      </c>
      <c r="J150" s="23">
        <v>32621</v>
      </c>
      <c r="K150" s="23">
        <v>286</v>
      </c>
      <c r="L150" s="21" t="s">
        <v>37</v>
      </c>
      <c r="M150" s="21"/>
      <c r="N150" s="21" t="s">
        <v>20</v>
      </c>
      <c r="O150" s="24">
        <f t="shared" si="2"/>
        <v>8.1341895638137346E-2</v>
      </c>
    </row>
    <row r="151" spans="1:15">
      <c r="A151" s="19" t="s">
        <v>180</v>
      </c>
      <c r="B151" s="19" t="s">
        <v>22</v>
      </c>
      <c r="C151" s="20">
        <v>45442</v>
      </c>
      <c r="D151" s="21" t="s">
        <v>23</v>
      </c>
      <c r="E151" s="22" t="s">
        <v>42</v>
      </c>
      <c r="F151" s="23">
        <v>2311</v>
      </c>
      <c r="G151" s="23">
        <v>207</v>
      </c>
      <c r="H151" s="23">
        <v>363</v>
      </c>
      <c r="I151" s="23">
        <v>30349</v>
      </c>
      <c r="J151" s="23">
        <v>32925</v>
      </c>
      <c r="K151" s="23">
        <v>88</v>
      </c>
      <c r="L151" s="21" t="s">
        <v>364</v>
      </c>
      <c r="M151" s="21" t="s">
        <v>34</v>
      </c>
      <c r="N151" s="21" t="s">
        <v>16</v>
      </c>
      <c r="O151" s="24">
        <f t="shared" si="2"/>
        <v>9.4928992718046723E-2</v>
      </c>
    </row>
    <row r="152" spans="1:15">
      <c r="A152" s="19" t="s">
        <v>181</v>
      </c>
      <c r="B152" s="19" t="s">
        <v>13</v>
      </c>
      <c r="C152" s="20">
        <v>45516</v>
      </c>
      <c r="D152" s="21" t="s">
        <v>23</v>
      </c>
      <c r="E152" s="22" t="s">
        <v>15</v>
      </c>
      <c r="F152" s="23">
        <v>2962</v>
      </c>
      <c r="G152" s="23">
        <v>400</v>
      </c>
      <c r="H152" s="23">
        <v>280</v>
      </c>
      <c r="I152" s="23">
        <v>52508</v>
      </c>
      <c r="J152" s="23">
        <v>58329</v>
      </c>
      <c r="K152" s="23">
        <v>219</v>
      </c>
      <c r="L152" s="21" t="s">
        <v>34</v>
      </c>
      <c r="M152" s="21"/>
      <c r="N152" s="21" t="s">
        <v>46</v>
      </c>
      <c r="O152" s="24">
        <f t="shared" si="2"/>
        <v>6.9360859297630834E-2</v>
      </c>
    </row>
    <row r="153" spans="1:15">
      <c r="A153" s="19" t="s">
        <v>182</v>
      </c>
      <c r="B153" s="19" t="s">
        <v>13</v>
      </c>
      <c r="C153" s="20">
        <v>45562</v>
      </c>
      <c r="D153" s="21" t="s">
        <v>14</v>
      </c>
      <c r="E153" s="22" t="s">
        <v>15</v>
      </c>
      <c r="F153" s="23">
        <v>3118</v>
      </c>
      <c r="G153" s="23">
        <v>116</v>
      </c>
      <c r="H153" s="23">
        <v>195</v>
      </c>
      <c r="I153" s="23">
        <v>37100</v>
      </c>
      <c r="J153" s="23">
        <v>62629</v>
      </c>
      <c r="K153" s="23">
        <v>272</v>
      </c>
      <c r="L153" s="21" t="s">
        <v>19</v>
      </c>
      <c r="M153" s="21"/>
      <c r="N153" s="21" t="s">
        <v>20</v>
      </c>
      <c r="O153" s="24">
        <f t="shared" si="2"/>
        <v>9.2425876010781671E-2</v>
      </c>
    </row>
    <row r="154" spans="1:15">
      <c r="A154" s="19" t="s">
        <v>183</v>
      </c>
      <c r="B154" s="19" t="s">
        <v>22</v>
      </c>
      <c r="C154" s="20">
        <v>45819</v>
      </c>
      <c r="D154" s="21" t="s">
        <v>23</v>
      </c>
      <c r="E154" s="22" t="s">
        <v>18</v>
      </c>
      <c r="F154" s="23">
        <v>3805</v>
      </c>
      <c r="G154" s="23">
        <v>453</v>
      </c>
      <c r="H154" s="23">
        <v>63</v>
      </c>
      <c r="I154" s="23">
        <v>52395</v>
      </c>
      <c r="J154" s="23">
        <v>72934</v>
      </c>
      <c r="K154" s="23">
        <v>87</v>
      </c>
      <c r="L154" s="21" t="s">
        <v>19</v>
      </c>
      <c r="M154" s="21" t="s">
        <v>364</v>
      </c>
      <c r="N154" s="21" t="s">
        <v>16</v>
      </c>
      <c r="O154" s="24">
        <f t="shared" si="2"/>
        <v>8.2469701307376658E-2</v>
      </c>
    </row>
    <row r="155" spans="1:15">
      <c r="A155" s="19" t="s">
        <v>184</v>
      </c>
      <c r="B155" s="19" t="s">
        <v>13</v>
      </c>
      <c r="C155" s="20">
        <v>45615</v>
      </c>
      <c r="D155" s="21" t="s">
        <v>14</v>
      </c>
      <c r="E155" s="22" t="s">
        <v>362</v>
      </c>
      <c r="F155" s="23">
        <v>2525</v>
      </c>
      <c r="G155" s="23">
        <v>272</v>
      </c>
      <c r="H155" s="23">
        <v>294</v>
      </c>
      <c r="I155" s="23">
        <v>51875</v>
      </c>
      <c r="J155" s="23">
        <v>24732</v>
      </c>
      <c r="K155" s="23">
        <v>92</v>
      </c>
      <c r="L155" s="21" t="s">
        <v>19</v>
      </c>
      <c r="M155" s="21"/>
      <c r="N155" s="21" t="s">
        <v>20</v>
      </c>
      <c r="O155" s="24">
        <f t="shared" si="2"/>
        <v>5.9585542168674697E-2</v>
      </c>
    </row>
    <row r="156" spans="1:15">
      <c r="A156" s="19" t="s">
        <v>185</v>
      </c>
      <c r="B156" s="19" t="s">
        <v>13</v>
      </c>
      <c r="C156" s="20">
        <v>45407</v>
      </c>
      <c r="D156" s="21" t="s">
        <v>14</v>
      </c>
      <c r="E156" s="22" t="s">
        <v>361</v>
      </c>
      <c r="F156" s="23">
        <v>3563</v>
      </c>
      <c r="G156" s="23">
        <v>483</v>
      </c>
      <c r="H156" s="23">
        <v>227</v>
      </c>
      <c r="I156" s="23">
        <v>41085</v>
      </c>
      <c r="J156" s="23">
        <v>26393</v>
      </c>
      <c r="K156" s="23">
        <v>236</v>
      </c>
      <c r="L156" s="21" t="s">
        <v>37</v>
      </c>
      <c r="M156" s="21" t="s">
        <v>34</v>
      </c>
      <c r="N156" s="21" t="s">
        <v>16</v>
      </c>
      <c r="O156" s="24">
        <f t="shared" si="2"/>
        <v>0.10400389436534015</v>
      </c>
    </row>
    <row r="157" spans="1:15">
      <c r="A157" s="19" t="s">
        <v>186</v>
      </c>
      <c r="B157" s="19" t="s">
        <v>27</v>
      </c>
      <c r="C157" s="20">
        <v>45538</v>
      </c>
      <c r="D157" s="21" t="s">
        <v>48</v>
      </c>
      <c r="E157" s="22" t="s">
        <v>362</v>
      </c>
      <c r="F157" s="23">
        <v>1437</v>
      </c>
      <c r="G157" s="23">
        <v>494</v>
      </c>
      <c r="H157" s="23">
        <v>129</v>
      </c>
      <c r="I157" s="23">
        <v>53048</v>
      </c>
      <c r="J157" s="23">
        <v>44090</v>
      </c>
      <c r="K157" s="23">
        <v>230</v>
      </c>
      <c r="L157" s="21" t="s">
        <v>19</v>
      </c>
      <c r="M157" s="21" t="s">
        <v>37</v>
      </c>
      <c r="N157" s="21" t="s">
        <v>49</v>
      </c>
      <c r="O157" s="24">
        <f t="shared" si="2"/>
        <v>3.8832755240536872E-2</v>
      </c>
    </row>
    <row r="158" spans="1:15">
      <c r="A158" s="19" t="s">
        <v>187</v>
      </c>
      <c r="B158" s="19" t="s">
        <v>27</v>
      </c>
      <c r="C158" s="20">
        <v>45718</v>
      </c>
      <c r="D158" s="21" t="s">
        <v>14</v>
      </c>
      <c r="E158" s="22" t="s">
        <v>363</v>
      </c>
      <c r="F158" s="23">
        <v>4425</v>
      </c>
      <c r="G158" s="23">
        <v>185</v>
      </c>
      <c r="H158" s="23">
        <v>162</v>
      </c>
      <c r="I158" s="23">
        <v>24610</v>
      </c>
      <c r="J158" s="23">
        <v>21342</v>
      </c>
      <c r="K158" s="23">
        <v>158</v>
      </c>
      <c r="L158" s="21" t="s">
        <v>19</v>
      </c>
      <c r="M158" s="21" t="s">
        <v>365</v>
      </c>
      <c r="N158" s="21" t="s">
        <v>20</v>
      </c>
      <c r="O158" s="24">
        <f t="shared" si="2"/>
        <v>0.19390491670052823</v>
      </c>
    </row>
    <row r="159" spans="1:15">
      <c r="A159" s="19" t="s">
        <v>188</v>
      </c>
      <c r="B159" s="19" t="s">
        <v>22</v>
      </c>
      <c r="C159" s="20">
        <v>45737</v>
      </c>
      <c r="D159" s="21" t="s">
        <v>23</v>
      </c>
      <c r="E159" s="22" t="s">
        <v>24</v>
      </c>
      <c r="F159" s="23">
        <v>4609</v>
      </c>
      <c r="G159" s="23">
        <v>427</v>
      </c>
      <c r="H159" s="23">
        <v>395</v>
      </c>
      <c r="I159" s="23">
        <v>33698</v>
      </c>
      <c r="J159" s="23">
        <v>29259</v>
      </c>
      <c r="K159" s="23">
        <v>216</v>
      </c>
      <c r="L159" s="21" t="s">
        <v>19</v>
      </c>
      <c r="M159" s="21" t="s">
        <v>364</v>
      </c>
      <c r="N159" s="21" t="s">
        <v>16</v>
      </c>
      <c r="O159" s="24">
        <f t="shared" si="2"/>
        <v>0.16116683482699271</v>
      </c>
    </row>
    <row r="160" spans="1:15">
      <c r="A160" s="19" t="s">
        <v>189</v>
      </c>
      <c r="B160" s="19" t="s">
        <v>13</v>
      </c>
      <c r="C160" s="20">
        <v>45394</v>
      </c>
      <c r="D160" s="21" t="s">
        <v>23</v>
      </c>
      <c r="E160" s="22" t="s">
        <v>30</v>
      </c>
      <c r="F160" s="23">
        <v>1558</v>
      </c>
      <c r="G160" s="23">
        <v>352</v>
      </c>
      <c r="H160" s="23">
        <v>202</v>
      </c>
      <c r="I160" s="23">
        <v>25405</v>
      </c>
      <c r="J160" s="23">
        <v>69941</v>
      </c>
      <c r="K160" s="23">
        <v>219</v>
      </c>
      <c r="L160" s="21" t="s">
        <v>34</v>
      </c>
      <c r="M160" s="21"/>
      <c r="N160" s="21" t="s">
        <v>46</v>
      </c>
      <c r="O160" s="24">
        <f t="shared" si="2"/>
        <v>8.3133241487896081E-2</v>
      </c>
    </row>
    <row r="161" spans="1:15">
      <c r="A161" s="19" t="s">
        <v>190</v>
      </c>
      <c r="B161" s="19" t="s">
        <v>27</v>
      </c>
      <c r="C161" s="20">
        <v>45330</v>
      </c>
      <c r="D161" s="21" t="s">
        <v>48</v>
      </c>
      <c r="E161" s="22" t="s">
        <v>33</v>
      </c>
      <c r="F161" s="23">
        <v>1889</v>
      </c>
      <c r="G161" s="23">
        <v>298</v>
      </c>
      <c r="H161" s="23">
        <v>122</v>
      </c>
      <c r="I161" s="23">
        <v>46225</v>
      </c>
      <c r="J161" s="23">
        <v>74305</v>
      </c>
      <c r="K161" s="23">
        <v>293</v>
      </c>
      <c r="L161" s="21" t="s">
        <v>19</v>
      </c>
      <c r="M161" s="21" t="s">
        <v>37</v>
      </c>
      <c r="N161" s="21" t="s">
        <v>49</v>
      </c>
      <c r="O161" s="24">
        <f t="shared" si="2"/>
        <v>4.9951325040562468E-2</v>
      </c>
    </row>
    <row r="162" spans="1:15">
      <c r="A162" s="19" t="s">
        <v>191</v>
      </c>
      <c r="B162" s="19" t="s">
        <v>13</v>
      </c>
      <c r="C162" s="20">
        <v>45803</v>
      </c>
      <c r="D162" s="21" t="s">
        <v>14</v>
      </c>
      <c r="E162" s="22" t="s">
        <v>15</v>
      </c>
      <c r="F162" s="23">
        <v>3086</v>
      </c>
      <c r="G162" s="23">
        <v>148</v>
      </c>
      <c r="H162" s="23">
        <v>310</v>
      </c>
      <c r="I162" s="23">
        <v>22824</v>
      </c>
      <c r="J162" s="23">
        <v>58103</v>
      </c>
      <c r="K162" s="23">
        <v>275</v>
      </c>
      <c r="L162" s="21" t="s">
        <v>19</v>
      </c>
      <c r="M162" s="21"/>
      <c r="N162" s="21" t="s">
        <v>20</v>
      </c>
      <c r="O162" s="24">
        <f t="shared" si="2"/>
        <v>0.1552751489660007</v>
      </c>
    </row>
    <row r="163" spans="1:15">
      <c r="A163" s="19" t="s">
        <v>192</v>
      </c>
      <c r="B163" s="19" t="s">
        <v>13</v>
      </c>
      <c r="C163" s="20">
        <v>45610</v>
      </c>
      <c r="D163" s="21" t="s">
        <v>14</v>
      </c>
      <c r="E163" s="22" t="s">
        <v>361</v>
      </c>
      <c r="F163" s="23">
        <v>2422</v>
      </c>
      <c r="G163" s="23">
        <v>318</v>
      </c>
      <c r="H163" s="23">
        <v>118</v>
      </c>
      <c r="I163" s="23">
        <v>25386</v>
      </c>
      <c r="J163" s="23">
        <v>20873</v>
      </c>
      <c r="K163" s="23">
        <v>100</v>
      </c>
      <c r="L163" s="21" t="s">
        <v>37</v>
      </c>
      <c r="M163" s="21" t="s">
        <v>34</v>
      </c>
      <c r="N163" s="21" t="s">
        <v>16</v>
      </c>
      <c r="O163" s="24">
        <f t="shared" si="2"/>
        <v>0.11258173796580792</v>
      </c>
    </row>
    <row r="164" spans="1:15">
      <c r="A164" s="19" t="s">
        <v>193</v>
      </c>
      <c r="B164" s="19" t="s">
        <v>27</v>
      </c>
      <c r="C164" s="20">
        <v>45513</v>
      </c>
      <c r="D164" s="21" t="s">
        <v>48</v>
      </c>
      <c r="E164" s="22" t="s">
        <v>363</v>
      </c>
      <c r="F164" s="23">
        <v>3414</v>
      </c>
      <c r="G164" s="23">
        <v>154</v>
      </c>
      <c r="H164" s="23">
        <v>204</v>
      </c>
      <c r="I164" s="23">
        <v>34146</v>
      </c>
      <c r="J164" s="23">
        <v>44633</v>
      </c>
      <c r="K164" s="23">
        <v>256</v>
      </c>
      <c r="L164" s="21" t="s">
        <v>19</v>
      </c>
      <c r="M164" s="21" t="s">
        <v>37</v>
      </c>
      <c r="N164" s="21" t="s">
        <v>49</v>
      </c>
      <c r="O164" s="24">
        <f t="shared" si="2"/>
        <v>0.11046681895390383</v>
      </c>
    </row>
    <row r="165" spans="1:15">
      <c r="A165" s="19" t="s">
        <v>194</v>
      </c>
      <c r="B165" s="19" t="s">
        <v>13</v>
      </c>
      <c r="C165" s="20">
        <v>45835</v>
      </c>
      <c r="D165" s="21" t="s">
        <v>23</v>
      </c>
      <c r="E165" s="22" t="s">
        <v>362</v>
      </c>
      <c r="F165" s="23">
        <v>1342</v>
      </c>
      <c r="G165" s="23">
        <v>332</v>
      </c>
      <c r="H165" s="23">
        <v>163</v>
      </c>
      <c r="I165" s="23">
        <v>51712</v>
      </c>
      <c r="J165" s="23">
        <v>57922</v>
      </c>
      <c r="K165" s="23">
        <v>168</v>
      </c>
      <c r="L165" s="21" t="s">
        <v>34</v>
      </c>
      <c r="M165" s="21"/>
      <c r="N165" s="21" t="s">
        <v>46</v>
      </c>
      <c r="O165" s="24">
        <f t="shared" si="2"/>
        <v>3.5523669554455448E-2</v>
      </c>
    </row>
    <row r="166" spans="1:15">
      <c r="A166" s="19" t="s">
        <v>195</v>
      </c>
      <c r="B166" s="19" t="s">
        <v>13</v>
      </c>
      <c r="C166" s="20">
        <v>45420</v>
      </c>
      <c r="D166" s="21" t="s">
        <v>23</v>
      </c>
      <c r="E166" s="22" t="s">
        <v>361</v>
      </c>
      <c r="F166" s="23">
        <v>2414</v>
      </c>
      <c r="G166" s="23">
        <v>220</v>
      </c>
      <c r="H166" s="23">
        <v>280</v>
      </c>
      <c r="I166" s="23">
        <v>27355</v>
      </c>
      <c r="J166" s="23">
        <v>50562</v>
      </c>
      <c r="K166" s="23">
        <v>258</v>
      </c>
      <c r="L166" s="21" t="s">
        <v>34</v>
      </c>
      <c r="M166" s="21"/>
      <c r="N166" s="21" t="s">
        <v>46</v>
      </c>
      <c r="O166" s="24">
        <f t="shared" si="2"/>
        <v>0.10652531529884847</v>
      </c>
    </row>
    <row r="167" spans="1:15">
      <c r="A167" s="19" t="s">
        <v>196</v>
      </c>
      <c r="B167" s="19" t="s">
        <v>13</v>
      </c>
      <c r="C167" s="20">
        <v>45387</v>
      </c>
      <c r="D167" s="21" t="s">
        <v>14</v>
      </c>
      <c r="E167" s="22" t="s">
        <v>24</v>
      </c>
      <c r="F167" s="23">
        <v>4383</v>
      </c>
      <c r="G167" s="23">
        <v>352</v>
      </c>
      <c r="H167" s="23">
        <v>176</v>
      </c>
      <c r="I167" s="23">
        <v>53239</v>
      </c>
      <c r="J167" s="23">
        <v>34168</v>
      </c>
      <c r="K167" s="23">
        <v>288</v>
      </c>
      <c r="L167" s="21" t="s">
        <v>19</v>
      </c>
      <c r="M167" s="21"/>
      <c r="N167" s="21" t="s">
        <v>20</v>
      </c>
      <c r="O167" s="24">
        <f t="shared" si="2"/>
        <v>9.2244407295403744E-2</v>
      </c>
    </row>
    <row r="168" spans="1:15">
      <c r="A168" s="19" t="s">
        <v>197</v>
      </c>
      <c r="B168" s="19" t="s">
        <v>27</v>
      </c>
      <c r="C168" s="20">
        <v>45684</v>
      </c>
      <c r="D168" s="21" t="s">
        <v>14</v>
      </c>
      <c r="E168" s="22" t="s">
        <v>360</v>
      </c>
      <c r="F168" s="23">
        <v>4294</v>
      </c>
      <c r="G168" s="23">
        <v>423</v>
      </c>
      <c r="H168" s="23">
        <v>93</v>
      </c>
      <c r="I168" s="23">
        <v>29828</v>
      </c>
      <c r="J168" s="23">
        <v>73144</v>
      </c>
      <c r="K168" s="23">
        <v>298</v>
      </c>
      <c r="L168" s="21" t="s">
        <v>19</v>
      </c>
      <c r="M168" s="21" t="s">
        <v>365</v>
      </c>
      <c r="N168" s="21" t="s">
        <v>20</v>
      </c>
      <c r="O168" s="24">
        <f t="shared" si="2"/>
        <v>0.1612578785034196</v>
      </c>
    </row>
    <row r="169" spans="1:15">
      <c r="A169" s="19" t="s">
        <v>198</v>
      </c>
      <c r="B169" s="19" t="s">
        <v>13</v>
      </c>
      <c r="C169" s="20">
        <v>45385</v>
      </c>
      <c r="D169" s="21" t="s">
        <v>14</v>
      </c>
      <c r="E169" s="22" t="s">
        <v>33</v>
      </c>
      <c r="F169" s="23">
        <v>2762</v>
      </c>
      <c r="G169" s="23">
        <v>339</v>
      </c>
      <c r="H169" s="23">
        <v>323</v>
      </c>
      <c r="I169" s="23">
        <v>33757</v>
      </c>
      <c r="J169" s="23">
        <v>68511</v>
      </c>
      <c r="K169" s="23">
        <v>121</v>
      </c>
      <c r="L169" s="21" t="s">
        <v>37</v>
      </c>
      <c r="M169" s="21" t="s">
        <v>34</v>
      </c>
      <c r="N169" s="21" t="s">
        <v>16</v>
      </c>
      <c r="O169" s="24">
        <f t="shared" si="2"/>
        <v>0.10143081434961637</v>
      </c>
    </row>
    <row r="170" spans="1:15">
      <c r="A170" s="19" t="s">
        <v>199</v>
      </c>
      <c r="B170" s="19" t="s">
        <v>27</v>
      </c>
      <c r="C170" s="20">
        <v>45660</v>
      </c>
      <c r="D170" s="21" t="s">
        <v>14</v>
      </c>
      <c r="E170" s="22" t="s">
        <v>24</v>
      </c>
      <c r="F170" s="23">
        <v>3782</v>
      </c>
      <c r="G170" s="23">
        <v>484</v>
      </c>
      <c r="H170" s="23">
        <v>144</v>
      </c>
      <c r="I170" s="23">
        <v>52172</v>
      </c>
      <c r="J170" s="23">
        <v>59386</v>
      </c>
      <c r="K170" s="23">
        <v>175</v>
      </c>
      <c r="L170" s="21" t="s">
        <v>19</v>
      </c>
      <c r="M170" s="21" t="s">
        <v>365</v>
      </c>
      <c r="N170" s="21" t="s">
        <v>20</v>
      </c>
      <c r="O170" s="24">
        <f t="shared" si="2"/>
        <v>8.4528099363643333E-2</v>
      </c>
    </row>
    <row r="171" spans="1:15">
      <c r="A171" s="19" t="s">
        <v>200</v>
      </c>
      <c r="B171" s="19" t="s">
        <v>22</v>
      </c>
      <c r="C171" s="20">
        <v>45619</v>
      </c>
      <c r="D171" s="21" t="s">
        <v>14</v>
      </c>
      <c r="E171" s="22" t="s">
        <v>24</v>
      </c>
      <c r="F171" s="23">
        <v>4318</v>
      </c>
      <c r="G171" s="23">
        <v>371</v>
      </c>
      <c r="H171" s="23">
        <v>329</v>
      </c>
      <c r="I171" s="23">
        <v>32347</v>
      </c>
      <c r="J171" s="23">
        <v>68956</v>
      </c>
      <c r="K171" s="23">
        <v>259</v>
      </c>
      <c r="L171" s="21" t="s">
        <v>37</v>
      </c>
      <c r="M171" s="21"/>
      <c r="N171" s="21" t="s">
        <v>20</v>
      </c>
      <c r="O171" s="24">
        <f t="shared" si="2"/>
        <v>0.15513030574705536</v>
      </c>
    </row>
    <row r="172" spans="1:15">
      <c r="A172" s="19" t="s">
        <v>201</v>
      </c>
      <c r="B172" s="19" t="s">
        <v>13</v>
      </c>
      <c r="C172" s="20">
        <v>45536</v>
      </c>
      <c r="D172" s="21" t="s">
        <v>23</v>
      </c>
      <c r="E172" s="22" t="s">
        <v>360</v>
      </c>
      <c r="F172" s="23">
        <v>2335</v>
      </c>
      <c r="G172" s="23">
        <v>150</v>
      </c>
      <c r="H172" s="23">
        <v>75</v>
      </c>
      <c r="I172" s="23">
        <v>26114</v>
      </c>
      <c r="J172" s="23">
        <v>57549</v>
      </c>
      <c r="K172" s="23">
        <v>135</v>
      </c>
      <c r="L172" s="21" t="s">
        <v>34</v>
      </c>
      <c r="M172" s="21"/>
      <c r="N172" s="21" t="s">
        <v>46</v>
      </c>
      <c r="O172" s="24">
        <f t="shared" si="2"/>
        <v>9.8031707130274953E-2</v>
      </c>
    </row>
    <row r="173" spans="1:15">
      <c r="A173" s="19" t="s">
        <v>202</v>
      </c>
      <c r="B173" s="19" t="s">
        <v>27</v>
      </c>
      <c r="C173" s="20">
        <v>45400</v>
      </c>
      <c r="D173" s="21" t="s">
        <v>14</v>
      </c>
      <c r="E173" s="22" t="s">
        <v>18</v>
      </c>
      <c r="F173" s="23">
        <v>4023</v>
      </c>
      <c r="G173" s="23">
        <v>293</v>
      </c>
      <c r="H173" s="23">
        <v>91</v>
      </c>
      <c r="I173" s="23">
        <v>26795</v>
      </c>
      <c r="J173" s="23">
        <v>28924</v>
      </c>
      <c r="K173" s="23">
        <v>278</v>
      </c>
      <c r="L173" s="21" t="s">
        <v>19</v>
      </c>
      <c r="M173" s="21" t="s">
        <v>365</v>
      </c>
      <c r="N173" s="21" t="s">
        <v>20</v>
      </c>
      <c r="O173" s="24">
        <f t="shared" si="2"/>
        <v>0.16447098339242397</v>
      </c>
    </row>
    <row r="174" spans="1:15">
      <c r="A174" s="19" t="s">
        <v>203</v>
      </c>
      <c r="B174" s="19" t="s">
        <v>13</v>
      </c>
      <c r="C174" s="20">
        <v>45447</v>
      </c>
      <c r="D174" s="21" t="s">
        <v>14</v>
      </c>
      <c r="E174" s="22" t="s">
        <v>30</v>
      </c>
      <c r="F174" s="23">
        <v>3948</v>
      </c>
      <c r="G174" s="23">
        <v>151</v>
      </c>
      <c r="H174" s="23">
        <v>249</v>
      </c>
      <c r="I174" s="23">
        <v>43147</v>
      </c>
      <c r="J174" s="23">
        <v>63136</v>
      </c>
      <c r="K174" s="23">
        <v>230</v>
      </c>
      <c r="L174" s="21" t="s">
        <v>19</v>
      </c>
      <c r="M174" s="21"/>
      <c r="N174" s="21" t="s">
        <v>20</v>
      </c>
      <c r="O174" s="24">
        <f t="shared" si="2"/>
        <v>0.10077178019329269</v>
      </c>
    </row>
    <row r="175" spans="1:15">
      <c r="A175" s="19" t="s">
        <v>204</v>
      </c>
      <c r="B175" s="19" t="s">
        <v>27</v>
      </c>
      <c r="C175" s="20">
        <v>45749</v>
      </c>
      <c r="D175" s="21" t="s">
        <v>14</v>
      </c>
      <c r="E175" s="22" t="s">
        <v>360</v>
      </c>
      <c r="F175" s="23">
        <v>4598</v>
      </c>
      <c r="G175" s="23">
        <v>455</v>
      </c>
      <c r="H175" s="23">
        <v>378</v>
      </c>
      <c r="I175" s="23">
        <v>52952</v>
      </c>
      <c r="J175" s="23">
        <v>58504</v>
      </c>
      <c r="K175" s="23">
        <v>269</v>
      </c>
      <c r="L175" s="21" t="s">
        <v>19</v>
      </c>
      <c r="M175" s="21" t="s">
        <v>365</v>
      </c>
      <c r="N175" s="21" t="s">
        <v>20</v>
      </c>
      <c r="O175" s="24">
        <f t="shared" si="2"/>
        <v>0.10256458679558846</v>
      </c>
    </row>
    <row r="176" spans="1:15">
      <c r="A176" s="19" t="s">
        <v>205</v>
      </c>
      <c r="B176" s="19" t="s">
        <v>22</v>
      </c>
      <c r="C176" s="20">
        <v>45748</v>
      </c>
      <c r="D176" s="21" t="s">
        <v>23</v>
      </c>
      <c r="E176" s="22" t="s">
        <v>361</v>
      </c>
      <c r="F176" s="23">
        <v>2665</v>
      </c>
      <c r="G176" s="23">
        <v>143</v>
      </c>
      <c r="H176" s="23">
        <v>315</v>
      </c>
      <c r="I176" s="23">
        <v>54808</v>
      </c>
      <c r="J176" s="23">
        <v>29818</v>
      </c>
      <c r="K176" s="23">
        <v>98</v>
      </c>
      <c r="L176" s="21" t="s">
        <v>19</v>
      </c>
      <c r="M176" s="21" t="s">
        <v>364</v>
      </c>
      <c r="N176" s="21" t="s">
        <v>16</v>
      </c>
      <c r="O176" s="24">
        <f t="shared" si="2"/>
        <v>5.6980732739746021E-2</v>
      </c>
    </row>
    <row r="177" spans="1:15">
      <c r="A177" s="19" t="s">
        <v>206</v>
      </c>
      <c r="B177" s="19" t="s">
        <v>13</v>
      </c>
      <c r="C177" s="20">
        <v>45475</v>
      </c>
      <c r="D177" s="21" t="s">
        <v>14</v>
      </c>
      <c r="E177" s="22" t="s">
        <v>33</v>
      </c>
      <c r="F177" s="23">
        <v>3469</v>
      </c>
      <c r="G177" s="23">
        <v>371</v>
      </c>
      <c r="H177" s="23">
        <v>76</v>
      </c>
      <c r="I177" s="23">
        <v>46493</v>
      </c>
      <c r="J177" s="23">
        <v>26906</v>
      </c>
      <c r="K177" s="23">
        <v>150</v>
      </c>
      <c r="L177" s="21" t="s">
        <v>37</v>
      </c>
      <c r="M177" s="21" t="s">
        <v>34</v>
      </c>
      <c r="N177" s="21" t="s">
        <v>16</v>
      </c>
      <c r="O177" s="24">
        <f t="shared" si="2"/>
        <v>8.4227733207149463E-2</v>
      </c>
    </row>
    <row r="178" spans="1:15">
      <c r="A178" s="19" t="s">
        <v>207</v>
      </c>
      <c r="B178" s="19" t="s">
        <v>22</v>
      </c>
      <c r="C178" s="20">
        <v>45606</v>
      </c>
      <c r="D178" s="21" t="s">
        <v>14</v>
      </c>
      <c r="E178" s="22" t="s">
        <v>18</v>
      </c>
      <c r="F178" s="23">
        <v>4823</v>
      </c>
      <c r="G178" s="23">
        <v>489</v>
      </c>
      <c r="H178" s="23">
        <v>302</v>
      </c>
      <c r="I178" s="23">
        <v>32470</v>
      </c>
      <c r="J178" s="23">
        <v>31861</v>
      </c>
      <c r="K178" s="23">
        <v>178</v>
      </c>
      <c r="L178" s="21" t="s">
        <v>37</v>
      </c>
      <c r="M178" s="21"/>
      <c r="N178" s="21" t="s">
        <v>20</v>
      </c>
      <c r="O178" s="24">
        <f t="shared" si="2"/>
        <v>0.1728980597474592</v>
      </c>
    </row>
    <row r="179" spans="1:15">
      <c r="A179" s="19" t="s">
        <v>208</v>
      </c>
      <c r="B179" s="19" t="s">
        <v>13</v>
      </c>
      <c r="C179" s="20">
        <v>45640</v>
      </c>
      <c r="D179" s="21" t="s">
        <v>23</v>
      </c>
      <c r="E179" s="22" t="s">
        <v>363</v>
      </c>
      <c r="F179" s="23">
        <v>3812</v>
      </c>
      <c r="G179" s="23">
        <v>321</v>
      </c>
      <c r="H179" s="23">
        <v>289</v>
      </c>
      <c r="I179" s="23">
        <v>59838</v>
      </c>
      <c r="J179" s="23">
        <v>36337</v>
      </c>
      <c r="K179" s="23">
        <v>161</v>
      </c>
      <c r="L179" s="21" t="s">
        <v>34</v>
      </c>
      <c r="M179" s="21"/>
      <c r="N179" s="21" t="s">
        <v>46</v>
      </c>
      <c r="O179" s="24">
        <f t="shared" si="2"/>
        <v>7.3899528727564417E-2</v>
      </c>
    </row>
    <row r="180" spans="1:15">
      <c r="A180" s="19" t="s">
        <v>209</v>
      </c>
      <c r="B180" s="19" t="s">
        <v>22</v>
      </c>
      <c r="C180" s="20">
        <v>45615</v>
      </c>
      <c r="D180" s="21" t="s">
        <v>14</v>
      </c>
      <c r="E180" s="22" t="s">
        <v>18</v>
      </c>
      <c r="F180" s="23">
        <v>2387</v>
      </c>
      <c r="G180" s="23">
        <v>353</v>
      </c>
      <c r="H180" s="23">
        <v>78</v>
      </c>
      <c r="I180" s="23">
        <v>39745</v>
      </c>
      <c r="J180" s="23">
        <v>69226</v>
      </c>
      <c r="K180" s="23">
        <v>208</v>
      </c>
      <c r="L180" s="21" t="s">
        <v>37</v>
      </c>
      <c r="M180" s="21"/>
      <c r="N180" s="21" t="s">
        <v>20</v>
      </c>
      <c r="O180" s="24">
        <f t="shared" si="2"/>
        <v>7.090200025160398E-2</v>
      </c>
    </row>
    <row r="181" spans="1:15">
      <c r="A181" s="19" t="s">
        <v>210</v>
      </c>
      <c r="B181" s="19" t="s">
        <v>22</v>
      </c>
      <c r="C181" s="20">
        <v>45777</v>
      </c>
      <c r="D181" s="21" t="s">
        <v>23</v>
      </c>
      <c r="E181" s="22" t="s">
        <v>360</v>
      </c>
      <c r="F181" s="23">
        <v>3929</v>
      </c>
      <c r="G181" s="23">
        <v>275</v>
      </c>
      <c r="H181" s="23">
        <v>330</v>
      </c>
      <c r="I181" s="23">
        <v>58329</v>
      </c>
      <c r="J181" s="23">
        <v>33196</v>
      </c>
      <c r="K181" s="23">
        <v>85</v>
      </c>
      <c r="L181" s="21" t="s">
        <v>364</v>
      </c>
      <c r="M181" s="21" t="s">
        <v>34</v>
      </c>
      <c r="N181" s="21" t="s">
        <v>16</v>
      </c>
      <c r="O181" s="24">
        <f t="shared" si="2"/>
        <v>7.7731488624869283E-2</v>
      </c>
    </row>
    <row r="182" spans="1:15">
      <c r="A182" s="19" t="s">
        <v>211</v>
      </c>
      <c r="B182" s="19" t="s">
        <v>22</v>
      </c>
      <c r="C182" s="20">
        <v>45370</v>
      </c>
      <c r="D182" s="21" t="s">
        <v>14</v>
      </c>
      <c r="E182" s="22" t="s">
        <v>363</v>
      </c>
      <c r="F182" s="23">
        <v>2191</v>
      </c>
      <c r="G182" s="23">
        <v>288</v>
      </c>
      <c r="H182" s="23">
        <v>83</v>
      </c>
      <c r="I182" s="23">
        <v>59606</v>
      </c>
      <c r="J182" s="23">
        <v>24765</v>
      </c>
      <c r="K182" s="23">
        <v>281</v>
      </c>
      <c r="L182" s="21" t="s">
        <v>37</v>
      </c>
      <c r="M182" s="21"/>
      <c r="N182" s="21" t="s">
        <v>20</v>
      </c>
      <c r="O182" s="24">
        <f t="shared" si="2"/>
        <v>4.2982250109049422E-2</v>
      </c>
    </row>
    <row r="183" spans="1:15">
      <c r="A183" s="19" t="s">
        <v>212</v>
      </c>
      <c r="B183" s="19" t="s">
        <v>13</v>
      </c>
      <c r="C183" s="20">
        <v>45370</v>
      </c>
      <c r="D183" s="21" t="s">
        <v>14</v>
      </c>
      <c r="E183" s="22" t="s">
        <v>363</v>
      </c>
      <c r="F183" s="23">
        <v>2878</v>
      </c>
      <c r="G183" s="23">
        <v>278</v>
      </c>
      <c r="H183" s="23">
        <v>255</v>
      </c>
      <c r="I183" s="23">
        <v>47235</v>
      </c>
      <c r="J183" s="23">
        <v>57922</v>
      </c>
      <c r="K183" s="23">
        <v>112</v>
      </c>
      <c r="L183" s="21" t="s">
        <v>37</v>
      </c>
      <c r="M183" s="21" t="s">
        <v>34</v>
      </c>
      <c r="N183" s="21" t="s">
        <v>16</v>
      </c>
      <c r="O183" s="24">
        <f t="shared" si="2"/>
        <v>7.2213401079707848E-2</v>
      </c>
    </row>
    <row r="184" spans="1:15">
      <c r="A184" s="19" t="s">
        <v>213</v>
      </c>
      <c r="B184" s="19" t="s">
        <v>22</v>
      </c>
      <c r="C184" s="20">
        <v>45496</v>
      </c>
      <c r="D184" s="21" t="s">
        <v>14</v>
      </c>
      <c r="E184" s="22" t="s">
        <v>33</v>
      </c>
      <c r="F184" s="23">
        <v>3204</v>
      </c>
      <c r="G184" s="23">
        <v>398</v>
      </c>
      <c r="H184" s="23">
        <v>85</v>
      </c>
      <c r="I184" s="23">
        <v>22020</v>
      </c>
      <c r="J184" s="23">
        <v>58353</v>
      </c>
      <c r="K184" s="23">
        <v>286</v>
      </c>
      <c r="L184" s="21" t="s">
        <v>37</v>
      </c>
      <c r="M184" s="21"/>
      <c r="N184" s="21" t="s">
        <v>20</v>
      </c>
      <c r="O184" s="24">
        <f t="shared" si="2"/>
        <v>0.16743869209809265</v>
      </c>
    </row>
    <row r="185" spans="1:15">
      <c r="A185" s="19" t="s">
        <v>214</v>
      </c>
      <c r="B185" s="19" t="s">
        <v>22</v>
      </c>
      <c r="C185" s="20">
        <v>45486</v>
      </c>
      <c r="D185" s="21" t="s">
        <v>23</v>
      </c>
      <c r="E185" s="22" t="s">
        <v>30</v>
      </c>
      <c r="F185" s="23">
        <v>2408</v>
      </c>
      <c r="G185" s="23">
        <v>323</v>
      </c>
      <c r="H185" s="23">
        <v>251</v>
      </c>
      <c r="I185" s="23">
        <v>47599</v>
      </c>
      <c r="J185" s="23">
        <v>35543</v>
      </c>
      <c r="K185" s="23">
        <v>287</v>
      </c>
      <c r="L185" s="21" t="s">
        <v>364</v>
      </c>
      <c r="M185" s="21" t="s">
        <v>34</v>
      </c>
      <c r="N185" s="21" t="s">
        <v>16</v>
      </c>
      <c r="O185" s="24">
        <f t="shared" si="2"/>
        <v>6.2648374965860634E-2</v>
      </c>
    </row>
    <row r="186" spans="1:15">
      <c r="A186" s="19" t="s">
        <v>215</v>
      </c>
      <c r="B186" s="19" t="s">
        <v>27</v>
      </c>
      <c r="C186" s="20">
        <v>45769</v>
      </c>
      <c r="D186" s="21" t="s">
        <v>48</v>
      </c>
      <c r="E186" s="22" t="s">
        <v>24</v>
      </c>
      <c r="F186" s="23">
        <v>2733</v>
      </c>
      <c r="G186" s="23">
        <v>297</v>
      </c>
      <c r="H186" s="23">
        <v>235</v>
      </c>
      <c r="I186" s="23">
        <v>37980</v>
      </c>
      <c r="J186" s="23">
        <v>33058</v>
      </c>
      <c r="K186" s="23">
        <v>219</v>
      </c>
      <c r="L186" s="21" t="s">
        <v>19</v>
      </c>
      <c r="M186" s="21" t="s">
        <v>37</v>
      </c>
      <c r="N186" s="21" t="s">
        <v>49</v>
      </c>
      <c r="O186" s="24">
        <f t="shared" si="2"/>
        <v>8.5966298051606105E-2</v>
      </c>
    </row>
    <row r="187" spans="1:15">
      <c r="A187" s="19" t="s">
        <v>216</v>
      </c>
      <c r="B187" s="19" t="s">
        <v>22</v>
      </c>
      <c r="C187" s="20">
        <v>45459</v>
      </c>
      <c r="D187" s="21" t="s">
        <v>23</v>
      </c>
      <c r="E187" s="22" t="s">
        <v>18</v>
      </c>
      <c r="F187" s="23">
        <v>4618</v>
      </c>
      <c r="G187" s="23">
        <v>312</v>
      </c>
      <c r="H187" s="23">
        <v>254</v>
      </c>
      <c r="I187" s="23">
        <v>22571</v>
      </c>
      <c r="J187" s="23">
        <v>29453</v>
      </c>
      <c r="K187" s="23">
        <v>197</v>
      </c>
      <c r="L187" s="21" t="s">
        <v>364</v>
      </c>
      <c r="M187" s="21" t="s">
        <v>34</v>
      </c>
      <c r="N187" s="21" t="s">
        <v>16</v>
      </c>
      <c r="O187" s="24">
        <f t="shared" si="2"/>
        <v>0.22967524699836073</v>
      </c>
    </row>
    <row r="188" spans="1:15">
      <c r="A188" s="19" t="s">
        <v>217</v>
      </c>
      <c r="B188" s="19" t="s">
        <v>27</v>
      </c>
      <c r="C188" s="20">
        <v>45795</v>
      </c>
      <c r="D188" s="21" t="s">
        <v>48</v>
      </c>
      <c r="E188" s="22" t="s">
        <v>360</v>
      </c>
      <c r="F188" s="23">
        <v>4210</v>
      </c>
      <c r="G188" s="23">
        <v>319</v>
      </c>
      <c r="H188" s="23">
        <v>350</v>
      </c>
      <c r="I188" s="23">
        <v>37762</v>
      </c>
      <c r="J188" s="23">
        <v>55162</v>
      </c>
      <c r="K188" s="23">
        <v>204</v>
      </c>
      <c r="L188" s="21" t="s">
        <v>19</v>
      </c>
      <c r="M188" s="21" t="s">
        <v>37</v>
      </c>
      <c r="N188" s="21" t="s">
        <v>49</v>
      </c>
      <c r="O188" s="24">
        <f t="shared" si="2"/>
        <v>0.12920396165457337</v>
      </c>
    </row>
    <row r="189" spans="1:15">
      <c r="A189" s="19" t="s">
        <v>218</v>
      </c>
      <c r="B189" s="19" t="s">
        <v>13</v>
      </c>
      <c r="C189" s="20">
        <v>45814</v>
      </c>
      <c r="D189" s="21" t="s">
        <v>14</v>
      </c>
      <c r="E189" s="22" t="s">
        <v>360</v>
      </c>
      <c r="F189" s="23">
        <v>3987</v>
      </c>
      <c r="G189" s="23">
        <v>171</v>
      </c>
      <c r="H189" s="23">
        <v>274</v>
      </c>
      <c r="I189" s="23">
        <v>45122</v>
      </c>
      <c r="J189" s="23">
        <v>65431</v>
      </c>
      <c r="K189" s="23">
        <v>168</v>
      </c>
      <c r="L189" s="21" t="s">
        <v>19</v>
      </c>
      <c r="M189" s="21"/>
      <c r="N189" s="21" t="s">
        <v>20</v>
      </c>
      <c r="O189" s="24">
        <f t="shared" si="2"/>
        <v>9.8222596516111871E-2</v>
      </c>
    </row>
    <row r="190" spans="1:15">
      <c r="A190" s="19" t="s">
        <v>219</v>
      </c>
      <c r="B190" s="19" t="s">
        <v>27</v>
      </c>
      <c r="C190" s="20">
        <v>45708</v>
      </c>
      <c r="D190" s="21" t="s">
        <v>48</v>
      </c>
      <c r="E190" s="22" t="s">
        <v>30</v>
      </c>
      <c r="F190" s="23">
        <v>4957</v>
      </c>
      <c r="G190" s="23">
        <v>262</v>
      </c>
      <c r="H190" s="23">
        <v>365</v>
      </c>
      <c r="I190" s="23">
        <v>49199</v>
      </c>
      <c r="J190" s="23">
        <v>40314</v>
      </c>
      <c r="K190" s="23">
        <v>216</v>
      </c>
      <c r="L190" s="21" t="s">
        <v>19</v>
      </c>
      <c r="M190" s="21" t="s">
        <v>37</v>
      </c>
      <c r="N190" s="21" t="s">
        <v>49</v>
      </c>
      <c r="O190" s="24">
        <f t="shared" si="2"/>
        <v>0.11349824183418362</v>
      </c>
    </row>
    <row r="191" spans="1:15">
      <c r="A191" s="19" t="s">
        <v>220</v>
      </c>
      <c r="B191" s="19" t="s">
        <v>13</v>
      </c>
      <c r="C191" s="20">
        <v>45673</v>
      </c>
      <c r="D191" s="21" t="s">
        <v>14</v>
      </c>
      <c r="E191" s="22" t="s">
        <v>361</v>
      </c>
      <c r="F191" s="23">
        <v>2605</v>
      </c>
      <c r="G191" s="23">
        <v>282</v>
      </c>
      <c r="H191" s="23">
        <v>148</v>
      </c>
      <c r="I191" s="23">
        <v>32201</v>
      </c>
      <c r="J191" s="23">
        <v>49583</v>
      </c>
      <c r="K191" s="23">
        <v>241</v>
      </c>
      <c r="L191" s="21" t="s">
        <v>37</v>
      </c>
      <c r="M191" s="21" t="s">
        <v>34</v>
      </c>
      <c r="N191" s="21" t="s">
        <v>16</v>
      </c>
      <c r="O191" s="24">
        <f t="shared" si="2"/>
        <v>9.4251731312692155E-2</v>
      </c>
    </row>
    <row r="192" spans="1:15">
      <c r="A192" s="19" t="s">
        <v>221</v>
      </c>
      <c r="B192" s="19" t="s">
        <v>27</v>
      </c>
      <c r="C192" s="20">
        <v>45346</v>
      </c>
      <c r="D192" s="21" t="s">
        <v>48</v>
      </c>
      <c r="E192" s="22" t="s">
        <v>15</v>
      </c>
      <c r="F192" s="23">
        <v>4221</v>
      </c>
      <c r="G192" s="23">
        <v>307</v>
      </c>
      <c r="H192" s="23">
        <v>58</v>
      </c>
      <c r="I192" s="23">
        <v>45080</v>
      </c>
      <c r="J192" s="23">
        <v>37214</v>
      </c>
      <c r="K192" s="23">
        <v>240</v>
      </c>
      <c r="L192" s="21" t="s">
        <v>19</v>
      </c>
      <c r="M192" s="21" t="s">
        <v>37</v>
      </c>
      <c r="N192" s="21" t="s">
        <v>49</v>
      </c>
      <c r="O192" s="24">
        <f t="shared" si="2"/>
        <v>0.10173025732031943</v>
      </c>
    </row>
    <row r="193" spans="1:15">
      <c r="A193" s="19" t="s">
        <v>222</v>
      </c>
      <c r="B193" s="19" t="s">
        <v>22</v>
      </c>
      <c r="C193" s="20">
        <v>45551</v>
      </c>
      <c r="D193" s="21" t="s">
        <v>23</v>
      </c>
      <c r="E193" s="22" t="s">
        <v>362</v>
      </c>
      <c r="F193" s="23">
        <v>4422</v>
      </c>
      <c r="G193" s="23">
        <v>434</v>
      </c>
      <c r="H193" s="23">
        <v>156</v>
      </c>
      <c r="I193" s="23">
        <v>56165</v>
      </c>
      <c r="J193" s="23">
        <v>52431</v>
      </c>
      <c r="K193" s="23">
        <v>173</v>
      </c>
      <c r="L193" s="21" t="s">
        <v>19</v>
      </c>
      <c r="M193" s="21" t="s">
        <v>364</v>
      </c>
      <c r="N193" s="21" t="s">
        <v>16</v>
      </c>
      <c r="O193" s="24">
        <f t="shared" si="2"/>
        <v>8.9237069349238848E-2</v>
      </c>
    </row>
    <row r="194" spans="1:15">
      <c r="A194" s="19" t="s">
        <v>223</v>
      </c>
      <c r="B194" s="19" t="s">
        <v>27</v>
      </c>
      <c r="C194" s="20">
        <v>45447</v>
      </c>
      <c r="D194" s="21" t="s">
        <v>48</v>
      </c>
      <c r="E194" s="22" t="s">
        <v>360</v>
      </c>
      <c r="F194" s="23">
        <v>1211</v>
      </c>
      <c r="G194" s="23">
        <v>431</v>
      </c>
      <c r="H194" s="23">
        <v>83</v>
      </c>
      <c r="I194" s="23">
        <v>26532</v>
      </c>
      <c r="J194" s="23">
        <v>47305</v>
      </c>
      <c r="K194" s="23">
        <v>232</v>
      </c>
      <c r="L194" s="21" t="s">
        <v>19</v>
      </c>
      <c r="M194" s="21" t="s">
        <v>37</v>
      </c>
      <c r="N194" s="21" t="s">
        <v>49</v>
      </c>
      <c r="O194" s="24">
        <f t="shared" ref="O194:O257" si="3" xml:space="preserve"> (F194+ G194 + H194) / I194</f>
        <v>6.5015829941203071E-2</v>
      </c>
    </row>
    <row r="195" spans="1:15">
      <c r="A195" s="19" t="s">
        <v>224</v>
      </c>
      <c r="B195" s="19" t="s">
        <v>22</v>
      </c>
      <c r="C195" s="20">
        <v>45422</v>
      </c>
      <c r="D195" s="21" t="s">
        <v>23</v>
      </c>
      <c r="E195" s="22" t="s">
        <v>18</v>
      </c>
      <c r="F195" s="23">
        <v>2784</v>
      </c>
      <c r="G195" s="23">
        <v>111</v>
      </c>
      <c r="H195" s="23">
        <v>399</v>
      </c>
      <c r="I195" s="23">
        <v>58366</v>
      </c>
      <c r="J195" s="23">
        <v>69512</v>
      </c>
      <c r="K195" s="23">
        <v>269</v>
      </c>
      <c r="L195" s="21" t="s">
        <v>364</v>
      </c>
      <c r="M195" s="21" t="s">
        <v>34</v>
      </c>
      <c r="N195" s="21" t="s">
        <v>16</v>
      </c>
      <c r="O195" s="24">
        <f t="shared" si="3"/>
        <v>5.6436966727204191E-2</v>
      </c>
    </row>
    <row r="196" spans="1:15">
      <c r="A196" s="19" t="s">
        <v>225</v>
      </c>
      <c r="B196" s="19" t="s">
        <v>27</v>
      </c>
      <c r="C196" s="20">
        <v>45305</v>
      </c>
      <c r="D196" s="21" t="s">
        <v>14</v>
      </c>
      <c r="E196" s="22" t="s">
        <v>24</v>
      </c>
      <c r="F196" s="23">
        <v>3634</v>
      </c>
      <c r="G196" s="23">
        <v>280</v>
      </c>
      <c r="H196" s="23">
        <v>399</v>
      </c>
      <c r="I196" s="23">
        <v>40256</v>
      </c>
      <c r="J196" s="23">
        <v>52605</v>
      </c>
      <c r="K196" s="23">
        <v>213</v>
      </c>
      <c r="L196" s="21" t="s">
        <v>19</v>
      </c>
      <c r="M196" s="21" t="s">
        <v>365</v>
      </c>
      <c r="N196" s="21" t="s">
        <v>20</v>
      </c>
      <c r="O196" s="24">
        <f t="shared" si="3"/>
        <v>0.10713930842607314</v>
      </c>
    </row>
    <row r="197" spans="1:15">
      <c r="A197" s="19" t="s">
        <v>226</v>
      </c>
      <c r="B197" s="19" t="s">
        <v>13</v>
      </c>
      <c r="C197" s="20">
        <v>45669</v>
      </c>
      <c r="D197" s="21" t="s">
        <v>14</v>
      </c>
      <c r="E197" s="22" t="s">
        <v>363</v>
      </c>
      <c r="F197" s="23">
        <v>1771</v>
      </c>
      <c r="G197" s="23">
        <v>487</v>
      </c>
      <c r="H197" s="23">
        <v>272</v>
      </c>
      <c r="I197" s="23">
        <v>48810</v>
      </c>
      <c r="J197" s="23">
        <v>48084</v>
      </c>
      <c r="K197" s="23">
        <v>272</v>
      </c>
      <c r="L197" s="21" t="s">
        <v>37</v>
      </c>
      <c r="M197" s="21" t="s">
        <v>34</v>
      </c>
      <c r="N197" s="21" t="s">
        <v>16</v>
      </c>
      <c r="O197" s="24">
        <f t="shared" si="3"/>
        <v>5.1833640647408315E-2</v>
      </c>
    </row>
    <row r="198" spans="1:15">
      <c r="A198" s="19" t="s">
        <v>227</v>
      </c>
      <c r="B198" s="19" t="s">
        <v>27</v>
      </c>
      <c r="C198" s="20">
        <v>45634</v>
      </c>
      <c r="D198" s="21" t="s">
        <v>14</v>
      </c>
      <c r="E198" s="22" t="s">
        <v>33</v>
      </c>
      <c r="F198" s="23">
        <v>1424</v>
      </c>
      <c r="G198" s="23">
        <v>396</v>
      </c>
      <c r="H198" s="23">
        <v>312</v>
      </c>
      <c r="I198" s="23">
        <v>59517</v>
      </c>
      <c r="J198" s="23">
        <v>46102</v>
      </c>
      <c r="K198" s="23">
        <v>239</v>
      </c>
      <c r="L198" s="21" t="s">
        <v>19</v>
      </c>
      <c r="M198" s="21" t="s">
        <v>365</v>
      </c>
      <c r="N198" s="21" t="s">
        <v>20</v>
      </c>
      <c r="O198" s="24">
        <f t="shared" si="3"/>
        <v>3.5821698002251455E-2</v>
      </c>
    </row>
    <row r="199" spans="1:15">
      <c r="A199" s="19" t="s">
        <v>228</v>
      </c>
      <c r="B199" s="19" t="s">
        <v>22</v>
      </c>
      <c r="C199" s="20">
        <v>45689</v>
      </c>
      <c r="D199" s="21" t="s">
        <v>23</v>
      </c>
      <c r="E199" s="22" t="s">
        <v>33</v>
      </c>
      <c r="F199" s="23">
        <v>1079</v>
      </c>
      <c r="G199" s="23">
        <v>265</v>
      </c>
      <c r="H199" s="23">
        <v>190</v>
      </c>
      <c r="I199" s="23">
        <v>43786</v>
      </c>
      <c r="J199" s="23">
        <v>72428</v>
      </c>
      <c r="K199" s="23">
        <v>222</v>
      </c>
      <c r="L199" s="21" t="s">
        <v>37</v>
      </c>
      <c r="M199" s="21" t="s">
        <v>34</v>
      </c>
      <c r="N199" s="21" t="s">
        <v>16</v>
      </c>
      <c r="O199" s="24">
        <f t="shared" si="3"/>
        <v>3.5034029141734799E-2</v>
      </c>
    </row>
    <row r="200" spans="1:15">
      <c r="A200" s="19" t="s">
        <v>229</v>
      </c>
      <c r="B200" s="19" t="s">
        <v>22</v>
      </c>
      <c r="C200" s="20">
        <v>45484</v>
      </c>
      <c r="D200" s="21" t="s">
        <v>23</v>
      </c>
      <c r="E200" s="22" t="s">
        <v>30</v>
      </c>
      <c r="F200" s="23">
        <v>4247</v>
      </c>
      <c r="G200" s="23">
        <v>179</v>
      </c>
      <c r="H200" s="23">
        <v>175</v>
      </c>
      <c r="I200" s="23">
        <v>32991</v>
      </c>
      <c r="J200" s="23">
        <v>70120</v>
      </c>
      <c r="K200" s="23">
        <v>276</v>
      </c>
      <c r="L200" s="21" t="s">
        <v>37</v>
      </c>
      <c r="M200" s="21" t="s">
        <v>34</v>
      </c>
      <c r="N200" s="21" t="s">
        <v>16</v>
      </c>
      <c r="O200" s="24">
        <f t="shared" si="3"/>
        <v>0.13946227759085811</v>
      </c>
    </row>
    <row r="201" spans="1:15">
      <c r="A201" s="19" t="s">
        <v>230</v>
      </c>
      <c r="B201" s="19" t="s">
        <v>22</v>
      </c>
      <c r="C201" s="20">
        <v>45369</v>
      </c>
      <c r="D201" s="21" t="s">
        <v>14</v>
      </c>
      <c r="E201" s="22" t="s">
        <v>24</v>
      </c>
      <c r="F201" s="23">
        <v>2033</v>
      </c>
      <c r="G201" s="23">
        <v>420</v>
      </c>
      <c r="H201" s="23">
        <v>94</v>
      </c>
      <c r="I201" s="23">
        <v>56290</v>
      </c>
      <c r="J201" s="23">
        <v>57391</v>
      </c>
      <c r="K201" s="23">
        <v>196</v>
      </c>
      <c r="L201" s="21" t="s">
        <v>34</v>
      </c>
      <c r="M201" s="21"/>
      <c r="N201" s="21" t="s">
        <v>16</v>
      </c>
      <c r="O201" s="24">
        <f t="shared" si="3"/>
        <v>4.5247823769763724E-2</v>
      </c>
    </row>
    <row r="202" spans="1:15">
      <c r="A202" s="19" t="s">
        <v>231</v>
      </c>
      <c r="B202" s="19" t="s">
        <v>22</v>
      </c>
      <c r="C202" s="20">
        <v>45547</v>
      </c>
      <c r="D202" s="21" t="s">
        <v>23</v>
      </c>
      <c r="E202" s="22" t="s">
        <v>360</v>
      </c>
      <c r="F202" s="23">
        <v>1839</v>
      </c>
      <c r="G202" s="23">
        <v>223</v>
      </c>
      <c r="H202" s="23">
        <v>171</v>
      </c>
      <c r="I202" s="23">
        <v>35459</v>
      </c>
      <c r="J202" s="23">
        <v>69988</v>
      </c>
      <c r="K202" s="23">
        <v>114</v>
      </c>
      <c r="L202" s="21" t="s">
        <v>364</v>
      </c>
      <c r="M202" s="21" t="s">
        <v>34</v>
      </c>
      <c r="N202" s="21" t="s">
        <v>16</v>
      </c>
      <c r="O202" s="24">
        <f t="shared" si="3"/>
        <v>6.2974139146620034E-2</v>
      </c>
    </row>
    <row r="203" spans="1:15">
      <c r="A203" s="19" t="s">
        <v>232</v>
      </c>
      <c r="B203" s="19" t="s">
        <v>22</v>
      </c>
      <c r="C203" s="20">
        <v>45302</v>
      </c>
      <c r="D203" s="21" t="s">
        <v>23</v>
      </c>
      <c r="E203" s="22" t="s">
        <v>360</v>
      </c>
      <c r="F203" s="23">
        <v>2340</v>
      </c>
      <c r="G203" s="23">
        <v>141</v>
      </c>
      <c r="H203" s="23">
        <v>206</v>
      </c>
      <c r="I203" s="23">
        <v>24916</v>
      </c>
      <c r="J203" s="23">
        <v>30582</v>
      </c>
      <c r="K203" s="23">
        <v>157</v>
      </c>
      <c r="L203" s="21" t="s">
        <v>37</v>
      </c>
      <c r="M203" s="21" t="s">
        <v>34</v>
      </c>
      <c r="N203" s="21" t="s">
        <v>16</v>
      </c>
      <c r="O203" s="24">
        <f t="shared" si="3"/>
        <v>0.10784235029699792</v>
      </c>
    </row>
    <row r="204" spans="1:15">
      <c r="A204" s="19" t="s">
        <v>233</v>
      </c>
      <c r="B204" s="19" t="s">
        <v>13</v>
      </c>
      <c r="C204" s="20">
        <v>45571</v>
      </c>
      <c r="D204" s="21" t="s">
        <v>14</v>
      </c>
      <c r="E204" s="22" t="s">
        <v>33</v>
      </c>
      <c r="F204" s="23">
        <v>2080</v>
      </c>
      <c r="G204" s="23">
        <v>389</v>
      </c>
      <c r="H204" s="23">
        <v>92</v>
      </c>
      <c r="I204" s="23">
        <v>30971</v>
      </c>
      <c r="J204" s="23">
        <v>25347</v>
      </c>
      <c r="K204" s="23">
        <v>111</v>
      </c>
      <c r="L204" s="21" t="s">
        <v>19</v>
      </c>
      <c r="M204" s="21"/>
      <c r="N204" s="21" t="s">
        <v>20</v>
      </c>
      <c r="O204" s="24">
        <f t="shared" si="3"/>
        <v>8.2690258629040073E-2</v>
      </c>
    </row>
    <row r="205" spans="1:15">
      <c r="A205" s="19" t="s">
        <v>234</v>
      </c>
      <c r="B205" s="19" t="s">
        <v>22</v>
      </c>
      <c r="C205" s="20">
        <v>45656</v>
      </c>
      <c r="D205" s="21" t="s">
        <v>14</v>
      </c>
      <c r="E205" s="22" t="s">
        <v>30</v>
      </c>
      <c r="F205" s="23">
        <v>4214</v>
      </c>
      <c r="G205" s="23">
        <v>286</v>
      </c>
      <c r="H205" s="23">
        <v>127</v>
      </c>
      <c r="I205" s="23">
        <v>47293</v>
      </c>
      <c r="J205" s="23">
        <v>27184</v>
      </c>
      <c r="K205" s="23">
        <v>232</v>
      </c>
      <c r="L205" s="21" t="s">
        <v>34</v>
      </c>
      <c r="M205" s="21"/>
      <c r="N205" s="21" t="s">
        <v>16</v>
      </c>
      <c r="O205" s="24">
        <f t="shared" si="3"/>
        <v>9.7836889180216949E-2</v>
      </c>
    </row>
    <row r="206" spans="1:15">
      <c r="A206" s="19" t="s">
        <v>235</v>
      </c>
      <c r="B206" s="19" t="s">
        <v>22</v>
      </c>
      <c r="C206" s="20">
        <v>45763</v>
      </c>
      <c r="D206" s="21" t="s">
        <v>14</v>
      </c>
      <c r="E206" s="22" t="s">
        <v>360</v>
      </c>
      <c r="F206" s="23">
        <v>3792</v>
      </c>
      <c r="G206" s="23">
        <v>315</v>
      </c>
      <c r="H206" s="23">
        <v>120</v>
      </c>
      <c r="I206" s="23">
        <v>54592</v>
      </c>
      <c r="J206" s="23">
        <v>67886</v>
      </c>
      <c r="K206" s="23">
        <v>117</v>
      </c>
      <c r="L206" s="21" t="s">
        <v>37</v>
      </c>
      <c r="M206" s="21"/>
      <c r="N206" s="21" t="s">
        <v>20</v>
      </c>
      <c r="O206" s="24">
        <f t="shared" si="3"/>
        <v>7.7428927315357568E-2</v>
      </c>
    </row>
    <row r="207" spans="1:15">
      <c r="A207" s="19" t="s">
        <v>236</v>
      </c>
      <c r="B207" s="19" t="s">
        <v>22</v>
      </c>
      <c r="C207" s="20">
        <v>45525</v>
      </c>
      <c r="D207" s="21" t="s">
        <v>23</v>
      </c>
      <c r="E207" s="22" t="s">
        <v>18</v>
      </c>
      <c r="F207" s="23">
        <v>3989</v>
      </c>
      <c r="G207" s="23">
        <v>476</v>
      </c>
      <c r="H207" s="23">
        <v>128</v>
      </c>
      <c r="I207" s="23">
        <v>57569</v>
      </c>
      <c r="J207" s="23">
        <v>40193</v>
      </c>
      <c r="K207" s="23">
        <v>222</v>
      </c>
      <c r="L207" s="21" t="s">
        <v>19</v>
      </c>
      <c r="M207" s="21" t="s">
        <v>364</v>
      </c>
      <c r="N207" s="21" t="s">
        <v>16</v>
      </c>
      <c r="O207" s="24">
        <f t="shared" si="3"/>
        <v>7.9782521843353188E-2</v>
      </c>
    </row>
    <row r="208" spans="1:15">
      <c r="A208" s="19" t="s">
        <v>237</v>
      </c>
      <c r="B208" s="19" t="s">
        <v>22</v>
      </c>
      <c r="C208" s="20">
        <v>45387</v>
      </c>
      <c r="D208" s="21" t="s">
        <v>23</v>
      </c>
      <c r="E208" s="22" t="s">
        <v>360</v>
      </c>
      <c r="F208" s="23">
        <v>2857</v>
      </c>
      <c r="G208" s="23">
        <v>443</v>
      </c>
      <c r="H208" s="23">
        <v>359</v>
      </c>
      <c r="I208" s="23">
        <v>51519</v>
      </c>
      <c r="J208" s="23">
        <v>28256</v>
      </c>
      <c r="K208" s="23">
        <v>155</v>
      </c>
      <c r="L208" s="21" t="s">
        <v>37</v>
      </c>
      <c r="M208" s="21" t="s">
        <v>34</v>
      </c>
      <c r="N208" s="21" t="s">
        <v>16</v>
      </c>
      <c r="O208" s="24">
        <f t="shared" si="3"/>
        <v>7.1022341272152026E-2</v>
      </c>
    </row>
    <row r="209" spans="1:15">
      <c r="A209" s="19" t="s">
        <v>238</v>
      </c>
      <c r="B209" s="19" t="s">
        <v>22</v>
      </c>
      <c r="C209" s="20">
        <v>45754</v>
      </c>
      <c r="D209" s="21" t="s">
        <v>14</v>
      </c>
      <c r="E209" s="22" t="s">
        <v>363</v>
      </c>
      <c r="F209" s="23">
        <v>1403</v>
      </c>
      <c r="G209" s="23">
        <v>385</v>
      </c>
      <c r="H209" s="23">
        <v>344</v>
      </c>
      <c r="I209" s="23">
        <v>54223</v>
      </c>
      <c r="J209" s="23">
        <v>72595</v>
      </c>
      <c r="K209" s="23">
        <v>239</v>
      </c>
      <c r="L209" s="21" t="s">
        <v>37</v>
      </c>
      <c r="M209" s="21"/>
      <c r="N209" s="21" t="s">
        <v>20</v>
      </c>
      <c r="O209" s="24">
        <f t="shared" si="3"/>
        <v>3.9319108127547353E-2</v>
      </c>
    </row>
    <row r="210" spans="1:15">
      <c r="A210" s="19" t="s">
        <v>239</v>
      </c>
      <c r="B210" s="19" t="s">
        <v>22</v>
      </c>
      <c r="C210" s="20">
        <v>45492</v>
      </c>
      <c r="D210" s="21" t="s">
        <v>23</v>
      </c>
      <c r="E210" s="22" t="s">
        <v>362</v>
      </c>
      <c r="F210" s="23">
        <v>3071</v>
      </c>
      <c r="G210" s="23">
        <v>126</v>
      </c>
      <c r="H210" s="23">
        <v>200</v>
      </c>
      <c r="I210" s="23">
        <v>44013</v>
      </c>
      <c r="J210" s="23">
        <v>44679</v>
      </c>
      <c r="K210" s="23">
        <v>118</v>
      </c>
      <c r="L210" s="21" t="s">
        <v>19</v>
      </c>
      <c r="M210" s="21" t="s">
        <v>364</v>
      </c>
      <c r="N210" s="21" t="s">
        <v>16</v>
      </c>
      <c r="O210" s="24">
        <f t="shared" si="3"/>
        <v>7.7181741758116915E-2</v>
      </c>
    </row>
    <row r="211" spans="1:15">
      <c r="A211" s="19" t="s">
        <v>240</v>
      </c>
      <c r="B211" s="19" t="s">
        <v>22</v>
      </c>
      <c r="C211" s="20">
        <v>45780</v>
      </c>
      <c r="D211" s="21" t="s">
        <v>23</v>
      </c>
      <c r="E211" s="22" t="s">
        <v>33</v>
      </c>
      <c r="F211" s="23">
        <v>1010</v>
      </c>
      <c r="G211" s="23">
        <v>361</v>
      </c>
      <c r="H211" s="23">
        <v>240</v>
      </c>
      <c r="I211" s="23">
        <v>47229</v>
      </c>
      <c r="J211" s="23">
        <v>72573</v>
      </c>
      <c r="K211" s="23">
        <v>275</v>
      </c>
      <c r="L211" s="21" t="s">
        <v>37</v>
      </c>
      <c r="M211" s="21" t="s">
        <v>34</v>
      </c>
      <c r="N211" s="21" t="s">
        <v>16</v>
      </c>
      <c r="O211" s="24">
        <f t="shared" si="3"/>
        <v>3.4110398272247981E-2</v>
      </c>
    </row>
    <row r="212" spans="1:15">
      <c r="A212" s="19" t="s">
        <v>241</v>
      </c>
      <c r="B212" s="19" t="s">
        <v>22</v>
      </c>
      <c r="C212" s="20">
        <v>45396</v>
      </c>
      <c r="D212" s="21" t="s">
        <v>23</v>
      </c>
      <c r="E212" s="22" t="s">
        <v>15</v>
      </c>
      <c r="F212" s="23">
        <v>1295</v>
      </c>
      <c r="G212" s="23">
        <v>153</v>
      </c>
      <c r="H212" s="23">
        <v>81</v>
      </c>
      <c r="I212" s="23">
        <v>48350</v>
      </c>
      <c r="J212" s="23">
        <v>61033</v>
      </c>
      <c r="K212" s="23">
        <v>232</v>
      </c>
      <c r="L212" s="21" t="s">
        <v>19</v>
      </c>
      <c r="M212" s="21" t="s">
        <v>364</v>
      </c>
      <c r="N212" s="21" t="s">
        <v>16</v>
      </c>
      <c r="O212" s="24">
        <f t="shared" si="3"/>
        <v>3.1623578076525334E-2</v>
      </c>
    </row>
    <row r="213" spans="1:15">
      <c r="A213" s="19" t="s">
        <v>242</v>
      </c>
      <c r="B213" s="19" t="s">
        <v>22</v>
      </c>
      <c r="C213" s="20">
        <v>45827</v>
      </c>
      <c r="D213" s="21" t="s">
        <v>23</v>
      </c>
      <c r="E213" s="22" t="s">
        <v>362</v>
      </c>
      <c r="F213" s="23">
        <v>1433</v>
      </c>
      <c r="G213" s="23">
        <v>452</v>
      </c>
      <c r="H213" s="23">
        <v>305</v>
      </c>
      <c r="I213" s="23">
        <v>54541</v>
      </c>
      <c r="J213" s="23">
        <v>63700</v>
      </c>
      <c r="K213" s="23">
        <v>296</v>
      </c>
      <c r="L213" s="21" t="s">
        <v>19</v>
      </c>
      <c r="M213" s="21" t="s">
        <v>364</v>
      </c>
      <c r="N213" s="21" t="s">
        <v>16</v>
      </c>
      <c r="O213" s="24">
        <f t="shared" si="3"/>
        <v>4.0153279184466734E-2</v>
      </c>
    </row>
    <row r="214" spans="1:15">
      <c r="A214" s="19" t="s">
        <v>243</v>
      </c>
      <c r="B214" s="19" t="s">
        <v>13</v>
      </c>
      <c r="C214" s="20">
        <v>45832</v>
      </c>
      <c r="D214" s="21" t="s">
        <v>23</v>
      </c>
      <c r="E214" s="22" t="s">
        <v>30</v>
      </c>
      <c r="F214" s="23">
        <v>4902</v>
      </c>
      <c r="G214" s="23">
        <v>422</v>
      </c>
      <c r="H214" s="23">
        <v>376</v>
      </c>
      <c r="I214" s="23">
        <v>31674</v>
      </c>
      <c r="J214" s="23">
        <v>53225</v>
      </c>
      <c r="K214" s="23">
        <v>147</v>
      </c>
      <c r="L214" s="21" t="s">
        <v>34</v>
      </c>
      <c r="M214" s="21"/>
      <c r="N214" s="21" t="s">
        <v>46</v>
      </c>
      <c r="O214" s="24">
        <f t="shared" si="3"/>
        <v>0.17995832544042431</v>
      </c>
    </row>
    <row r="215" spans="1:15">
      <c r="A215" s="19" t="s">
        <v>244</v>
      </c>
      <c r="B215" s="19" t="s">
        <v>22</v>
      </c>
      <c r="C215" s="20">
        <v>45574</v>
      </c>
      <c r="D215" s="21" t="s">
        <v>14</v>
      </c>
      <c r="E215" s="22" t="s">
        <v>360</v>
      </c>
      <c r="F215" s="23">
        <v>2659</v>
      </c>
      <c r="G215" s="23">
        <v>167</v>
      </c>
      <c r="H215" s="23">
        <v>73</v>
      </c>
      <c r="I215" s="23">
        <v>23090</v>
      </c>
      <c r="J215" s="23">
        <v>25872</v>
      </c>
      <c r="K215" s="23">
        <v>293</v>
      </c>
      <c r="L215" s="21" t="s">
        <v>37</v>
      </c>
      <c r="M215" s="21"/>
      <c r="N215" s="21" t="s">
        <v>20</v>
      </c>
      <c r="O215" s="24">
        <f t="shared" si="3"/>
        <v>0.12555218709398008</v>
      </c>
    </row>
    <row r="216" spans="1:15">
      <c r="A216" s="19" t="s">
        <v>245</v>
      </c>
      <c r="B216" s="19" t="s">
        <v>27</v>
      </c>
      <c r="C216" s="20">
        <v>45672</v>
      </c>
      <c r="D216" s="21" t="s">
        <v>14</v>
      </c>
      <c r="E216" s="22" t="s">
        <v>42</v>
      </c>
      <c r="F216" s="23">
        <v>2599</v>
      </c>
      <c r="G216" s="23">
        <v>324</v>
      </c>
      <c r="H216" s="23">
        <v>182</v>
      </c>
      <c r="I216" s="23">
        <v>37525</v>
      </c>
      <c r="J216" s="23">
        <v>37216</v>
      </c>
      <c r="K216" s="23">
        <v>186</v>
      </c>
      <c r="L216" s="21" t="s">
        <v>19</v>
      </c>
      <c r="M216" s="21" t="s">
        <v>365</v>
      </c>
      <c r="N216" s="21" t="s">
        <v>20</v>
      </c>
      <c r="O216" s="24">
        <f t="shared" si="3"/>
        <v>8.2744836775483013E-2</v>
      </c>
    </row>
    <row r="217" spans="1:15">
      <c r="A217" s="19" t="s">
        <v>246</v>
      </c>
      <c r="B217" s="19" t="s">
        <v>22</v>
      </c>
      <c r="C217" s="20">
        <v>45669</v>
      </c>
      <c r="D217" s="21" t="s">
        <v>14</v>
      </c>
      <c r="E217" s="22" t="s">
        <v>361</v>
      </c>
      <c r="F217" s="23">
        <v>1765</v>
      </c>
      <c r="G217" s="23">
        <v>285</v>
      </c>
      <c r="H217" s="23">
        <v>100</v>
      </c>
      <c r="I217" s="23">
        <v>41313</v>
      </c>
      <c r="J217" s="23">
        <v>56575</v>
      </c>
      <c r="K217" s="23">
        <v>174</v>
      </c>
      <c r="L217" s="21" t="s">
        <v>37</v>
      </c>
      <c r="M217" s="21"/>
      <c r="N217" s="21" t="s">
        <v>20</v>
      </c>
      <c r="O217" s="24">
        <f t="shared" si="3"/>
        <v>5.2041730205988429E-2</v>
      </c>
    </row>
    <row r="218" spans="1:15">
      <c r="A218" s="19" t="s">
        <v>247</v>
      </c>
      <c r="B218" s="19" t="s">
        <v>13</v>
      </c>
      <c r="C218" s="20">
        <v>45808</v>
      </c>
      <c r="D218" s="21" t="s">
        <v>14</v>
      </c>
      <c r="E218" s="22" t="s">
        <v>362</v>
      </c>
      <c r="F218" s="23">
        <v>2169</v>
      </c>
      <c r="G218" s="23">
        <v>240</v>
      </c>
      <c r="H218" s="23">
        <v>57</v>
      </c>
      <c r="I218" s="23">
        <v>26109</v>
      </c>
      <c r="J218" s="23">
        <v>46667</v>
      </c>
      <c r="K218" s="23">
        <v>133</v>
      </c>
      <c r="L218" s="21" t="s">
        <v>37</v>
      </c>
      <c r="M218" s="21" t="s">
        <v>34</v>
      </c>
      <c r="N218" s="21" t="s">
        <v>16</v>
      </c>
      <c r="O218" s="24">
        <f t="shared" si="3"/>
        <v>9.4450189589796618E-2</v>
      </c>
    </row>
    <row r="219" spans="1:15">
      <c r="A219" s="19" t="s">
        <v>248</v>
      </c>
      <c r="B219" s="19" t="s">
        <v>22</v>
      </c>
      <c r="C219" s="20">
        <v>45579</v>
      </c>
      <c r="D219" s="21" t="s">
        <v>23</v>
      </c>
      <c r="E219" s="22" t="s">
        <v>18</v>
      </c>
      <c r="F219" s="23">
        <v>4303</v>
      </c>
      <c r="G219" s="23">
        <v>306</v>
      </c>
      <c r="H219" s="23">
        <v>302</v>
      </c>
      <c r="I219" s="23">
        <v>39575</v>
      </c>
      <c r="J219" s="23">
        <v>33762</v>
      </c>
      <c r="K219" s="23">
        <v>265</v>
      </c>
      <c r="L219" s="21" t="s">
        <v>19</v>
      </c>
      <c r="M219" s="21" t="s">
        <v>364</v>
      </c>
      <c r="N219" s="21" t="s">
        <v>16</v>
      </c>
      <c r="O219" s="24">
        <f t="shared" si="3"/>
        <v>0.12409349336702463</v>
      </c>
    </row>
    <row r="220" spans="1:15">
      <c r="A220" s="19" t="s">
        <v>249</v>
      </c>
      <c r="B220" s="19" t="s">
        <v>22</v>
      </c>
      <c r="C220" s="20">
        <v>45332</v>
      </c>
      <c r="D220" s="21" t="s">
        <v>14</v>
      </c>
      <c r="E220" s="22" t="s">
        <v>363</v>
      </c>
      <c r="F220" s="23">
        <v>1519</v>
      </c>
      <c r="G220" s="23">
        <v>456</v>
      </c>
      <c r="H220" s="23">
        <v>379</v>
      </c>
      <c r="I220" s="23">
        <v>51611</v>
      </c>
      <c r="J220" s="23">
        <v>45880</v>
      </c>
      <c r="K220" s="23">
        <v>176</v>
      </c>
      <c r="L220" s="21" t="s">
        <v>37</v>
      </c>
      <c r="M220" s="21"/>
      <c r="N220" s="21" t="s">
        <v>20</v>
      </c>
      <c r="O220" s="24">
        <f t="shared" si="3"/>
        <v>4.5610431884675749E-2</v>
      </c>
    </row>
    <row r="221" spans="1:15">
      <c r="A221" s="19" t="s">
        <v>250</v>
      </c>
      <c r="B221" s="19" t="s">
        <v>27</v>
      </c>
      <c r="C221" s="20">
        <v>45636</v>
      </c>
      <c r="D221" s="21" t="s">
        <v>14</v>
      </c>
      <c r="E221" s="22" t="s">
        <v>362</v>
      </c>
      <c r="F221" s="23">
        <v>2569</v>
      </c>
      <c r="G221" s="23">
        <v>140</v>
      </c>
      <c r="H221" s="23">
        <v>375</v>
      </c>
      <c r="I221" s="23">
        <v>38372</v>
      </c>
      <c r="J221" s="23">
        <v>22102</v>
      </c>
      <c r="K221" s="23">
        <v>255</v>
      </c>
      <c r="L221" s="21" t="s">
        <v>19</v>
      </c>
      <c r="M221" s="21" t="s">
        <v>365</v>
      </c>
      <c r="N221" s="21" t="s">
        <v>20</v>
      </c>
      <c r="O221" s="24">
        <f t="shared" si="3"/>
        <v>8.0371103929948923E-2</v>
      </c>
    </row>
    <row r="222" spans="1:15">
      <c r="A222" s="19" t="s">
        <v>251</v>
      </c>
      <c r="B222" s="19" t="s">
        <v>22</v>
      </c>
      <c r="C222" s="20">
        <v>45786</v>
      </c>
      <c r="D222" s="21" t="s">
        <v>23</v>
      </c>
      <c r="E222" s="22" t="s">
        <v>361</v>
      </c>
      <c r="F222" s="23">
        <v>2778</v>
      </c>
      <c r="G222" s="23">
        <v>241</v>
      </c>
      <c r="H222" s="23">
        <v>317</v>
      </c>
      <c r="I222" s="23">
        <v>26247</v>
      </c>
      <c r="J222" s="23">
        <v>20677</v>
      </c>
      <c r="K222" s="23">
        <v>282</v>
      </c>
      <c r="L222" s="21" t="s">
        <v>364</v>
      </c>
      <c r="M222" s="21" t="s">
        <v>34</v>
      </c>
      <c r="N222" s="21" t="s">
        <v>16</v>
      </c>
      <c r="O222" s="24">
        <f t="shared" si="3"/>
        <v>0.1271002400274317</v>
      </c>
    </row>
    <row r="223" spans="1:15">
      <c r="A223" s="19" t="s">
        <v>252</v>
      </c>
      <c r="B223" s="19" t="s">
        <v>22</v>
      </c>
      <c r="C223" s="20">
        <v>45829</v>
      </c>
      <c r="D223" s="21" t="s">
        <v>14</v>
      </c>
      <c r="E223" s="22" t="s">
        <v>18</v>
      </c>
      <c r="F223" s="23">
        <v>3611</v>
      </c>
      <c r="G223" s="23">
        <v>127</v>
      </c>
      <c r="H223" s="23">
        <v>139</v>
      </c>
      <c r="I223" s="23">
        <v>44768</v>
      </c>
      <c r="J223" s="23">
        <v>29435</v>
      </c>
      <c r="K223" s="23">
        <v>178</v>
      </c>
      <c r="L223" s="21" t="s">
        <v>34</v>
      </c>
      <c r="M223" s="21"/>
      <c r="N223" s="21" t="s">
        <v>16</v>
      </c>
      <c r="O223" s="24">
        <f t="shared" si="3"/>
        <v>8.6602037169406718E-2</v>
      </c>
    </row>
    <row r="224" spans="1:15">
      <c r="A224" s="19" t="s">
        <v>253</v>
      </c>
      <c r="B224" s="19" t="s">
        <v>22</v>
      </c>
      <c r="C224" s="20">
        <v>45462</v>
      </c>
      <c r="D224" s="21" t="s">
        <v>14</v>
      </c>
      <c r="E224" s="22" t="s">
        <v>362</v>
      </c>
      <c r="F224" s="23">
        <v>1224</v>
      </c>
      <c r="G224" s="23">
        <v>168</v>
      </c>
      <c r="H224" s="23">
        <v>199</v>
      </c>
      <c r="I224" s="23">
        <v>54232</v>
      </c>
      <c r="J224" s="23">
        <v>52844</v>
      </c>
      <c r="K224" s="23">
        <v>271</v>
      </c>
      <c r="L224" s="21" t="s">
        <v>37</v>
      </c>
      <c r="M224" s="21"/>
      <c r="N224" s="21" t="s">
        <v>20</v>
      </c>
      <c r="O224" s="24">
        <f t="shared" si="3"/>
        <v>2.9336922849977874E-2</v>
      </c>
    </row>
    <row r="225" spans="1:15">
      <c r="A225" s="19" t="s">
        <v>254</v>
      </c>
      <c r="B225" s="19" t="s">
        <v>22</v>
      </c>
      <c r="C225" s="20">
        <v>45636</v>
      </c>
      <c r="D225" s="21" t="s">
        <v>14</v>
      </c>
      <c r="E225" s="22" t="s">
        <v>363</v>
      </c>
      <c r="F225" s="23">
        <v>4673</v>
      </c>
      <c r="G225" s="23">
        <v>270</v>
      </c>
      <c r="H225" s="23">
        <v>93</v>
      </c>
      <c r="I225" s="23">
        <v>45260</v>
      </c>
      <c r="J225" s="23">
        <v>57513</v>
      </c>
      <c r="K225" s="23">
        <v>103</v>
      </c>
      <c r="L225" s="21" t="s">
        <v>34</v>
      </c>
      <c r="M225" s="21"/>
      <c r="N225" s="21" t="s">
        <v>16</v>
      </c>
      <c r="O225" s="24">
        <f t="shared" si="3"/>
        <v>0.11126822801590809</v>
      </c>
    </row>
    <row r="226" spans="1:15">
      <c r="A226" s="19" t="s">
        <v>255</v>
      </c>
      <c r="B226" s="19" t="s">
        <v>27</v>
      </c>
      <c r="C226" s="20">
        <v>45323</v>
      </c>
      <c r="D226" s="21" t="s">
        <v>14</v>
      </c>
      <c r="E226" s="22" t="s">
        <v>360</v>
      </c>
      <c r="F226" s="23">
        <v>1432</v>
      </c>
      <c r="G226" s="23">
        <v>437</v>
      </c>
      <c r="H226" s="23">
        <v>267</v>
      </c>
      <c r="I226" s="23">
        <v>40634</v>
      </c>
      <c r="J226" s="23">
        <v>54511</v>
      </c>
      <c r="K226" s="23">
        <v>197</v>
      </c>
      <c r="L226" s="21" t="s">
        <v>19</v>
      </c>
      <c r="M226" s="21" t="s">
        <v>365</v>
      </c>
      <c r="N226" s="21" t="s">
        <v>20</v>
      </c>
      <c r="O226" s="24">
        <f t="shared" si="3"/>
        <v>5.2566815966924252E-2</v>
      </c>
    </row>
    <row r="227" spans="1:15">
      <c r="A227" s="19" t="s">
        <v>256</v>
      </c>
      <c r="B227" s="19" t="s">
        <v>22</v>
      </c>
      <c r="C227" s="20">
        <v>45308</v>
      </c>
      <c r="D227" s="21" t="s">
        <v>23</v>
      </c>
      <c r="E227" s="22" t="s">
        <v>24</v>
      </c>
      <c r="F227" s="23">
        <v>2174</v>
      </c>
      <c r="G227" s="23">
        <v>499</v>
      </c>
      <c r="H227" s="23">
        <v>212</v>
      </c>
      <c r="I227" s="23">
        <v>54938</v>
      </c>
      <c r="J227" s="23">
        <v>27190</v>
      </c>
      <c r="K227" s="23">
        <v>265</v>
      </c>
      <c r="L227" s="21" t="s">
        <v>364</v>
      </c>
      <c r="M227" s="21" t="s">
        <v>34</v>
      </c>
      <c r="N227" s="21" t="s">
        <v>16</v>
      </c>
      <c r="O227" s="24">
        <f t="shared" si="3"/>
        <v>5.2513742764570971E-2</v>
      </c>
    </row>
    <row r="228" spans="1:15">
      <c r="A228" s="19" t="s">
        <v>257</v>
      </c>
      <c r="B228" s="19" t="s">
        <v>27</v>
      </c>
      <c r="C228" s="20">
        <v>45738</v>
      </c>
      <c r="D228" s="21" t="s">
        <v>14</v>
      </c>
      <c r="E228" s="22" t="s">
        <v>361</v>
      </c>
      <c r="F228" s="23">
        <v>4308</v>
      </c>
      <c r="G228" s="23">
        <v>171</v>
      </c>
      <c r="H228" s="23">
        <v>106</v>
      </c>
      <c r="I228" s="23">
        <v>36955</v>
      </c>
      <c r="J228" s="23">
        <v>23949</v>
      </c>
      <c r="K228" s="23">
        <v>294</v>
      </c>
      <c r="L228" s="21" t="s">
        <v>19</v>
      </c>
      <c r="M228" s="21" t="s">
        <v>365</v>
      </c>
      <c r="N228" s="21" t="s">
        <v>20</v>
      </c>
      <c r="O228" s="24">
        <f t="shared" si="3"/>
        <v>0.12406981463942633</v>
      </c>
    </row>
    <row r="229" spans="1:15">
      <c r="A229" s="19" t="s">
        <v>258</v>
      </c>
      <c r="B229" s="19" t="s">
        <v>27</v>
      </c>
      <c r="C229" s="20">
        <v>45442</v>
      </c>
      <c r="D229" s="21" t="s">
        <v>48</v>
      </c>
      <c r="E229" s="22" t="s">
        <v>362</v>
      </c>
      <c r="F229" s="23">
        <v>1060</v>
      </c>
      <c r="G229" s="23">
        <v>442</v>
      </c>
      <c r="H229" s="23">
        <v>319</v>
      </c>
      <c r="I229" s="23">
        <v>57194</v>
      </c>
      <c r="J229" s="23">
        <v>24258</v>
      </c>
      <c r="K229" s="23">
        <v>101</v>
      </c>
      <c r="L229" s="21" t="s">
        <v>19</v>
      </c>
      <c r="M229" s="21" t="s">
        <v>37</v>
      </c>
      <c r="N229" s="21" t="s">
        <v>49</v>
      </c>
      <c r="O229" s="24">
        <f t="shared" si="3"/>
        <v>3.1839004091338254E-2</v>
      </c>
    </row>
    <row r="230" spans="1:15">
      <c r="A230" s="19" t="s">
        <v>259</v>
      </c>
      <c r="B230" s="19" t="s">
        <v>27</v>
      </c>
      <c r="C230" s="20">
        <v>45346</v>
      </c>
      <c r="D230" s="21" t="s">
        <v>14</v>
      </c>
      <c r="E230" s="22" t="s">
        <v>361</v>
      </c>
      <c r="F230" s="23">
        <v>4653</v>
      </c>
      <c r="G230" s="23">
        <v>226</v>
      </c>
      <c r="H230" s="23">
        <v>349</v>
      </c>
      <c r="I230" s="23">
        <v>56876</v>
      </c>
      <c r="J230" s="23">
        <v>28452</v>
      </c>
      <c r="K230" s="23">
        <v>257</v>
      </c>
      <c r="L230" s="21" t="s">
        <v>19</v>
      </c>
      <c r="M230" s="21" t="s">
        <v>365</v>
      </c>
      <c r="N230" s="21" t="s">
        <v>20</v>
      </c>
      <c r="O230" s="24">
        <f t="shared" si="3"/>
        <v>9.191926295801392E-2</v>
      </c>
    </row>
    <row r="231" spans="1:15">
      <c r="A231" s="19" t="s">
        <v>260</v>
      </c>
      <c r="B231" s="19" t="s">
        <v>27</v>
      </c>
      <c r="C231" s="20">
        <v>45791</v>
      </c>
      <c r="D231" s="21" t="s">
        <v>14</v>
      </c>
      <c r="E231" s="22" t="s">
        <v>15</v>
      </c>
      <c r="F231" s="23">
        <v>1701</v>
      </c>
      <c r="G231" s="23">
        <v>272</v>
      </c>
      <c r="H231" s="23">
        <v>385</v>
      </c>
      <c r="I231" s="23">
        <v>47496</v>
      </c>
      <c r="J231" s="23">
        <v>40832</v>
      </c>
      <c r="K231" s="23">
        <v>246</v>
      </c>
      <c r="L231" s="21" t="s">
        <v>19</v>
      </c>
      <c r="M231" s="21" t="s">
        <v>365</v>
      </c>
      <c r="N231" s="21" t="s">
        <v>20</v>
      </c>
      <c r="O231" s="24">
        <f t="shared" si="3"/>
        <v>4.9646286003031836E-2</v>
      </c>
    </row>
    <row r="232" spans="1:15">
      <c r="A232" s="19" t="s">
        <v>261</v>
      </c>
      <c r="B232" s="19" t="s">
        <v>13</v>
      </c>
      <c r="C232" s="20">
        <v>45379</v>
      </c>
      <c r="D232" s="21" t="s">
        <v>14</v>
      </c>
      <c r="E232" s="22" t="s">
        <v>362</v>
      </c>
      <c r="F232" s="23">
        <v>1673</v>
      </c>
      <c r="G232" s="23">
        <v>280</v>
      </c>
      <c r="H232" s="23">
        <v>67</v>
      </c>
      <c r="I232" s="23">
        <v>29847</v>
      </c>
      <c r="J232" s="23">
        <v>48016</v>
      </c>
      <c r="K232" s="23">
        <v>213</v>
      </c>
      <c r="L232" s="21" t="s">
        <v>37</v>
      </c>
      <c r="M232" s="21" t="s">
        <v>34</v>
      </c>
      <c r="N232" s="21" t="s">
        <v>16</v>
      </c>
      <c r="O232" s="24">
        <f t="shared" si="3"/>
        <v>6.76784936509532E-2</v>
      </c>
    </row>
    <row r="233" spans="1:15">
      <c r="A233" s="19" t="s">
        <v>262</v>
      </c>
      <c r="B233" s="19" t="s">
        <v>27</v>
      </c>
      <c r="C233" s="20">
        <v>45723</v>
      </c>
      <c r="D233" s="21" t="s">
        <v>14</v>
      </c>
      <c r="E233" s="22" t="s">
        <v>33</v>
      </c>
      <c r="F233" s="23">
        <v>4310</v>
      </c>
      <c r="G233" s="23">
        <v>284</v>
      </c>
      <c r="H233" s="23">
        <v>306</v>
      </c>
      <c r="I233" s="23">
        <v>44606</v>
      </c>
      <c r="J233" s="23">
        <v>42604</v>
      </c>
      <c r="K233" s="23">
        <v>290</v>
      </c>
      <c r="L233" s="21" t="s">
        <v>19</v>
      </c>
      <c r="M233" s="21" t="s">
        <v>365</v>
      </c>
      <c r="N233" s="21" t="s">
        <v>20</v>
      </c>
      <c r="O233" s="24">
        <f t="shared" si="3"/>
        <v>0.10985069273191947</v>
      </c>
    </row>
    <row r="234" spans="1:15">
      <c r="A234" s="19" t="s">
        <v>263</v>
      </c>
      <c r="B234" s="19" t="s">
        <v>22</v>
      </c>
      <c r="C234" s="20">
        <v>45585</v>
      </c>
      <c r="D234" s="21" t="s">
        <v>14</v>
      </c>
      <c r="E234" s="22" t="s">
        <v>363</v>
      </c>
      <c r="F234" s="23">
        <v>2752</v>
      </c>
      <c r="G234" s="23">
        <v>309</v>
      </c>
      <c r="H234" s="23">
        <v>91</v>
      </c>
      <c r="I234" s="23">
        <v>39038</v>
      </c>
      <c r="J234" s="23">
        <v>28095</v>
      </c>
      <c r="K234" s="23">
        <v>277</v>
      </c>
      <c r="L234" s="21" t="s">
        <v>34</v>
      </c>
      <c r="M234" s="21"/>
      <c r="N234" s="21" t="s">
        <v>16</v>
      </c>
      <c r="O234" s="24">
        <f t="shared" si="3"/>
        <v>8.0741841282852611E-2</v>
      </c>
    </row>
    <row r="235" spans="1:15">
      <c r="A235" s="19" t="s">
        <v>264</v>
      </c>
      <c r="B235" s="19" t="s">
        <v>22</v>
      </c>
      <c r="C235" s="20">
        <v>45324</v>
      </c>
      <c r="D235" s="21" t="s">
        <v>14</v>
      </c>
      <c r="E235" s="22" t="s">
        <v>363</v>
      </c>
      <c r="F235" s="23">
        <v>3818</v>
      </c>
      <c r="G235" s="23">
        <v>115</v>
      </c>
      <c r="H235" s="23">
        <v>286</v>
      </c>
      <c r="I235" s="23">
        <v>25127</v>
      </c>
      <c r="J235" s="23">
        <v>22277</v>
      </c>
      <c r="K235" s="23">
        <v>263</v>
      </c>
      <c r="L235" s="21" t="s">
        <v>34</v>
      </c>
      <c r="M235" s="21"/>
      <c r="N235" s="21" t="s">
        <v>16</v>
      </c>
      <c r="O235" s="24">
        <f t="shared" si="3"/>
        <v>0.16790703227603773</v>
      </c>
    </row>
    <row r="236" spans="1:15">
      <c r="A236" s="19" t="s">
        <v>265</v>
      </c>
      <c r="B236" s="19" t="s">
        <v>27</v>
      </c>
      <c r="C236" s="20">
        <v>45542</v>
      </c>
      <c r="D236" s="21" t="s">
        <v>14</v>
      </c>
      <c r="E236" s="22" t="s">
        <v>42</v>
      </c>
      <c r="F236" s="23">
        <v>2101</v>
      </c>
      <c r="G236" s="23">
        <v>411</v>
      </c>
      <c r="H236" s="23">
        <v>190</v>
      </c>
      <c r="I236" s="23">
        <v>41791</v>
      </c>
      <c r="J236" s="23">
        <v>57090</v>
      </c>
      <c r="K236" s="23">
        <v>172</v>
      </c>
      <c r="L236" s="21" t="s">
        <v>19</v>
      </c>
      <c r="M236" s="21" t="s">
        <v>365</v>
      </c>
      <c r="N236" s="21" t="s">
        <v>20</v>
      </c>
      <c r="O236" s="24">
        <f t="shared" si="3"/>
        <v>6.4655069273288512E-2</v>
      </c>
    </row>
    <row r="237" spans="1:15">
      <c r="A237" s="19" t="s">
        <v>266</v>
      </c>
      <c r="B237" s="19" t="s">
        <v>13</v>
      </c>
      <c r="C237" s="20">
        <v>45646</v>
      </c>
      <c r="D237" s="21" t="s">
        <v>14</v>
      </c>
      <c r="E237" s="22" t="s">
        <v>15</v>
      </c>
      <c r="F237" s="23">
        <v>2519</v>
      </c>
      <c r="G237" s="23">
        <v>202</v>
      </c>
      <c r="H237" s="23">
        <v>239</v>
      </c>
      <c r="I237" s="23">
        <v>36245</v>
      </c>
      <c r="J237" s="23">
        <v>48606</v>
      </c>
      <c r="K237" s="23">
        <v>145</v>
      </c>
      <c r="L237" s="21" t="s">
        <v>19</v>
      </c>
      <c r="M237" s="21"/>
      <c r="N237" s="21" t="s">
        <v>20</v>
      </c>
      <c r="O237" s="24">
        <f t="shared" si="3"/>
        <v>8.1666436749896543E-2</v>
      </c>
    </row>
    <row r="238" spans="1:15">
      <c r="A238" s="19" t="s">
        <v>267</v>
      </c>
      <c r="B238" s="19" t="s">
        <v>27</v>
      </c>
      <c r="C238" s="20">
        <v>45305</v>
      </c>
      <c r="D238" s="21" t="s">
        <v>14</v>
      </c>
      <c r="E238" s="22" t="s">
        <v>362</v>
      </c>
      <c r="F238" s="23">
        <v>4502</v>
      </c>
      <c r="G238" s="23">
        <v>238</v>
      </c>
      <c r="H238" s="23">
        <v>386</v>
      </c>
      <c r="I238" s="23">
        <v>39198</v>
      </c>
      <c r="J238" s="23">
        <v>25050</v>
      </c>
      <c r="K238" s="23">
        <v>297</v>
      </c>
      <c r="L238" s="21" t="s">
        <v>19</v>
      </c>
      <c r="M238" s="21" t="s">
        <v>365</v>
      </c>
      <c r="N238" s="21" t="s">
        <v>20</v>
      </c>
      <c r="O238" s="24">
        <f t="shared" si="3"/>
        <v>0.13077197816215114</v>
      </c>
    </row>
    <row r="239" spans="1:15">
      <c r="A239" s="19" t="s">
        <v>268</v>
      </c>
      <c r="B239" s="19" t="s">
        <v>13</v>
      </c>
      <c r="C239" s="20">
        <v>45823</v>
      </c>
      <c r="D239" s="21" t="s">
        <v>14</v>
      </c>
      <c r="E239" s="22" t="s">
        <v>18</v>
      </c>
      <c r="F239" s="23">
        <v>2478</v>
      </c>
      <c r="G239" s="23">
        <v>427</v>
      </c>
      <c r="H239" s="23">
        <v>242</v>
      </c>
      <c r="I239" s="23">
        <v>59272</v>
      </c>
      <c r="J239" s="23">
        <v>37833</v>
      </c>
      <c r="K239" s="23">
        <v>214</v>
      </c>
      <c r="L239" s="21" t="s">
        <v>37</v>
      </c>
      <c r="M239" s="21" t="s">
        <v>34</v>
      </c>
      <c r="N239" s="21" t="s">
        <v>16</v>
      </c>
      <c r="O239" s="24">
        <f t="shared" si="3"/>
        <v>5.3094209744904843E-2</v>
      </c>
    </row>
    <row r="240" spans="1:15">
      <c r="A240" s="19" t="s">
        <v>269</v>
      </c>
      <c r="B240" s="19" t="s">
        <v>22</v>
      </c>
      <c r="C240" s="20">
        <v>45639</v>
      </c>
      <c r="D240" s="21" t="s">
        <v>23</v>
      </c>
      <c r="E240" s="22" t="s">
        <v>24</v>
      </c>
      <c r="F240" s="23">
        <v>4984</v>
      </c>
      <c r="G240" s="23">
        <v>300</v>
      </c>
      <c r="H240" s="23">
        <v>338</v>
      </c>
      <c r="I240" s="23">
        <v>32900</v>
      </c>
      <c r="J240" s="23">
        <v>31691</v>
      </c>
      <c r="K240" s="23">
        <v>160</v>
      </c>
      <c r="L240" s="21" t="s">
        <v>364</v>
      </c>
      <c r="M240" s="21" t="s">
        <v>34</v>
      </c>
      <c r="N240" s="21" t="s">
        <v>16</v>
      </c>
      <c r="O240" s="24">
        <f t="shared" si="3"/>
        <v>0.17088145896656534</v>
      </c>
    </row>
    <row r="241" spans="1:15">
      <c r="A241" s="19" t="s">
        <v>270</v>
      </c>
      <c r="B241" s="19" t="s">
        <v>27</v>
      </c>
      <c r="C241" s="20">
        <v>45533</v>
      </c>
      <c r="D241" s="21" t="s">
        <v>14</v>
      </c>
      <c r="E241" s="22" t="s">
        <v>360</v>
      </c>
      <c r="F241" s="23">
        <v>4774</v>
      </c>
      <c r="G241" s="23">
        <v>389</v>
      </c>
      <c r="H241" s="23">
        <v>358</v>
      </c>
      <c r="I241" s="23">
        <v>52346</v>
      </c>
      <c r="J241" s="23">
        <v>30518</v>
      </c>
      <c r="K241" s="23">
        <v>277</v>
      </c>
      <c r="L241" s="21" t="s">
        <v>19</v>
      </c>
      <c r="M241" s="21" t="s">
        <v>365</v>
      </c>
      <c r="N241" s="21" t="s">
        <v>20</v>
      </c>
      <c r="O241" s="24">
        <f t="shared" si="3"/>
        <v>0.10547128720437092</v>
      </c>
    </row>
    <row r="242" spans="1:15">
      <c r="A242" s="19" t="s">
        <v>271</v>
      </c>
      <c r="B242" s="19" t="s">
        <v>22</v>
      </c>
      <c r="C242" s="20">
        <v>45550</v>
      </c>
      <c r="D242" s="21" t="s">
        <v>14</v>
      </c>
      <c r="E242" s="22" t="s">
        <v>30</v>
      </c>
      <c r="F242" s="23">
        <v>2145</v>
      </c>
      <c r="G242" s="23">
        <v>340</v>
      </c>
      <c r="H242" s="23">
        <v>85</v>
      </c>
      <c r="I242" s="23">
        <v>53323</v>
      </c>
      <c r="J242" s="23">
        <v>49938</v>
      </c>
      <c r="K242" s="23">
        <v>104</v>
      </c>
      <c r="L242" s="21" t="s">
        <v>34</v>
      </c>
      <c r="M242" s="21"/>
      <c r="N242" s="21" t="s">
        <v>16</v>
      </c>
      <c r="O242" s="24">
        <f t="shared" si="3"/>
        <v>4.819683813738912E-2</v>
      </c>
    </row>
    <row r="243" spans="1:15">
      <c r="A243" s="19" t="s">
        <v>272</v>
      </c>
      <c r="B243" s="19" t="s">
        <v>22</v>
      </c>
      <c r="C243" s="20">
        <v>45759</v>
      </c>
      <c r="D243" s="21" t="s">
        <v>23</v>
      </c>
      <c r="E243" s="22" t="s">
        <v>363</v>
      </c>
      <c r="F243" s="23">
        <v>4315</v>
      </c>
      <c r="G243" s="23">
        <v>208</v>
      </c>
      <c r="H243" s="23">
        <v>273</v>
      </c>
      <c r="I243" s="23">
        <v>35780</v>
      </c>
      <c r="J243" s="23">
        <v>44349</v>
      </c>
      <c r="K243" s="23">
        <v>133</v>
      </c>
      <c r="L243" s="21" t="s">
        <v>19</v>
      </c>
      <c r="M243" s="21" t="s">
        <v>364</v>
      </c>
      <c r="N243" s="21" t="s">
        <v>16</v>
      </c>
      <c r="O243" s="24">
        <f t="shared" si="3"/>
        <v>0.13404136389044158</v>
      </c>
    </row>
    <row r="244" spans="1:15">
      <c r="A244" s="19" t="s">
        <v>273</v>
      </c>
      <c r="B244" s="19" t="s">
        <v>22</v>
      </c>
      <c r="C244" s="20">
        <v>45636</v>
      </c>
      <c r="D244" s="21" t="s">
        <v>23</v>
      </c>
      <c r="E244" s="22" t="s">
        <v>360</v>
      </c>
      <c r="F244" s="23">
        <v>2267</v>
      </c>
      <c r="G244" s="23">
        <v>230</v>
      </c>
      <c r="H244" s="23">
        <v>243</v>
      </c>
      <c r="I244" s="23">
        <v>27904</v>
      </c>
      <c r="J244" s="23">
        <v>69771</v>
      </c>
      <c r="K244" s="23">
        <v>255</v>
      </c>
      <c r="L244" s="21" t="s">
        <v>19</v>
      </c>
      <c r="M244" s="21" t="s">
        <v>364</v>
      </c>
      <c r="N244" s="21" t="s">
        <v>16</v>
      </c>
      <c r="O244" s="24">
        <f t="shared" si="3"/>
        <v>9.8193807339449546E-2</v>
      </c>
    </row>
    <row r="245" spans="1:15">
      <c r="A245" s="19" t="s">
        <v>274</v>
      </c>
      <c r="B245" s="19" t="s">
        <v>27</v>
      </c>
      <c r="C245" s="20">
        <v>45816</v>
      </c>
      <c r="D245" s="21" t="s">
        <v>14</v>
      </c>
      <c r="E245" s="22" t="s">
        <v>361</v>
      </c>
      <c r="F245" s="23">
        <v>4375</v>
      </c>
      <c r="G245" s="23">
        <v>303</v>
      </c>
      <c r="H245" s="23">
        <v>294</v>
      </c>
      <c r="I245" s="23">
        <v>57468</v>
      </c>
      <c r="J245" s="23">
        <v>53397</v>
      </c>
      <c r="K245" s="23">
        <v>159</v>
      </c>
      <c r="L245" s="21" t="s">
        <v>19</v>
      </c>
      <c r="M245" s="21" t="s">
        <v>365</v>
      </c>
      <c r="N245" s="21" t="s">
        <v>20</v>
      </c>
      <c r="O245" s="24">
        <f t="shared" si="3"/>
        <v>8.6517714206166912E-2</v>
      </c>
    </row>
    <row r="246" spans="1:15">
      <c r="A246" s="19" t="s">
        <v>275</v>
      </c>
      <c r="B246" s="19" t="s">
        <v>22</v>
      </c>
      <c r="C246" s="20">
        <v>45666</v>
      </c>
      <c r="D246" s="21" t="s">
        <v>23</v>
      </c>
      <c r="E246" s="22" t="s">
        <v>42</v>
      </c>
      <c r="F246" s="23">
        <v>3817</v>
      </c>
      <c r="G246" s="23">
        <v>284</v>
      </c>
      <c r="H246" s="23">
        <v>204</v>
      </c>
      <c r="I246" s="23">
        <v>46434</v>
      </c>
      <c r="J246" s="23">
        <v>53396</v>
      </c>
      <c r="K246" s="23">
        <v>104</v>
      </c>
      <c r="L246" s="21" t="s">
        <v>364</v>
      </c>
      <c r="M246" s="21" t="s">
        <v>34</v>
      </c>
      <c r="N246" s="21" t="s">
        <v>16</v>
      </c>
      <c r="O246" s="24">
        <f t="shared" si="3"/>
        <v>9.2712236723090841E-2</v>
      </c>
    </row>
    <row r="247" spans="1:15">
      <c r="A247" s="19" t="s">
        <v>276</v>
      </c>
      <c r="B247" s="19" t="s">
        <v>22</v>
      </c>
      <c r="C247" s="20">
        <v>45481</v>
      </c>
      <c r="D247" s="21" t="s">
        <v>23</v>
      </c>
      <c r="E247" s="22" t="s">
        <v>33</v>
      </c>
      <c r="F247" s="23">
        <v>2981</v>
      </c>
      <c r="G247" s="23">
        <v>258</v>
      </c>
      <c r="H247" s="23">
        <v>168</v>
      </c>
      <c r="I247" s="23">
        <v>20677</v>
      </c>
      <c r="J247" s="23">
        <v>68290</v>
      </c>
      <c r="K247" s="23">
        <v>130</v>
      </c>
      <c r="L247" s="21" t="s">
        <v>37</v>
      </c>
      <c r="M247" s="21" t="s">
        <v>34</v>
      </c>
      <c r="N247" s="21" t="s">
        <v>16</v>
      </c>
      <c r="O247" s="24">
        <f t="shared" si="3"/>
        <v>0.16477245248343569</v>
      </c>
    </row>
    <row r="248" spans="1:15">
      <c r="A248" s="19" t="s">
        <v>277</v>
      </c>
      <c r="B248" s="19" t="s">
        <v>22</v>
      </c>
      <c r="C248" s="20">
        <v>45551</v>
      </c>
      <c r="D248" s="21" t="s">
        <v>23</v>
      </c>
      <c r="E248" s="22" t="s">
        <v>42</v>
      </c>
      <c r="F248" s="23">
        <v>3300</v>
      </c>
      <c r="G248" s="23">
        <v>354</v>
      </c>
      <c r="H248" s="23">
        <v>397</v>
      </c>
      <c r="I248" s="23">
        <v>56773</v>
      </c>
      <c r="J248" s="23">
        <v>72110</v>
      </c>
      <c r="K248" s="23">
        <v>163</v>
      </c>
      <c r="L248" s="21" t="s">
        <v>19</v>
      </c>
      <c r="M248" s="21" t="s">
        <v>364</v>
      </c>
      <c r="N248" s="21" t="s">
        <v>16</v>
      </c>
      <c r="O248" s="24">
        <f t="shared" si="3"/>
        <v>7.1354340971940891E-2</v>
      </c>
    </row>
    <row r="249" spans="1:15">
      <c r="A249" s="19" t="s">
        <v>278</v>
      </c>
      <c r="B249" s="19" t="s">
        <v>27</v>
      </c>
      <c r="C249" s="20">
        <v>45457</v>
      </c>
      <c r="D249" s="21" t="s">
        <v>48</v>
      </c>
      <c r="E249" s="22" t="s">
        <v>360</v>
      </c>
      <c r="F249" s="23">
        <v>4722</v>
      </c>
      <c r="G249" s="23">
        <v>310</v>
      </c>
      <c r="H249" s="23">
        <v>344</v>
      </c>
      <c r="I249" s="23">
        <v>27911</v>
      </c>
      <c r="J249" s="23">
        <v>19000</v>
      </c>
      <c r="K249" s="23">
        <v>225</v>
      </c>
      <c r="L249" s="21" t="s">
        <v>19</v>
      </c>
      <c r="M249" s="21" t="s">
        <v>37</v>
      </c>
      <c r="N249" s="21" t="s">
        <v>49</v>
      </c>
      <c r="O249" s="24">
        <f t="shared" si="3"/>
        <v>0.19261223173659131</v>
      </c>
    </row>
    <row r="250" spans="1:15">
      <c r="A250" s="19" t="s">
        <v>279</v>
      </c>
      <c r="B250" s="19" t="s">
        <v>13</v>
      </c>
      <c r="C250" s="20">
        <v>45357</v>
      </c>
      <c r="D250" s="21" t="s">
        <v>14</v>
      </c>
      <c r="E250" s="22" t="s">
        <v>362</v>
      </c>
      <c r="F250" s="23">
        <v>3529</v>
      </c>
      <c r="G250" s="23">
        <v>263</v>
      </c>
      <c r="H250" s="23">
        <v>107</v>
      </c>
      <c r="I250" s="23">
        <v>26570</v>
      </c>
      <c r="J250" s="23">
        <v>19367</v>
      </c>
      <c r="K250" s="23">
        <v>96</v>
      </c>
      <c r="L250" s="21" t="s">
        <v>19</v>
      </c>
      <c r="M250" s="21"/>
      <c r="N250" s="21" t="s">
        <v>20</v>
      </c>
      <c r="O250" s="24">
        <f t="shared" si="3"/>
        <v>0.14674444862627023</v>
      </c>
    </row>
    <row r="251" spans="1:15">
      <c r="A251" s="19" t="s">
        <v>280</v>
      </c>
      <c r="B251" s="19" t="s">
        <v>22</v>
      </c>
      <c r="C251" s="20">
        <v>45792</v>
      </c>
      <c r="D251" s="21" t="s">
        <v>14</v>
      </c>
      <c r="E251" s="22" t="s">
        <v>42</v>
      </c>
      <c r="F251" s="23">
        <v>4782</v>
      </c>
      <c r="G251" s="23">
        <v>210</v>
      </c>
      <c r="H251" s="23">
        <v>311</v>
      </c>
      <c r="I251" s="23">
        <v>29793</v>
      </c>
      <c r="J251" s="23">
        <v>37543</v>
      </c>
      <c r="K251" s="23">
        <v>145</v>
      </c>
      <c r="L251" s="21" t="s">
        <v>34</v>
      </c>
      <c r="M251" s="21"/>
      <c r="N251" s="21" t="s">
        <v>16</v>
      </c>
      <c r="O251" s="24">
        <f t="shared" si="3"/>
        <v>0.17799483100057059</v>
      </c>
    </row>
    <row r="252" spans="1:15">
      <c r="A252" s="19" t="s">
        <v>281</v>
      </c>
      <c r="B252" s="19" t="s">
        <v>22</v>
      </c>
      <c r="C252" s="20">
        <v>45480</v>
      </c>
      <c r="D252" s="21" t="s">
        <v>14</v>
      </c>
      <c r="E252" s="22" t="s">
        <v>362</v>
      </c>
      <c r="F252" s="23">
        <v>1848</v>
      </c>
      <c r="G252" s="23">
        <v>417</v>
      </c>
      <c r="H252" s="23">
        <v>294</v>
      </c>
      <c r="I252" s="23">
        <v>57819</v>
      </c>
      <c r="J252" s="23">
        <v>19798</v>
      </c>
      <c r="K252" s="23">
        <v>262</v>
      </c>
      <c r="L252" s="21" t="s">
        <v>37</v>
      </c>
      <c r="M252" s="21"/>
      <c r="N252" s="21" t="s">
        <v>20</v>
      </c>
      <c r="O252" s="24">
        <f t="shared" si="3"/>
        <v>4.4258807658382193E-2</v>
      </c>
    </row>
    <row r="253" spans="1:15">
      <c r="A253" s="19" t="s">
        <v>282</v>
      </c>
      <c r="B253" s="19" t="s">
        <v>27</v>
      </c>
      <c r="C253" s="20">
        <v>45591</v>
      </c>
      <c r="D253" s="21" t="s">
        <v>14</v>
      </c>
      <c r="E253" s="22" t="s">
        <v>24</v>
      </c>
      <c r="F253" s="23">
        <v>4676</v>
      </c>
      <c r="G253" s="23">
        <v>211</v>
      </c>
      <c r="H253" s="23">
        <v>55</v>
      </c>
      <c r="I253" s="23">
        <v>45917</v>
      </c>
      <c r="J253" s="23">
        <v>73503</v>
      </c>
      <c r="K253" s="23">
        <v>248</v>
      </c>
      <c r="L253" s="21" t="s">
        <v>19</v>
      </c>
      <c r="M253" s="21" t="s">
        <v>365</v>
      </c>
      <c r="N253" s="21" t="s">
        <v>20</v>
      </c>
      <c r="O253" s="24">
        <f t="shared" si="3"/>
        <v>0.10762898272970794</v>
      </c>
    </row>
    <row r="254" spans="1:15">
      <c r="A254" s="19" t="s">
        <v>283</v>
      </c>
      <c r="B254" s="19" t="s">
        <v>27</v>
      </c>
      <c r="C254" s="20">
        <v>45512</v>
      </c>
      <c r="D254" s="21" t="s">
        <v>14</v>
      </c>
      <c r="E254" s="22" t="s">
        <v>363</v>
      </c>
      <c r="F254" s="23">
        <v>1994</v>
      </c>
      <c r="G254" s="23">
        <v>197</v>
      </c>
      <c r="H254" s="23">
        <v>290</v>
      </c>
      <c r="I254" s="23">
        <v>49500</v>
      </c>
      <c r="J254" s="23">
        <v>23343</v>
      </c>
      <c r="K254" s="23">
        <v>160</v>
      </c>
      <c r="L254" s="21" t="s">
        <v>19</v>
      </c>
      <c r="M254" s="21" t="s">
        <v>365</v>
      </c>
      <c r="N254" s="21" t="s">
        <v>20</v>
      </c>
      <c r="O254" s="24">
        <f t="shared" si="3"/>
        <v>5.0121212121212122E-2</v>
      </c>
    </row>
    <row r="255" spans="1:15">
      <c r="A255" s="19" t="s">
        <v>284</v>
      </c>
      <c r="B255" s="19" t="s">
        <v>22</v>
      </c>
      <c r="C255" s="20">
        <v>45691</v>
      </c>
      <c r="D255" s="21" t="s">
        <v>14</v>
      </c>
      <c r="E255" s="22" t="s">
        <v>362</v>
      </c>
      <c r="F255" s="23">
        <v>4995</v>
      </c>
      <c r="G255" s="23">
        <v>231</v>
      </c>
      <c r="H255" s="23">
        <v>94</v>
      </c>
      <c r="I255" s="23">
        <v>34431</v>
      </c>
      <c r="J255" s="23">
        <v>32560</v>
      </c>
      <c r="K255" s="23">
        <v>262</v>
      </c>
      <c r="L255" s="21" t="s">
        <v>34</v>
      </c>
      <c r="M255" s="21"/>
      <c r="N255" s="21" t="s">
        <v>16</v>
      </c>
      <c r="O255" s="24">
        <f t="shared" si="3"/>
        <v>0.15451192239551567</v>
      </c>
    </row>
    <row r="256" spans="1:15">
      <c r="A256" s="19" t="s">
        <v>285</v>
      </c>
      <c r="B256" s="19" t="s">
        <v>22</v>
      </c>
      <c r="C256" s="20">
        <v>45385</v>
      </c>
      <c r="D256" s="21" t="s">
        <v>23</v>
      </c>
      <c r="E256" s="22" t="s">
        <v>33</v>
      </c>
      <c r="F256" s="23">
        <v>2291</v>
      </c>
      <c r="G256" s="23">
        <v>146</v>
      </c>
      <c r="H256" s="23">
        <v>399</v>
      </c>
      <c r="I256" s="23">
        <v>49319</v>
      </c>
      <c r="J256" s="23">
        <v>28056</v>
      </c>
      <c r="K256" s="23">
        <v>90</v>
      </c>
      <c r="L256" s="21" t="s">
        <v>19</v>
      </c>
      <c r="M256" s="21" t="s">
        <v>364</v>
      </c>
      <c r="N256" s="21" t="s">
        <v>16</v>
      </c>
      <c r="O256" s="24">
        <f t="shared" si="3"/>
        <v>5.7503193495407452E-2</v>
      </c>
    </row>
    <row r="257" spans="1:15">
      <c r="A257" s="19" t="s">
        <v>286</v>
      </c>
      <c r="B257" s="19" t="s">
        <v>22</v>
      </c>
      <c r="C257" s="20">
        <v>45481</v>
      </c>
      <c r="D257" s="21" t="s">
        <v>23</v>
      </c>
      <c r="E257" s="22" t="s">
        <v>360</v>
      </c>
      <c r="F257" s="23">
        <v>2304</v>
      </c>
      <c r="G257" s="23">
        <v>289</v>
      </c>
      <c r="H257" s="23">
        <v>161</v>
      </c>
      <c r="I257" s="23">
        <v>52645</v>
      </c>
      <c r="J257" s="23">
        <v>66262</v>
      </c>
      <c r="K257" s="23">
        <v>146</v>
      </c>
      <c r="L257" s="21" t="s">
        <v>364</v>
      </c>
      <c r="M257" s="21" t="s">
        <v>34</v>
      </c>
      <c r="N257" s="21" t="s">
        <v>16</v>
      </c>
      <c r="O257" s="24">
        <f t="shared" si="3"/>
        <v>5.2312660271630736E-2</v>
      </c>
    </row>
    <row r="258" spans="1:15">
      <c r="A258" s="19" t="s">
        <v>287</v>
      </c>
      <c r="B258" s="19" t="s">
        <v>22</v>
      </c>
      <c r="C258" s="20">
        <v>45451</v>
      </c>
      <c r="D258" s="21" t="s">
        <v>23</v>
      </c>
      <c r="E258" s="22" t="s">
        <v>33</v>
      </c>
      <c r="F258" s="23">
        <v>3413</v>
      </c>
      <c r="G258" s="23">
        <v>326</v>
      </c>
      <c r="H258" s="23">
        <v>86</v>
      </c>
      <c r="I258" s="23">
        <v>44680</v>
      </c>
      <c r="J258" s="23">
        <v>52719</v>
      </c>
      <c r="K258" s="23">
        <v>272</v>
      </c>
      <c r="L258" s="21" t="s">
        <v>19</v>
      </c>
      <c r="M258" s="21" t="s">
        <v>364</v>
      </c>
      <c r="N258" s="21" t="s">
        <v>16</v>
      </c>
      <c r="O258" s="24">
        <f t="shared" ref="O258:O301" si="4" xml:space="preserve"> (F258+ G258 + H258) / I258</f>
        <v>8.5608773500447627E-2</v>
      </c>
    </row>
    <row r="259" spans="1:15">
      <c r="A259" s="19" t="s">
        <v>288</v>
      </c>
      <c r="B259" s="19" t="s">
        <v>27</v>
      </c>
      <c r="C259" s="20">
        <v>45736</v>
      </c>
      <c r="D259" s="21" t="s">
        <v>48</v>
      </c>
      <c r="E259" s="22" t="s">
        <v>363</v>
      </c>
      <c r="F259" s="23">
        <v>1453</v>
      </c>
      <c r="G259" s="23">
        <v>156</v>
      </c>
      <c r="H259" s="23">
        <v>178</v>
      </c>
      <c r="I259" s="23">
        <v>52980</v>
      </c>
      <c r="J259" s="23">
        <v>57180</v>
      </c>
      <c r="K259" s="23">
        <v>286</v>
      </c>
      <c r="L259" s="21" t="s">
        <v>19</v>
      </c>
      <c r="M259" s="21" t="s">
        <v>37</v>
      </c>
      <c r="N259" s="21" t="s">
        <v>49</v>
      </c>
      <c r="O259" s="24">
        <f t="shared" si="4"/>
        <v>3.3729709324273313E-2</v>
      </c>
    </row>
    <row r="260" spans="1:15">
      <c r="A260" s="19" t="s">
        <v>289</v>
      </c>
      <c r="B260" s="19" t="s">
        <v>22</v>
      </c>
      <c r="C260" s="20">
        <v>45676</v>
      </c>
      <c r="D260" s="21" t="s">
        <v>23</v>
      </c>
      <c r="E260" s="22" t="s">
        <v>361</v>
      </c>
      <c r="F260" s="23">
        <v>1651</v>
      </c>
      <c r="G260" s="23">
        <v>480</v>
      </c>
      <c r="H260" s="23">
        <v>282</v>
      </c>
      <c r="I260" s="23">
        <v>32140</v>
      </c>
      <c r="J260" s="23">
        <v>70560</v>
      </c>
      <c r="K260" s="23">
        <v>138</v>
      </c>
      <c r="L260" s="21" t="s">
        <v>37</v>
      </c>
      <c r="M260" s="21" t="s">
        <v>34</v>
      </c>
      <c r="N260" s="21" t="s">
        <v>16</v>
      </c>
      <c r="O260" s="24">
        <f t="shared" si="4"/>
        <v>7.5077784691972627E-2</v>
      </c>
    </row>
    <row r="261" spans="1:15">
      <c r="A261" s="19" t="s">
        <v>290</v>
      </c>
      <c r="B261" s="19" t="s">
        <v>22</v>
      </c>
      <c r="C261" s="20">
        <v>45662</v>
      </c>
      <c r="D261" s="21" t="s">
        <v>23</v>
      </c>
      <c r="E261" s="22" t="s">
        <v>18</v>
      </c>
      <c r="F261" s="23">
        <v>3341</v>
      </c>
      <c r="G261" s="23">
        <v>154</v>
      </c>
      <c r="H261" s="23">
        <v>123</v>
      </c>
      <c r="I261" s="23">
        <v>43369</v>
      </c>
      <c r="J261" s="23">
        <v>49035</v>
      </c>
      <c r="K261" s="23">
        <v>128</v>
      </c>
      <c r="L261" s="21" t="s">
        <v>364</v>
      </c>
      <c r="M261" s="21" t="s">
        <v>34</v>
      </c>
      <c r="N261" s="21" t="s">
        <v>16</v>
      </c>
      <c r="O261" s="24">
        <f t="shared" si="4"/>
        <v>8.3423643616408028E-2</v>
      </c>
    </row>
    <row r="262" spans="1:15">
      <c r="A262" s="19" t="s">
        <v>291</v>
      </c>
      <c r="B262" s="19" t="s">
        <v>22</v>
      </c>
      <c r="C262" s="20">
        <v>45612</v>
      </c>
      <c r="D262" s="21" t="s">
        <v>14</v>
      </c>
      <c r="E262" s="22" t="s">
        <v>363</v>
      </c>
      <c r="F262" s="23">
        <v>2972</v>
      </c>
      <c r="G262" s="23">
        <v>263</v>
      </c>
      <c r="H262" s="23">
        <v>308</v>
      </c>
      <c r="I262" s="23">
        <v>51740</v>
      </c>
      <c r="J262" s="23">
        <v>28214</v>
      </c>
      <c r="K262" s="23">
        <v>190</v>
      </c>
      <c r="L262" s="21" t="s">
        <v>37</v>
      </c>
      <c r="M262" s="21"/>
      <c r="N262" s="21" t="s">
        <v>20</v>
      </c>
      <c r="O262" s="24">
        <f t="shared" si="4"/>
        <v>6.8477000386548123E-2</v>
      </c>
    </row>
    <row r="263" spans="1:15">
      <c r="A263" s="19" t="s">
        <v>292</v>
      </c>
      <c r="B263" s="19" t="s">
        <v>22</v>
      </c>
      <c r="C263" s="20">
        <v>45626</v>
      </c>
      <c r="D263" s="21" t="s">
        <v>23</v>
      </c>
      <c r="E263" s="22" t="s">
        <v>18</v>
      </c>
      <c r="F263" s="23">
        <v>4963</v>
      </c>
      <c r="G263" s="23">
        <v>255</v>
      </c>
      <c r="H263" s="23">
        <v>193</v>
      </c>
      <c r="I263" s="23">
        <v>44386</v>
      </c>
      <c r="J263" s="23">
        <v>28415</v>
      </c>
      <c r="K263" s="23">
        <v>174</v>
      </c>
      <c r="L263" s="21" t="s">
        <v>364</v>
      </c>
      <c r="M263" s="21" t="s">
        <v>34</v>
      </c>
      <c r="N263" s="21" t="s">
        <v>16</v>
      </c>
      <c r="O263" s="24">
        <f t="shared" si="4"/>
        <v>0.12190780876853062</v>
      </c>
    </row>
    <row r="264" spans="1:15">
      <c r="A264" s="19" t="s">
        <v>293</v>
      </c>
      <c r="B264" s="19" t="s">
        <v>27</v>
      </c>
      <c r="C264" s="20">
        <v>45378</v>
      </c>
      <c r="D264" s="21" t="s">
        <v>14</v>
      </c>
      <c r="E264" s="22" t="s">
        <v>361</v>
      </c>
      <c r="F264" s="23">
        <v>2399</v>
      </c>
      <c r="G264" s="23">
        <v>191</v>
      </c>
      <c r="H264" s="23">
        <v>221</v>
      </c>
      <c r="I264" s="23">
        <v>51603</v>
      </c>
      <c r="J264" s="23">
        <v>40033</v>
      </c>
      <c r="K264" s="23">
        <v>173</v>
      </c>
      <c r="L264" s="21" t="s">
        <v>19</v>
      </c>
      <c r="M264" s="21" t="s">
        <v>365</v>
      </c>
      <c r="N264" s="21" t="s">
        <v>20</v>
      </c>
      <c r="O264" s="24">
        <f t="shared" si="4"/>
        <v>5.4473577117609438E-2</v>
      </c>
    </row>
    <row r="265" spans="1:15">
      <c r="A265" s="19" t="s">
        <v>294</v>
      </c>
      <c r="B265" s="19" t="s">
        <v>27</v>
      </c>
      <c r="C265" s="20">
        <v>45808</v>
      </c>
      <c r="D265" s="21" t="s">
        <v>48</v>
      </c>
      <c r="E265" s="22" t="s">
        <v>30</v>
      </c>
      <c r="F265" s="23">
        <v>2162</v>
      </c>
      <c r="G265" s="23">
        <v>318</v>
      </c>
      <c r="H265" s="23">
        <v>83</v>
      </c>
      <c r="I265" s="23">
        <v>46719</v>
      </c>
      <c r="J265" s="23">
        <v>20482</v>
      </c>
      <c r="K265" s="23">
        <v>185</v>
      </c>
      <c r="L265" s="21" t="s">
        <v>19</v>
      </c>
      <c r="M265" s="21" t="s">
        <v>37</v>
      </c>
      <c r="N265" s="21" t="s">
        <v>49</v>
      </c>
      <c r="O265" s="24">
        <f t="shared" si="4"/>
        <v>5.4859907104176028E-2</v>
      </c>
    </row>
    <row r="266" spans="1:15">
      <c r="A266" s="19" t="s">
        <v>295</v>
      </c>
      <c r="B266" s="19" t="s">
        <v>22</v>
      </c>
      <c r="C266" s="20">
        <v>45825</v>
      </c>
      <c r="D266" s="21" t="s">
        <v>23</v>
      </c>
      <c r="E266" s="22" t="s">
        <v>18</v>
      </c>
      <c r="F266" s="23">
        <v>4341</v>
      </c>
      <c r="G266" s="23">
        <v>141</v>
      </c>
      <c r="H266" s="23">
        <v>63</v>
      </c>
      <c r="I266" s="23">
        <v>50081</v>
      </c>
      <c r="J266" s="23">
        <v>27507</v>
      </c>
      <c r="K266" s="23">
        <v>221</v>
      </c>
      <c r="L266" s="21" t="s">
        <v>19</v>
      </c>
      <c r="M266" s="21" t="s">
        <v>364</v>
      </c>
      <c r="N266" s="21" t="s">
        <v>16</v>
      </c>
      <c r="O266" s="24">
        <f t="shared" si="4"/>
        <v>9.0752980172121162E-2</v>
      </c>
    </row>
    <row r="267" spans="1:15">
      <c r="A267" s="19" t="s">
        <v>296</v>
      </c>
      <c r="B267" s="19" t="s">
        <v>13</v>
      </c>
      <c r="C267" s="20">
        <v>45442</v>
      </c>
      <c r="D267" s="21" t="s">
        <v>23</v>
      </c>
      <c r="E267" s="22" t="s">
        <v>30</v>
      </c>
      <c r="F267" s="23">
        <v>2448</v>
      </c>
      <c r="G267" s="23">
        <v>464</v>
      </c>
      <c r="H267" s="23">
        <v>98</v>
      </c>
      <c r="I267" s="23">
        <v>25737</v>
      </c>
      <c r="J267" s="23">
        <v>48545</v>
      </c>
      <c r="K267" s="23">
        <v>246</v>
      </c>
      <c r="L267" s="21" t="s">
        <v>34</v>
      </c>
      <c r="M267" s="21"/>
      <c r="N267" s="21" t="s">
        <v>46</v>
      </c>
      <c r="O267" s="24">
        <f t="shared" si="4"/>
        <v>0.11695224773672146</v>
      </c>
    </row>
    <row r="268" spans="1:15">
      <c r="A268" s="19" t="s">
        <v>297</v>
      </c>
      <c r="B268" s="19" t="s">
        <v>27</v>
      </c>
      <c r="C268" s="20">
        <v>45604</v>
      </c>
      <c r="D268" s="21" t="s">
        <v>14</v>
      </c>
      <c r="E268" s="22" t="s">
        <v>33</v>
      </c>
      <c r="F268" s="23">
        <v>2471</v>
      </c>
      <c r="G268" s="23">
        <v>166</v>
      </c>
      <c r="H268" s="23">
        <v>320</v>
      </c>
      <c r="I268" s="23">
        <v>48254</v>
      </c>
      <c r="J268" s="23">
        <v>46900</v>
      </c>
      <c r="K268" s="23">
        <v>111</v>
      </c>
      <c r="L268" s="21" t="s">
        <v>19</v>
      </c>
      <c r="M268" s="21" t="s">
        <v>365</v>
      </c>
      <c r="N268" s="21" t="s">
        <v>20</v>
      </c>
      <c r="O268" s="24">
        <f t="shared" si="4"/>
        <v>6.1279893894806647E-2</v>
      </c>
    </row>
    <row r="269" spans="1:15">
      <c r="A269" s="19" t="s">
        <v>298</v>
      </c>
      <c r="B269" s="19" t="s">
        <v>27</v>
      </c>
      <c r="C269" s="20">
        <v>45368</v>
      </c>
      <c r="D269" s="21" t="s">
        <v>48</v>
      </c>
      <c r="E269" s="22" t="s">
        <v>18</v>
      </c>
      <c r="F269" s="23">
        <v>2692</v>
      </c>
      <c r="G269" s="23">
        <v>446</v>
      </c>
      <c r="H269" s="23">
        <v>216</v>
      </c>
      <c r="I269" s="23">
        <v>45818</v>
      </c>
      <c r="J269" s="23">
        <v>62723</v>
      </c>
      <c r="K269" s="23">
        <v>85</v>
      </c>
      <c r="L269" s="21" t="s">
        <v>19</v>
      </c>
      <c r="M269" s="21" t="s">
        <v>37</v>
      </c>
      <c r="N269" s="21" t="s">
        <v>49</v>
      </c>
      <c r="O269" s="24">
        <f t="shared" si="4"/>
        <v>7.3202671439172376E-2</v>
      </c>
    </row>
    <row r="270" spans="1:15">
      <c r="A270" s="19" t="s">
        <v>299</v>
      </c>
      <c r="B270" s="19" t="s">
        <v>27</v>
      </c>
      <c r="C270" s="20">
        <v>45464</v>
      </c>
      <c r="D270" s="21" t="s">
        <v>48</v>
      </c>
      <c r="E270" s="22" t="s">
        <v>361</v>
      </c>
      <c r="F270" s="23">
        <v>4621</v>
      </c>
      <c r="G270" s="23">
        <v>374</v>
      </c>
      <c r="H270" s="23">
        <v>298</v>
      </c>
      <c r="I270" s="23">
        <v>56979</v>
      </c>
      <c r="J270" s="23">
        <v>24098</v>
      </c>
      <c r="K270" s="23">
        <v>205</v>
      </c>
      <c r="L270" s="21" t="s">
        <v>19</v>
      </c>
      <c r="M270" s="21" t="s">
        <v>37</v>
      </c>
      <c r="N270" s="21" t="s">
        <v>49</v>
      </c>
      <c r="O270" s="24">
        <f t="shared" si="4"/>
        <v>9.2893873181347508E-2</v>
      </c>
    </row>
    <row r="271" spans="1:15">
      <c r="A271" s="19" t="s">
        <v>300</v>
      </c>
      <c r="B271" s="19" t="s">
        <v>22</v>
      </c>
      <c r="C271" s="20">
        <v>45609</v>
      </c>
      <c r="D271" s="21" t="s">
        <v>23</v>
      </c>
      <c r="E271" s="22" t="s">
        <v>24</v>
      </c>
      <c r="F271" s="23">
        <v>1409</v>
      </c>
      <c r="G271" s="23">
        <v>466</v>
      </c>
      <c r="H271" s="23">
        <v>105</v>
      </c>
      <c r="I271" s="23">
        <v>58923</v>
      </c>
      <c r="J271" s="23">
        <v>38753</v>
      </c>
      <c r="K271" s="23">
        <v>265</v>
      </c>
      <c r="L271" s="21" t="s">
        <v>19</v>
      </c>
      <c r="M271" s="21" t="s">
        <v>364</v>
      </c>
      <c r="N271" s="21" t="s">
        <v>16</v>
      </c>
      <c r="O271" s="24">
        <f t="shared" si="4"/>
        <v>3.3603177027646251E-2</v>
      </c>
    </row>
    <row r="272" spans="1:15">
      <c r="A272" s="19" t="s">
        <v>301</v>
      </c>
      <c r="B272" s="19" t="s">
        <v>22</v>
      </c>
      <c r="C272" s="20">
        <v>45693</v>
      </c>
      <c r="D272" s="21" t="s">
        <v>23</v>
      </c>
      <c r="E272" s="22" t="s">
        <v>15</v>
      </c>
      <c r="F272" s="23">
        <v>3029</v>
      </c>
      <c r="G272" s="23">
        <v>440</v>
      </c>
      <c r="H272" s="23">
        <v>66</v>
      </c>
      <c r="I272" s="23">
        <v>23815</v>
      </c>
      <c r="J272" s="23">
        <v>47895</v>
      </c>
      <c r="K272" s="23">
        <v>210</v>
      </c>
      <c r="L272" s="21" t="s">
        <v>19</v>
      </c>
      <c r="M272" s="21" t="s">
        <v>364</v>
      </c>
      <c r="N272" s="21" t="s">
        <v>16</v>
      </c>
      <c r="O272" s="24">
        <f t="shared" si="4"/>
        <v>0.14843585975225698</v>
      </c>
    </row>
    <row r="273" spans="1:15">
      <c r="A273" s="19" t="s">
        <v>302</v>
      </c>
      <c r="B273" s="19" t="s">
        <v>22</v>
      </c>
      <c r="C273" s="20">
        <v>45603</v>
      </c>
      <c r="D273" s="21" t="s">
        <v>14</v>
      </c>
      <c r="E273" s="22" t="s">
        <v>18</v>
      </c>
      <c r="F273" s="23">
        <v>2229</v>
      </c>
      <c r="G273" s="23">
        <v>395</v>
      </c>
      <c r="H273" s="23">
        <v>328</v>
      </c>
      <c r="I273" s="23">
        <v>56921</v>
      </c>
      <c r="J273" s="23">
        <v>37176</v>
      </c>
      <c r="K273" s="23">
        <v>126</v>
      </c>
      <c r="L273" s="21" t="s">
        <v>37</v>
      </c>
      <c r="M273" s="21"/>
      <c r="N273" s="21" t="s">
        <v>20</v>
      </c>
      <c r="O273" s="24">
        <f t="shared" si="4"/>
        <v>5.1861351697967357E-2</v>
      </c>
    </row>
    <row r="274" spans="1:15">
      <c r="A274" s="19" t="s">
        <v>303</v>
      </c>
      <c r="B274" s="19" t="s">
        <v>22</v>
      </c>
      <c r="C274" s="20">
        <v>45334</v>
      </c>
      <c r="D274" s="21" t="s">
        <v>14</v>
      </c>
      <c r="E274" s="22" t="s">
        <v>18</v>
      </c>
      <c r="F274" s="23">
        <v>2691</v>
      </c>
      <c r="G274" s="23">
        <v>486</v>
      </c>
      <c r="H274" s="23">
        <v>206</v>
      </c>
      <c r="I274" s="23">
        <v>51133</v>
      </c>
      <c r="J274" s="23">
        <v>44583</v>
      </c>
      <c r="K274" s="23">
        <v>276</v>
      </c>
      <c r="L274" s="21" t="s">
        <v>34</v>
      </c>
      <c r="M274" s="21"/>
      <c r="N274" s="21" t="s">
        <v>16</v>
      </c>
      <c r="O274" s="24">
        <f t="shared" si="4"/>
        <v>6.6160796354604659E-2</v>
      </c>
    </row>
    <row r="275" spans="1:15">
      <c r="A275" s="19" t="s">
        <v>304</v>
      </c>
      <c r="B275" s="19" t="s">
        <v>13</v>
      </c>
      <c r="C275" s="20">
        <v>45573</v>
      </c>
      <c r="D275" s="21" t="s">
        <v>14</v>
      </c>
      <c r="E275" s="22" t="s">
        <v>18</v>
      </c>
      <c r="F275" s="23">
        <v>2110</v>
      </c>
      <c r="G275" s="23">
        <v>384</v>
      </c>
      <c r="H275" s="23">
        <v>236</v>
      </c>
      <c r="I275" s="23">
        <v>49965</v>
      </c>
      <c r="J275" s="23">
        <v>61555</v>
      </c>
      <c r="K275" s="23">
        <v>195</v>
      </c>
      <c r="L275" s="21" t="s">
        <v>19</v>
      </c>
      <c r="M275" s="21"/>
      <c r="N275" s="21" t="s">
        <v>20</v>
      </c>
      <c r="O275" s="24">
        <f t="shared" si="4"/>
        <v>5.4638246772740921E-2</v>
      </c>
    </row>
    <row r="276" spans="1:15">
      <c r="A276" s="19" t="s">
        <v>305</v>
      </c>
      <c r="B276" s="19" t="s">
        <v>13</v>
      </c>
      <c r="C276" s="20">
        <v>45341</v>
      </c>
      <c r="D276" s="21" t="s">
        <v>14</v>
      </c>
      <c r="E276" s="22" t="s">
        <v>360</v>
      </c>
      <c r="F276" s="23">
        <v>4752</v>
      </c>
      <c r="G276" s="23">
        <v>449</v>
      </c>
      <c r="H276" s="23">
        <v>309</v>
      </c>
      <c r="I276" s="23">
        <v>58530</v>
      </c>
      <c r="J276" s="23">
        <v>26630</v>
      </c>
      <c r="K276" s="23">
        <v>234</v>
      </c>
      <c r="L276" s="21" t="s">
        <v>19</v>
      </c>
      <c r="M276" s="21"/>
      <c r="N276" s="21" t="s">
        <v>20</v>
      </c>
      <c r="O276" s="24">
        <f t="shared" si="4"/>
        <v>9.4139757389372969E-2</v>
      </c>
    </row>
    <row r="277" spans="1:15">
      <c r="A277" s="19" t="s">
        <v>306</v>
      </c>
      <c r="B277" s="19" t="s">
        <v>22</v>
      </c>
      <c r="C277" s="20">
        <v>45720</v>
      </c>
      <c r="D277" s="21" t="s">
        <v>14</v>
      </c>
      <c r="E277" s="22" t="s">
        <v>15</v>
      </c>
      <c r="F277" s="23">
        <v>2177</v>
      </c>
      <c r="G277" s="23">
        <v>258</v>
      </c>
      <c r="H277" s="23">
        <v>292</v>
      </c>
      <c r="I277" s="23">
        <v>47276</v>
      </c>
      <c r="J277" s="23">
        <v>51324</v>
      </c>
      <c r="K277" s="23">
        <v>143</v>
      </c>
      <c r="L277" s="21" t="s">
        <v>34</v>
      </c>
      <c r="M277" s="21"/>
      <c r="N277" s="21" t="s">
        <v>16</v>
      </c>
      <c r="O277" s="24">
        <f t="shared" si="4"/>
        <v>5.7682545054573146E-2</v>
      </c>
    </row>
    <row r="278" spans="1:15">
      <c r="A278" s="19" t="s">
        <v>307</v>
      </c>
      <c r="B278" s="19" t="s">
        <v>13</v>
      </c>
      <c r="C278" s="20">
        <v>45691</v>
      </c>
      <c r="D278" s="21" t="s">
        <v>23</v>
      </c>
      <c r="E278" s="22" t="s">
        <v>24</v>
      </c>
      <c r="F278" s="23">
        <v>1205</v>
      </c>
      <c r="G278" s="23">
        <v>486</v>
      </c>
      <c r="H278" s="23">
        <v>269</v>
      </c>
      <c r="I278" s="23">
        <v>23341</v>
      </c>
      <c r="J278" s="23">
        <v>42411</v>
      </c>
      <c r="K278" s="23">
        <v>184</v>
      </c>
      <c r="L278" s="21" t="s">
        <v>34</v>
      </c>
      <c r="M278" s="21"/>
      <c r="N278" s="21" t="s">
        <v>46</v>
      </c>
      <c r="O278" s="24">
        <f t="shared" si="4"/>
        <v>8.3972409065592737E-2</v>
      </c>
    </row>
    <row r="279" spans="1:15">
      <c r="A279" s="19" t="s">
        <v>308</v>
      </c>
      <c r="B279" s="19" t="s">
        <v>13</v>
      </c>
      <c r="C279" s="20">
        <v>45628</v>
      </c>
      <c r="D279" s="21" t="s">
        <v>14</v>
      </c>
      <c r="E279" s="22" t="s">
        <v>33</v>
      </c>
      <c r="F279" s="23">
        <v>3194</v>
      </c>
      <c r="G279" s="23">
        <v>292</v>
      </c>
      <c r="H279" s="23">
        <v>245</v>
      </c>
      <c r="I279" s="23">
        <v>56371</v>
      </c>
      <c r="J279" s="23">
        <v>65597</v>
      </c>
      <c r="K279" s="23">
        <v>163</v>
      </c>
      <c r="L279" s="21" t="s">
        <v>37</v>
      </c>
      <c r="M279" s="21" t="s">
        <v>34</v>
      </c>
      <c r="N279" s="21" t="s">
        <v>16</v>
      </c>
      <c r="O279" s="24">
        <f t="shared" si="4"/>
        <v>6.6186514342481059E-2</v>
      </c>
    </row>
    <row r="280" spans="1:15">
      <c r="A280" s="19" t="s">
        <v>309</v>
      </c>
      <c r="B280" s="19" t="s">
        <v>22</v>
      </c>
      <c r="C280" s="20">
        <v>45676</v>
      </c>
      <c r="D280" s="21" t="s">
        <v>23</v>
      </c>
      <c r="E280" s="22" t="s">
        <v>24</v>
      </c>
      <c r="F280" s="23">
        <v>3507</v>
      </c>
      <c r="G280" s="23">
        <v>295</v>
      </c>
      <c r="H280" s="23">
        <v>371</v>
      </c>
      <c r="I280" s="23">
        <v>20410</v>
      </c>
      <c r="J280" s="23">
        <v>53965</v>
      </c>
      <c r="K280" s="23">
        <v>212</v>
      </c>
      <c r="L280" s="21" t="s">
        <v>37</v>
      </c>
      <c r="M280" s="21" t="s">
        <v>34</v>
      </c>
      <c r="N280" s="21" t="s">
        <v>16</v>
      </c>
      <c r="O280" s="24">
        <f t="shared" si="4"/>
        <v>0.20445859872611466</v>
      </c>
    </row>
    <row r="281" spans="1:15">
      <c r="A281" s="19" t="s">
        <v>310</v>
      </c>
      <c r="B281" s="19" t="s">
        <v>22</v>
      </c>
      <c r="C281" s="20">
        <v>45563</v>
      </c>
      <c r="D281" s="21" t="s">
        <v>23</v>
      </c>
      <c r="E281" s="22" t="s">
        <v>360</v>
      </c>
      <c r="F281" s="23">
        <v>4471</v>
      </c>
      <c r="G281" s="23">
        <v>317</v>
      </c>
      <c r="H281" s="23">
        <v>249</v>
      </c>
      <c r="I281" s="23">
        <v>44862</v>
      </c>
      <c r="J281" s="23">
        <v>33365</v>
      </c>
      <c r="K281" s="23">
        <v>184</v>
      </c>
      <c r="L281" s="21" t="s">
        <v>19</v>
      </c>
      <c r="M281" s="21" t="s">
        <v>364</v>
      </c>
      <c r="N281" s="21" t="s">
        <v>16</v>
      </c>
      <c r="O281" s="24">
        <f t="shared" si="4"/>
        <v>0.1122776514644911</v>
      </c>
    </row>
    <row r="282" spans="1:15">
      <c r="A282" s="19" t="s">
        <v>311</v>
      </c>
      <c r="B282" s="19" t="s">
        <v>13</v>
      </c>
      <c r="C282" s="20">
        <v>45298</v>
      </c>
      <c r="D282" s="21" t="s">
        <v>14</v>
      </c>
      <c r="E282" s="22" t="s">
        <v>33</v>
      </c>
      <c r="F282" s="23">
        <v>4931</v>
      </c>
      <c r="G282" s="23">
        <v>469</v>
      </c>
      <c r="H282" s="23">
        <v>193</v>
      </c>
      <c r="I282" s="23">
        <v>56701</v>
      </c>
      <c r="J282" s="23">
        <v>69437</v>
      </c>
      <c r="K282" s="23">
        <v>291</v>
      </c>
      <c r="L282" s="21" t="s">
        <v>37</v>
      </c>
      <c r="M282" s="21" t="s">
        <v>34</v>
      </c>
      <c r="N282" s="21" t="s">
        <v>16</v>
      </c>
      <c r="O282" s="24">
        <f t="shared" si="4"/>
        <v>9.8640235621946709E-2</v>
      </c>
    </row>
    <row r="283" spans="1:15">
      <c r="A283" s="19" t="s">
        <v>312</v>
      </c>
      <c r="B283" s="19" t="s">
        <v>22</v>
      </c>
      <c r="C283" s="20">
        <v>45343</v>
      </c>
      <c r="D283" s="21" t="s">
        <v>23</v>
      </c>
      <c r="E283" s="22" t="s">
        <v>30</v>
      </c>
      <c r="F283" s="23">
        <v>2604</v>
      </c>
      <c r="G283" s="23">
        <v>439</v>
      </c>
      <c r="H283" s="23">
        <v>148</v>
      </c>
      <c r="I283" s="23">
        <v>58468</v>
      </c>
      <c r="J283" s="23">
        <v>39629</v>
      </c>
      <c r="K283" s="23">
        <v>163</v>
      </c>
      <c r="L283" s="21" t="s">
        <v>364</v>
      </c>
      <c r="M283" s="21" t="s">
        <v>34</v>
      </c>
      <c r="N283" s="21" t="s">
        <v>16</v>
      </c>
      <c r="O283" s="24">
        <f t="shared" si="4"/>
        <v>5.4576862557296296E-2</v>
      </c>
    </row>
    <row r="284" spans="1:15">
      <c r="A284" s="19" t="s">
        <v>313</v>
      </c>
      <c r="B284" s="19" t="s">
        <v>13</v>
      </c>
      <c r="C284" s="20">
        <v>45531</v>
      </c>
      <c r="D284" s="21" t="s">
        <v>14</v>
      </c>
      <c r="E284" s="22" t="s">
        <v>361</v>
      </c>
      <c r="F284" s="23">
        <v>4197</v>
      </c>
      <c r="G284" s="23">
        <v>359</v>
      </c>
      <c r="H284" s="23">
        <v>280</v>
      </c>
      <c r="I284" s="23">
        <v>56048</v>
      </c>
      <c r="J284" s="23">
        <v>70930</v>
      </c>
      <c r="K284" s="23">
        <v>295</v>
      </c>
      <c r="L284" s="21" t="s">
        <v>19</v>
      </c>
      <c r="M284" s="21"/>
      <c r="N284" s="21" t="s">
        <v>20</v>
      </c>
      <c r="O284" s="24">
        <f t="shared" si="4"/>
        <v>8.628318584070796E-2</v>
      </c>
    </row>
    <row r="285" spans="1:15">
      <c r="A285" s="19" t="s">
        <v>314</v>
      </c>
      <c r="B285" s="19" t="s">
        <v>13</v>
      </c>
      <c r="C285" s="20">
        <v>45589</v>
      </c>
      <c r="D285" s="21" t="s">
        <v>23</v>
      </c>
      <c r="E285" s="22" t="s">
        <v>33</v>
      </c>
      <c r="F285" s="23">
        <v>1914</v>
      </c>
      <c r="G285" s="23">
        <v>255</v>
      </c>
      <c r="H285" s="23">
        <v>156</v>
      </c>
      <c r="I285" s="23">
        <v>27660</v>
      </c>
      <c r="J285" s="23">
        <v>47776</v>
      </c>
      <c r="K285" s="23">
        <v>111</v>
      </c>
      <c r="L285" s="21" t="s">
        <v>34</v>
      </c>
      <c r="M285" s="21"/>
      <c r="N285" s="21" t="s">
        <v>46</v>
      </c>
      <c r="O285" s="24">
        <f t="shared" si="4"/>
        <v>8.4056399132321047E-2</v>
      </c>
    </row>
    <row r="286" spans="1:15">
      <c r="A286" s="19" t="s">
        <v>315</v>
      </c>
      <c r="B286" s="19" t="s">
        <v>27</v>
      </c>
      <c r="C286" s="20">
        <v>45686</v>
      </c>
      <c r="D286" s="21" t="s">
        <v>14</v>
      </c>
      <c r="E286" s="22" t="s">
        <v>24</v>
      </c>
      <c r="F286" s="23">
        <v>1334</v>
      </c>
      <c r="G286" s="23">
        <v>357</v>
      </c>
      <c r="H286" s="23">
        <v>257</v>
      </c>
      <c r="I286" s="23">
        <v>56910</v>
      </c>
      <c r="J286" s="23">
        <v>70606</v>
      </c>
      <c r="K286" s="23">
        <v>228</v>
      </c>
      <c r="L286" s="21" t="s">
        <v>19</v>
      </c>
      <c r="M286" s="21" t="s">
        <v>365</v>
      </c>
      <c r="N286" s="21" t="s">
        <v>20</v>
      </c>
      <c r="O286" s="24">
        <f t="shared" si="4"/>
        <v>3.4229485151994379E-2</v>
      </c>
    </row>
    <row r="287" spans="1:15">
      <c r="A287" s="19" t="s">
        <v>316</v>
      </c>
      <c r="B287" s="19" t="s">
        <v>13</v>
      </c>
      <c r="C287" s="20">
        <v>45413</v>
      </c>
      <c r="D287" s="21" t="s">
        <v>14</v>
      </c>
      <c r="E287" s="22" t="s">
        <v>30</v>
      </c>
      <c r="F287" s="23">
        <v>3359</v>
      </c>
      <c r="G287" s="23">
        <v>137</v>
      </c>
      <c r="H287" s="23">
        <v>387</v>
      </c>
      <c r="I287" s="23">
        <v>33861</v>
      </c>
      <c r="J287" s="23">
        <v>47257</v>
      </c>
      <c r="K287" s="23">
        <v>198</v>
      </c>
      <c r="L287" s="21" t="s">
        <v>19</v>
      </c>
      <c r="M287" s="21"/>
      <c r="N287" s="21" t="s">
        <v>20</v>
      </c>
      <c r="O287" s="24">
        <f t="shared" si="4"/>
        <v>0.11467469950680724</v>
      </c>
    </row>
    <row r="288" spans="1:15">
      <c r="A288" s="19" t="s">
        <v>317</v>
      </c>
      <c r="B288" s="19" t="s">
        <v>27</v>
      </c>
      <c r="C288" s="20">
        <v>45468</v>
      </c>
      <c r="D288" s="21" t="s">
        <v>14</v>
      </c>
      <c r="E288" s="22" t="s">
        <v>42</v>
      </c>
      <c r="F288" s="23">
        <v>2172</v>
      </c>
      <c r="G288" s="23">
        <v>338</v>
      </c>
      <c r="H288" s="23">
        <v>70</v>
      </c>
      <c r="I288" s="23">
        <v>30515</v>
      </c>
      <c r="J288" s="23">
        <v>57853</v>
      </c>
      <c r="K288" s="23">
        <v>156</v>
      </c>
      <c r="L288" s="21" t="s">
        <v>19</v>
      </c>
      <c r="M288" s="21" t="s">
        <v>365</v>
      </c>
      <c r="N288" s="21" t="s">
        <v>20</v>
      </c>
      <c r="O288" s="24">
        <f t="shared" si="4"/>
        <v>8.4548582664263475E-2</v>
      </c>
    </row>
    <row r="289" spans="1:15">
      <c r="A289" s="19" t="s">
        <v>318</v>
      </c>
      <c r="B289" s="19" t="s">
        <v>22</v>
      </c>
      <c r="C289" s="20">
        <v>45513</v>
      </c>
      <c r="D289" s="21" t="s">
        <v>23</v>
      </c>
      <c r="E289" s="22" t="s">
        <v>363</v>
      </c>
      <c r="F289" s="23">
        <v>4877</v>
      </c>
      <c r="G289" s="23">
        <v>442</v>
      </c>
      <c r="H289" s="23">
        <v>236</v>
      </c>
      <c r="I289" s="23">
        <v>52673</v>
      </c>
      <c r="J289" s="23">
        <v>48241</v>
      </c>
      <c r="K289" s="23">
        <v>114</v>
      </c>
      <c r="L289" s="21" t="s">
        <v>19</v>
      </c>
      <c r="M289" s="21" t="s">
        <v>364</v>
      </c>
      <c r="N289" s="21" t="s">
        <v>16</v>
      </c>
      <c r="O289" s="24">
        <f t="shared" si="4"/>
        <v>0.10546200140489435</v>
      </c>
    </row>
    <row r="290" spans="1:15">
      <c r="A290" s="19" t="s">
        <v>319</v>
      </c>
      <c r="B290" s="19" t="s">
        <v>13</v>
      </c>
      <c r="C290" s="20">
        <v>45678</v>
      </c>
      <c r="D290" s="21" t="s">
        <v>23</v>
      </c>
      <c r="E290" s="22" t="s">
        <v>24</v>
      </c>
      <c r="F290" s="23">
        <v>4918</v>
      </c>
      <c r="G290" s="23">
        <v>440</v>
      </c>
      <c r="H290" s="23">
        <v>149</v>
      </c>
      <c r="I290" s="23">
        <v>53269</v>
      </c>
      <c r="J290" s="23">
        <v>64370</v>
      </c>
      <c r="K290" s="23">
        <v>269</v>
      </c>
      <c r="L290" s="21" t="s">
        <v>34</v>
      </c>
      <c r="M290" s="21"/>
      <c r="N290" s="21" t="s">
        <v>46</v>
      </c>
      <c r="O290" s="24">
        <f t="shared" si="4"/>
        <v>0.10338095327488783</v>
      </c>
    </row>
    <row r="291" spans="1:15">
      <c r="A291" s="19" t="s">
        <v>320</v>
      </c>
      <c r="B291" s="19" t="s">
        <v>22</v>
      </c>
      <c r="C291" s="20">
        <v>45517</v>
      </c>
      <c r="D291" s="21" t="s">
        <v>14</v>
      </c>
      <c r="E291" s="22" t="s">
        <v>18</v>
      </c>
      <c r="F291" s="23">
        <v>3418</v>
      </c>
      <c r="G291" s="23">
        <v>107</v>
      </c>
      <c r="H291" s="23">
        <v>221</v>
      </c>
      <c r="I291" s="23">
        <v>23927</v>
      </c>
      <c r="J291" s="23">
        <v>26182</v>
      </c>
      <c r="K291" s="23">
        <v>155</v>
      </c>
      <c r="L291" s="21" t="s">
        <v>37</v>
      </c>
      <c r="M291" s="21"/>
      <c r="N291" s="21" t="s">
        <v>20</v>
      </c>
      <c r="O291" s="24">
        <f t="shared" si="4"/>
        <v>0.1565595352530614</v>
      </c>
    </row>
    <row r="292" spans="1:15">
      <c r="A292" s="19" t="s">
        <v>321</v>
      </c>
      <c r="B292" s="19" t="s">
        <v>13</v>
      </c>
      <c r="C292" s="20">
        <v>45472</v>
      </c>
      <c r="D292" s="21" t="s">
        <v>14</v>
      </c>
      <c r="E292" s="22" t="s">
        <v>42</v>
      </c>
      <c r="F292" s="23">
        <v>2088</v>
      </c>
      <c r="G292" s="23">
        <v>490</v>
      </c>
      <c r="H292" s="23">
        <v>124</v>
      </c>
      <c r="I292" s="23">
        <v>46544</v>
      </c>
      <c r="J292" s="23">
        <v>69346</v>
      </c>
      <c r="K292" s="23">
        <v>178</v>
      </c>
      <c r="L292" s="21" t="s">
        <v>37</v>
      </c>
      <c r="M292" s="21" t="s">
        <v>34</v>
      </c>
      <c r="N292" s="21" t="s">
        <v>16</v>
      </c>
      <c r="O292" s="24">
        <f t="shared" si="4"/>
        <v>5.8052595393606049E-2</v>
      </c>
    </row>
    <row r="293" spans="1:15">
      <c r="A293" s="19" t="s">
        <v>322</v>
      </c>
      <c r="B293" s="19" t="s">
        <v>22</v>
      </c>
      <c r="C293" s="20">
        <v>45599</v>
      </c>
      <c r="D293" s="21" t="s">
        <v>23</v>
      </c>
      <c r="E293" s="22" t="s">
        <v>18</v>
      </c>
      <c r="F293" s="23">
        <v>3061</v>
      </c>
      <c r="G293" s="23">
        <v>320</v>
      </c>
      <c r="H293" s="23">
        <v>76</v>
      </c>
      <c r="I293" s="23">
        <v>26640</v>
      </c>
      <c r="J293" s="23">
        <v>24306</v>
      </c>
      <c r="K293" s="23">
        <v>112</v>
      </c>
      <c r="L293" s="21" t="s">
        <v>364</v>
      </c>
      <c r="M293" s="21" t="s">
        <v>34</v>
      </c>
      <c r="N293" s="21" t="s">
        <v>16</v>
      </c>
      <c r="O293" s="24">
        <f t="shared" si="4"/>
        <v>0.12976726726726726</v>
      </c>
    </row>
    <row r="294" spans="1:15">
      <c r="A294" s="19" t="s">
        <v>323</v>
      </c>
      <c r="B294" s="19" t="s">
        <v>27</v>
      </c>
      <c r="C294" s="20">
        <v>45765</v>
      </c>
      <c r="D294" s="21" t="s">
        <v>48</v>
      </c>
      <c r="E294" s="22" t="s">
        <v>42</v>
      </c>
      <c r="F294" s="23">
        <v>1265</v>
      </c>
      <c r="G294" s="23">
        <v>230</v>
      </c>
      <c r="H294" s="23">
        <v>364</v>
      </c>
      <c r="I294" s="23">
        <v>41312</v>
      </c>
      <c r="J294" s="23">
        <v>50382</v>
      </c>
      <c r="K294" s="23">
        <v>106</v>
      </c>
      <c r="L294" s="21" t="s">
        <v>19</v>
      </c>
      <c r="M294" s="21" t="s">
        <v>37</v>
      </c>
      <c r="N294" s="21" t="s">
        <v>49</v>
      </c>
      <c r="O294" s="24">
        <f t="shared" si="4"/>
        <v>4.4999031758326875E-2</v>
      </c>
    </row>
    <row r="295" spans="1:15">
      <c r="A295" s="19" t="s">
        <v>324</v>
      </c>
      <c r="B295" s="19" t="s">
        <v>13</v>
      </c>
      <c r="C295" s="20">
        <v>45653</v>
      </c>
      <c r="D295" s="21" t="s">
        <v>14</v>
      </c>
      <c r="E295" s="22" t="s">
        <v>363</v>
      </c>
      <c r="F295" s="23">
        <v>1436</v>
      </c>
      <c r="G295" s="23">
        <v>219</v>
      </c>
      <c r="H295" s="23">
        <v>229</v>
      </c>
      <c r="I295" s="23">
        <v>58488</v>
      </c>
      <c r="J295" s="23">
        <v>24314</v>
      </c>
      <c r="K295" s="23">
        <v>147</v>
      </c>
      <c r="L295" s="21" t="s">
        <v>19</v>
      </c>
      <c r="M295" s="21"/>
      <c r="N295" s="21" t="s">
        <v>20</v>
      </c>
      <c r="O295" s="24">
        <f t="shared" si="4"/>
        <v>3.221173574066475E-2</v>
      </c>
    </row>
    <row r="296" spans="1:15">
      <c r="A296" s="19" t="s">
        <v>325</v>
      </c>
      <c r="B296" s="19" t="s">
        <v>13</v>
      </c>
      <c r="C296" s="20">
        <v>45724</v>
      </c>
      <c r="D296" s="21" t="s">
        <v>23</v>
      </c>
      <c r="E296" s="22" t="s">
        <v>33</v>
      </c>
      <c r="F296" s="23">
        <v>2244</v>
      </c>
      <c r="G296" s="23">
        <v>392</v>
      </c>
      <c r="H296" s="23">
        <v>231</v>
      </c>
      <c r="I296" s="23">
        <v>25834</v>
      </c>
      <c r="J296" s="23">
        <v>50906</v>
      </c>
      <c r="K296" s="23">
        <v>165</v>
      </c>
      <c r="L296" s="21" t="s">
        <v>34</v>
      </c>
      <c r="M296" s="21"/>
      <c r="N296" s="21" t="s">
        <v>46</v>
      </c>
      <c r="O296" s="24">
        <f t="shared" si="4"/>
        <v>0.1109777812185492</v>
      </c>
    </row>
    <row r="297" spans="1:15">
      <c r="A297" s="19" t="s">
        <v>326</v>
      </c>
      <c r="B297" s="19" t="s">
        <v>22</v>
      </c>
      <c r="C297" s="20">
        <v>45736</v>
      </c>
      <c r="D297" s="21" t="s">
        <v>23</v>
      </c>
      <c r="E297" s="22" t="s">
        <v>42</v>
      </c>
      <c r="F297" s="23">
        <v>3393</v>
      </c>
      <c r="G297" s="23">
        <v>104</v>
      </c>
      <c r="H297" s="23">
        <v>79</v>
      </c>
      <c r="I297" s="23">
        <v>30025</v>
      </c>
      <c r="J297" s="23">
        <v>21593</v>
      </c>
      <c r="K297" s="23">
        <v>165</v>
      </c>
      <c r="L297" s="21" t="s">
        <v>364</v>
      </c>
      <c r="M297" s="21" t="s">
        <v>34</v>
      </c>
      <c r="N297" s="21" t="s">
        <v>16</v>
      </c>
      <c r="O297" s="24">
        <f t="shared" si="4"/>
        <v>0.1191007493755204</v>
      </c>
    </row>
    <row r="298" spans="1:15">
      <c r="A298" s="19" t="s">
        <v>327</v>
      </c>
      <c r="B298" s="19" t="s">
        <v>22</v>
      </c>
      <c r="C298" s="20">
        <v>45612</v>
      </c>
      <c r="D298" s="21" t="s">
        <v>14</v>
      </c>
      <c r="E298" s="22" t="s">
        <v>18</v>
      </c>
      <c r="F298" s="23">
        <v>2901</v>
      </c>
      <c r="G298" s="23">
        <v>108</v>
      </c>
      <c r="H298" s="23">
        <v>86</v>
      </c>
      <c r="I298" s="23">
        <v>51777</v>
      </c>
      <c r="J298" s="23">
        <v>23773</v>
      </c>
      <c r="K298" s="23">
        <v>160</v>
      </c>
      <c r="L298" s="21" t="s">
        <v>37</v>
      </c>
      <c r="M298" s="21"/>
      <c r="N298" s="21" t="s">
        <v>20</v>
      </c>
      <c r="O298" s="24">
        <f t="shared" si="4"/>
        <v>5.9775576027966085E-2</v>
      </c>
    </row>
    <row r="299" spans="1:15">
      <c r="A299" s="19" t="s">
        <v>328</v>
      </c>
      <c r="B299" s="19" t="s">
        <v>22</v>
      </c>
      <c r="C299" s="20">
        <v>45838</v>
      </c>
      <c r="D299" s="21" t="s">
        <v>14</v>
      </c>
      <c r="E299" s="22" t="s">
        <v>362</v>
      </c>
      <c r="F299" s="23">
        <v>2275</v>
      </c>
      <c r="G299" s="23">
        <v>285</v>
      </c>
      <c r="H299" s="23">
        <v>125</v>
      </c>
      <c r="I299" s="23">
        <v>43970</v>
      </c>
      <c r="J299" s="23">
        <v>74761</v>
      </c>
      <c r="K299" s="23">
        <v>83</v>
      </c>
      <c r="L299" s="21" t="s">
        <v>34</v>
      </c>
      <c r="M299" s="21"/>
      <c r="N299" s="21" t="s">
        <v>16</v>
      </c>
      <c r="O299" s="24">
        <f t="shared" si="4"/>
        <v>6.1064362065044349E-2</v>
      </c>
    </row>
    <row r="300" spans="1:15">
      <c r="A300" s="19" t="s">
        <v>329</v>
      </c>
      <c r="B300" s="19" t="s">
        <v>22</v>
      </c>
      <c r="C300" s="20">
        <v>45303</v>
      </c>
      <c r="D300" s="21" t="s">
        <v>23</v>
      </c>
      <c r="E300" s="22" t="s">
        <v>360</v>
      </c>
      <c r="F300" s="23">
        <v>2227</v>
      </c>
      <c r="G300" s="23">
        <v>494</v>
      </c>
      <c r="H300" s="23">
        <v>161</v>
      </c>
      <c r="I300" s="23">
        <v>51651</v>
      </c>
      <c r="J300" s="23">
        <v>68074</v>
      </c>
      <c r="K300" s="23">
        <v>240</v>
      </c>
      <c r="L300" s="21" t="s">
        <v>19</v>
      </c>
      <c r="M300" s="21" t="s">
        <v>364</v>
      </c>
      <c r="N300" s="21" t="s">
        <v>16</v>
      </c>
      <c r="O300" s="24">
        <f t="shared" si="4"/>
        <v>5.5797564422760453E-2</v>
      </c>
    </row>
    <row r="301" spans="1:15">
      <c r="A301" s="19" t="s">
        <v>330</v>
      </c>
      <c r="B301" s="19" t="s">
        <v>13</v>
      </c>
      <c r="C301" s="20">
        <v>45329</v>
      </c>
      <c r="D301" s="21" t="s">
        <v>14</v>
      </c>
      <c r="E301" s="22" t="s">
        <v>361</v>
      </c>
      <c r="F301" s="23">
        <v>1883</v>
      </c>
      <c r="G301" s="23">
        <v>432</v>
      </c>
      <c r="H301" s="23">
        <v>397</v>
      </c>
      <c r="I301" s="23">
        <v>28759</v>
      </c>
      <c r="J301" s="23">
        <v>18691</v>
      </c>
      <c r="K301" s="23">
        <v>270</v>
      </c>
      <c r="L301" s="21" t="s">
        <v>37</v>
      </c>
      <c r="M301" s="21" t="s">
        <v>34</v>
      </c>
      <c r="N301" s="21" t="s">
        <v>16</v>
      </c>
      <c r="O301" s="24">
        <f t="shared" si="4"/>
        <v>9.4300914496331587E-2</v>
      </c>
    </row>
  </sheetData>
  <mergeCells count="1">
    <mergeCell ref="W1:X2"/>
  </mergeCells>
  <pageMargins left="0.7" right="0.7" top="0.75" bottom="0.75" header="0" footer="0"/>
  <pageSetup orientation="landscape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C81F-3805-4A10-B0EE-353AF0D04A97}">
  <dimension ref="A1:W484"/>
  <sheetViews>
    <sheetView topLeftCell="K1" zoomScale="70" zoomScaleNormal="70" workbookViewId="0">
      <pane ySplit="1" topLeftCell="A2" activePane="bottomLeft" state="frozen"/>
      <selection activeCell="K1" sqref="K1"/>
      <selection pane="bottomLeft" activeCell="W5" sqref="W5"/>
    </sheetView>
  </sheetViews>
  <sheetFormatPr defaultRowHeight="15"/>
  <cols>
    <col min="1" max="1" width="9.42578125" hidden="1" customWidth="1"/>
    <col min="2" max="2" width="11" hidden="1" customWidth="1"/>
    <col min="3" max="3" width="15.5703125" style="1" hidden="1" customWidth="1"/>
    <col min="4" max="4" width="15.140625" hidden="1" customWidth="1"/>
    <col min="5" max="5" width="36.5703125" hidden="1" customWidth="1"/>
    <col min="6" max="6" width="7.7109375" hidden="1" customWidth="1"/>
    <col min="7" max="7" width="0" hidden="1" customWidth="1"/>
    <col min="8" max="8" width="12.85546875" hidden="1" customWidth="1"/>
    <col min="9" max="9" width="14" hidden="1" customWidth="1"/>
    <col min="10" max="10" width="8.5703125" hidden="1" customWidth="1"/>
    <col min="11" max="11" width="8.28515625" bestFit="1" customWidth="1"/>
    <col min="12" max="12" width="18.42578125" hidden="1" customWidth="1"/>
    <col min="13" max="13" width="18.85546875" hidden="1" customWidth="1"/>
    <col min="14" max="14" width="20.140625" bestFit="1" customWidth="1"/>
    <col min="16" max="16" width="18.5703125" bestFit="1" customWidth="1"/>
    <col min="17" max="17" width="16.140625" bestFit="1" customWidth="1"/>
  </cols>
  <sheetData>
    <row r="1" spans="1:2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368</v>
      </c>
      <c r="N1" t="s">
        <v>373</v>
      </c>
    </row>
    <row r="2" spans="1:23" ht="15" customHeight="1">
      <c r="A2" t="s">
        <v>12</v>
      </c>
      <c r="B2" t="s">
        <v>13</v>
      </c>
      <c r="C2" s="1">
        <v>45781</v>
      </c>
      <c r="D2" t="s">
        <v>14</v>
      </c>
      <c r="E2" t="s">
        <v>15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16</v>
      </c>
      <c r="M2">
        <v>0.13200509890939993</v>
      </c>
      <c r="N2" t="s">
        <v>37</v>
      </c>
      <c r="P2" s="17"/>
      <c r="Q2" s="17"/>
    </row>
    <row r="3" spans="1:23" ht="15" customHeight="1">
      <c r="A3" t="s">
        <v>12</v>
      </c>
      <c r="B3" t="s">
        <v>13</v>
      </c>
      <c r="C3" s="1">
        <v>45781</v>
      </c>
      <c r="D3" t="s">
        <v>14</v>
      </c>
      <c r="E3" t="s">
        <v>15</v>
      </c>
      <c r="F3">
        <v>2414</v>
      </c>
      <c r="G3">
        <v>245</v>
      </c>
      <c r="H3">
        <v>137</v>
      </c>
      <c r="I3">
        <v>21181</v>
      </c>
      <c r="J3">
        <v>45292</v>
      </c>
      <c r="K3">
        <v>133</v>
      </c>
      <c r="L3" t="s">
        <v>16</v>
      </c>
      <c r="M3">
        <v>0.13200509890939993</v>
      </c>
      <c r="N3" t="s">
        <v>34</v>
      </c>
      <c r="P3" s="17"/>
      <c r="Q3" s="17"/>
    </row>
    <row r="4" spans="1:23">
      <c r="A4" t="s">
        <v>17</v>
      </c>
      <c r="B4" t="s">
        <v>13</v>
      </c>
      <c r="C4" s="1">
        <v>45689</v>
      </c>
      <c r="D4" t="s">
        <v>14</v>
      </c>
      <c r="E4" t="s">
        <v>18</v>
      </c>
      <c r="F4">
        <v>1934</v>
      </c>
      <c r="G4">
        <v>210</v>
      </c>
      <c r="H4">
        <v>393</v>
      </c>
      <c r="I4">
        <v>29129</v>
      </c>
      <c r="J4">
        <v>73287</v>
      </c>
      <c r="K4">
        <v>273</v>
      </c>
      <c r="L4" t="s">
        <v>20</v>
      </c>
      <c r="M4">
        <v>8.7095334546328396E-2</v>
      </c>
      <c r="N4" t="s">
        <v>19</v>
      </c>
      <c r="P4" s="15" t="s">
        <v>376</v>
      </c>
      <c r="Q4" t="s">
        <v>372</v>
      </c>
    </row>
    <row r="5" spans="1:23">
      <c r="A5" t="s">
        <v>21</v>
      </c>
      <c r="B5" t="s">
        <v>22</v>
      </c>
      <c r="C5" s="1">
        <v>45629</v>
      </c>
      <c r="D5" t="s">
        <v>23</v>
      </c>
      <c r="E5" t="s">
        <v>24</v>
      </c>
      <c r="F5">
        <v>3092</v>
      </c>
      <c r="G5">
        <v>177</v>
      </c>
      <c r="H5">
        <v>81</v>
      </c>
      <c r="I5">
        <v>47533</v>
      </c>
      <c r="J5">
        <v>29220</v>
      </c>
      <c r="K5">
        <v>121</v>
      </c>
      <c r="L5" t="s">
        <v>16</v>
      </c>
      <c r="M5">
        <v>7.0477352576105018E-2</v>
      </c>
      <c r="N5" t="s">
        <v>364</v>
      </c>
      <c r="P5" s="48" t="s">
        <v>365</v>
      </c>
      <c r="Q5" s="51">
        <v>208.47058823529412</v>
      </c>
    </row>
    <row r="6" spans="1:23">
      <c r="A6" t="s">
        <v>21</v>
      </c>
      <c r="B6" t="s">
        <v>22</v>
      </c>
      <c r="C6" s="1">
        <v>45629</v>
      </c>
      <c r="D6" t="s">
        <v>23</v>
      </c>
      <c r="E6" t="s">
        <v>24</v>
      </c>
      <c r="F6">
        <v>3092</v>
      </c>
      <c r="G6">
        <v>177</v>
      </c>
      <c r="H6">
        <v>81</v>
      </c>
      <c r="I6">
        <v>47533</v>
      </c>
      <c r="J6">
        <v>29220</v>
      </c>
      <c r="K6">
        <v>121</v>
      </c>
      <c r="L6" t="s">
        <v>16</v>
      </c>
      <c r="M6">
        <v>7.0477352576105018E-2</v>
      </c>
      <c r="N6" t="s">
        <v>34</v>
      </c>
      <c r="P6" s="49" t="s">
        <v>19</v>
      </c>
      <c r="Q6" s="52">
        <v>197.16923076923078</v>
      </c>
    </row>
    <row r="7" spans="1:23">
      <c r="A7" t="s">
        <v>25</v>
      </c>
      <c r="B7" t="s">
        <v>13</v>
      </c>
      <c r="C7" s="1">
        <v>45629</v>
      </c>
      <c r="D7" t="s">
        <v>14</v>
      </c>
      <c r="E7" t="s">
        <v>360</v>
      </c>
      <c r="F7">
        <v>3173</v>
      </c>
      <c r="G7">
        <v>229</v>
      </c>
      <c r="H7">
        <v>197</v>
      </c>
      <c r="I7">
        <v>29604</v>
      </c>
      <c r="J7">
        <v>21809</v>
      </c>
      <c r="K7">
        <v>272</v>
      </c>
      <c r="L7" t="s">
        <v>16</v>
      </c>
      <c r="M7">
        <v>0.1215714092690177</v>
      </c>
      <c r="N7" t="s">
        <v>37</v>
      </c>
      <c r="P7" s="49" t="s">
        <v>37</v>
      </c>
      <c r="Q7" s="52">
        <v>192.45871559633028</v>
      </c>
    </row>
    <row r="8" spans="1:23">
      <c r="A8" t="s">
        <v>25</v>
      </c>
      <c r="B8" t="s">
        <v>13</v>
      </c>
      <c r="C8" s="1">
        <v>45629</v>
      </c>
      <c r="D8" t="s">
        <v>14</v>
      </c>
      <c r="E8" t="s">
        <v>360</v>
      </c>
      <c r="F8">
        <v>3173</v>
      </c>
      <c r="G8">
        <v>229</v>
      </c>
      <c r="H8">
        <v>197</v>
      </c>
      <c r="I8">
        <v>29604</v>
      </c>
      <c r="J8">
        <v>21809</v>
      </c>
      <c r="K8">
        <v>272</v>
      </c>
      <c r="L8" t="s">
        <v>16</v>
      </c>
      <c r="M8">
        <v>0.1215714092690177</v>
      </c>
      <c r="N8" t="s">
        <v>34</v>
      </c>
      <c r="P8" s="49" t="s">
        <v>34</v>
      </c>
      <c r="Q8" s="52">
        <v>186.72027972027973</v>
      </c>
    </row>
    <row r="9" spans="1:23">
      <c r="A9" t="s">
        <v>26</v>
      </c>
      <c r="B9" t="s">
        <v>27</v>
      </c>
      <c r="C9" s="1">
        <v>45388</v>
      </c>
      <c r="D9" t="s">
        <v>14</v>
      </c>
      <c r="E9" t="s">
        <v>361</v>
      </c>
      <c r="F9">
        <v>2748</v>
      </c>
      <c r="G9">
        <v>145</v>
      </c>
      <c r="H9">
        <v>315</v>
      </c>
      <c r="I9">
        <v>24401</v>
      </c>
      <c r="J9">
        <v>61182</v>
      </c>
      <c r="K9">
        <v>200</v>
      </c>
      <c r="L9" t="s">
        <v>20</v>
      </c>
      <c r="M9">
        <v>0.1314700217204213</v>
      </c>
      <c r="N9" t="s">
        <v>19</v>
      </c>
      <c r="P9" s="50" t="s">
        <v>364</v>
      </c>
      <c r="Q9" s="53">
        <v>183.47761194029852</v>
      </c>
    </row>
    <row r="10" spans="1:23">
      <c r="A10" t="s">
        <v>26</v>
      </c>
      <c r="B10" t="s">
        <v>27</v>
      </c>
      <c r="C10" s="1">
        <v>45388</v>
      </c>
      <c r="D10" t="s">
        <v>14</v>
      </c>
      <c r="E10" t="s">
        <v>361</v>
      </c>
      <c r="F10">
        <v>2748</v>
      </c>
      <c r="G10">
        <v>145</v>
      </c>
      <c r="H10">
        <v>315</v>
      </c>
      <c r="I10">
        <v>24401</v>
      </c>
      <c r="J10">
        <v>61182</v>
      </c>
      <c r="K10">
        <v>200</v>
      </c>
      <c r="L10" t="s">
        <v>20</v>
      </c>
      <c r="M10">
        <v>0.1314700217204213</v>
      </c>
      <c r="N10" t="s">
        <v>365</v>
      </c>
    </row>
    <row r="11" spans="1:23">
      <c r="A11" t="s">
        <v>28</v>
      </c>
      <c r="B11" t="s">
        <v>27</v>
      </c>
      <c r="C11" s="1">
        <v>45456</v>
      </c>
      <c r="D11" t="s">
        <v>14</v>
      </c>
      <c r="E11" t="s">
        <v>362</v>
      </c>
      <c r="F11">
        <v>3882</v>
      </c>
      <c r="G11">
        <v>239</v>
      </c>
      <c r="H11">
        <v>275</v>
      </c>
      <c r="I11">
        <v>58748</v>
      </c>
      <c r="J11">
        <v>44646</v>
      </c>
      <c r="K11">
        <v>149</v>
      </c>
      <c r="L11" t="s">
        <v>20</v>
      </c>
      <c r="M11">
        <v>7.4828079253761837E-2</v>
      </c>
      <c r="N11" t="s">
        <v>19</v>
      </c>
      <c r="P11" s="69"/>
    </row>
    <row r="12" spans="1:23">
      <c r="A12" t="s">
        <v>28</v>
      </c>
      <c r="B12" t="s">
        <v>27</v>
      </c>
      <c r="C12" s="1">
        <v>45456</v>
      </c>
      <c r="D12" t="s">
        <v>14</v>
      </c>
      <c r="E12" t="s">
        <v>362</v>
      </c>
      <c r="F12">
        <v>3882</v>
      </c>
      <c r="G12">
        <v>239</v>
      </c>
      <c r="H12">
        <v>275</v>
      </c>
      <c r="I12">
        <v>58748</v>
      </c>
      <c r="J12">
        <v>44646</v>
      </c>
      <c r="K12">
        <v>149</v>
      </c>
      <c r="L12" t="s">
        <v>20</v>
      </c>
      <c r="M12">
        <v>7.4828079253761837E-2</v>
      </c>
      <c r="N12" t="s">
        <v>365</v>
      </c>
      <c r="P12" s="75"/>
      <c r="Q12" s="75"/>
      <c r="R12" s="75"/>
      <c r="S12" s="75"/>
      <c r="T12" s="75"/>
      <c r="U12" s="75"/>
      <c r="V12" s="75"/>
      <c r="W12" s="75"/>
    </row>
    <row r="13" spans="1:23">
      <c r="A13" t="s">
        <v>29</v>
      </c>
      <c r="B13" t="s">
        <v>22</v>
      </c>
      <c r="C13" s="1">
        <v>45645</v>
      </c>
      <c r="D13" t="s">
        <v>23</v>
      </c>
      <c r="E13" t="s">
        <v>30</v>
      </c>
      <c r="F13">
        <v>4674</v>
      </c>
      <c r="G13">
        <v>409</v>
      </c>
      <c r="H13">
        <v>327</v>
      </c>
      <c r="I13">
        <v>20756</v>
      </c>
      <c r="J13">
        <v>63599</v>
      </c>
      <c r="K13">
        <v>212</v>
      </c>
      <c r="L13" t="s">
        <v>16</v>
      </c>
      <c r="M13">
        <v>0.26064752360763155</v>
      </c>
      <c r="N13" t="s">
        <v>37</v>
      </c>
      <c r="P13" s="70"/>
    </row>
    <row r="14" spans="1:23">
      <c r="A14" t="s">
        <v>29</v>
      </c>
      <c r="B14" t="s">
        <v>22</v>
      </c>
      <c r="C14" s="1">
        <v>45645</v>
      </c>
      <c r="D14" t="s">
        <v>23</v>
      </c>
      <c r="E14" t="s">
        <v>30</v>
      </c>
      <c r="F14">
        <v>4674</v>
      </c>
      <c r="G14">
        <v>409</v>
      </c>
      <c r="H14">
        <v>327</v>
      </c>
      <c r="I14">
        <v>20756</v>
      </c>
      <c r="J14">
        <v>63599</v>
      </c>
      <c r="K14">
        <v>212</v>
      </c>
      <c r="L14" t="s">
        <v>16</v>
      </c>
      <c r="M14">
        <v>0.26064752360763155</v>
      </c>
      <c r="N14" t="s">
        <v>34</v>
      </c>
    </row>
    <row r="15" spans="1:23">
      <c r="A15" t="s">
        <v>31</v>
      </c>
      <c r="B15" t="s">
        <v>22</v>
      </c>
      <c r="C15" s="1">
        <v>45421</v>
      </c>
      <c r="D15" t="s">
        <v>23</v>
      </c>
      <c r="E15" t="s">
        <v>360</v>
      </c>
      <c r="F15">
        <v>1428</v>
      </c>
      <c r="G15">
        <v>347</v>
      </c>
      <c r="H15">
        <v>67</v>
      </c>
      <c r="I15">
        <v>21148</v>
      </c>
      <c r="J15">
        <v>19712</v>
      </c>
      <c r="K15">
        <v>120</v>
      </c>
      <c r="L15" t="s">
        <v>16</v>
      </c>
      <c r="M15">
        <v>8.7100435029317191E-2</v>
      </c>
      <c r="N15" t="s">
        <v>19</v>
      </c>
      <c r="P15" s="77"/>
      <c r="Q15" s="77"/>
      <c r="R15" s="77"/>
      <c r="S15" s="77"/>
      <c r="T15" s="77"/>
      <c r="U15" s="77"/>
    </row>
    <row r="16" spans="1:23">
      <c r="A16" t="s">
        <v>31</v>
      </c>
      <c r="B16" t="s">
        <v>22</v>
      </c>
      <c r="C16" s="1">
        <v>45421</v>
      </c>
      <c r="D16" t="s">
        <v>23</v>
      </c>
      <c r="E16" t="s">
        <v>360</v>
      </c>
      <c r="F16">
        <v>1428</v>
      </c>
      <c r="G16">
        <v>347</v>
      </c>
      <c r="H16">
        <v>67</v>
      </c>
      <c r="I16">
        <v>21148</v>
      </c>
      <c r="J16">
        <v>19712</v>
      </c>
      <c r="K16">
        <v>120</v>
      </c>
      <c r="L16" t="s">
        <v>16</v>
      </c>
      <c r="M16">
        <v>8.7100435029317191E-2</v>
      </c>
      <c r="N16" t="s">
        <v>364</v>
      </c>
      <c r="P16" s="76"/>
      <c r="Q16" s="76"/>
      <c r="R16" s="76"/>
      <c r="S16" s="76"/>
      <c r="T16" s="76"/>
      <c r="U16" s="76"/>
    </row>
    <row r="17" spans="1:14">
      <c r="A17" t="s">
        <v>32</v>
      </c>
      <c r="B17" t="s">
        <v>22</v>
      </c>
      <c r="C17" s="1">
        <v>45823</v>
      </c>
      <c r="D17" t="s">
        <v>14</v>
      </c>
      <c r="E17" t="s">
        <v>33</v>
      </c>
      <c r="F17">
        <v>4432</v>
      </c>
      <c r="G17">
        <v>223</v>
      </c>
      <c r="H17">
        <v>299</v>
      </c>
      <c r="I17">
        <v>59016</v>
      </c>
      <c r="J17">
        <v>21742</v>
      </c>
      <c r="K17">
        <v>171</v>
      </c>
      <c r="L17" t="s">
        <v>16</v>
      </c>
      <c r="M17">
        <v>8.3943337400027115E-2</v>
      </c>
      <c r="N17" t="s">
        <v>34</v>
      </c>
    </row>
    <row r="18" spans="1:14">
      <c r="A18" t="s">
        <v>35</v>
      </c>
      <c r="B18" t="s">
        <v>22</v>
      </c>
      <c r="C18" s="1">
        <v>45630</v>
      </c>
      <c r="D18" t="s">
        <v>14</v>
      </c>
      <c r="E18" t="s">
        <v>360</v>
      </c>
      <c r="F18">
        <v>2357</v>
      </c>
      <c r="G18">
        <v>274</v>
      </c>
      <c r="H18">
        <v>172</v>
      </c>
      <c r="I18">
        <v>21566</v>
      </c>
      <c r="J18">
        <v>66829</v>
      </c>
      <c r="K18">
        <v>284</v>
      </c>
      <c r="L18" t="s">
        <v>16</v>
      </c>
      <c r="M18">
        <v>0.12997310581470833</v>
      </c>
      <c r="N18" t="s">
        <v>34</v>
      </c>
    </row>
    <row r="19" spans="1:14">
      <c r="A19" t="s">
        <v>36</v>
      </c>
      <c r="B19" t="s">
        <v>22</v>
      </c>
      <c r="C19" s="1">
        <v>45357</v>
      </c>
      <c r="D19" t="s">
        <v>14</v>
      </c>
      <c r="E19" t="s">
        <v>15</v>
      </c>
      <c r="F19">
        <v>1971</v>
      </c>
      <c r="G19">
        <v>370</v>
      </c>
      <c r="H19">
        <v>306</v>
      </c>
      <c r="I19">
        <v>31316</v>
      </c>
      <c r="J19">
        <v>27897</v>
      </c>
      <c r="K19">
        <v>88</v>
      </c>
      <c r="L19" t="s">
        <v>20</v>
      </c>
      <c r="M19">
        <v>8.4525482181632389E-2</v>
      </c>
      <c r="N19" t="s">
        <v>37</v>
      </c>
    </row>
    <row r="20" spans="1:14">
      <c r="A20" t="s">
        <v>38</v>
      </c>
      <c r="B20" t="s">
        <v>13</v>
      </c>
      <c r="C20" s="1">
        <v>45426</v>
      </c>
      <c r="D20" t="s">
        <v>14</v>
      </c>
      <c r="E20" t="s">
        <v>15</v>
      </c>
      <c r="F20">
        <v>1485</v>
      </c>
      <c r="G20">
        <v>353</v>
      </c>
      <c r="H20">
        <v>244</v>
      </c>
      <c r="I20">
        <v>38419</v>
      </c>
      <c r="J20">
        <v>38556</v>
      </c>
      <c r="K20">
        <v>86</v>
      </c>
      <c r="L20" t="s">
        <v>16</v>
      </c>
      <c r="M20">
        <v>5.4191936281527367E-2</v>
      </c>
      <c r="N20" t="s">
        <v>37</v>
      </c>
    </row>
    <row r="21" spans="1:14">
      <c r="A21" t="s">
        <v>38</v>
      </c>
      <c r="B21" t="s">
        <v>13</v>
      </c>
      <c r="C21" s="1">
        <v>45426</v>
      </c>
      <c r="D21" t="s">
        <v>14</v>
      </c>
      <c r="E21" t="s">
        <v>15</v>
      </c>
      <c r="F21">
        <v>1485</v>
      </c>
      <c r="G21">
        <v>353</v>
      </c>
      <c r="H21">
        <v>244</v>
      </c>
      <c r="I21">
        <v>38419</v>
      </c>
      <c r="J21">
        <v>38556</v>
      </c>
      <c r="K21">
        <v>86</v>
      </c>
      <c r="L21" t="s">
        <v>16</v>
      </c>
      <c r="M21">
        <v>5.4191936281527367E-2</v>
      </c>
      <c r="N21" t="s">
        <v>34</v>
      </c>
    </row>
    <row r="22" spans="1:14">
      <c r="A22" t="s">
        <v>39</v>
      </c>
      <c r="B22" t="s">
        <v>22</v>
      </c>
      <c r="C22" s="1">
        <v>45826</v>
      </c>
      <c r="D22" t="s">
        <v>23</v>
      </c>
      <c r="E22" t="s">
        <v>15</v>
      </c>
      <c r="F22">
        <v>3956</v>
      </c>
      <c r="G22">
        <v>319</v>
      </c>
      <c r="H22">
        <v>61</v>
      </c>
      <c r="I22">
        <v>58162</v>
      </c>
      <c r="J22">
        <v>28720</v>
      </c>
      <c r="K22">
        <v>213</v>
      </c>
      <c r="L22" t="s">
        <v>16</v>
      </c>
      <c r="M22">
        <v>7.4550393727863554E-2</v>
      </c>
      <c r="N22" t="s">
        <v>364</v>
      </c>
    </row>
    <row r="23" spans="1:14">
      <c r="A23" t="s">
        <v>39</v>
      </c>
      <c r="B23" t="s">
        <v>22</v>
      </c>
      <c r="C23" s="1">
        <v>45826</v>
      </c>
      <c r="D23" t="s">
        <v>23</v>
      </c>
      <c r="E23" t="s">
        <v>15</v>
      </c>
      <c r="F23">
        <v>3956</v>
      </c>
      <c r="G23">
        <v>319</v>
      </c>
      <c r="H23">
        <v>61</v>
      </c>
      <c r="I23">
        <v>58162</v>
      </c>
      <c r="J23">
        <v>28720</v>
      </c>
      <c r="K23">
        <v>213</v>
      </c>
      <c r="L23" t="s">
        <v>16</v>
      </c>
      <c r="M23">
        <v>7.4550393727863554E-2</v>
      </c>
      <c r="N23" t="s">
        <v>34</v>
      </c>
    </row>
    <row r="24" spans="1:14">
      <c r="A24" t="s">
        <v>40</v>
      </c>
      <c r="B24" t="s">
        <v>22</v>
      </c>
      <c r="C24" s="1">
        <v>45573</v>
      </c>
      <c r="D24" t="s">
        <v>14</v>
      </c>
      <c r="E24" t="s">
        <v>363</v>
      </c>
      <c r="F24">
        <v>2460</v>
      </c>
      <c r="G24">
        <v>409</v>
      </c>
      <c r="H24">
        <v>253</v>
      </c>
      <c r="I24">
        <v>36702</v>
      </c>
      <c r="J24">
        <v>46122</v>
      </c>
      <c r="K24">
        <v>264</v>
      </c>
      <c r="L24" t="s">
        <v>16</v>
      </c>
      <c r="M24">
        <v>8.5063484278785892E-2</v>
      </c>
      <c r="N24" t="s">
        <v>34</v>
      </c>
    </row>
    <row r="25" spans="1:14">
      <c r="A25" t="s">
        <v>41</v>
      </c>
      <c r="B25" t="s">
        <v>22</v>
      </c>
      <c r="C25" s="1">
        <v>45418</v>
      </c>
      <c r="D25" t="s">
        <v>14</v>
      </c>
      <c r="E25" t="s">
        <v>42</v>
      </c>
      <c r="F25">
        <v>3476</v>
      </c>
      <c r="G25">
        <v>355</v>
      </c>
      <c r="H25">
        <v>396</v>
      </c>
      <c r="I25">
        <v>37492</v>
      </c>
      <c r="J25">
        <v>27285</v>
      </c>
      <c r="K25">
        <v>179</v>
      </c>
      <c r="L25" t="s">
        <v>16</v>
      </c>
      <c r="M25">
        <v>0.11274405206444041</v>
      </c>
      <c r="N25" t="s">
        <v>34</v>
      </c>
    </row>
    <row r="26" spans="1:14">
      <c r="A26" t="s">
        <v>43</v>
      </c>
      <c r="B26" t="s">
        <v>22</v>
      </c>
      <c r="C26" s="1">
        <v>45655</v>
      </c>
      <c r="D26" t="s">
        <v>23</v>
      </c>
      <c r="E26" t="s">
        <v>24</v>
      </c>
      <c r="F26">
        <v>4049</v>
      </c>
      <c r="G26">
        <v>377</v>
      </c>
      <c r="H26">
        <v>94</v>
      </c>
      <c r="I26">
        <v>48182</v>
      </c>
      <c r="J26">
        <v>42875</v>
      </c>
      <c r="K26">
        <v>172</v>
      </c>
      <c r="L26" t="s">
        <v>16</v>
      </c>
      <c r="M26">
        <v>9.3810966751068869E-2</v>
      </c>
      <c r="N26" t="s">
        <v>364</v>
      </c>
    </row>
    <row r="27" spans="1:14">
      <c r="A27" t="s">
        <v>43</v>
      </c>
      <c r="B27" t="s">
        <v>22</v>
      </c>
      <c r="C27" s="1">
        <v>45655</v>
      </c>
      <c r="D27" t="s">
        <v>23</v>
      </c>
      <c r="E27" t="s">
        <v>24</v>
      </c>
      <c r="F27">
        <v>4049</v>
      </c>
      <c r="G27">
        <v>377</v>
      </c>
      <c r="H27">
        <v>94</v>
      </c>
      <c r="I27">
        <v>48182</v>
      </c>
      <c r="J27">
        <v>42875</v>
      </c>
      <c r="K27">
        <v>172</v>
      </c>
      <c r="L27" t="s">
        <v>16</v>
      </c>
      <c r="M27">
        <v>9.3810966751068869E-2</v>
      </c>
      <c r="N27" t="s">
        <v>34</v>
      </c>
    </row>
    <row r="28" spans="1:14">
      <c r="A28" t="s">
        <v>44</v>
      </c>
      <c r="B28" t="s">
        <v>22</v>
      </c>
      <c r="C28" s="1">
        <v>45453</v>
      </c>
      <c r="D28" t="s">
        <v>14</v>
      </c>
      <c r="E28" t="s">
        <v>362</v>
      </c>
      <c r="F28">
        <v>1514</v>
      </c>
      <c r="G28">
        <v>164</v>
      </c>
      <c r="H28">
        <v>275</v>
      </c>
      <c r="I28">
        <v>41364</v>
      </c>
      <c r="J28">
        <v>44389</v>
      </c>
      <c r="K28">
        <v>83</v>
      </c>
      <c r="L28" t="s">
        <v>16</v>
      </c>
      <c r="M28">
        <v>4.7214969538729328E-2</v>
      </c>
      <c r="N28" t="s">
        <v>34</v>
      </c>
    </row>
    <row r="29" spans="1:14">
      <c r="A29" t="s">
        <v>45</v>
      </c>
      <c r="B29" t="s">
        <v>13</v>
      </c>
      <c r="C29" s="1">
        <v>45325</v>
      </c>
      <c r="D29" t="s">
        <v>23</v>
      </c>
      <c r="E29" t="s">
        <v>361</v>
      </c>
      <c r="F29">
        <v>4281</v>
      </c>
      <c r="G29">
        <v>101</v>
      </c>
      <c r="H29">
        <v>163</v>
      </c>
      <c r="I29">
        <v>32278</v>
      </c>
      <c r="J29">
        <v>53382</v>
      </c>
      <c r="K29">
        <v>235</v>
      </c>
      <c r="L29" t="s">
        <v>46</v>
      </c>
      <c r="M29">
        <v>0.1408079806679472</v>
      </c>
      <c r="N29" t="s">
        <v>34</v>
      </c>
    </row>
    <row r="30" spans="1:14">
      <c r="A30" t="s">
        <v>47</v>
      </c>
      <c r="B30" t="s">
        <v>27</v>
      </c>
      <c r="C30" s="1">
        <v>45458</v>
      </c>
      <c r="D30" t="s">
        <v>48</v>
      </c>
      <c r="E30" t="s">
        <v>30</v>
      </c>
      <c r="F30">
        <v>1751</v>
      </c>
      <c r="G30">
        <v>143</v>
      </c>
      <c r="H30">
        <v>151</v>
      </c>
      <c r="I30">
        <v>31826</v>
      </c>
      <c r="J30">
        <v>47729</v>
      </c>
      <c r="K30">
        <v>95</v>
      </c>
      <c r="L30" t="s">
        <v>49</v>
      </c>
      <c r="M30">
        <v>6.4255640042732362E-2</v>
      </c>
      <c r="N30" t="s">
        <v>19</v>
      </c>
    </row>
    <row r="31" spans="1:14">
      <c r="A31" t="s">
        <v>47</v>
      </c>
      <c r="B31" t="s">
        <v>27</v>
      </c>
      <c r="C31" s="1">
        <v>45458</v>
      </c>
      <c r="D31" t="s">
        <v>48</v>
      </c>
      <c r="E31" t="s">
        <v>30</v>
      </c>
      <c r="F31">
        <v>1751</v>
      </c>
      <c r="G31">
        <v>143</v>
      </c>
      <c r="H31">
        <v>151</v>
      </c>
      <c r="I31">
        <v>31826</v>
      </c>
      <c r="J31">
        <v>47729</v>
      </c>
      <c r="K31">
        <v>95</v>
      </c>
      <c r="L31" t="s">
        <v>49</v>
      </c>
      <c r="M31">
        <v>6.4255640042732362E-2</v>
      </c>
      <c r="N31" t="s">
        <v>37</v>
      </c>
    </row>
    <row r="32" spans="1:14">
      <c r="A32" t="s">
        <v>50</v>
      </c>
      <c r="B32" t="s">
        <v>13</v>
      </c>
      <c r="C32" s="1">
        <v>45478</v>
      </c>
      <c r="D32" t="s">
        <v>14</v>
      </c>
      <c r="E32" t="s">
        <v>42</v>
      </c>
      <c r="F32">
        <v>3753</v>
      </c>
      <c r="G32">
        <v>411</v>
      </c>
      <c r="H32">
        <v>308</v>
      </c>
      <c r="I32">
        <v>29138</v>
      </c>
      <c r="J32">
        <v>27678</v>
      </c>
      <c r="K32">
        <v>90</v>
      </c>
      <c r="L32" t="s">
        <v>20</v>
      </c>
      <c r="M32">
        <v>0.15347655981879332</v>
      </c>
      <c r="N32" t="s">
        <v>19</v>
      </c>
    </row>
    <row r="33" spans="1:14">
      <c r="A33" t="s">
        <v>51</v>
      </c>
      <c r="B33" t="s">
        <v>13</v>
      </c>
      <c r="C33" s="1">
        <v>45603</v>
      </c>
      <c r="D33" t="s">
        <v>23</v>
      </c>
      <c r="E33" t="s">
        <v>360</v>
      </c>
      <c r="F33">
        <v>1678</v>
      </c>
      <c r="G33">
        <v>423</v>
      </c>
      <c r="H33">
        <v>323</v>
      </c>
      <c r="I33">
        <v>55668</v>
      </c>
      <c r="J33">
        <v>37945</v>
      </c>
      <c r="K33">
        <v>230</v>
      </c>
      <c r="L33" t="s">
        <v>46</v>
      </c>
      <c r="M33">
        <v>4.3543867212761371E-2</v>
      </c>
      <c r="N33" t="s">
        <v>34</v>
      </c>
    </row>
    <row r="34" spans="1:14">
      <c r="A34" t="s">
        <v>52</v>
      </c>
      <c r="B34" t="s">
        <v>13</v>
      </c>
      <c r="C34" s="1">
        <v>45823</v>
      </c>
      <c r="D34" t="s">
        <v>14</v>
      </c>
      <c r="E34" t="s">
        <v>362</v>
      </c>
      <c r="F34">
        <v>4896</v>
      </c>
      <c r="G34">
        <v>466</v>
      </c>
      <c r="H34">
        <v>233</v>
      </c>
      <c r="I34">
        <v>28621</v>
      </c>
      <c r="J34">
        <v>34270</v>
      </c>
      <c r="K34">
        <v>84</v>
      </c>
      <c r="L34" t="s">
        <v>16</v>
      </c>
      <c r="M34">
        <v>0.19548583208133888</v>
      </c>
      <c r="N34" t="s">
        <v>37</v>
      </c>
    </row>
    <row r="35" spans="1:14">
      <c r="A35" t="s">
        <v>52</v>
      </c>
      <c r="B35" t="s">
        <v>13</v>
      </c>
      <c r="C35" s="1">
        <v>45823</v>
      </c>
      <c r="D35" t="s">
        <v>14</v>
      </c>
      <c r="E35" t="s">
        <v>362</v>
      </c>
      <c r="F35">
        <v>4896</v>
      </c>
      <c r="G35">
        <v>466</v>
      </c>
      <c r="H35">
        <v>233</v>
      </c>
      <c r="I35">
        <v>28621</v>
      </c>
      <c r="J35">
        <v>34270</v>
      </c>
      <c r="K35">
        <v>84</v>
      </c>
      <c r="L35" t="s">
        <v>16</v>
      </c>
      <c r="M35">
        <v>0.19548583208133888</v>
      </c>
      <c r="N35" t="s">
        <v>34</v>
      </c>
    </row>
    <row r="36" spans="1:14">
      <c r="A36" t="s">
        <v>53</v>
      </c>
      <c r="B36" t="s">
        <v>27</v>
      </c>
      <c r="C36" s="1">
        <v>45452</v>
      </c>
      <c r="D36" t="s">
        <v>48</v>
      </c>
      <c r="E36" t="s">
        <v>363</v>
      </c>
      <c r="F36">
        <v>2786</v>
      </c>
      <c r="G36">
        <v>368</v>
      </c>
      <c r="H36">
        <v>208</v>
      </c>
      <c r="I36">
        <v>42000</v>
      </c>
      <c r="J36">
        <v>39967</v>
      </c>
      <c r="K36">
        <v>103</v>
      </c>
      <c r="L36" t="s">
        <v>49</v>
      </c>
      <c r="M36">
        <v>8.0047619047619048E-2</v>
      </c>
      <c r="N36" t="s">
        <v>19</v>
      </c>
    </row>
    <row r="37" spans="1:14">
      <c r="A37" t="s">
        <v>53</v>
      </c>
      <c r="B37" t="s">
        <v>27</v>
      </c>
      <c r="C37" s="1">
        <v>45452</v>
      </c>
      <c r="D37" t="s">
        <v>48</v>
      </c>
      <c r="E37" t="s">
        <v>363</v>
      </c>
      <c r="F37">
        <v>2786</v>
      </c>
      <c r="G37">
        <v>368</v>
      </c>
      <c r="H37">
        <v>208</v>
      </c>
      <c r="I37">
        <v>42000</v>
      </c>
      <c r="J37">
        <v>39967</v>
      </c>
      <c r="K37">
        <v>103</v>
      </c>
      <c r="L37" t="s">
        <v>49</v>
      </c>
      <c r="M37">
        <v>8.0047619047619048E-2</v>
      </c>
      <c r="N37" t="s">
        <v>37</v>
      </c>
    </row>
    <row r="38" spans="1:14">
      <c r="A38" t="s">
        <v>54</v>
      </c>
      <c r="B38" t="s">
        <v>22</v>
      </c>
      <c r="C38" s="1">
        <v>45583</v>
      </c>
      <c r="D38" t="s">
        <v>14</v>
      </c>
      <c r="E38" t="s">
        <v>24</v>
      </c>
      <c r="F38">
        <v>2607</v>
      </c>
      <c r="G38">
        <v>379</v>
      </c>
      <c r="H38">
        <v>180</v>
      </c>
      <c r="I38">
        <v>28712</v>
      </c>
      <c r="J38">
        <v>61620</v>
      </c>
      <c r="K38">
        <v>174</v>
      </c>
      <c r="L38" t="s">
        <v>20</v>
      </c>
      <c r="M38">
        <v>0.11026748397882419</v>
      </c>
      <c r="N38" t="s">
        <v>37</v>
      </c>
    </row>
    <row r="39" spans="1:14">
      <c r="A39" t="s">
        <v>55</v>
      </c>
      <c r="B39" t="s">
        <v>27</v>
      </c>
      <c r="C39" s="1">
        <v>45575</v>
      </c>
      <c r="D39" t="s">
        <v>48</v>
      </c>
      <c r="E39" t="s">
        <v>363</v>
      </c>
      <c r="F39">
        <v>4013</v>
      </c>
      <c r="G39">
        <v>320</v>
      </c>
      <c r="H39">
        <v>92</v>
      </c>
      <c r="I39">
        <v>54605</v>
      </c>
      <c r="J39">
        <v>60169</v>
      </c>
      <c r="K39">
        <v>232</v>
      </c>
      <c r="L39" t="s">
        <v>49</v>
      </c>
      <c r="M39">
        <v>8.1036535115831879E-2</v>
      </c>
      <c r="N39" t="s">
        <v>19</v>
      </c>
    </row>
    <row r="40" spans="1:14">
      <c r="A40" t="s">
        <v>55</v>
      </c>
      <c r="B40" t="s">
        <v>27</v>
      </c>
      <c r="C40" s="1">
        <v>45575</v>
      </c>
      <c r="D40" t="s">
        <v>48</v>
      </c>
      <c r="E40" t="s">
        <v>363</v>
      </c>
      <c r="F40">
        <v>4013</v>
      </c>
      <c r="G40">
        <v>320</v>
      </c>
      <c r="H40">
        <v>92</v>
      </c>
      <c r="I40">
        <v>54605</v>
      </c>
      <c r="J40">
        <v>60169</v>
      </c>
      <c r="K40">
        <v>232</v>
      </c>
      <c r="L40" t="s">
        <v>49</v>
      </c>
      <c r="M40">
        <v>8.1036535115831879E-2</v>
      </c>
      <c r="N40" t="s">
        <v>37</v>
      </c>
    </row>
    <row r="41" spans="1:14">
      <c r="A41" t="s">
        <v>56</v>
      </c>
      <c r="B41" t="s">
        <v>22</v>
      </c>
      <c r="C41" s="1">
        <v>45791</v>
      </c>
      <c r="D41" t="s">
        <v>23</v>
      </c>
      <c r="E41" t="s">
        <v>363</v>
      </c>
      <c r="F41">
        <v>2707</v>
      </c>
      <c r="G41">
        <v>103</v>
      </c>
      <c r="H41">
        <v>51</v>
      </c>
      <c r="I41">
        <v>55302</v>
      </c>
      <c r="J41">
        <v>18801</v>
      </c>
      <c r="K41">
        <v>147</v>
      </c>
      <c r="L41" t="s">
        <v>16</v>
      </c>
      <c r="M41">
        <v>5.173411449857148E-2</v>
      </c>
      <c r="N41" t="s">
        <v>19</v>
      </c>
    </row>
    <row r="42" spans="1:14">
      <c r="A42" t="s">
        <v>56</v>
      </c>
      <c r="B42" t="s">
        <v>22</v>
      </c>
      <c r="C42" s="1">
        <v>45791</v>
      </c>
      <c r="D42" t="s">
        <v>23</v>
      </c>
      <c r="E42" t="s">
        <v>363</v>
      </c>
      <c r="F42">
        <v>2707</v>
      </c>
      <c r="G42">
        <v>103</v>
      </c>
      <c r="H42">
        <v>51</v>
      </c>
      <c r="I42">
        <v>55302</v>
      </c>
      <c r="J42">
        <v>18801</v>
      </c>
      <c r="K42">
        <v>147</v>
      </c>
      <c r="L42" t="s">
        <v>16</v>
      </c>
      <c r="M42">
        <v>5.173411449857148E-2</v>
      </c>
      <c r="N42" t="s">
        <v>364</v>
      </c>
    </row>
    <row r="43" spans="1:14">
      <c r="A43" t="s">
        <v>57</v>
      </c>
      <c r="B43" t="s">
        <v>13</v>
      </c>
      <c r="C43" s="1">
        <v>45625</v>
      </c>
      <c r="D43" t="s">
        <v>14</v>
      </c>
      <c r="E43" t="s">
        <v>362</v>
      </c>
      <c r="F43">
        <v>2824</v>
      </c>
      <c r="G43">
        <v>425</v>
      </c>
      <c r="H43">
        <v>274</v>
      </c>
      <c r="I43">
        <v>31004</v>
      </c>
      <c r="J43">
        <v>53488</v>
      </c>
      <c r="K43">
        <v>268</v>
      </c>
      <c r="L43" t="s">
        <v>16</v>
      </c>
      <c r="M43">
        <v>0.11363049929041415</v>
      </c>
      <c r="N43" t="s">
        <v>37</v>
      </c>
    </row>
    <row r="44" spans="1:14">
      <c r="A44" t="s">
        <v>57</v>
      </c>
      <c r="B44" t="s">
        <v>13</v>
      </c>
      <c r="C44" s="1">
        <v>45625</v>
      </c>
      <c r="D44" t="s">
        <v>14</v>
      </c>
      <c r="E44" t="s">
        <v>362</v>
      </c>
      <c r="F44">
        <v>2824</v>
      </c>
      <c r="G44">
        <v>425</v>
      </c>
      <c r="H44">
        <v>274</v>
      </c>
      <c r="I44">
        <v>31004</v>
      </c>
      <c r="J44">
        <v>53488</v>
      </c>
      <c r="K44">
        <v>268</v>
      </c>
      <c r="L44" t="s">
        <v>16</v>
      </c>
      <c r="M44">
        <v>0.11363049929041415</v>
      </c>
      <c r="N44" t="s">
        <v>34</v>
      </c>
    </row>
    <row r="45" spans="1:14">
      <c r="A45" t="s">
        <v>58</v>
      </c>
      <c r="B45" t="s">
        <v>27</v>
      </c>
      <c r="C45" s="1">
        <v>45356</v>
      </c>
      <c r="D45" t="s">
        <v>48</v>
      </c>
      <c r="E45" t="s">
        <v>18</v>
      </c>
      <c r="F45">
        <v>3558</v>
      </c>
      <c r="G45">
        <v>314</v>
      </c>
      <c r="H45">
        <v>199</v>
      </c>
      <c r="I45">
        <v>49612</v>
      </c>
      <c r="J45">
        <v>53929</v>
      </c>
      <c r="K45">
        <v>206</v>
      </c>
      <c r="L45" t="s">
        <v>49</v>
      </c>
      <c r="M45">
        <v>8.205676046117874E-2</v>
      </c>
      <c r="N45" t="s">
        <v>19</v>
      </c>
    </row>
    <row r="46" spans="1:14">
      <c r="A46" t="s">
        <v>58</v>
      </c>
      <c r="B46" t="s">
        <v>27</v>
      </c>
      <c r="C46" s="1">
        <v>45356</v>
      </c>
      <c r="D46" t="s">
        <v>48</v>
      </c>
      <c r="E46" t="s">
        <v>18</v>
      </c>
      <c r="F46">
        <v>3558</v>
      </c>
      <c r="G46">
        <v>314</v>
      </c>
      <c r="H46">
        <v>199</v>
      </c>
      <c r="I46">
        <v>49612</v>
      </c>
      <c r="J46">
        <v>53929</v>
      </c>
      <c r="K46">
        <v>206</v>
      </c>
      <c r="L46" t="s">
        <v>49</v>
      </c>
      <c r="M46">
        <v>8.205676046117874E-2</v>
      </c>
      <c r="N46" t="s">
        <v>37</v>
      </c>
    </row>
    <row r="47" spans="1:14">
      <c r="A47" t="s">
        <v>59</v>
      </c>
      <c r="B47" t="s">
        <v>22</v>
      </c>
      <c r="C47" s="1">
        <v>45734</v>
      </c>
      <c r="D47" t="s">
        <v>23</v>
      </c>
      <c r="E47" t="s">
        <v>18</v>
      </c>
      <c r="F47">
        <v>3418</v>
      </c>
      <c r="G47">
        <v>188</v>
      </c>
      <c r="H47">
        <v>387</v>
      </c>
      <c r="I47">
        <v>57431</v>
      </c>
      <c r="J47">
        <v>36933</v>
      </c>
      <c r="K47">
        <v>202</v>
      </c>
      <c r="L47" t="s">
        <v>16</v>
      </c>
      <c r="M47">
        <v>6.9526910553533799E-2</v>
      </c>
      <c r="N47" t="s">
        <v>364</v>
      </c>
    </row>
    <row r="48" spans="1:14">
      <c r="A48" t="s">
        <v>59</v>
      </c>
      <c r="B48" t="s">
        <v>22</v>
      </c>
      <c r="C48" s="1">
        <v>45734</v>
      </c>
      <c r="D48" t="s">
        <v>23</v>
      </c>
      <c r="E48" t="s">
        <v>18</v>
      </c>
      <c r="F48">
        <v>3418</v>
      </c>
      <c r="G48">
        <v>188</v>
      </c>
      <c r="H48">
        <v>387</v>
      </c>
      <c r="I48">
        <v>57431</v>
      </c>
      <c r="J48">
        <v>36933</v>
      </c>
      <c r="K48">
        <v>202</v>
      </c>
      <c r="L48" t="s">
        <v>16</v>
      </c>
      <c r="M48">
        <v>6.9526910553533799E-2</v>
      </c>
      <c r="N48" t="s">
        <v>34</v>
      </c>
    </row>
    <row r="49" spans="1:14">
      <c r="A49" t="s">
        <v>60</v>
      </c>
      <c r="B49" t="s">
        <v>22</v>
      </c>
      <c r="C49" s="1">
        <v>45773</v>
      </c>
      <c r="D49" t="s">
        <v>14</v>
      </c>
      <c r="E49" t="s">
        <v>15</v>
      </c>
      <c r="F49">
        <v>2411</v>
      </c>
      <c r="G49">
        <v>194</v>
      </c>
      <c r="H49">
        <v>168</v>
      </c>
      <c r="I49">
        <v>26665</v>
      </c>
      <c r="J49">
        <v>71699</v>
      </c>
      <c r="K49">
        <v>197</v>
      </c>
      <c r="L49" t="s">
        <v>16</v>
      </c>
      <c r="M49">
        <v>0.10399399962497656</v>
      </c>
      <c r="N49" t="s">
        <v>34</v>
      </c>
    </row>
    <row r="50" spans="1:14">
      <c r="A50" t="s">
        <v>61</v>
      </c>
      <c r="B50" t="s">
        <v>13</v>
      </c>
      <c r="C50" s="1">
        <v>45658</v>
      </c>
      <c r="D50" t="s">
        <v>14</v>
      </c>
      <c r="E50" t="s">
        <v>24</v>
      </c>
      <c r="F50">
        <v>4036</v>
      </c>
      <c r="G50">
        <v>112</v>
      </c>
      <c r="H50">
        <v>382</v>
      </c>
      <c r="I50">
        <v>56284</v>
      </c>
      <c r="J50">
        <v>29440</v>
      </c>
      <c r="K50">
        <v>279</v>
      </c>
      <c r="L50" t="s">
        <v>16</v>
      </c>
      <c r="M50">
        <v>8.0484684812735408E-2</v>
      </c>
      <c r="N50" t="s">
        <v>37</v>
      </c>
    </row>
    <row r="51" spans="1:14">
      <c r="A51" t="s">
        <v>61</v>
      </c>
      <c r="B51" t="s">
        <v>13</v>
      </c>
      <c r="C51" s="1">
        <v>45658</v>
      </c>
      <c r="D51" t="s">
        <v>14</v>
      </c>
      <c r="E51" t="s">
        <v>24</v>
      </c>
      <c r="F51">
        <v>4036</v>
      </c>
      <c r="G51">
        <v>112</v>
      </c>
      <c r="H51">
        <v>382</v>
      </c>
      <c r="I51">
        <v>56284</v>
      </c>
      <c r="J51">
        <v>29440</v>
      </c>
      <c r="K51">
        <v>279</v>
      </c>
      <c r="L51" t="s">
        <v>16</v>
      </c>
      <c r="M51">
        <v>8.0484684812735408E-2</v>
      </c>
      <c r="N51" t="s">
        <v>34</v>
      </c>
    </row>
    <row r="52" spans="1:14">
      <c r="A52" t="s">
        <v>62</v>
      </c>
      <c r="B52" t="s">
        <v>22</v>
      </c>
      <c r="C52" s="1">
        <v>45419</v>
      </c>
      <c r="D52" t="s">
        <v>23</v>
      </c>
      <c r="E52" t="s">
        <v>18</v>
      </c>
      <c r="F52">
        <v>2776</v>
      </c>
      <c r="G52">
        <v>307</v>
      </c>
      <c r="H52">
        <v>178</v>
      </c>
      <c r="I52">
        <v>43365</v>
      </c>
      <c r="J52">
        <v>48408</v>
      </c>
      <c r="K52">
        <v>138</v>
      </c>
      <c r="L52" t="s">
        <v>16</v>
      </c>
      <c r="M52">
        <v>7.519889311656866E-2</v>
      </c>
      <c r="N52" t="s">
        <v>37</v>
      </c>
    </row>
    <row r="53" spans="1:14">
      <c r="A53" t="s">
        <v>62</v>
      </c>
      <c r="B53" t="s">
        <v>22</v>
      </c>
      <c r="C53" s="1">
        <v>45419</v>
      </c>
      <c r="D53" t="s">
        <v>23</v>
      </c>
      <c r="E53" t="s">
        <v>18</v>
      </c>
      <c r="F53">
        <v>2776</v>
      </c>
      <c r="G53">
        <v>307</v>
      </c>
      <c r="H53">
        <v>178</v>
      </c>
      <c r="I53">
        <v>43365</v>
      </c>
      <c r="J53">
        <v>48408</v>
      </c>
      <c r="K53">
        <v>138</v>
      </c>
      <c r="L53" t="s">
        <v>16</v>
      </c>
      <c r="M53">
        <v>7.519889311656866E-2</v>
      </c>
      <c r="N53" t="s">
        <v>34</v>
      </c>
    </row>
    <row r="54" spans="1:14">
      <c r="A54" t="s">
        <v>63</v>
      </c>
      <c r="B54" t="s">
        <v>22</v>
      </c>
      <c r="C54" s="1">
        <v>45574</v>
      </c>
      <c r="D54" t="s">
        <v>23</v>
      </c>
      <c r="E54" t="s">
        <v>15</v>
      </c>
      <c r="F54">
        <v>4929</v>
      </c>
      <c r="G54">
        <v>182</v>
      </c>
      <c r="H54">
        <v>95</v>
      </c>
      <c r="I54">
        <v>32181</v>
      </c>
      <c r="J54">
        <v>31084</v>
      </c>
      <c r="K54">
        <v>289</v>
      </c>
      <c r="L54" t="s">
        <v>16</v>
      </c>
      <c r="M54">
        <v>0.16177247444144061</v>
      </c>
      <c r="N54" t="s">
        <v>19</v>
      </c>
    </row>
    <row r="55" spans="1:14">
      <c r="A55" t="s">
        <v>63</v>
      </c>
      <c r="B55" t="s">
        <v>22</v>
      </c>
      <c r="C55" s="1">
        <v>45574</v>
      </c>
      <c r="D55" t="s">
        <v>23</v>
      </c>
      <c r="E55" t="s">
        <v>15</v>
      </c>
      <c r="F55">
        <v>4929</v>
      </c>
      <c r="G55">
        <v>182</v>
      </c>
      <c r="H55">
        <v>95</v>
      </c>
      <c r="I55">
        <v>32181</v>
      </c>
      <c r="J55">
        <v>31084</v>
      </c>
      <c r="K55">
        <v>289</v>
      </c>
      <c r="L55" t="s">
        <v>16</v>
      </c>
      <c r="M55">
        <v>0.16177247444144061</v>
      </c>
      <c r="N55" t="s">
        <v>364</v>
      </c>
    </row>
    <row r="56" spans="1:14">
      <c r="A56" t="s">
        <v>64</v>
      </c>
      <c r="B56" t="s">
        <v>13</v>
      </c>
      <c r="C56" s="1">
        <v>45666</v>
      </c>
      <c r="D56" t="s">
        <v>14</v>
      </c>
      <c r="E56" t="s">
        <v>24</v>
      </c>
      <c r="F56">
        <v>1015</v>
      </c>
      <c r="G56">
        <v>366</v>
      </c>
      <c r="H56">
        <v>308</v>
      </c>
      <c r="I56">
        <v>38127</v>
      </c>
      <c r="J56">
        <v>63790</v>
      </c>
      <c r="K56">
        <v>287</v>
      </c>
      <c r="L56" t="s">
        <v>16</v>
      </c>
      <c r="M56">
        <v>4.4299315445747112E-2</v>
      </c>
      <c r="N56" t="s">
        <v>37</v>
      </c>
    </row>
    <row r="57" spans="1:14">
      <c r="A57" t="s">
        <v>64</v>
      </c>
      <c r="B57" t="s">
        <v>13</v>
      </c>
      <c r="C57" s="1">
        <v>45666</v>
      </c>
      <c r="D57" t="s">
        <v>14</v>
      </c>
      <c r="E57" t="s">
        <v>24</v>
      </c>
      <c r="F57">
        <v>1015</v>
      </c>
      <c r="G57">
        <v>366</v>
      </c>
      <c r="H57">
        <v>308</v>
      </c>
      <c r="I57">
        <v>38127</v>
      </c>
      <c r="J57">
        <v>63790</v>
      </c>
      <c r="K57">
        <v>287</v>
      </c>
      <c r="L57" t="s">
        <v>16</v>
      </c>
      <c r="M57">
        <v>4.4299315445747112E-2</v>
      </c>
      <c r="N57" t="s">
        <v>34</v>
      </c>
    </row>
    <row r="58" spans="1:14">
      <c r="A58" t="s">
        <v>65</v>
      </c>
      <c r="B58" t="s">
        <v>22</v>
      </c>
      <c r="C58" s="1">
        <v>45785</v>
      </c>
      <c r="D58" t="s">
        <v>23</v>
      </c>
      <c r="E58" t="s">
        <v>42</v>
      </c>
      <c r="F58">
        <v>3316</v>
      </c>
      <c r="G58">
        <v>332</v>
      </c>
      <c r="H58">
        <v>268</v>
      </c>
      <c r="I58">
        <v>40095</v>
      </c>
      <c r="J58">
        <v>36913</v>
      </c>
      <c r="K58">
        <v>265</v>
      </c>
      <c r="L58" t="s">
        <v>16</v>
      </c>
      <c r="M58">
        <v>9.7668038408779148E-2</v>
      </c>
      <c r="N58" t="s">
        <v>364</v>
      </c>
    </row>
    <row r="59" spans="1:14">
      <c r="A59" t="s">
        <v>65</v>
      </c>
      <c r="B59" t="s">
        <v>22</v>
      </c>
      <c r="C59" s="1">
        <v>45785</v>
      </c>
      <c r="D59" t="s">
        <v>23</v>
      </c>
      <c r="E59" t="s">
        <v>42</v>
      </c>
      <c r="F59">
        <v>3316</v>
      </c>
      <c r="G59">
        <v>332</v>
      </c>
      <c r="H59">
        <v>268</v>
      </c>
      <c r="I59">
        <v>40095</v>
      </c>
      <c r="J59">
        <v>36913</v>
      </c>
      <c r="K59">
        <v>265</v>
      </c>
      <c r="L59" t="s">
        <v>16</v>
      </c>
      <c r="M59">
        <v>9.7668038408779148E-2</v>
      </c>
      <c r="N59" t="s">
        <v>34</v>
      </c>
    </row>
    <row r="60" spans="1:14">
      <c r="A60" t="s">
        <v>66</v>
      </c>
      <c r="B60" t="s">
        <v>13</v>
      </c>
      <c r="C60" s="1">
        <v>45416</v>
      </c>
      <c r="D60" t="s">
        <v>14</v>
      </c>
      <c r="E60" t="s">
        <v>360</v>
      </c>
      <c r="F60">
        <v>2274</v>
      </c>
      <c r="G60">
        <v>243</v>
      </c>
      <c r="H60">
        <v>222</v>
      </c>
      <c r="I60">
        <v>43066</v>
      </c>
      <c r="J60">
        <v>59174</v>
      </c>
      <c r="K60">
        <v>80</v>
      </c>
      <c r="L60" t="s">
        <v>20</v>
      </c>
      <c r="M60">
        <v>6.3600055728416843E-2</v>
      </c>
      <c r="N60" t="s">
        <v>19</v>
      </c>
    </row>
    <row r="61" spans="1:14">
      <c r="A61" t="s">
        <v>67</v>
      </c>
      <c r="B61" t="s">
        <v>22</v>
      </c>
      <c r="C61" s="1">
        <v>45804</v>
      </c>
      <c r="D61" t="s">
        <v>23</v>
      </c>
      <c r="E61" t="s">
        <v>18</v>
      </c>
      <c r="F61">
        <v>4095</v>
      </c>
      <c r="G61">
        <v>385</v>
      </c>
      <c r="H61">
        <v>400</v>
      </c>
      <c r="I61">
        <v>45300</v>
      </c>
      <c r="J61">
        <v>31795</v>
      </c>
      <c r="K61">
        <v>80</v>
      </c>
      <c r="L61" t="s">
        <v>16</v>
      </c>
      <c r="M61">
        <v>0.10772626931567329</v>
      </c>
      <c r="N61" t="s">
        <v>364</v>
      </c>
    </row>
    <row r="62" spans="1:14">
      <c r="A62" t="s">
        <v>67</v>
      </c>
      <c r="B62" t="s">
        <v>22</v>
      </c>
      <c r="C62" s="1">
        <v>45804</v>
      </c>
      <c r="D62" t="s">
        <v>23</v>
      </c>
      <c r="E62" t="s">
        <v>18</v>
      </c>
      <c r="F62">
        <v>4095</v>
      </c>
      <c r="G62">
        <v>385</v>
      </c>
      <c r="H62">
        <v>400</v>
      </c>
      <c r="I62">
        <v>45300</v>
      </c>
      <c r="J62">
        <v>31795</v>
      </c>
      <c r="K62">
        <v>80</v>
      </c>
      <c r="L62" t="s">
        <v>16</v>
      </c>
      <c r="M62">
        <v>0.10772626931567329</v>
      </c>
      <c r="N62" t="s">
        <v>34</v>
      </c>
    </row>
    <row r="63" spans="1:14">
      <c r="A63" t="s">
        <v>68</v>
      </c>
      <c r="B63" t="s">
        <v>13</v>
      </c>
      <c r="C63" s="1">
        <v>45545</v>
      </c>
      <c r="D63" t="s">
        <v>23</v>
      </c>
      <c r="E63" t="s">
        <v>24</v>
      </c>
      <c r="F63">
        <v>1230</v>
      </c>
      <c r="G63">
        <v>309</v>
      </c>
      <c r="H63">
        <v>207</v>
      </c>
      <c r="I63">
        <v>44629</v>
      </c>
      <c r="J63">
        <v>40699</v>
      </c>
      <c r="K63">
        <v>195</v>
      </c>
      <c r="L63" t="s">
        <v>46</v>
      </c>
      <c r="M63">
        <v>3.9122543637545096E-2</v>
      </c>
      <c r="N63" t="s">
        <v>34</v>
      </c>
    </row>
    <row r="64" spans="1:14">
      <c r="A64" t="s">
        <v>69</v>
      </c>
      <c r="B64" t="s">
        <v>13</v>
      </c>
      <c r="C64" s="1">
        <v>45621</v>
      </c>
      <c r="D64" t="s">
        <v>14</v>
      </c>
      <c r="E64" t="s">
        <v>363</v>
      </c>
      <c r="F64">
        <v>1341</v>
      </c>
      <c r="G64">
        <v>472</v>
      </c>
      <c r="H64">
        <v>238</v>
      </c>
      <c r="I64">
        <v>51386</v>
      </c>
      <c r="J64">
        <v>51706</v>
      </c>
      <c r="K64">
        <v>133</v>
      </c>
      <c r="L64" t="s">
        <v>20</v>
      </c>
      <c r="M64">
        <v>3.9913595142645857E-2</v>
      </c>
      <c r="N64" t="s">
        <v>19</v>
      </c>
    </row>
    <row r="65" spans="1:14">
      <c r="A65" t="s">
        <v>70</v>
      </c>
      <c r="B65" t="s">
        <v>22</v>
      </c>
      <c r="C65" s="1">
        <v>45818</v>
      </c>
      <c r="D65" t="s">
        <v>14</v>
      </c>
      <c r="E65" t="s">
        <v>18</v>
      </c>
      <c r="F65">
        <v>3615</v>
      </c>
      <c r="G65">
        <v>192</v>
      </c>
      <c r="H65">
        <v>162</v>
      </c>
      <c r="I65">
        <v>27492</v>
      </c>
      <c r="J65">
        <v>35341</v>
      </c>
      <c r="K65">
        <v>125</v>
      </c>
      <c r="L65" t="s">
        <v>16</v>
      </c>
      <c r="M65">
        <v>0.14436927106067218</v>
      </c>
      <c r="N65" t="s">
        <v>34</v>
      </c>
    </row>
    <row r="66" spans="1:14">
      <c r="A66" t="s">
        <v>71</v>
      </c>
      <c r="B66" t="s">
        <v>13</v>
      </c>
      <c r="C66" s="1">
        <v>45401</v>
      </c>
      <c r="D66" t="s">
        <v>14</v>
      </c>
      <c r="E66" t="s">
        <v>24</v>
      </c>
      <c r="F66">
        <v>4001</v>
      </c>
      <c r="G66">
        <v>353</v>
      </c>
      <c r="H66">
        <v>129</v>
      </c>
      <c r="I66">
        <v>41265</v>
      </c>
      <c r="J66">
        <v>37279</v>
      </c>
      <c r="K66">
        <v>275</v>
      </c>
      <c r="L66" t="s">
        <v>16</v>
      </c>
      <c r="M66">
        <v>0.10863928268508422</v>
      </c>
      <c r="N66" t="s">
        <v>37</v>
      </c>
    </row>
    <row r="67" spans="1:14">
      <c r="A67" t="s">
        <v>71</v>
      </c>
      <c r="B67" t="s">
        <v>13</v>
      </c>
      <c r="C67" s="1">
        <v>45401</v>
      </c>
      <c r="D67" t="s">
        <v>14</v>
      </c>
      <c r="E67" t="s">
        <v>24</v>
      </c>
      <c r="F67">
        <v>4001</v>
      </c>
      <c r="G67">
        <v>353</v>
      </c>
      <c r="H67">
        <v>129</v>
      </c>
      <c r="I67">
        <v>41265</v>
      </c>
      <c r="J67">
        <v>37279</v>
      </c>
      <c r="K67">
        <v>275</v>
      </c>
      <c r="L67" t="s">
        <v>16</v>
      </c>
      <c r="M67">
        <v>0.10863928268508422</v>
      </c>
      <c r="N67" t="s">
        <v>34</v>
      </c>
    </row>
    <row r="68" spans="1:14">
      <c r="A68" t="s">
        <v>72</v>
      </c>
      <c r="B68" t="s">
        <v>13</v>
      </c>
      <c r="C68" s="1">
        <v>45683</v>
      </c>
      <c r="D68" t="s">
        <v>23</v>
      </c>
      <c r="E68" t="s">
        <v>362</v>
      </c>
      <c r="F68">
        <v>3451</v>
      </c>
      <c r="G68">
        <v>363</v>
      </c>
      <c r="H68">
        <v>393</v>
      </c>
      <c r="I68">
        <v>44853</v>
      </c>
      <c r="J68">
        <v>69032</v>
      </c>
      <c r="K68">
        <v>211</v>
      </c>
      <c r="L68" t="s">
        <v>46</v>
      </c>
      <c r="M68">
        <v>9.379528682585335E-2</v>
      </c>
      <c r="N68" t="s">
        <v>34</v>
      </c>
    </row>
    <row r="69" spans="1:14">
      <c r="A69" t="s">
        <v>73</v>
      </c>
      <c r="B69" t="s">
        <v>13</v>
      </c>
      <c r="C69" s="1">
        <v>45702</v>
      </c>
      <c r="D69" t="s">
        <v>14</v>
      </c>
      <c r="E69" t="s">
        <v>33</v>
      </c>
      <c r="F69">
        <v>4891</v>
      </c>
      <c r="G69">
        <v>450</v>
      </c>
      <c r="H69">
        <v>387</v>
      </c>
      <c r="I69">
        <v>48746</v>
      </c>
      <c r="J69">
        <v>37312</v>
      </c>
      <c r="K69">
        <v>154</v>
      </c>
      <c r="L69" t="s">
        <v>16</v>
      </c>
      <c r="M69">
        <v>0.11750707750379519</v>
      </c>
      <c r="N69" t="s">
        <v>37</v>
      </c>
    </row>
    <row r="70" spans="1:14">
      <c r="A70" t="s">
        <v>73</v>
      </c>
      <c r="B70" t="s">
        <v>13</v>
      </c>
      <c r="C70" s="1">
        <v>45702</v>
      </c>
      <c r="D70" t="s">
        <v>14</v>
      </c>
      <c r="E70" t="s">
        <v>33</v>
      </c>
      <c r="F70">
        <v>4891</v>
      </c>
      <c r="G70">
        <v>450</v>
      </c>
      <c r="H70">
        <v>387</v>
      </c>
      <c r="I70">
        <v>48746</v>
      </c>
      <c r="J70">
        <v>37312</v>
      </c>
      <c r="K70">
        <v>154</v>
      </c>
      <c r="L70" t="s">
        <v>16</v>
      </c>
      <c r="M70">
        <v>0.11750707750379519</v>
      </c>
      <c r="N70" t="s">
        <v>34</v>
      </c>
    </row>
    <row r="71" spans="1:14">
      <c r="A71" t="s">
        <v>74</v>
      </c>
      <c r="B71" t="s">
        <v>13</v>
      </c>
      <c r="C71" s="1">
        <v>45541</v>
      </c>
      <c r="D71" t="s">
        <v>14</v>
      </c>
      <c r="E71" t="s">
        <v>24</v>
      </c>
      <c r="F71">
        <v>1452</v>
      </c>
      <c r="G71">
        <v>281</v>
      </c>
      <c r="H71">
        <v>326</v>
      </c>
      <c r="I71">
        <v>51556</v>
      </c>
      <c r="J71">
        <v>62599</v>
      </c>
      <c r="K71">
        <v>290</v>
      </c>
      <c r="L71" t="s">
        <v>20</v>
      </c>
      <c r="M71">
        <v>3.9937155714174881E-2</v>
      </c>
      <c r="N71" t="s">
        <v>19</v>
      </c>
    </row>
    <row r="72" spans="1:14">
      <c r="A72" t="s">
        <v>75</v>
      </c>
      <c r="B72" t="s">
        <v>27</v>
      </c>
      <c r="C72" s="1">
        <v>45487</v>
      </c>
      <c r="D72" t="s">
        <v>14</v>
      </c>
      <c r="E72" t="s">
        <v>42</v>
      </c>
      <c r="F72">
        <v>3806</v>
      </c>
      <c r="G72">
        <v>114</v>
      </c>
      <c r="H72">
        <v>278</v>
      </c>
      <c r="I72">
        <v>36148</v>
      </c>
      <c r="J72">
        <v>24209</v>
      </c>
      <c r="K72">
        <v>201</v>
      </c>
      <c r="L72" t="s">
        <v>20</v>
      </c>
      <c r="M72">
        <v>0.11613367267898639</v>
      </c>
      <c r="N72" t="s">
        <v>19</v>
      </c>
    </row>
    <row r="73" spans="1:14">
      <c r="A73" t="s">
        <v>75</v>
      </c>
      <c r="B73" t="s">
        <v>27</v>
      </c>
      <c r="C73" s="1">
        <v>45487</v>
      </c>
      <c r="D73" t="s">
        <v>14</v>
      </c>
      <c r="E73" t="s">
        <v>42</v>
      </c>
      <c r="F73">
        <v>3806</v>
      </c>
      <c r="G73">
        <v>114</v>
      </c>
      <c r="H73">
        <v>278</v>
      </c>
      <c r="I73">
        <v>36148</v>
      </c>
      <c r="J73">
        <v>24209</v>
      </c>
      <c r="K73">
        <v>201</v>
      </c>
      <c r="L73" t="s">
        <v>20</v>
      </c>
      <c r="M73">
        <v>0.11613367267898639</v>
      </c>
      <c r="N73" t="s">
        <v>365</v>
      </c>
    </row>
    <row r="74" spans="1:14">
      <c r="A74" t="s">
        <v>76</v>
      </c>
      <c r="B74" t="s">
        <v>13</v>
      </c>
      <c r="C74" s="1">
        <v>45334</v>
      </c>
      <c r="D74" t="s">
        <v>14</v>
      </c>
      <c r="E74" t="s">
        <v>18</v>
      </c>
      <c r="F74">
        <v>2923</v>
      </c>
      <c r="G74">
        <v>330</v>
      </c>
      <c r="H74">
        <v>250</v>
      </c>
      <c r="I74">
        <v>23993</v>
      </c>
      <c r="J74">
        <v>74590</v>
      </c>
      <c r="K74">
        <v>92</v>
      </c>
      <c r="L74" t="s">
        <v>20</v>
      </c>
      <c r="M74">
        <v>0.14600091693410577</v>
      </c>
      <c r="N74" t="s">
        <v>19</v>
      </c>
    </row>
    <row r="75" spans="1:14">
      <c r="A75" t="s">
        <v>77</v>
      </c>
      <c r="B75" t="s">
        <v>27</v>
      </c>
      <c r="C75" s="1">
        <v>45365</v>
      </c>
      <c r="D75" t="s">
        <v>48</v>
      </c>
      <c r="E75" t="s">
        <v>363</v>
      </c>
      <c r="F75">
        <v>3361</v>
      </c>
      <c r="G75">
        <v>188</v>
      </c>
      <c r="H75">
        <v>358</v>
      </c>
      <c r="I75">
        <v>39838</v>
      </c>
      <c r="J75">
        <v>24536</v>
      </c>
      <c r="K75">
        <v>120</v>
      </c>
      <c r="L75" t="s">
        <v>49</v>
      </c>
      <c r="M75">
        <v>9.8072192379135503E-2</v>
      </c>
      <c r="N75" t="s">
        <v>19</v>
      </c>
    </row>
    <row r="76" spans="1:14">
      <c r="A76" t="s">
        <v>77</v>
      </c>
      <c r="B76" t="s">
        <v>27</v>
      </c>
      <c r="C76" s="1">
        <v>45365</v>
      </c>
      <c r="D76" t="s">
        <v>48</v>
      </c>
      <c r="E76" t="s">
        <v>363</v>
      </c>
      <c r="F76">
        <v>3361</v>
      </c>
      <c r="G76">
        <v>188</v>
      </c>
      <c r="H76">
        <v>358</v>
      </c>
      <c r="I76">
        <v>39838</v>
      </c>
      <c r="J76">
        <v>24536</v>
      </c>
      <c r="K76">
        <v>120</v>
      </c>
      <c r="L76" t="s">
        <v>49</v>
      </c>
      <c r="M76">
        <v>9.8072192379135503E-2</v>
      </c>
      <c r="N76" t="s">
        <v>37</v>
      </c>
    </row>
    <row r="77" spans="1:14">
      <c r="A77" t="s">
        <v>78</v>
      </c>
      <c r="B77" t="s">
        <v>13</v>
      </c>
      <c r="C77" s="1">
        <v>45693</v>
      </c>
      <c r="D77" t="s">
        <v>23</v>
      </c>
      <c r="E77" t="s">
        <v>361</v>
      </c>
      <c r="F77">
        <v>3074</v>
      </c>
      <c r="G77">
        <v>371</v>
      </c>
      <c r="H77">
        <v>348</v>
      </c>
      <c r="I77">
        <v>24104</v>
      </c>
      <c r="J77">
        <v>57803</v>
      </c>
      <c r="K77">
        <v>213</v>
      </c>
      <c r="L77" t="s">
        <v>46</v>
      </c>
      <c r="M77">
        <v>0.15735977431131762</v>
      </c>
      <c r="N77" t="s">
        <v>34</v>
      </c>
    </row>
    <row r="78" spans="1:14">
      <c r="A78" t="s">
        <v>79</v>
      </c>
      <c r="B78" t="s">
        <v>22</v>
      </c>
      <c r="C78" s="1">
        <v>45533</v>
      </c>
      <c r="D78" t="s">
        <v>23</v>
      </c>
      <c r="E78" t="s">
        <v>30</v>
      </c>
      <c r="F78">
        <v>4276</v>
      </c>
      <c r="G78">
        <v>227</v>
      </c>
      <c r="H78">
        <v>223</v>
      </c>
      <c r="I78">
        <v>43443</v>
      </c>
      <c r="J78">
        <v>41005</v>
      </c>
      <c r="K78">
        <v>191</v>
      </c>
      <c r="L78" t="s">
        <v>16</v>
      </c>
      <c r="M78">
        <v>0.1087862256289851</v>
      </c>
      <c r="N78" t="s">
        <v>19</v>
      </c>
    </row>
    <row r="79" spans="1:14">
      <c r="A79" t="s">
        <v>79</v>
      </c>
      <c r="B79" t="s">
        <v>22</v>
      </c>
      <c r="C79" s="1">
        <v>45533</v>
      </c>
      <c r="D79" t="s">
        <v>23</v>
      </c>
      <c r="E79" t="s">
        <v>30</v>
      </c>
      <c r="F79">
        <v>4276</v>
      </c>
      <c r="G79">
        <v>227</v>
      </c>
      <c r="H79">
        <v>223</v>
      </c>
      <c r="I79">
        <v>43443</v>
      </c>
      <c r="J79">
        <v>41005</v>
      </c>
      <c r="K79">
        <v>191</v>
      </c>
      <c r="L79" t="s">
        <v>16</v>
      </c>
      <c r="M79">
        <v>0.1087862256289851</v>
      </c>
      <c r="N79" t="s">
        <v>364</v>
      </c>
    </row>
    <row r="80" spans="1:14">
      <c r="A80" t="s">
        <v>80</v>
      </c>
      <c r="B80" t="s">
        <v>22</v>
      </c>
      <c r="C80" s="1">
        <v>45769</v>
      </c>
      <c r="D80" t="s">
        <v>14</v>
      </c>
      <c r="E80" t="s">
        <v>15</v>
      </c>
      <c r="F80">
        <v>4401</v>
      </c>
      <c r="G80">
        <v>421</v>
      </c>
      <c r="H80">
        <v>216</v>
      </c>
      <c r="I80">
        <v>24890</v>
      </c>
      <c r="J80">
        <v>54361</v>
      </c>
      <c r="K80">
        <v>148</v>
      </c>
      <c r="L80" t="s">
        <v>16</v>
      </c>
      <c r="M80">
        <v>0.20241060666934513</v>
      </c>
      <c r="N80" t="s">
        <v>34</v>
      </c>
    </row>
    <row r="81" spans="1:14">
      <c r="A81" t="s">
        <v>81</v>
      </c>
      <c r="B81" t="s">
        <v>27</v>
      </c>
      <c r="C81" s="1">
        <v>45425</v>
      </c>
      <c r="D81" t="s">
        <v>48</v>
      </c>
      <c r="E81" t="s">
        <v>18</v>
      </c>
      <c r="F81">
        <v>4161</v>
      </c>
      <c r="G81">
        <v>481</v>
      </c>
      <c r="H81">
        <v>61</v>
      </c>
      <c r="I81">
        <v>45884</v>
      </c>
      <c r="J81">
        <v>48955</v>
      </c>
      <c r="K81">
        <v>215</v>
      </c>
      <c r="L81" t="s">
        <v>49</v>
      </c>
      <c r="M81">
        <v>0.10249760265016128</v>
      </c>
      <c r="N81" t="s">
        <v>19</v>
      </c>
    </row>
    <row r="82" spans="1:14">
      <c r="A82" t="s">
        <v>81</v>
      </c>
      <c r="B82" t="s">
        <v>27</v>
      </c>
      <c r="C82" s="1">
        <v>45425</v>
      </c>
      <c r="D82" t="s">
        <v>48</v>
      </c>
      <c r="E82" t="s">
        <v>18</v>
      </c>
      <c r="F82">
        <v>4161</v>
      </c>
      <c r="G82">
        <v>481</v>
      </c>
      <c r="H82">
        <v>61</v>
      </c>
      <c r="I82">
        <v>45884</v>
      </c>
      <c r="J82">
        <v>48955</v>
      </c>
      <c r="K82">
        <v>215</v>
      </c>
      <c r="L82" t="s">
        <v>49</v>
      </c>
      <c r="M82">
        <v>0.10249760265016128</v>
      </c>
      <c r="N82" t="s">
        <v>37</v>
      </c>
    </row>
    <row r="83" spans="1:14">
      <c r="A83" t="s">
        <v>82</v>
      </c>
      <c r="B83" t="s">
        <v>22</v>
      </c>
      <c r="C83" s="1">
        <v>45539</v>
      </c>
      <c r="D83" t="s">
        <v>23</v>
      </c>
      <c r="E83" t="s">
        <v>24</v>
      </c>
      <c r="F83">
        <v>2613</v>
      </c>
      <c r="G83">
        <v>455</v>
      </c>
      <c r="H83">
        <v>228</v>
      </c>
      <c r="I83">
        <v>21645</v>
      </c>
      <c r="J83">
        <v>61334</v>
      </c>
      <c r="K83">
        <v>261</v>
      </c>
      <c r="L83" t="s">
        <v>16</v>
      </c>
      <c r="M83">
        <v>0.15227535227535227</v>
      </c>
      <c r="N83" t="s">
        <v>19</v>
      </c>
    </row>
    <row r="84" spans="1:14">
      <c r="A84" t="s">
        <v>82</v>
      </c>
      <c r="B84" t="s">
        <v>22</v>
      </c>
      <c r="C84" s="1">
        <v>45539</v>
      </c>
      <c r="D84" t="s">
        <v>23</v>
      </c>
      <c r="E84" t="s">
        <v>24</v>
      </c>
      <c r="F84">
        <v>2613</v>
      </c>
      <c r="G84">
        <v>455</v>
      </c>
      <c r="H84">
        <v>228</v>
      </c>
      <c r="I84">
        <v>21645</v>
      </c>
      <c r="J84">
        <v>61334</v>
      </c>
      <c r="K84">
        <v>261</v>
      </c>
      <c r="L84" t="s">
        <v>16</v>
      </c>
      <c r="M84">
        <v>0.15227535227535227</v>
      </c>
      <c r="N84" t="s">
        <v>364</v>
      </c>
    </row>
    <row r="85" spans="1:14">
      <c r="A85" t="s">
        <v>83</v>
      </c>
      <c r="B85" t="s">
        <v>22</v>
      </c>
      <c r="C85" s="1">
        <v>45516</v>
      </c>
      <c r="D85" t="s">
        <v>23</v>
      </c>
      <c r="E85" t="s">
        <v>362</v>
      </c>
      <c r="F85">
        <v>2842</v>
      </c>
      <c r="G85">
        <v>213</v>
      </c>
      <c r="H85">
        <v>331</v>
      </c>
      <c r="I85">
        <v>57660</v>
      </c>
      <c r="J85">
        <v>68606</v>
      </c>
      <c r="K85">
        <v>87</v>
      </c>
      <c r="L85" t="s">
        <v>16</v>
      </c>
      <c r="M85">
        <v>5.8723551855705859E-2</v>
      </c>
      <c r="N85" t="s">
        <v>364</v>
      </c>
    </row>
    <row r="86" spans="1:14">
      <c r="A86" t="s">
        <v>83</v>
      </c>
      <c r="B86" t="s">
        <v>22</v>
      </c>
      <c r="C86" s="1">
        <v>45516</v>
      </c>
      <c r="D86" t="s">
        <v>23</v>
      </c>
      <c r="E86" t="s">
        <v>362</v>
      </c>
      <c r="F86">
        <v>2842</v>
      </c>
      <c r="G86">
        <v>213</v>
      </c>
      <c r="H86">
        <v>331</v>
      </c>
      <c r="I86">
        <v>57660</v>
      </c>
      <c r="J86">
        <v>68606</v>
      </c>
      <c r="K86">
        <v>87</v>
      </c>
      <c r="L86" t="s">
        <v>16</v>
      </c>
      <c r="M86">
        <v>5.8723551855705859E-2</v>
      </c>
      <c r="N86" t="s">
        <v>34</v>
      </c>
    </row>
    <row r="87" spans="1:14">
      <c r="A87" t="s">
        <v>84</v>
      </c>
      <c r="B87" t="s">
        <v>13</v>
      </c>
      <c r="C87" s="1">
        <v>45722</v>
      </c>
      <c r="D87" t="s">
        <v>14</v>
      </c>
      <c r="E87" t="s">
        <v>30</v>
      </c>
      <c r="F87">
        <v>4851</v>
      </c>
      <c r="G87">
        <v>460</v>
      </c>
      <c r="H87">
        <v>212</v>
      </c>
      <c r="I87">
        <v>58075</v>
      </c>
      <c r="J87">
        <v>59574</v>
      </c>
      <c r="K87">
        <v>239</v>
      </c>
      <c r="L87" t="s">
        <v>20</v>
      </c>
      <c r="M87">
        <v>9.5101162290142052E-2</v>
      </c>
      <c r="N87" t="s">
        <v>19</v>
      </c>
    </row>
    <row r="88" spans="1:14">
      <c r="A88" t="s">
        <v>85</v>
      </c>
      <c r="B88" t="s">
        <v>22</v>
      </c>
      <c r="C88" s="1">
        <v>45420</v>
      </c>
      <c r="D88" t="s">
        <v>14</v>
      </c>
      <c r="E88" t="s">
        <v>18</v>
      </c>
      <c r="F88">
        <v>1828</v>
      </c>
      <c r="G88">
        <v>450</v>
      </c>
      <c r="H88">
        <v>214</v>
      </c>
      <c r="I88">
        <v>52115</v>
      </c>
      <c r="J88">
        <v>19166</v>
      </c>
      <c r="K88">
        <v>190</v>
      </c>
      <c r="L88" t="s">
        <v>16</v>
      </c>
      <c r="M88">
        <v>4.781732706514439E-2</v>
      </c>
      <c r="N88" t="s">
        <v>34</v>
      </c>
    </row>
    <row r="89" spans="1:14">
      <c r="A89" t="s">
        <v>86</v>
      </c>
      <c r="B89" t="s">
        <v>13</v>
      </c>
      <c r="C89" s="1">
        <v>45707</v>
      </c>
      <c r="D89" t="s">
        <v>23</v>
      </c>
      <c r="E89" t="s">
        <v>363</v>
      </c>
      <c r="F89">
        <v>2422</v>
      </c>
      <c r="G89">
        <v>455</v>
      </c>
      <c r="H89">
        <v>376</v>
      </c>
      <c r="I89">
        <v>23428</v>
      </c>
      <c r="J89">
        <v>46775</v>
      </c>
      <c r="K89">
        <v>259</v>
      </c>
      <c r="L89" t="s">
        <v>46</v>
      </c>
      <c r="M89">
        <v>0.13885094758408742</v>
      </c>
      <c r="N89" t="s">
        <v>34</v>
      </c>
    </row>
    <row r="90" spans="1:14">
      <c r="A90" t="s">
        <v>87</v>
      </c>
      <c r="B90" t="s">
        <v>13</v>
      </c>
      <c r="C90" s="1">
        <v>45299</v>
      </c>
      <c r="D90" t="s">
        <v>14</v>
      </c>
      <c r="E90" t="s">
        <v>33</v>
      </c>
      <c r="F90">
        <v>2683</v>
      </c>
      <c r="G90">
        <v>405</v>
      </c>
      <c r="H90">
        <v>223</v>
      </c>
      <c r="I90">
        <v>31233</v>
      </c>
      <c r="J90">
        <v>58106</v>
      </c>
      <c r="K90">
        <v>291</v>
      </c>
      <c r="L90" t="s">
        <v>20</v>
      </c>
      <c r="M90">
        <v>0.10600966926007749</v>
      </c>
      <c r="N90" t="s">
        <v>19</v>
      </c>
    </row>
    <row r="91" spans="1:14">
      <c r="A91" t="s">
        <v>88</v>
      </c>
      <c r="B91" t="s">
        <v>27</v>
      </c>
      <c r="C91" s="1">
        <v>45490</v>
      </c>
      <c r="D91" t="s">
        <v>14</v>
      </c>
      <c r="E91" t="s">
        <v>33</v>
      </c>
      <c r="F91">
        <v>3135</v>
      </c>
      <c r="G91">
        <v>110</v>
      </c>
      <c r="H91">
        <v>215</v>
      </c>
      <c r="I91">
        <v>39192</v>
      </c>
      <c r="J91">
        <v>24744</v>
      </c>
      <c r="K91">
        <v>177</v>
      </c>
      <c r="L91" t="s">
        <v>20</v>
      </c>
      <c r="M91">
        <v>8.8283323127168814E-2</v>
      </c>
      <c r="N91" t="s">
        <v>19</v>
      </c>
    </row>
    <row r="92" spans="1:14">
      <c r="A92" t="s">
        <v>88</v>
      </c>
      <c r="B92" t="s">
        <v>27</v>
      </c>
      <c r="C92" s="1">
        <v>45490</v>
      </c>
      <c r="D92" t="s">
        <v>14</v>
      </c>
      <c r="E92" t="s">
        <v>33</v>
      </c>
      <c r="F92">
        <v>3135</v>
      </c>
      <c r="G92">
        <v>110</v>
      </c>
      <c r="H92">
        <v>215</v>
      </c>
      <c r="I92">
        <v>39192</v>
      </c>
      <c r="J92">
        <v>24744</v>
      </c>
      <c r="K92">
        <v>177</v>
      </c>
      <c r="L92" t="s">
        <v>20</v>
      </c>
      <c r="M92">
        <v>8.8283323127168814E-2</v>
      </c>
      <c r="N92" t="s">
        <v>365</v>
      </c>
    </row>
    <row r="93" spans="1:14">
      <c r="A93" t="s">
        <v>89</v>
      </c>
      <c r="B93" t="s">
        <v>27</v>
      </c>
      <c r="C93" s="1">
        <v>45514</v>
      </c>
      <c r="D93" t="s">
        <v>14</v>
      </c>
      <c r="E93" t="s">
        <v>363</v>
      </c>
      <c r="F93">
        <v>1105</v>
      </c>
      <c r="G93">
        <v>181</v>
      </c>
      <c r="H93">
        <v>55</v>
      </c>
      <c r="I93">
        <v>53581</v>
      </c>
      <c r="J93">
        <v>74048</v>
      </c>
      <c r="K93">
        <v>220</v>
      </c>
      <c r="L93" t="s">
        <v>20</v>
      </c>
      <c r="M93">
        <v>2.50275284149232E-2</v>
      </c>
      <c r="N93" t="s">
        <v>19</v>
      </c>
    </row>
    <row r="94" spans="1:14">
      <c r="A94" t="s">
        <v>89</v>
      </c>
      <c r="B94" t="s">
        <v>27</v>
      </c>
      <c r="C94" s="1">
        <v>45514</v>
      </c>
      <c r="D94" t="s">
        <v>14</v>
      </c>
      <c r="E94" t="s">
        <v>363</v>
      </c>
      <c r="F94">
        <v>1105</v>
      </c>
      <c r="G94">
        <v>181</v>
      </c>
      <c r="H94">
        <v>55</v>
      </c>
      <c r="I94">
        <v>53581</v>
      </c>
      <c r="J94">
        <v>74048</v>
      </c>
      <c r="K94">
        <v>220</v>
      </c>
      <c r="L94" t="s">
        <v>20</v>
      </c>
      <c r="M94">
        <v>2.50275284149232E-2</v>
      </c>
      <c r="N94" t="s">
        <v>365</v>
      </c>
    </row>
    <row r="95" spans="1:14">
      <c r="A95" t="s">
        <v>90</v>
      </c>
      <c r="B95" t="s">
        <v>27</v>
      </c>
      <c r="C95" s="1">
        <v>45398</v>
      </c>
      <c r="D95" t="s">
        <v>14</v>
      </c>
      <c r="E95" t="s">
        <v>15</v>
      </c>
      <c r="F95">
        <v>4674</v>
      </c>
      <c r="G95">
        <v>326</v>
      </c>
      <c r="H95">
        <v>62</v>
      </c>
      <c r="I95">
        <v>45503</v>
      </c>
      <c r="J95">
        <v>46814</v>
      </c>
      <c r="K95">
        <v>116</v>
      </c>
      <c r="L95" t="s">
        <v>20</v>
      </c>
      <c r="M95">
        <v>0.11124541239039185</v>
      </c>
      <c r="N95" t="s">
        <v>19</v>
      </c>
    </row>
    <row r="96" spans="1:14">
      <c r="A96" t="s">
        <v>90</v>
      </c>
      <c r="B96" t="s">
        <v>27</v>
      </c>
      <c r="C96" s="1">
        <v>45398</v>
      </c>
      <c r="D96" t="s">
        <v>14</v>
      </c>
      <c r="E96" t="s">
        <v>15</v>
      </c>
      <c r="F96">
        <v>4674</v>
      </c>
      <c r="G96">
        <v>326</v>
      </c>
      <c r="H96">
        <v>62</v>
      </c>
      <c r="I96">
        <v>45503</v>
      </c>
      <c r="J96">
        <v>46814</v>
      </c>
      <c r="K96">
        <v>116</v>
      </c>
      <c r="L96" t="s">
        <v>20</v>
      </c>
      <c r="M96">
        <v>0.11124541239039185</v>
      </c>
      <c r="N96" t="s">
        <v>365</v>
      </c>
    </row>
    <row r="97" spans="1:14">
      <c r="A97" t="s">
        <v>91</v>
      </c>
      <c r="B97" t="s">
        <v>27</v>
      </c>
      <c r="C97" s="1">
        <v>45292</v>
      </c>
      <c r="D97" t="s">
        <v>48</v>
      </c>
      <c r="E97" t="s">
        <v>18</v>
      </c>
      <c r="F97">
        <v>3437</v>
      </c>
      <c r="G97">
        <v>129</v>
      </c>
      <c r="H97">
        <v>359</v>
      </c>
      <c r="I97">
        <v>44558</v>
      </c>
      <c r="J97">
        <v>30854</v>
      </c>
      <c r="K97">
        <v>171</v>
      </c>
      <c r="L97" t="s">
        <v>49</v>
      </c>
      <c r="M97">
        <v>8.8087436599488311E-2</v>
      </c>
      <c r="N97" t="s">
        <v>19</v>
      </c>
    </row>
    <row r="98" spans="1:14">
      <c r="A98" t="s">
        <v>91</v>
      </c>
      <c r="B98" t="s">
        <v>27</v>
      </c>
      <c r="C98" s="1">
        <v>45292</v>
      </c>
      <c r="D98" t="s">
        <v>48</v>
      </c>
      <c r="E98" t="s">
        <v>18</v>
      </c>
      <c r="F98">
        <v>3437</v>
      </c>
      <c r="G98">
        <v>129</v>
      </c>
      <c r="H98">
        <v>359</v>
      </c>
      <c r="I98">
        <v>44558</v>
      </c>
      <c r="J98">
        <v>30854</v>
      </c>
      <c r="K98">
        <v>171</v>
      </c>
      <c r="L98" t="s">
        <v>49</v>
      </c>
      <c r="M98">
        <v>8.8087436599488311E-2</v>
      </c>
      <c r="N98" t="s">
        <v>37</v>
      </c>
    </row>
    <row r="99" spans="1:14">
      <c r="A99" t="s">
        <v>92</v>
      </c>
      <c r="B99" t="s">
        <v>22</v>
      </c>
      <c r="C99" s="1">
        <v>45599</v>
      </c>
      <c r="D99" t="s">
        <v>23</v>
      </c>
      <c r="E99" t="s">
        <v>360</v>
      </c>
      <c r="F99">
        <v>1959</v>
      </c>
      <c r="G99">
        <v>316</v>
      </c>
      <c r="H99">
        <v>82</v>
      </c>
      <c r="I99">
        <v>54036</v>
      </c>
      <c r="J99">
        <v>69015</v>
      </c>
      <c r="K99">
        <v>182</v>
      </c>
      <c r="L99" t="s">
        <v>16</v>
      </c>
      <c r="M99">
        <v>4.3619068768968837E-2</v>
      </c>
      <c r="N99" t="s">
        <v>364</v>
      </c>
    </row>
    <row r="100" spans="1:14">
      <c r="A100" t="s">
        <v>92</v>
      </c>
      <c r="B100" t="s">
        <v>22</v>
      </c>
      <c r="C100" s="1">
        <v>45599</v>
      </c>
      <c r="D100" t="s">
        <v>23</v>
      </c>
      <c r="E100" t="s">
        <v>360</v>
      </c>
      <c r="F100">
        <v>1959</v>
      </c>
      <c r="G100">
        <v>316</v>
      </c>
      <c r="H100">
        <v>82</v>
      </c>
      <c r="I100">
        <v>54036</v>
      </c>
      <c r="J100">
        <v>69015</v>
      </c>
      <c r="K100">
        <v>182</v>
      </c>
      <c r="L100" t="s">
        <v>16</v>
      </c>
      <c r="M100">
        <v>4.3619068768968837E-2</v>
      </c>
      <c r="N100" t="s">
        <v>34</v>
      </c>
    </row>
    <row r="101" spans="1:14">
      <c r="A101" t="s">
        <v>93</v>
      </c>
      <c r="B101" t="s">
        <v>22</v>
      </c>
      <c r="C101" s="1">
        <v>45480</v>
      </c>
      <c r="D101" t="s">
        <v>14</v>
      </c>
      <c r="E101" t="s">
        <v>24</v>
      </c>
      <c r="F101">
        <v>1035</v>
      </c>
      <c r="G101">
        <v>137</v>
      </c>
      <c r="H101">
        <v>184</v>
      </c>
      <c r="I101">
        <v>37302</v>
      </c>
      <c r="J101">
        <v>68953</v>
      </c>
      <c r="K101">
        <v>237</v>
      </c>
      <c r="L101" t="s">
        <v>20</v>
      </c>
      <c r="M101">
        <v>3.6351938233874857E-2</v>
      </c>
      <c r="N101" t="s">
        <v>37</v>
      </c>
    </row>
    <row r="102" spans="1:14">
      <c r="A102" t="s">
        <v>94</v>
      </c>
      <c r="B102" t="s">
        <v>22</v>
      </c>
      <c r="C102" s="1">
        <v>45679</v>
      </c>
      <c r="D102" t="s">
        <v>23</v>
      </c>
      <c r="E102" t="s">
        <v>24</v>
      </c>
      <c r="F102">
        <v>4478</v>
      </c>
      <c r="G102">
        <v>101</v>
      </c>
      <c r="H102">
        <v>121</v>
      </c>
      <c r="I102">
        <v>51035</v>
      </c>
      <c r="J102">
        <v>58207</v>
      </c>
      <c r="K102">
        <v>205</v>
      </c>
      <c r="L102" t="s">
        <v>16</v>
      </c>
      <c r="M102">
        <v>9.2093661212893113E-2</v>
      </c>
      <c r="N102" t="s">
        <v>364</v>
      </c>
    </row>
    <row r="103" spans="1:14">
      <c r="A103" t="s">
        <v>94</v>
      </c>
      <c r="B103" t="s">
        <v>22</v>
      </c>
      <c r="C103" s="1">
        <v>45679</v>
      </c>
      <c r="D103" t="s">
        <v>23</v>
      </c>
      <c r="E103" t="s">
        <v>24</v>
      </c>
      <c r="F103">
        <v>4478</v>
      </c>
      <c r="G103">
        <v>101</v>
      </c>
      <c r="H103">
        <v>121</v>
      </c>
      <c r="I103">
        <v>51035</v>
      </c>
      <c r="J103">
        <v>58207</v>
      </c>
      <c r="K103">
        <v>205</v>
      </c>
      <c r="L103" t="s">
        <v>16</v>
      </c>
      <c r="M103">
        <v>9.2093661212893113E-2</v>
      </c>
      <c r="N103" t="s">
        <v>34</v>
      </c>
    </row>
    <row r="104" spans="1:14">
      <c r="A104" t="s">
        <v>95</v>
      </c>
      <c r="B104" t="s">
        <v>27</v>
      </c>
      <c r="C104" s="1">
        <v>45438</v>
      </c>
      <c r="D104" t="s">
        <v>14</v>
      </c>
      <c r="E104" t="s">
        <v>363</v>
      </c>
      <c r="F104">
        <v>1488</v>
      </c>
      <c r="G104">
        <v>327</v>
      </c>
      <c r="H104">
        <v>110</v>
      </c>
      <c r="I104">
        <v>53805</v>
      </c>
      <c r="J104">
        <v>30239</v>
      </c>
      <c r="K104">
        <v>109</v>
      </c>
      <c r="L104" t="s">
        <v>20</v>
      </c>
      <c r="M104">
        <v>3.5777344113000653E-2</v>
      </c>
      <c r="N104" t="s">
        <v>19</v>
      </c>
    </row>
    <row r="105" spans="1:14">
      <c r="A105" t="s">
        <v>95</v>
      </c>
      <c r="B105" t="s">
        <v>27</v>
      </c>
      <c r="C105" s="1">
        <v>45438</v>
      </c>
      <c r="D105" t="s">
        <v>14</v>
      </c>
      <c r="E105" t="s">
        <v>363</v>
      </c>
      <c r="F105">
        <v>1488</v>
      </c>
      <c r="G105">
        <v>327</v>
      </c>
      <c r="H105">
        <v>110</v>
      </c>
      <c r="I105">
        <v>53805</v>
      </c>
      <c r="J105">
        <v>30239</v>
      </c>
      <c r="K105">
        <v>109</v>
      </c>
      <c r="L105" t="s">
        <v>20</v>
      </c>
      <c r="M105">
        <v>3.5777344113000653E-2</v>
      </c>
      <c r="N105" t="s">
        <v>365</v>
      </c>
    </row>
    <row r="106" spans="1:14">
      <c r="A106" t="s">
        <v>96</v>
      </c>
      <c r="B106" t="s">
        <v>13</v>
      </c>
      <c r="C106" s="1">
        <v>45763</v>
      </c>
      <c r="D106" t="s">
        <v>14</v>
      </c>
      <c r="E106" t="s">
        <v>360</v>
      </c>
      <c r="F106">
        <v>4836</v>
      </c>
      <c r="G106">
        <v>331</v>
      </c>
      <c r="H106">
        <v>140</v>
      </c>
      <c r="I106">
        <v>58792</v>
      </c>
      <c r="J106">
        <v>47711</v>
      </c>
      <c r="K106">
        <v>227</v>
      </c>
      <c r="L106" t="s">
        <v>16</v>
      </c>
      <c r="M106">
        <v>9.0267383317458164E-2</v>
      </c>
      <c r="N106" t="s">
        <v>37</v>
      </c>
    </row>
    <row r="107" spans="1:14">
      <c r="A107" t="s">
        <v>96</v>
      </c>
      <c r="B107" t="s">
        <v>13</v>
      </c>
      <c r="C107" s="1">
        <v>45763</v>
      </c>
      <c r="D107" t="s">
        <v>14</v>
      </c>
      <c r="E107" t="s">
        <v>360</v>
      </c>
      <c r="F107">
        <v>4836</v>
      </c>
      <c r="G107">
        <v>331</v>
      </c>
      <c r="H107">
        <v>140</v>
      </c>
      <c r="I107">
        <v>58792</v>
      </c>
      <c r="J107">
        <v>47711</v>
      </c>
      <c r="K107">
        <v>227</v>
      </c>
      <c r="L107" t="s">
        <v>16</v>
      </c>
      <c r="M107">
        <v>9.0267383317458164E-2</v>
      </c>
      <c r="N107" t="s">
        <v>34</v>
      </c>
    </row>
    <row r="108" spans="1:14">
      <c r="A108" t="s">
        <v>97</v>
      </c>
      <c r="B108" t="s">
        <v>27</v>
      </c>
      <c r="C108" s="1">
        <v>45384</v>
      </c>
      <c r="D108" t="s">
        <v>48</v>
      </c>
      <c r="E108" t="s">
        <v>42</v>
      </c>
      <c r="F108">
        <v>4563</v>
      </c>
      <c r="G108">
        <v>488</v>
      </c>
      <c r="H108">
        <v>356</v>
      </c>
      <c r="I108">
        <v>30619</v>
      </c>
      <c r="J108">
        <v>23328</v>
      </c>
      <c r="K108">
        <v>267</v>
      </c>
      <c r="L108" t="s">
        <v>49</v>
      </c>
      <c r="M108">
        <v>0.17658969920637513</v>
      </c>
      <c r="N108" t="s">
        <v>19</v>
      </c>
    </row>
    <row r="109" spans="1:14">
      <c r="A109" t="s">
        <v>97</v>
      </c>
      <c r="B109" t="s">
        <v>27</v>
      </c>
      <c r="C109" s="1">
        <v>45384</v>
      </c>
      <c r="D109" t="s">
        <v>48</v>
      </c>
      <c r="E109" t="s">
        <v>42</v>
      </c>
      <c r="F109">
        <v>4563</v>
      </c>
      <c r="G109">
        <v>488</v>
      </c>
      <c r="H109">
        <v>356</v>
      </c>
      <c r="I109">
        <v>30619</v>
      </c>
      <c r="J109">
        <v>23328</v>
      </c>
      <c r="K109">
        <v>267</v>
      </c>
      <c r="L109" t="s">
        <v>49</v>
      </c>
      <c r="M109">
        <v>0.17658969920637513</v>
      </c>
      <c r="N109" t="s">
        <v>37</v>
      </c>
    </row>
    <row r="110" spans="1:14">
      <c r="A110" t="s">
        <v>98</v>
      </c>
      <c r="B110" t="s">
        <v>22</v>
      </c>
      <c r="C110" s="1">
        <v>45379</v>
      </c>
      <c r="D110" t="s">
        <v>14</v>
      </c>
      <c r="E110" t="s">
        <v>361</v>
      </c>
      <c r="F110">
        <v>3276</v>
      </c>
      <c r="G110">
        <v>421</v>
      </c>
      <c r="H110">
        <v>114</v>
      </c>
      <c r="I110">
        <v>20580</v>
      </c>
      <c r="J110">
        <v>30324</v>
      </c>
      <c r="K110">
        <v>221</v>
      </c>
      <c r="L110" t="s">
        <v>20</v>
      </c>
      <c r="M110">
        <v>0.18517978620019437</v>
      </c>
      <c r="N110" t="s">
        <v>37</v>
      </c>
    </row>
    <row r="111" spans="1:14">
      <c r="A111" t="s">
        <v>99</v>
      </c>
      <c r="B111" t="s">
        <v>22</v>
      </c>
      <c r="C111" s="1">
        <v>45643</v>
      </c>
      <c r="D111" t="s">
        <v>23</v>
      </c>
      <c r="E111" t="s">
        <v>361</v>
      </c>
      <c r="F111">
        <v>1316</v>
      </c>
      <c r="G111">
        <v>472</v>
      </c>
      <c r="H111">
        <v>286</v>
      </c>
      <c r="I111">
        <v>44692</v>
      </c>
      <c r="J111">
        <v>53343</v>
      </c>
      <c r="K111">
        <v>227</v>
      </c>
      <c r="L111" t="s">
        <v>16</v>
      </c>
      <c r="M111">
        <v>4.6406515707509172E-2</v>
      </c>
      <c r="N111" t="s">
        <v>19</v>
      </c>
    </row>
    <row r="112" spans="1:14">
      <c r="A112" t="s">
        <v>99</v>
      </c>
      <c r="B112" t="s">
        <v>22</v>
      </c>
      <c r="C112" s="1">
        <v>45643</v>
      </c>
      <c r="D112" t="s">
        <v>23</v>
      </c>
      <c r="E112" t="s">
        <v>361</v>
      </c>
      <c r="F112">
        <v>1316</v>
      </c>
      <c r="G112">
        <v>472</v>
      </c>
      <c r="H112">
        <v>286</v>
      </c>
      <c r="I112">
        <v>44692</v>
      </c>
      <c r="J112">
        <v>53343</v>
      </c>
      <c r="K112">
        <v>227</v>
      </c>
      <c r="L112" t="s">
        <v>16</v>
      </c>
      <c r="M112">
        <v>4.6406515707509172E-2</v>
      </c>
      <c r="N112" t="s">
        <v>364</v>
      </c>
    </row>
    <row r="113" spans="1:14">
      <c r="A113" t="s">
        <v>100</v>
      </c>
      <c r="B113" t="s">
        <v>22</v>
      </c>
      <c r="C113" s="1">
        <v>45662</v>
      </c>
      <c r="D113" t="s">
        <v>14</v>
      </c>
      <c r="E113" t="s">
        <v>360</v>
      </c>
      <c r="F113">
        <v>4811</v>
      </c>
      <c r="G113">
        <v>473</v>
      </c>
      <c r="H113">
        <v>254</v>
      </c>
      <c r="I113">
        <v>51964</v>
      </c>
      <c r="J113">
        <v>68795</v>
      </c>
      <c r="K113">
        <v>107</v>
      </c>
      <c r="L113" t="s">
        <v>16</v>
      </c>
      <c r="M113">
        <v>0.10657378184897237</v>
      </c>
      <c r="N113" t="s">
        <v>34</v>
      </c>
    </row>
    <row r="114" spans="1:14">
      <c r="A114" t="s">
        <v>101</v>
      </c>
      <c r="B114" t="s">
        <v>22</v>
      </c>
      <c r="C114" s="1">
        <v>45302</v>
      </c>
      <c r="D114" t="s">
        <v>14</v>
      </c>
      <c r="E114" t="s">
        <v>362</v>
      </c>
      <c r="F114">
        <v>4218</v>
      </c>
      <c r="G114">
        <v>247</v>
      </c>
      <c r="H114">
        <v>183</v>
      </c>
      <c r="I114">
        <v>28914</v>
      </c>
      <c r="J114">
        <v>18310</v>
      </c>
      <c r="K114">
        <v>135</v>
      </c>
      <c r="L114" t="s">
        <v>20</v>
      </c>
      <c r="M114">
        <v>0.1607525766064882</v>
      </c>
      <c r="N114" t="s">
        <v>37</v>
      </c>
    </row>
    <row r="115" spans="1:14">
      <c r="A115" t="s">
        <v>102</v>
      </c>
      <c r="B115" t="s">
        <v>13</v>
      </c>
      <c r="C115" s="1">
        <v>45576</v>
      </c>
      <c r="D115" t="s">
        <v>14</v>
      </c>
      <c r="E115" t="s">
        <v>363</v>
      </c>
      <c r="F115">
        <v>1360</v>
      </c>
      <c r="G115">
        <v>249</v>
      </c>
      <c r="H115">
        <v>52</v>
      </c>
      <c r="I115">
        <v>20368</v>
      </c>
      <c r="J115">
        <v>42152</v>
      </c>
      <c r="K115">
        <v>193</v>
      </c>
      <c r="L115" t="s">
        <v>20</v>
      </c>
      <c r="M115">
        <v>8.1549489395129612E-2</v>
      </c>
      <c r="N115" t="s">
        <v>19</v>
      </c>
    </row>
    <row r="116" spans="1:14">
      <c r="A116" t="s">
        <v>103</v>
      </c>
      <c r="B116" t="s">
        <v>27</v>
      </c>
      <c r="C116" s="1">
        <v>45783</v>
      </c>
      <c r="D116" t="s">
        <v>48</v>
      </c>
      <c r="E116" t="s">
        <v>15</v>
      </c>
      <c r="F116">
        <v>1085</v>
      </c>
      <c r="G116">
        <v>496</v>
      </c>
      <c r="H116">
        <v>320</v>
      </c>
      <c r="I116">
        <v>36528</v>
      </c>
      <c r="J116">
        <v>38599</v>
      </c>
      <c r="K116">
        <v>270</v>
      </c>
      <c r="L116" t="s">
        <v>49</v>
      </c>
      <c r="M116">
        <v>5.2042268944371438E-2</v>
      </c>
      <c r="N116" t="s">
        <v>19</v>
      </c>
    </row>
    <row r="117" spans="1:14">
      <c r="A117" t="s">
        <v>103</v>
      </c>
      <c r="B117" t="s">
        <v>27</v>
      </c>
      <c r="C117" s="1">
        <v>45783</v>
      </c>
      <c r="D117" t="s">
        <v>48</v>
      </c>
      <c r="E117" t="s">
        <v>15</v>
      </c>
      <c r="F117">
        <v>1085</v>
      </c>
      <c r="G117">
        <v>496</v>
      </c>
      <c r="H117">
        <v>320</v>
      </c>
      <c r="I117">
        <v>36528</v>
      </c>
      <c r="J117">
        <v>38599</v>
      </c>
      <c r="K117">
        <v>270</v>
      </c>
      <c r="L117" t="s">
        <v>49</v>
      </c>
      <c r="M117">
        <v>5.2042268944371438E-2</v>
      </c>
      <c r="N117" t="s">
        <v>37</v>
      </c>
    </row>
    <row r="118" spans="1:14">
      <c r="A118" t="s">
        <v>104</v>
      </c>
      <c r="B118" t="s">
        <v>22</v>
      </c>
      <c r="C118" s="1">
        <v>45431</v>
      </c>
      <c r="D118" t="s">
        <v>23</v>
      </c>
      <c r="E118" t="s">
        <v>30</v>
      </c>
      <c r="F118">
        <v>1763</v>
      </c>
      <c r="G118">
        <v>206</v>
      </c>
      <c r="H118">
        <v>187</v>
      </c>
      <c r="I118">
        <v>53342</v>
      </c>
      <c r="J118">
        <v>25095</v>
      </c>
      <c r="K118">
        <v>88</v>
      </c>
      <c r="L118" t="s">
        <v>16</v>
      </c>
      <c r="M118">
        <v>4.0418432004799221E-2</v>
      </c>
      <c r="N118" t="s">
        <v>19</v>
      </c>
    </row>
    <row r="119" spans="1:14">
      <c r="A119" t="s">
        <v>104</v>
      </c>
      <c r="B119" t="s">
        <v>22</v>
      </c>
      <c r="C119" s="1">
        <v>45431</v>
      </c>
      <c r="D119" t="s">
        <v>23</v>
      </c>
      <c r="E119" t="s">
        <v>30</v>
      </c>
      <c r="F119">
        <v>1763</v>
      </c>
      <c r="G119">
        <v>206</v>
      </c>
      <c r="H119">
        <v>187</v>
      </c>
      <c r="I119">
        <v>53342</v>
      </c>
      <c r="J119">
        <v>25095</v>
      </c>
      <c r="K119">
        <v>88</v>
      </c>
      <c r="L119" t="s">
        <v>16</v>
      </c>
      <c r="M119">
        <v>4.0418432004799221E-2</v>
      </c>
      <c r="N119" t="s">
        <v>364</v>
      </c>
    </row>
    <row r="120" spans="1:14">
      <c r="A120" t="s">
        <v>105</v>
      </c>
      <c r="B120" t="s">
        <v>22</v>
      </c>
      <c r="C120" s="1">
        <v>45313</v>
      </c>
      <c r="D120" t="s">
        <v>23</v>
      </c>
      <c r="E120" t="s">
        <v>363</v>
      </c>
      <c r="F120">
        <v>1554</v>
      </c>
      <c r="G120">
        <v>455</v>
      </c>
      <c r="H120">
        <v>158</v>
      </c>
      <c r="I120">
        <v>41947</v>
      </c>
      <c r="J120">
        <v>48578</v>
      </c>
      <c r="K120">
        <v>101</v>
      </c>
      <c r="L120" t="s">
        <v>16</v>
      </c>
      <c r="M120">
        <v>5.1660428636136076E-2</v>
      </c>
      <c r="N120" t="s">
        <v>37</v>
      </c>
    </row>
    <row r="121" spans="1:14">
      <c r="A121" t="s">
        <v>105</v>
      </c>
      <c r="B121" t="s">
        <v>22</v>
      </c>
      <c r="C121" s="1">
        <v>45313</v>
      </c>
      <c r="D121" t="s">
        <v>23</v>
      </c>
      <c r="E121" t="s">
        <v>363</v>
      </c>
      <c r="F121">
        <v>1554</v>
      </c>
      <c r="G121">
        <v>455</v>
      </c>
      <c r="H121">
        <v>158</v>
      </c>
      <c r="I121">
        <v>41947</v>
      </c>
      <c r="J121">
        <v>48578</v>
      </c>
      <c r="K121">
        <v>101</v>
      </c>
      <c r="L121" t="s">
        <v>16</v>
      </c>
      <c r="M121">
        <v>5.1660428636136076E-2</v>
      </c>
      <c r="N121" t="s">
        <v>34</v>
      </c>
    </row>
    <row r="122" spans="1:14">
      <c r="A122" t="s">
        <v>106</v>
      </c>
      <c r="B122" t="s">
        <v>13</v>
      </c>
      <c r="C122" s="1">
        <v>45487</v>
      </c>
      <c r="D122" t="s">
        <v>14</v>
      </c>
      <c r="E122" t="s">
        <v>360</v>
      </c>
      <c r="F122">
        <v>2464</v>
      </c>
      <c r="G122">
        <v>401</v>
      </c>
      <c r="H122">
        <v>78</v>
      </c>
      <c r="I122">
        <v>38665</v>
      </c>
      <c r="J122">
        <v>73593</v>
      </c>
      <c r="K122">
        <v>207</v>
      </c>
      <c r="L122" t="s">
        <v>20</v>
      </c>
      <c r="M122">
        <v>7.611534979956032E-2</v>
      </c>
      <c r="N122" t="s">
        <v>19</v>
      </c>
    </row>
    <row r="123" spans="1:14">
      <c r="A123" t="s">
        <v>107</v>
      </c>
      <c r="B123" t="s">
        <v>22</v>
      </c>
      <c r="C123" s="1">
        <v>45805</v>
      </c>
      <c r="D123" t="s">
        <v>14</v>
      </c>
      <c r="E123" t="s">
        <v>363</v>
      </c>
      <c r="F123">
        <v>2418</v>
      </c>
      <c r="G123">
        <v>161</v>
      </c>
      <c r="H123">
        <v>360</v>
      </c>
      <c r="I123">
        <v>30589</v>
      </c>
      <c r="J123">
        <v>41383</v>
      </c>
      <c r="K123">
        <v>88</v>
      </c>
      <c r="L123" t="s">
        <v>16</v>
      </c>
      <c r="M123">
        <v>9.6080290300434801E-2</v>
      </c>
      <c r="N123" t="s">
        <v>34</v>
      </c>
    </row>
    <row r="124" spans="1:14">
      <c r="A124" t="s">
        <v>108</v>
      </c>
      <c r="B124" t="s">
        <v>22</v>
      </c>
      <c r="C124" s="1">
        <v>45678</v>
      </c>
      <c r="D124" t="s">
        <v>23</v>
      </c>
      <c r="E124" t="s">
        <v>15</v>
      </c>
      <c r="F124">
        <v>2494</v>
      </c>
      <c r="G124">
        <v>494</v>
      </c>
      <c r="H124">
        <v>55</v>
      </c>
      <c r="I124">
        <v>22580</v>
      </c>
      <c r="J124">
        <v>22214</v>
      </c>
      <c r="K124">
        <v>109</v>
      </c>
      <c r="L124" t="s">
        <v>16</v>
      </c>
      <c r="M124">
        <v>0.13476527900797167</v>
      </c>
      <c r="N124" t="s">
        <v>364</v>
      </c>
    </row>
    <row r="125" spans="1:14">
      <c r="A125" t="s">
        <v>108</v>
      </c>
      <c r="B125" t="s">
        <v>22</v>
      </c>
      <c r="C125" s="1">
        <v>45678</v>
      </c>
      <c r="D125" t="s">
        <v>23</v>
      </c>
      <c r="E125" t="s">
        <v>15</v>
      </c>
      <c r="F125">
        <v>2494</v>
      </c>
      <c r="G125">
        <v>494</v>
      </c>
      <c r="H125">
        <v>55</v>
      </c>
      <c r="I125">
        <v>22580</v>
      </c>
      <c r="J125">
        <v>22214</v>
      </c>
      <c r="K125">
        <v>109</v>
      </c>
      <c r="L125" t="s">
        <v>16</v>
      </c>
      <c r="M125">
        <v>0.13476527900797167</v>
      </c>
      <c r="N125" t="s">
        <v>34</v>
      </c>
    </row>
    <row r="126" spans="1:14">
      <c r="A126" t="s">
        <v>109</v>
      </c>
      <c r="B126" t="s">
        <v>27</v>
      </c>
      <c r="C126" s="1">
        <v>45304</v>
      </c>
      <c r="D126" t="s">
        <v>48</v>
      </c>
      <c r="E126" t="s">
        <v>24</v>
      </c>
      <c r="F126">
        <v>4781</v>
      </c>
      <c r="G126">
        <v>191</v>
      </c>
      <c r="H126">
        <v>122</v>
      </c>
      <c r="I126">
        <v>35535</v>
      </c>
      <c r="J126">
        <v>50777</v>
      </c>
      <c r="K126">
        <v>128</v>
      </c>
      <c r="L126" t="s">
        <v>49</v>
      </c>
      <c r="M126">
        <v>0.14335162515829464</v>
      </c>
      <c r="N126" t="s">
        <v>19</v>
      </c>
    </row>
    <row r="127" spans="1:14">
      <c r="A127" t="s">
        <v>109</v>
      </c>
      <c r="B127" t="s">
        <v>27</v>
      </c>
      <c r="C127" s="1">
        <v>45304</v>
      </c>
      <c r="D127" t="s">
        <v>48</v>
      </c>
      <c r="E127" t="s">
        <v>24</v>
      </c>
      <c r="F127">
        <v>4781</v>
      </c>
      <c r="G127">
        <v>191</v>
      </c>
      <c r="H127">
        <v>122</v>
      </c>
      <c r="I127">
        <v>35535</v>
      </c>
      <c r="J127">
        <v>50777</v>
      </c>
      <c r="K127">
        <v>128</v>
      </c>
      <c r="L127" t="s">
        <v>49</v>
      </c>
      <c r="M127">
        <v>0.14335162515829464</v>
      </c>
      <c r="N127" t="s">
        <v>37</v>
      </c>
    </row>
    <row r="128" spans="1:14">
      <c r="A128" t="s">
        <v>110</v>
      </c>
      <c r="B128" t="s">
        <v>13</v>
      </c>
      <c r="C128" s="1">
        <v>45825</v>
      </c>
      <c r="D128" t="s">
        <v>14</v>
      </c>
      <c r="E128" t="s">
        <v>361</v>
      </c>
      <c r="F128">
        <v>2284</v>
      </c>
      <c r="G128">
        <v>187</v>
      </c>
      <c r="H128">
        <v>260</v>
      </c>
      <c r="I128">
        <v>37400</v>
      </c>
      <c r="J128">
        <v>65014</v>
      </c>
      <c r="K128">
        <v>157</v>
      </c>
      <c r="L128" t="s">
        <v>16</v>
      </c>
      <c r="M128">
        <v>7.3021390374331557E-2</v>
      </c>
      <c r="N128" t="s">
        <v>37</v>
      </c>
    </row>
    <row r="129" spans="1:14">
      <c r="A129" t="s">
        <v>110</v>
      </c>
      <c r="B129" t="s">
        <v>13</v>
      </c>
      <c r="C129" s="1">
        <v>45825</v>
      </c>
      <c r="D129" t="s">
        <v>14</v>
      </c>
      <c r="E129" t="s">
        <v>361</v>
      </c>
      <c r="F129">
        <v>2284</v>
      </c>
      <c r="G129">
        <v>187</v>
      </c>
      <c r="H129">
        <v>260</v>
      </c>
      <c r="I129">
        <v>37400</v>
      </c>
      <c r="J129">
        <v>65014</v>
      </c>
      <c r="K129">
        <v>157</v>
      </c>
      <c r="L129" t="s">
        <v>16</v>
      </c>
      <c r="M129">
        <v>7.3021390374331557E-2</v>
      </c>
      <c r="N129" t="s">
        <v>34</v>
      </c>
    </row>
    <row r="130" spans="1:14">
      <c r="A130" t="s">
        <v>111</v>
      </c>
      <c r="B130" t="s">
        <v>22</v>
      </c>
      <c r="C130" s="1">
        <v>45723</v>
      </c>
      <c r="D130" t="s">
        <v>14</v>
      </c>
      <c r="E130" t="s">
        <v>30</v>
      </c>
      <c r="F130">
        <v>4234</v>
      </c>
      <c r="G130">
        <v>486</v>
      </c>
      <c r="H130">
        <v>276</v>
      </c>
      <c r="I130">
        <v>56623</v>
      </c>
      <c r="J130">
        <v>41343</v>
      </c>
      <c r="K130">
        <v>184</v>
      </c>
      <c r="L130" t="s">
        <v>20</v>
      </c>
      <c r="M130">
        <v>8.8232696960599044E-2</v>
      </c>
      <c r="N130" t="s">
        <v>37</v>
      </c>
    </row>
    <row r="131" spans="1:14">
      <c r="A131" t="s">
        <v>112</v>
      </c>
      <c r="B131" t="s">
        <v>13</v>
      </c>
      <c r="C131" s="1">
        <v>45530</v>
      </c>
      <c r="D131" t="s">
        <v>14</v>
      </c>
      <c r="E131" t="s">
        <v>42</v>
      </c>
      <c r="F131">
        <v>2102</v>
      </c>
      <c r="G131">
        <v>181</v>
      </c>
      <c r="H131">
        <v>306</v>
      </c>
      <c r="I131">
        <v>43650</v>
      </c>
      <c r="J131">
        <v>50079</v>
      </c>
      <c r="K131">
        <v>182</v>
      </c>
      <c r="L131" t="s">
        <v>20</v>
      </c>
      <c r="M131">
        <v>5.9312714776632303E-2</v>
      </c>
      <c r="N131" t="s">
        <v>19</v>
      </c>
    </row>
    <row r="132" spans="1:14">
      <c r="A132" t="s">
        <v>113</v>
      </c>
      <c r="B132" t="s">
        <v>22</v>
      </c>
      <c r="C132" s="1">
        <v>45660</v>
      </c>
      <c r="D132" t="s">
        <v>23</v>
      </c>
      <c r="E132" t="s">
        <v>30</v>
      </c>
      <c r="F132">
        <v>4845</v>
      </c>
      <c r="G132">
        <v>158</v>
      </c>
      <c r="H132">
        <v>84</v>
      </c>
      <c r="I132">
        <v>34578</v>
      </c>
      <c r="J132">
        <v>51480</v>
      </c>
      <c r="K132">
        <v>180</v>
      </c>
      <c r="L132" t="s">
        <v>16</v>
      </c>
      <c r="M132">
        <v>0.1471166637746544</v>
      </c>
      <c r="N132" t="s">
        <v>37</v>
      </c>
    </row>
    <row r="133" spans="1:14">
      <c r="A133" t="s">
        <v>113</v>
      </c>
      <c r="B133" t="s">
        <v>22</v>
      </c>
      <c r="C133" s="1">
        <v>45660</v>
      </c>
      <c r="D133" t="s">
        <v>23</v>
      </c>
      <c r="E133" t="s">
        <v>30</v>
      </c>
      <c r="F133">
        <v>4845</v>
      </c>
      <c r="G133">
        <v>158</v>
      </c>
      <c r="H133">
        <v>84</v>
      </c>
      <c r="I133">
        <v>34578</v>
      </c>
      <c r="J133">
        <v>51480</v>
      </c>
      <c r="K133">
        <v>180</v>
      </c>
      <c r="L133" t="s">
        <v>16</v>
      </c>
      <c r="M133">
        <v>0.1471166637746544</v>
      </c>
      <c r="N133" t="s">
        <v>34</v>
      </c>
    </row>
    <row r="134" spans="1:14">
      <c r="A134" t="s">
        <v>114</v>
      </c>
      <c r="B134" t="s">
        <v>22</v>
      </c>
      <c r="C134" s="1">
        <v>45507</v>
      </c>
      <c r="D134" t="s">
        <v>14</v>
      </c>
      <c r="E134" t="s">
        <v>42</v>
      </c>
      <c r="F134">
        <v>4247</v>
      </c>
      <c r="G134">
        <v>390</v>
      </c>
      <c r="H134">
        <v>213</v>
      </c>
      <c r="I134">
        <v>29785</v>
      </c>
      <c r="J134">
        <v>57768</v>
      </c>
      <c r="K134">
        <v>122</v>
      </c>
      <c r="L134" t="s">
        <v>16</v>
      </c>
      <c r="M134">
        <v>0.16283364109451065</v>
      </c>
      <c r="N134" t="s">
        <v>34</v>
      </c>
    </row>
    <row r="135" spans="1:14">
      <c r="A135" t="s">
        <v>115</v>
      </c>
      <c r="B135" t="s">
        <v>13</v>
      </c>
      <c r="C135" s="1">
        <v>45522</v>
      </c>
      <c r="D135" t="s">
        <v>14</v>
      </c>
      <c r="E135" t="s">
        <v>18</v>
      </c>
      <c r="F135">
        <v>2965</v>
      </c>
      <c r="G135">
        <v>328</v>
      </c>
      <c r="H135">
        <v>171</v>
      </c>
      <c r="I135">
        <v>57685</v>
      </c>
      <c r="J135">
        <v>67536</v>
      </c>
      <c r="K135">
        <v>264</v>
      </c>
      <c r="L135" t="s">
        <v>16</v>
      </c>
      <c r="M135">
        <v>6.0050273034584378E-2</v>
      </c>
      <c r="N135" t="s">
        <v>37</v>
      </c>
    </row>
    <row r="136" spans="1:14">
      <c r="A136" t="s">
        <v>115</v>
      </c>
      <c r="B136" t="s">
        <v>13</v>
      </c>
      <c r="C136" s="1">
        <v>45522</v>
      </c>
      <c r="D136" t="s">
        <v>14</v>
      </c>
      <c r="E136" t="s">
        <v>18</v>
      </c>
      <c r="F136">
        <v>2965</v>
      </c>
      <c r="G136">
        <v>328</v>
      </c>
      <c r="H136">
        <v>171</v>
      </c>
      <c r="I136">
        <v>57685</v>
      </c>
      <c r="J136">
        <v>67536</v>
      </c>
      <c r="K136">
        <v>264</v>
      </c>
      <c r="L136" t="s">
        <v>16</v>
      </c>
      <c r="M136">
        <v>6.0050273034584378E-2</v>
      </c>
      <c r="N136" t="s">
        <v>34</v>
      </c>
    </row>
    <row r="137" spans="1:14">
      <c r="A137" t="s">
        <v>116</v>
      </c>
      <c r="B137" t="s">
        <v>22</v>
      </c>
      <c r="C137" s="1">
        <v>45791</v>
      </c>
      <c r="D137" t="s">
        <v>23</v>
      </c>
      <c r="E137" t="s">
        <v>360</v>
      </c>
      <c r="F137">
        <v>1371</v>
      </c>
      <c r="G137">
        <v>139</v>
      </c>
      <c r="H137">
        <v>96</v>
      </c>
      <c r="I137">
        <v>36140</v>
      </c>
      <c r="J137">
        <v>39395</v>
      </c>
      <c r="K137">
        <v>169</v>
      </c>
      <c r="L137" t="s">
        <v>16</v>
      </c>
      <c r="M137">
        <v>4.4438295517432211E-2</v>
      </c>
      <c r="N137" t="s">
        <v>37</v>
      </c>
    </row>
    <row r="138" spans="1:14">
      <c r="A138" t="s">
        <v>116</v>
      </c>
      <c r="B138" t="s">
        <v>22</v>
      </c>
      <c r="C138" s="1">
        <v>45791</v>
      </c>
      <c r="D138" t="s">
        <v>23</v>
      </c>
      <c r="E138" t="s">
        <v>360</v>
      </c>
      <c r="F138">
        <v>1371</v>
      </c>
      <c r="G138">
        <v>139</v>
      </c>
      <c r="H138">
        <v>96</v>
      </c>
      <c r="I138">
        <v>36140</v>
      </c>
      <c r="J138">
        <v>39395</v>
      </c>
      <c r="K138">
        <v>169</v>
      </c>
      <c r="L138" t="s">
        <v>16</v>
      </c>
      <c r="M138">
        <v>4.4438295517432211E-2</v>
      </c>
      <c r="N138" t="s">
        <v>34</v>
      </c>
    </row>
    <row r="139" spans="1:14">
      <c r="A139" t="s">
        <v>117</v>
      </c>
      <c r="B139" t="s">
        <v>22</v>
      </c>
      <c r="C139" s="1">
        <v>45405</v>
      </c>
      <c r="D139" t="s">
        <v>23</v>
      </c>
      <c r="E139" t="s">
        <v>15</v>
      </c>
      <c r="F139">
        <v>2683</v>
      </c>
      <c r="G139">
        <v>496</v>
      </c>
      <c r="H139">
        <v>89</v>
      </c>
      <c r="I139">
        <v>53435</v>
      </c>
      <c r="J139">
        <v>30334</v>
      </c>
      <c r="K139">
        <v>160</v>
      </c>
      <c r="L139" t="s">
        <v>16</v>
      </c>
      <c r="M139">
        <v>6.1158416768035934E-2</v>
      </c>
      <c r="N139" t="s">
        <v>37</v>
      </c>
    </row>
    <row r="140" spans="1:14">
      <c r="A140" t="s">
        <v>117</v>
      </c>
      <c r="B140" t="s">
        <v>22</v>
      </c>
      <c r="C140" s="1">
        <v>45405</v>
      </c>
      <c r="D140" t="s">
        <v>23</v>
      </c>
      <c r="E140" t="s">
        <v>15</v>
      </c>
      <c r="F140">
        <v>2683</v>
      </c>
      <c r="G140">
        <v>496</v>
      </c>
      <c r="H140">
        <v>89</v>
      </c>
      <c r="I140">
        <v>53435</v>
      </c>
      <c r="J140">
        <v>30334</v>
      </c>
      <c r="K140">
        <v>160</v>
      </c>
      <c r="L140" t="s">
        <v>16</v>
      </c>
      <c r="M140">
        <v>6.1158416768035934E-2</v>
      </c>
      <c r="N140" t="s">
        <v>34</v>
      </c>
    </row>
    <row r="141" spans="1:14">
      <c r="A141" t="s">
        <v>118</v>
      </c>
      <c r="B141" t="s">
        <v>22</v>
      </c>
      <c r="C141" s="1">
        <v>45705</v>
      </c>
      <c r="D141" t="s">
        <v>23</v>
      </c>
      <c r="E141" t="s">
        <v>362</v>
      </c>
      <c r="F141">
        <v>4796</v>
      </c>
      <c r="G141">
        <v>427</v>
      </c>
      <c r="H141">
        <v>339</v>
      </c>
      <c r="I141">
        <v>30752</v>
      </c>
      <c r="J141">
        <v>33870</v>
      </c>
      <c r="K141">
        <v>298</v>
      </c>
      <c r="L141" t="s">
        <v>16</v>
      </c>
      <c r="M141">
        <v>0.18086628511966701</v>
      </c>
      <c r="N141" t="s">
        <v>37</v>
      </c>
    </row>
    <row r="142" spans="1:14">
      <c r="A142" t="s">
        <v>118</v>
      </c>
      <c r="B142" t="s">
        <v>22</v>
      </c>
      <c r="C142" s="1">
        <v>45705</v>
      </c>
      <c r="D142" t="s">
        <v>23</v>
      </c>
      <c r="E142" t="s">
        <v>362</v>
      </c>
      <c r="F142">
        <v>4796</v>
      </c>
      <c r="G142">
        <v>427</v>
      </c>
      <c r="H142">
        <v>339</v>
      </c>
      <c r="I142">
        <v>30752</v>
      </c>
      <c r="J142">
        <v>33870</v>
      </c>
      <c r="K142">
        <v>298</v>
      </c>
      <c r="L142" t="s">
        <v>16</v>
      </c>
      <c r="M142">
        <v>0.18086628511966701</v>
      </c>
      <c r="N142" t="s">
        <v>34</v>
      </c>
    </row>
    <row r="143" spans="1:14">
      <c r="A143" t="s">
        <v>119</v>
      </c>
      <c r="B143" t="s">
        <v>13</v>
      </c>
      <c r="C143" s="1">
        <v>45630</v>
      </c>
      <c r="D143" t="s">
        <v>14</v>
      </c>
      <c r="E143" t="s">
        <v>360</v>
      </c>
      <c r="F143">
        <v>2601</v>
      </c>
      <c r="G143">
        <v>336</v>
      </c>
      <c r="H143">
        <v>260</v>
      </c>
      <c r="I143">
        <v>32368</v>
      </c>
      <c r="J143">
        <v>49028</v>
      </c>
      <c r="K143">
        <v>120</v>
      </c>
      <c r="L143" t="s">
        <v>16</v>
      </c>
      <c r="M143">
        <v>9.8770390509144837E-2</v>
      </c>
      <c r="N143" t="s">
        <v>37</v>
      </c>
    </row>
    <row r="144" spans="1:14">
      <c r="A144" t="s">
        <v>119</v>
      </c>
      <c r="B144" t="s">
        <v>13</v>
      </c>
      <c r="C144" s="1">
        <v>45630</v>
      </c>
      <c r="D144" t="s">
        <v>14</v>
      </c>
      <c r="E144" t="s">
        <v>360</v>
      </c>
      <c r="F144">
        <v>2601</v>
      </c>
      <c r="G144">
        <v>336</v>
      </c>
      <c r="H144">
        <v>260</v>
      </c>
      <c r="I144">
        <v>32368</v>
      </c>
      <c r="J144">
        <v>49028</v>
      </c>
      <c r="K144">
        <v>120</v>
      </c>
      <c r="L144" t="s">
        <v>16</v>
      </c>
      <c r="M144">
        <v>9.8770390509144837E-2</v>
      </c>
      <c r="N144" t="s">
        <v>34</v>
      </c>
    </row>
    <row r="145" spans="1:14">
      <c r="A145" t="s">
        <v>120</v>
      </c>
      <c r="B145" t="s">
        <v>22</v>
      </c>
      <c r="C145" s="1">
        <v>45495</v>
      </c>
      <c r="D145" t="s">
        <v>23</v>
      </c>
      <c r="E145" t="s">
        <v>360</v>
      </c>
      <c r="F145">
        <v>3336</v>
      </c>
      <c r="G145">
        <v>229</v>
      </c>
      <c r="H145">
        <v>337</v>
      </c>
      <c r="I145">
        <v>22117</v>
      </c>
      <c r="J145">
        <v>26205</v>
      </c>
      <c r="K145">
        <v>160</v>
      </c>
      <c r="L145" t="s">
        <v>16</v>
      </c>
      <c r="M145">
        <v>0.17642537414658407</v>
      </c>
      <c r="N145" t="s">
        <v>364</v>
      </c>
    </row>
    <row r="146" spans="1:14">
      <c r="A146" t="s">
        <v>120</v>
      </c>
      <c r="B146" t="s">
        <v>22</v>
      </c>
      <c r="C146" s="1">
        <v>45495</v>
      </c>
      <c r="D146" t="s">
        <v>23</v>
      </c>
      <c r="E146" t="s">
        <v>360</v>
      </c>
      <c r="F146">
        <v>3336</v>
      </c>
      <c r="G146">
        <v>229</v>
      </c>
      <c r="H146">
        <v>337</v>
      </c>
      <c r="I146">
        <v>22117</v>
      </c>
      <c r="J146">
        <v>26205</v>
      </c>
      <c r="K146">
        <v>160</v>
      </c>
      <c r="L146" t="s">
        <v>16</v>
      </c>
      <c r="M146">
        <v>0.17642537414658407</v>
      </c>
      <c r="N146" t="s">
        <v>34</v>
      </c>
    </row>
    <row r="147" spans="1:14">
      <c r="A147" t="s">
        <v>121</v>
      </c>
      <c r="B147" t="s">
        <v>22</v>
      </c>
      <c r="C147" s="1">
        <v>45774</v>
      </c>
      <c r="D147" t="s">
        <v>14</v>
      </c>
      <c r="E147" t="s">
        <v>18</v>
      </c>
      <c r="F147">
        <v>1165</v>
      </c>
      <c r="G147">
        <v>294</v>
      </c>
      <c r="H147">
        <v>163</v>
      </c>
      <c r="I147">
        <v>20659</v>
      </c>
      <c r="J147">
        <v>45926</v>
      </c>
      <c r="K147">
        <v>111</v>
      </c>
      <c r="L147" t="s">
        <v>20</v>
      </c>
      <c r="M147">
        <v>7.8512996756861422E-2</v>
      </c>
      <c r="N147" t="s">
        <v>37</v>
      </c>
    </row>
    <row r="148" spans="1:14">
      <c r="A148" t="s">
        <v>122</v>
      </c>
      <c r="B148" t="s">
        <v>27</v>
      </c>
      <c r="C148" s="1">
        <v>45376</v>
      </c>
      <c r="D148" t="s">
        <v>48</v>
      </c>
      <c r="E148" t="s">
        <v>18</v>
      </c>
      <c r="F148">
        <v>1948</v>
      </c>
      <c r="G148">
        <v>155</v>
      </c>
      <c r="H148">
        <v>315</v>
      </c>
      <c r="I148">
        <v>30321</v>
      </c>
      <c r="J148">
        <v>57121</v>
      </c>
      <c r="K148">
        <v>82</v>
      </c>
      <c r="L148" t="s">
        <v>49</v>
      </c>
      <c r="M148">
        <v>7.974671020085089E-2</v>
      </c>
      <c r="N148" t="s">
        <v>19</v>
      </c>
    </row>
    <row r="149" spans="1:14">
      <c r="A149" t="s">
        <v>122</v>
      </c>
      <c r="B149" t="s">
        <v>27</v>
      </c>
      <c r="C149" s="1">
        <v>45376</v>
      </c>
      <c r="D149" t="s">
        <v>48</v>
      </c>
      <c r="E149" t="s">
        <v>18</v>
      </c>
      <c r="F149">
        <v>1948</v>
      </c>
      <c r="G149">
        <v>155</v>
      </c>
      <c r="H149">
        <v>315</v>
      </c>
      <c r="I149">
        <v>30321</v>
      </c>
      <c r="J149">
        <v>57121</v>
      </c>
      <c r="K149">
        <v>82</v>
      </c>
      <c r="L149" t="s">
        <v>49</v>
      </c>
      <c r="M149">
        <v>7.974671020085089E-2</v>
      </c>
      <c r="N149" t="s">
        <v>37</v>
      </c>
    </row>
    <row r="150" spans="1:14">
      <c r="A150" t="s">
        <v>123</v>
      </c>
      <c r="B150" t="s">
        <v>13</v>
      </c>
      <c r="C150" s="1">
        <v>45351</v>
      </c>
      <c r="D150" t="s">
        <v>14</v>
      </c>
      <c r="E150" t="s">
        <v>363</v>
      </c>
      <c r="F150">
        <v>1100</v>
      </c>
      <c r="G150">
        <v>229</v>
      </c>
      <c r="H150">
        <v>312</v>
      </c>
      <c r="I150">
        <v>25641</v>
      </c>
      <c r="J150">
        <v>34601</v>
      </c>
      <c r="K150">
        <v>169</v>
      </c>
      <c r="L150" t="s">
        <v>20</v>
      </c>
      <c r="M150">
        <v>6.3999063999063993E-2</v>
      </c>
      <c r="N150" t="s">
        <v>19</v>
      </c>
    </row>
    <row r="151" spans="1:14">
      <c r="A151" t="s">
        <v>124</v>
      </c>
      <c r="B151" t="s">
        <v>22</v>
      </c>
      <c r="C151" s="1">
        <v>45609</v>
      </c>
      <c r="D151" t="s">
        <v>23</v>
      </c>
      <c r="E151" t="s">
        <v>33</v>
      </c>
      <c r="F151">
        <v>4628</v>
      </c>
      <c r="G151">
        <v>257</v>
      </c>
      <c r="H151">
        <v>397</v>
      </c>
      <c r="I151">
        <v>36686</v>
      </c>
      <c r="J151">
        <v>54683</v>
      </c>
      <c r="K151">
        <v>98</v>
      </c>
      <c r="L151" t="s">
        <v>16</v>
      </c>
      <c r="M151">
        <v>0.1439786294499264</v>
      </c>
      <c r="N151" t="s">
        <v>37</v>
      </c>
    </row>
    <row r="152" spans="1:14">
      <c r="A152" t="s">
        <v>124</v>
      </c>
      <c r="B152" t="s">
        <v>22</v>
      </c>
      <c r="C152" s="1">
        <v>45609</v>
      </c>
      <c r="D152" t="s">
        <v>23</v>
      </c>
      <c r="E152" t="s">
        <v>33</v>
      </c>
      <c r="F152">
        <v>4628</v>
      </c>
      <c r="G152">
        <v>257</v>
      </c>
      <c r="H152">
        <v>397</v>
      </c>
      <c r="I152">
        <v>36686</v>
      </c>
      <c r="J152">
        <v>54683</v>
      </c>
      <c r="K152">
        <v>98</v>
      </c>
      <c r="L152" t="s">
        <v>16</v>
      </c>
      <c r="M152">
        <v>0.1439786294499264</v>
      </c>
      <c r="N152" t="s">
        <v>34</v>
      </c>
    </row>
    <row r="153" spans="1:14">
      <c r="A153" t="s">
        <v>125</v>
      </c>
      <c r="B153" t="s">
        <v>13</v>
      </c>
      <c r="C153" s="1">
        <v>45373</v>
      </c>
      <c r="D153" t="s">
        <v>23</v>
      </c>
      <c r="E153" t="s">
        <v>15</v>
      </c>
      <c r="F153">
        <v>2319</v>
      </c>
      <c r="G153">
        <v>484</v>
      </c>
      <c r="H153">
        <v>193</v>
      </c>
      <c r="I153">
        <v>21202</v>
      </c>
      <c r="J153">
        <v>18091</v>
      </c>
      <c r="K153">
        <v>241</v>
      </c>
      <c r="L153" t="s">
        <v>46</v>
      </c>
      <c r="M153">
        <v>0.14130742382794076</v>
      </c>
      <c r="N153" t="s">
        <v>34</v>
      </c>
    </row>
    <row r="154" spans="1:14">
      <c r="A154" t="s">
        <v>126</v>
      </c>
      <c r="B154" t="s">
        <v>22</v>
      </c>
      <c r="C154" s="1">
        <v>45367</v>
      </c>
      <c r="D154" t="s">
        <v>23</v>
      </c>
      <c r="E154" t="s">
        <v>360</v>
      </c>
      <c r="F154">
        <v>2895</v>
      </c>
      <c r="G154">
        <v>292</v>
      </c>
      <c r="H154">
        <v>90</v>
      </c>
      <c r="I154">
        <v>24223</v>
      </c>
      <c r="J154">
        <v>54626</v>
      </c>
      <c r="K154">
        <v>114</v>
      </c>
      <c r="L154" t="s">
        <v>16</v>
      </c>
      <c r="M154">
        <v>0.13528464682326713</v>
      </c>
      <c r="N154" t="s">
        <v>37</v>
      </c>
    </row>
    <row r="155" spans="1:14">
      <c r="A155" t="s">
        <v>126</v>
      </c>
      <c r="B155" t="s">
        <v>22</v>
      </c>
      <c r="C155" s="1">
        <v>45367</v>
      </c>
      <c r="D155" t="s">
        <v>23</v>
      </c>
      <c r="E155" t="s">
        <v>360</v>
      </c>
      <c r="F155">
        <v>2895</v>
      </c>
      <c r="G155">
        <v>292</v>
      </c>
      <c r="H155">
        <v>90</v>
      </c>
      <c r="I155">
        <v>24223</v>
      </c>
      <c r="J155">
        <v>54626</v>
      </c>
      <c r="K155">
        <v>114</v>
      </c>
      <c r="L155" t="s">
        <v>16</v>
      </c>
      <c r="M155">
        <v>0.13528464682326713</v>
      </c>
      <c r="N155" t="s">
        <v>34</v>
      </c>
    </row>
    <row r="156" spans="1:14">
      <c r="A156" t="s">
        <v>127</v>
      </c>
      <c r="B156" t="s">
        <v>13</v>
      </c>
      <c r="C156" s="1">
        <v>45317</v>
      </c>
      <c r="D156" t="s">
        <v>14</v>
      </c>
      <c r="E156" t="s">
        <v>362</v>
      </c>
      <c r="F156">
        <v>3878</v>
      </c>
      <c r="G156">
        <v>431</v>
      </c>
      <c r="H156">
        <v>97</v>
      </c>
      <c r="I156">
        <v>41763</v>
      </c>
      <c r="J156">
        <v>29729</v>
      </c>
      <c r="K156">
        <v>191</v>
      </c>
      <c r="L156" t="s">
        <v>20</v>
      </c>
      <c r="M156">
        <v>0.10550008380623997</v>
      </c>
      <c r="N156" t="s">
        <v>19</v>
      </c>
    </row>
    <row r="157" spans="1:14">
      <c r="A157" t="s">
        <v>128</v>
      </c>
      <c r="B157" t="s">
        <v>22</v>
      </c>
      <c r="C157" s="1">
        <v>45366</v>
      </c>
      <c r="D157" t="s">
        <v>23</v>
      </c>
      <c r="E157" t="s">
        <v>30</v>
      </c>
      <c r="F157">
        <v>4969</v>
      </c>
      <c r="G157">
        <v>433</v>
      </c>
      <c r="H157">
        <v>237</v>
      </c>
      <c r="I157">
        <v>59552</v>
      </c>
      <c r="J157">
        <v>23885</v>
      </c>
      <c r="K157">
        <v>157</v>
      </c>
      <c r="L157" t="s">
        <v>16</v>
      </c>
      <c r="M157">
        <v>9.4690354648038683E-2</v>
      </c>
      <c r="N157" t="s">
        <v>19</v>
      </c>
    </row>
    <row r="158" spans="1:14">
      <c r="A158" t="s">
        <v>128</v>
      </c>
      <c r="B158" t="s">
        <v>22</v>
      </c>
      <c r="C158" s="1">
        <v>45366</v>
      </c>
      <c r="D158" t="s">
        <v>23</v>
      </c>
      <c r="E158" t="s">
        <v>30</v>
      </c>
      <c r="F158">
        <v>4969</v>
      </c>
      <c r="G158">
        <v>433</v>
      </c>
      <c r="H158">
        <v>237</v>
      </c>
      <c r="I158">
        <v>59552</v>
      </c>
      <c r="J158">
        <v>23885</v>
      </c>
      <c r="K158">
        <v>157</v>
      </c>
      <c r="L158" t="s">
        <v>16</v>
      </c>
      <c r="M158">
        <v>9.4690354648038683E-2</v>
      </c>
      <c r="N158" t="s">
        <v>364</v>
      </c>
    </row>
    <row r="159" spans="1:14">
      <c r="A159" t="s">
        <v>129</v>
      </c>
      <c r="B159" t="s">
        <v>22</v>
      </c>
      <c r="C159" s="1">
        <v>45580</v>
      </c>
      <c r="D159" t="s">
        <v>14</v>
      </c>
      <c r="E159" t="s">
        <v>360</v>
      </c>
      <c r="F159">
        <v>1984</v>
      </c>
      <c r="G159">
        <v>481</v>
      </c>
      <c r="H159">
        <v>356</v>
      </c>
      <c r="I159">
        <v>40681</v>
      </c>
      <c r="J159">
        <v>63111</v>
      </c>
      <c r="K159">
        <v>258</v>
      </c>
      <c r="L159" t="s">
        <v>16</v>
      </c>
      <c r="M159">
        <v>6.934441139598338E-2</v>
      </c>
      <c r="N159" t="s">
        <v>34</v>
      </c>
    </row>
    <row r="160" spans="1:14">
      <c r="A160" t="s">
        <v>130</v>
      </c>
      <c r="B160" t="s">
        <v>13</v>
      </c>
      <c r="C160" s="1">
        <v>45494</v>
      </c>
      <c r="D160" t="s">
        <v>14</v>
      </c>
      <c r="E160" t="s">
        <v>15</v>
      </c>
      <c r="F160">
        <v>3004</v>
      </c>
      <c r="G160">
        <v>415</v>
      </c>
      <c r="H160">
        <v>218</v>
      </c>
      <c r="I160">
        <v>36090</v>
      </c>
      <c r="J160">
        <v>37073</v>
      </c>
      <c r="K160">
        <v>181</v>
      </c>
      <c r="L160" t="s">
        <v>20</v>
      </c>
      <c r="M160">
        <v>0.10077583818232197</v>
      </c>
      <c r="N160" t="s">
        <v>19</v>
      </c>
    </row>
    <row r="161" spans="1:14">
      <c r="A161" t="s">
        <v>131</v>
      </c>
      <c r="B161" t="s">
        <v>22</v>
      </c>
      <c r="C161" s="1">
        <v>45577</v>
      </c>
      <c r="D161" t="s">
        <v>14</v>
      </c>
      <c r="E161" t="s">
        <v>30</v>
      </c>
      <c r="F161">
        <v>3169</v>
      </c>
      <c r="G161">
        <v>386</v>
      </c>
      <c r="H161">
        <v>175</v>
      </c>
      <c r="I161">
        <v>45012</v>
      </c>
      <c r="J161">
        <v>38508</v>
      </c>
      <c r="K161">
        <v>218</v>
      </c>
      <c r="L161" t="s">
        <v>16</v>
      </c>
      <c r="M161">
        <v>8.2866791077934779E-2</v>
      </c>
      <c r="N161" t="s">
        <v>34</v>
      </c>
    </row>
    <row r="162" spans="1:14">
      <c r="A162" t="s">
        <v>132</v>
      </c>
      <c r="B162" t="s">
        <v>22</v>
      </c>
      <c r="C162" s="1">
        <v>45591</v>
      </c>
      <c r="D162" t="s">
        <v>14</v>
      </c>
      <c r="E162" t="s">
        <v>15</v>
      </c>
      <c r="F162">
        <v>3036</v>
      </c>
      <c r="G162">
        <v>293</v>
      </c>
      <c r="H162">
        <v>115</v>
      </c>
      <c r="I162">
        <v>23776</v>
      </c>
      <c r="J162">
        <v>46386</v>
      </c>
      <c r="K162">
        <v>282</v>
      </c>
      <c r="L162" t="s">
        <v>16</v>
      </c>
      <c r="M162">
        <v>0.14485195154777927</v>
      </c>
      <c r="N162" t="s">
        <v>34</v>
      </c>
    </row>
    <row r="163" spans="1:14">
      <c r="A163" t="s">
        <v>133</v>
      </c>
      <c r="B163" t="s">
        <v>13</v>
      </c>
      <c r="C163" s="1">
        <v>45336</v>
      </c>
      <c r="D163" t="s">
        <v>14</v>
      </c>
      <c r="E163" t="s">
        <v>361</v>
      </c>
      <c r="F163">
        <v>1830</v>
      </c>
      <c r="G163">
        <v>112</v>
      </c>
      <c r="H163">
        <v>181</v>
      </c>
      <c r="I163">
        <v>31870</v>
      </c>
      <c r="J163">
        <v>55742</v>
      </c>
      <c r="K163">
        <v>263</v>
      </c>
      <c r="L163" t="s">
        <v>16</v>
      </c>
      <c r="M163">
        <v>6.6614370881706936E-2</v>
      </c>
      <c r="N163" t="s">
        <v>37</v>
      </c>
    </row>
    <row r="164" spans="1:14">
      <c r="A164" t="s">
        <v>133</v>
      </c>
      <c r="B164" t="s">
        <v>13</v>
      </c>
      <c r="C164" s="1">
        <v>45336</v>
      </c>
      <c r="D164" t="s">
        <v>14</v>
      </c>
      <c r="E164" t="s">
        <v>361</v>
      </c>
      <c r="F164">
        <v>1830</v>
      </c>
      <c r="G164">
        <v>112</v>
      </c>
      <c r="H164">
        <v>181</v>
      </c>
      <c r="I164">
        <v>31870</v>
      </c>
      <c r="J164">
        <v>55742</v>
      </c>
      <c r="K164">
        <v>263</v>
      </c>
      <c r="L164" t="s">
        <v>16</v>
      </c>
      <c r="M164">
        <v>6.6614370881706936E-2</v>
      </c>
      <c r="N164" t="s">
        <v>34</v>
      </c>
    </row>
    <row r="165" spans="1:14">
      <c r="A165" t="s">
        <v>134</v>
      </c>
      <c r="B165" t="s">
        <v>22</v>
      </c>
      <c r="C165" s="1">
        <v>45413</v>
      </c>
      <c r="D165" t="s">
        <v>23</v>
      </c>
      <c r="E165" t="s">
        <v>362</v>
      </c>
      <c r="F165">
        <v>2587</v>
      </c>
      <c r="G165">
        <v>447</v>
      </c>
      <c r="H165">
        <v>183</v>
      </c>
      <c r="I165">
        <v>36266</v>
      </c>
      <c r="J165">
        <v>32877</v>
      </c>
      <c r="K165">
        <v>132</v>
      </c>
      <c r="L165" t="s">
        <v>16</v>
      </c>
      <c r="M165">
        <v>8.8705674736667947E-2</v>
      </c>
      <c r="N165" t="s">
        <v>19</v>
      </c>
    </row>
    <row r="166" spans="1:14">
      <c r="A166" t="s">
        <v>134</v>
      </c>
      <c r="B166" t="s">
        <v>22</v>
      </c>
      <c r="C166" s="1">
        <v>45413</v>
      </c>
      <c r="D166" t="s">
        <v>23</v>
      </c>
      <c r="E166" t="s">
        <v>362</v>
      </c>
      <c r="F166">
        <v>2587</v>
      </c>
      <c r="G166">
        <v>447</v>
      </c>
      <c r="H166">
        <v>183</v>
      </c>
      <c r="I166">
        <v>36266</v>
      </c>
      <c r="J166">
        <v>32877</v>
      </c>
      <c r="K166">
        <v>132</v>
      </c>
      <c r="L166" t="s">
        <v>16</v>
      </c>
      <c r="M166">
        <v>8.8705674736667947E-2</v>
      </c>
      <c r="N166" t="s">
        <v>364</v>
      </c>
    </row>
    <row r="167" spans="1:14">
      <c r="A167" t="s">
        <v>135</v>
      </c>
      <c r="B167" t="s">
        <v>22</v>
      </c>
      <c r="C167" s="1">
        <v>45553</v>
      </c>
      <c r="D167" t="s">
        <v>14</v>
      </c>
      <c r="E167" t="s">
        <v>15</v>
      </c>
      <c r="F167">
        <v>2878</v>
      </c>
      <c r="G167">
        <v>265</v>
      </c>
      <c r="H167">
        <v>91</v>
      </c>
      <c r="I167">
        <v>52090</v>
      </c>
      <c r="J167">
        <v>28924</v>
      </c>
      <c r="K167">
        <v>133</v>
      </c>
      <c r="L167" t="s">
        <v>16</v>
      </c>
      <c r="M167">
        <v>6.2084853138798232E-2</v>
      </c>
      <c r="N167" t="s">
        <v>34</v>
      </c>
    </row>
    <row r="168" spans="1:14">
      <c r="A168" t="s">
        <v>136</v>
      </c>
      <c r="B168" t="s">
        <v>22</v>
      </c>
      <c r="C168" s="1">
        <v>45677</v>
      </c>
      <c r="D168" t="s">
        <v>23</v>
      </c>
      <c r="E168" t="s">
        <v>24</v>
      </c>
      <c r="F168">
        <v>4619</v>
      </c>
      <c r="G168">
        <v>272</v>
      </c>
      <c r="H168">
        <v>57</v>
      </c>
      <c r="I168">
        <v>21334</v>
      </c>
      <c r="J168">
        <v>46292</v>
      </c>
      <c r="K168">
        <v>91</v>
      </c>
      <c r="L168" t="s">
        <v>16</v>
      </c>
      <c r="M168">
        <v>0.23193025217961938</v>
      </c>
      <c r="N168" t="s">
        <v>37</v>
      </c>
    </row>
    <row r="169" spans="1:14">
      <c r="A169" t="s">
        <v>136</v>
      </c>
      <c r="B169" t="s">
        <v>22</v>
      </c>
      <c r="C169" s="1">
        <v>45677</v>
      </c>
      <c r="D169" t="s">
        <v>23</v>
      </c>
      <c r="E169" t="s">
        <v>24</v>
      </c>
      <c r="F169">
        <v>4619</v>
      </c>
      <c r="G169">
        <v>272</v>
      </c>
      <c r="H169">
        <v>57</v>
      </c>
      <c r="I169">
        <v>21334</v>
      </c>
      <c r="J169">
        <v>46292</v>
      </c>
      <c r="K169">
        <v>91</v>
      </c>
      <c r="L169" t="s">
        <v>16</v>
      </c>
      <c r="M169">
        <v>0.23193025217961938</v>
      </c>
      <c r="N169" t="s">
        <v>34</v>
      </c>
    </row>
    <row r="170" spans="1:14">
      <c r="A170" t="s">
        <v>137</v>
      </c>
      <c r="B170" t="s">
        <v>22</v>
      </c>
      <c r="C170" s="1">
        <v>45670</v>
      </c>
      <c r="D170" t="s">
        <v>14</v>
      </c>
      <c r="E170" t="s">
        <v>361</v>
      </c>
      <c r="F170">
        <v>4090</v>
      </c>
      <c r="G170">
        <v>209</v>
      </c>
      <c r="H170">
        <v>278</v>
      </c>
      <c r="I170">
        <v>52853</v>
      </c>
      <c r="J170">
        <v>57084</v>
      </c>
      <c r="K170">
        <v>102</v>
      </c>
      <c r="L170" t="s">
        <v>20</v>
      </c>
      <c r="M170">
        <v>8.6598679355949518E-2</v>
      </c>
      <c r="N170" t="s">
        <v>37</v>
      </c>
    </row>
    <row r="171" spans="1:14">
      <c r="A171" t="s">
        <v>138</v>
      </c>
      <c r="B171" t="s">
        <v>27</v>
      </c>
      <c r="C171" s="1">
        <v>45542</v>
      </c>
      <c r="D171" t="s">
        <v>48</v>
      </c>
      <c r="E171" t="s">
        <v>361</v>
      </c>
      <c r="F171">
        <v>3882</v>
      </c>
      <c r="G171">
        <v>342</v>
      </c>
      <c r="H171">
        <v>374</v>
      </c>
      <c r="I171">
        <v>41991</v>
      </c>
      <c r="J171">
        <v>48554</v>
      </c>
      <c r="K171">
        <v>118</v>
      </c>
      <c r="L171" t="s">
        <v>49</v>
      </c>
      <c r="M171">
        <v>0.10949965468790931</v>
      </c>
      <c r="N171" t="s">
        <v>19</v>
      </c>
    </row>
    <row r="172" spans="1:14">
      <c r="A172" t="s">
        <v>138</v>
      </c>
      <c r="B172" t="s">
        <v>27</v>
      </c>
      <c r="C172" s="1">
        <v>45542</v>
      </c>
      <c r="D172" t="s">
        <v>48</v>
      </c>
      <c r="E172" t="s">
        <v>361</v>
      </c>
      <c r="F172">
        <v>3882</v>
      </c>
      <c r="G172">
        <v>342</v>
      </c>
      <c r="H172">
        <v>374</v>
      </c>
      <c r="I172">
        <v>41991</v>
      </c>
      <c r="J172">
        <v>48554</v>
      </c>
      <c r="K172">
        <v>118</v>
      </c>
      <c r="L172" t="s">
        <v>49</v>
      </c>
      <c r="M172">
        <v>0.10949965468790931</v>
      </c>
      <c r="N172" t="s">
        <v>37</v>
      </c>
    </row>
    <row r="173" spans="1:14">
      <c r="A173" t="s">
        <v>139</v>
      </c>
      <c r="B173" t="s">
        <v>13</v>
      </c>
      <c r="C173" s="1">
        <v>45617</v>
      </c>
      <c r="D173" t="s">
        <v>14</v>
      </c>
      <c r="E173" t="s">
        <v>361</v>
      </c>
      <c r="F173">
        <v>4581</v>
      </c>
      <c r="G173">
        <v>181</v>
      </c>
      <c r="H173">
        <v>112</v>
      </c>
      <c r="I173">
        <v>35221</v>
      </c>
      <c r="J173">
        <v>28797</v>
      </c>
      <c r="K173">
        <v>164</v>
      </c>
      <c r="L173" t="s">
        <v>16</v>
      </c>
      <c r="M173">
        <v>0.13838335084182732</v>
      </c>
      <c r="N173" t="s">
        <v>37</v>
      </c>
    </row>
    <row r="174" spans="1:14">
      <c r="A174" t="s">
        <v>139</v>
      </c>
      <c r="B174" t="s">
        <v>13</v>
      </c>
      <c r="C174" s="1">
        <v>45617</v>
      </c>
      <c r="D174" t="s">
        <v>14</v>
      </c>
      <c r="E174" t="s">
        <v>361</v>
      </c>
      <c r="F174">
        <v>4581</v>
      </c>
      <c r="G174">
        <v>181</v>
      </c>
      <c r="H174">
        <v>112</v>
      </c>
      <c r="I174">
        <v>35221</v>
      </c>
      <c r="J174">
        <v>28797</v>
      </c>
      <c r="K174">
        <v>164</v>
      </c>
      <c r="L174" t="s">
        <v>16</v>
      </c>
      <c r="M174">
        <v>0.13838335084182732</v>
      </c>
      <c r="N174" t="s">
        <v>34</v>
      </c>
    </row>
    <row r="175" spans="1:14">
      <c r="A175" t="s">
        <v>140</v>
      </c>
      <c r="B175" t="s">
        <v>13</v>
      </c>
      <c r="C175" s="1">
        <v>45469</v>
      </c>
      <c r="D175" t="s">
        <v>14</v>
      </c>
      <c r="E175" t="s">
        <v>24</v>
      </c>
      <c r="F175">
        <v>3253</v>
      </c>
      <c r="G175">
        <v>483</v>
      </c>
      <c r="H175">
        <v>336</v>
      </c>
      <c r="I175">
        <v>25397</v>
      </c>
      <c r="J175">
        <v>51485</v>
      </c>
      <c r="K175">
        <v>131</v>
      </c>
      <c r="L175" t="s">
        <v>20</v>
      </c>
      <c r="M175">
        <v>0.16033389770445328</v>
      </c>
      <c r="N175" t="s">
        <v>19</v>
      </c>
    </row>
    <row r="176" spans="1:14">
      <c r="A176" t="s">
        <v>141</v>
      </c>
      <c r="B176" t="s">
        <v>27</v>
      </c>
      <c r="C176" s="1">
        <v>45493</v>
      </c>
      <c r="D176" t="s">
        <v>48</v>
      </c>
      <c r="E176" t="s">
        <v>361</v>
      </c>
      <c r="F176">
        <v>4955</v>
      </c>
      <c r="G176">
        <v>299</v>
      </c>
      <c r="H176">
        <v>345</v>
      </c>
      <c r="I176">
        <v>33644</v>
      </c>
      <c r="J176">
        <v>43547</v>
      </c>
      <c r="K176">
        <v>194</v>
      </c>
      <c r="L176" t="s">
        <v>49</v>
      </c>
      <c r="M176">
        <v>0.16641897515158721</v>
      </c>
      <c r="N176" t="s">
        <v>19</v>
      </c>
    </row>
    <row r="177" spans="1:14">
      <c r="A177" t="s">
        <v>141</v>
      </c>
      <c r="B177" t="s">
        <v>27</v>
      </c>
      <c r="C177" s="1">
        <v>45493</v>
      </c>
      <c r="D177" t="s">
        <v>48</v>
      </c>
      <c r="E177" t="s">
        <v>361</v>
      </c>
      <c r="F177">
        <v>4955</v>
      </c>
      <c r="G177">
        <v>299</v>
      </c>
      <c r="H177">
        <v>345</v>
      </c>
      <c r="I177">
        <v>33644</v>
      </c>
      <c r="J177">
        <v>43547</v>
      </c>
      <c r="K177">
        <v>194</v>
      </c>
      <c r="L177" t="s">
        <v>49</v>
      </c>
      <c r="M177">
        <v>0.16641897515158721</v>
      </c>
      <c r="N177" t="s">
        <v>37</v>
      </c>
    </row>
    <row r="178" spans="1:14">
      <c r="A178" t="s">
        <v>142</v>
      </c>
      <c r="B178" t="s">
        <v>13</v>
      </c>
      <c r="C178" s="1">
        <v>45704</v>
      </c>
      <c r="D178" t="s">
        <v>14</v>
      </c>
      <c r="E178" t="s">
        <v>42</v>
      </c>
      <c r="F178">
        <v>1333</v>
      </c>
      <c r="G178">
        <v>286</v>
      </c>
      <c r="H178">
        <v>298</v>
      </c>
      <c r="I178">
        <v>36174</v>
      </c>
      <c r="J178">
        <v>34517</v>
      </c>
      <c r="K178">
        <v>170</v>
      </c>
      <c r="L178" t="s">
        <v>16</v>
      </c>
      <c r="M178">
        <v>5.2993862995521647E-2</v>
      </c>
      <c r="N178" t="s">
        <v>37</v>
      </c>
    </row>
    <row r="179" spans="1:14">
      <c r="A179" t="s">
        <v>142</v>
      </c>
      <c r="B179" t="s">
        <v>13</v>
      </c>
      <c r="C179" s="1">
        <v>45704</v>
      </c>
      <c r="D179" t="s">
        <v>14</v>
      </c>
      <c r="E179" t="s">
        <v>42</v>
      </c>
      <c r="F179">
        <v>1333</v>
      </c>
      <c r="G179">
        <v>286</v>
      </c>
      <c r="H179">
        <v>298</v>
      </c>
      <c r="I179">
        <v>36174</v>
      </c>
      <c r="J179">
        <v>34517</v>
      </c>
      <c r="K179">
        <v>170</v>
      </c>
      <c r="L179" t="s">
        <v>16</v>
      </c>
      <c r="M179">
        <v>5.2993862995521647E-2</v>
      </c>
      <c r="N179" t="s">
        <v>34</v>
      </c>
    </row>
    <row r="180" spans="1:14">
      <c r="A180" t="s">
        <v>143</v>
      </c>
      <c r="B180" t="s">
        <v>13</v>
      </c>
      <c r="C180" s="1">
        <v>45544</v>
      </c>
      <c r="D180" t="s">
        <v>14</v>
      </c>
      <c r="E180" t="s">
        <v>24</v>
      </c>
      <c r="F180">
        <v>1616</v>
      </c>
      <c r="G180">
        <v>360</v>
      </c>
      <c r="H180">
        <v>180</v>
      </c>
      <c r="I180">
        <v>54342</v>
      </c>
      <c r="J180">
        <v>18796</v>
      </c>
      <c r="K180">
        <v>282</v>
      </c>
      <c r="L180" t="s">
        <v>16</v>
      </c>
      <c r="M180">
        <v>3.9674653122814763E-2</v>
      </c>
      <c r="N180" t="s">
        <v>37</v>
      </c>
    </row>
    <row r="181" spans="1:14">
      <c r="A181" t="s">
        <v>143</v>
      </c>
      <c r="B181" t="s">
        <v>13</v>
      </c>
      <c r="C181" s="1">
        <v>45544</v>
      </c>
      <c r="D181" t="s">
        <v>14</v>
      </c>
      <c r="E181" t="s">
        <v>24</v>
      </c>
      <c r="F181">
        <v>1616</v>
      </c>
      <c r="G181">
        <v>360</v>
      </c>
      <c r="H181">
        <v>180</v>
      </c>
      <c r="I181">
        <v>54342</v>
      </c>
      <c r="J181">
        <v>18796</v>
      </c>
      <c r="K181">
        <v>282</v>
      </c>
      <c r="L181" t="s">
        <v>16</v>
      </c>
      <c r="M181">
        <v>3.9674653122814763E-2</v>
      </c>
      <c r="N181" t="s">
        <v>34</v>
      </c>
    </row>
    <row r="182" spans="1:14">
      <c r="A182" t="s">
        <v>144</v>
      </c>
      <c r="B182" t="s">
        <v>22</v>
      </c>
      <c r="C182" s="1">
        <v>45489</v>
      </c>
      <c r="D182" t="s">
        <v>14</v>
      </c>
      <c r="E182" t="s">
        <v>33</v>
      </c>
      <c r="F182">
        <v>1803</v>
      </c>
      <c r="G182">
        <v>273</v>
      </c>
      <c r="H182">
        <v>287</v>
      </c>
      <c r="I182">
        <v>46176</v>
      </c>
      <c r="J182">
        <v>25488</v>
      </c>
      <c r="K182">
        <v>141</v>
      </c>
      <c r="L182" t="s">
        <v>16</v>
      </c>
      <c r="M182">
        <v>5.1173769923769923E-2</v>
      </c>
      <c r="N182" t="s">
        <v>34</v>
      </c>
    </row>
    <row r="183" spans="1:14">
      <c r="A183" t="s">
        <v>145</v>
      </c>
      <c r="B183" t="s">
        <v>13</v>
      </c>
      <c r="C183" s="1">
        <v>45762</v>
      </c>
      <c r="D183" t="s">
        <v>14</v>
      </c>
      <c r="E183" t="s">
        <v>18</v>
      </c>
      <c r="F183">
        <v>4177</v>
      </c>
      <c r="G183">
        <v>489</v>
      </c>
      <c r="H183">
        <v>331</v>
      </c>
      <c r="I183">
        <v>57451</v>
      </c>
      <c r="J183">
        <v>73793</v>
      </c>
      <c r="K183">
        <v>251</v>
      </c>
      <c r="L183" t="s">
        <v>20</v>
      </c>
      <c r="M183">
        <v>8.6978468608031198E-2</v>
      </c>
      <c r="N183" t="s">
        <v>19</v>
      </c>
    </row>
    <row r="184" spans="1:14">
      <c r="A184" t="s">
        <v>146</v>
      </c>
      <c r="B184" t="s">
        <v>13</v>
      </c>
      <c r="C184" s="1">
        <v>45781</v>
      </c>
      <c r="D184" t="s">
        <v>23</v>
      </c>
      <c r="E184" t="s">
        <v>24</v>
      </c>
      <c r="F184">
        <v>1311</v>
      </c>
      <c r="G184">
        <v>181</v>
      </c>
      <c r="H184">
        <v>361</v>
      </c>
      <c r="I184">
        <v>37148</v>
      </c>
      <c r="J184">
        <v>44875</v>
      </c>
      <c r="K184">
        <v>245</v>
      </c>
      <c r="L184" t="s">
        <v>46</v>
      </c>
      <c r="M184">
        <v>4.9881554861634543E-2</v>
      </c>
      <c r="N184" t="s">
        <v>34</v>
      </c>
    </row>
    <row r="185" spans="1:14">
      <c r="A185" t="s">
        <v>147</v>
      </c>
      <c r="B185" t="s">
        <v>13</v>
      </c>
      <c r="C185" s="1">
        <v>45340</v>
      </c>
      <c r="D185" t="s">
        <v>23</v>
      </c>
      <c r="E185" t="s">
        <v>363</v>
      </c>
      <c r="F185">
        <v>1516</v>
      </c>
      <c r="G185">
        <v>215</v>
      </c>
      <c r="H185">
        <v>332</v>
      </c>
      <c r="I185">
        <v>58981</v>
      </c>
      <c r="J185">
        <v>36118</v>
      </c>
      <c r="K185">
        <v>211</v>
      </c>
      <c r="L185" t="s">
        <v>46</v>
      </c>
      <c r="M185">
        <v>3.4977365592309385E-2</v>
      </c>
      <c r="N185" t="s">
        <v>34</v>
      </c>
    </row>
    <row r="186" spans="1:14">
      <c r="A186" t="s">
        <v>148</v>
      </c>
      <c r="B186" t="s">
        <v>22</v>
      </c>
      <c r="C186" s="1">
        <v>45428</v>
      </c>
      <c r="D186" t="s">
        <v>23</v>
      </c>
      <c r="E186" t="s">
        <v>361</v>
      </c>
      <c r="F186">
        <v>2023</v>
      </c>
      <c r="G186">
        <v>124</v>
      </c>
      <c r="H186">
        <v>99</v>
      </c>
      <c r="I186">
        <v>54524</v>
      </c>
      <c r="J186">
        <v>34790</v>
      </c>
      <c r="K186">
        <v>195</v>
      </c>
      <c r="L186" t="s">
        <v>16</v>
      </c>
      <c r="M186">
        <v>4.1192869195216787E-2</v>
      </c>
      <c r="N186" t="s">
        <v>19</v>
      </c>
    </row>
    <row r="187" spans="1:14">
      <c r="A187" t="s">
        <v>148</v>
      </c>
      <c r="B187" t="s">
        <v>22</v>
      </c>
      <c r="C187" s="1">
        <v>45428</v>
      </c>
      <c r="D187" t="s">
        <v>23</v>
      </c>
      <c r="E187" t="s">
        <v>361</v>
      </c>
      <c r="F187">
        <v>2023</v>
      </c>
      <c r="G187">
        <v>124</v>
      </c>
      <c r="H187">
        <v>99</v>
      </c>
      <c r="I187">
        <v>54524</v>
      </c>
      <c r="J187">
        <v>34790</v>
      </c>
      <c r="K187">
        <v>195</v>
      </c>
      <c r="L187" t="s">
        <v>16</v>
      </c>
      <c r="M187">
        <v>4.1192869195216787E-2</v>
      </c>
      <c r="N187" t="s">
        <v>364</v>
      </c>
    </row>
    <row r="188" spans="1:14">
      <c r="A188" t="s">
        <v>149</v>
      </c>
      <c r="B188" t="s">
        <v>22</v>
      </c>
      <c r="C188" s="1">
        <v>45806</v>
      </c>
      <c r="D188" t="s">
        <v>23</v>
      </c>
      <c r="E188" t="s">
        <v>361</v>
      </c>
      <c r="F188">
        <v>2134</v>
      </c>
      <c r="G188">
        <v>322</v>
      </c>
      <c r="H188">
        <v>114</v>
      </c>
      <c r="I188">
        <v>44338</v>
      </c>
      <c r="J188">
        <v>52165</v>
      </c>
      <c r="K188">
        <v>176</v>
      </c>
      <c r="L188" t="s">
        <v>16</v>
      </c>
      <c r="M188">
        <v>5.7963823356939871E-2</v>
      </c>
      <c r="N188" t="s">
        <v>364</v>
      </c>
    </row>
    <row r="189" spans="1:14">
      <c r="A189" t="s">
        <v>149</v>
      </c>
      <c r="B189" t="s">
        <v>22</v>
      </c>
      <c r="C189" s="1">
        <v>45806</v>
      </c>
      <c r="D189" t="s">
        <v>23</v>
      </c>
      <c r="E189" t="s">
        <v>361</v>
      </c>
      <c r="F189">
        <v>2134</v>
      </c>
      <c r="G189">
        <v>322</v>
      </c>
      <c r="H189">
        <v>114</v>
      </c>
      <c r="I189">
        <v>44338</v>
      </c>
      <c r="J189">
        <v>52165</v>
      </c>
      <c r="K189">
        <v>176</v>
      </c>
      <c r="L189" t="s">
        <v>16</v>
      </c>
      <c r="M189">
        <v>5.7963823356939871E-2</v>
      </c>
      <c r="N189" t="s">
        <v>34</v>
      </c>
    </row>
    <row r="190" spans="1:14">
      <c r="A190" t="s">
        <v>150</v>
      </c>
      <c r="B190" t="s">
        <v>13</v>
      </c>
      <c r="C190" s="1">
        <v>45674</v>
      </c>
      <c r="D190" t="s">
        <v>14</v>
      </c>
      <c r="E190" t="s">
        <v>33</v>
      </c>
      <c r="F190">
        <v>2266</v>
      </c>
      <c r="G190">
        <v>126</v>
      </c>
      <c r="H190">
        <v>140</v>
      </c>
      <c r="I190">
        <v>53759</v>
      </c>
      <c r="J190">
        <v>46834</v>
      </c>
      <c r="K190">
        <v>277</v>
      </c>
      <c r="L190" t="s">
        <v>20</v>
      </c>
      <c r="M190">
        <v>4.7099090384865788E-2</v>
      </c>
      <c r="N190" t="s">
        <v>19</v>
      </c>
    </row>
    <row r="191" spans="1:14">
      <c r="A191" t="s">
        <v>151</v>
      </c>
      <c r="B191" t="s">
        <v>13</v>
      </c>
      <c r="C191" s="1">
        <v>45777</v>
      </c>
      <c r="D191" t="s">
        <v>23</v>
      </c>
      <c r="E191" t="s">
        <v>24</v>
      </c>
      <c r="F191">
        <v>3916</v>
      </c>
      <c r="G191">
        <v>459</v>
      </c>
      <c r="H191">
        <v>229</v>
      </c>
      <c r="I191">
        <v>48989</v>
      </c>
      <c r="J191">
        <v>39768</v>
      </c>
      <c r="K191">
        <v>200</v>
      </c>
      <c r="L191" t="s">
        <v>46</v>
      </c>
      <c r="M191">
        <v>9.3980281287635997E-2</v>
      </c>
      <c r="N191" t="s">
        <v>34</v>
      </c>
    </row>
    <row r="192" spans="1:14">
      <c r="A192" t="s">
        <v>152</v>
      </c>
      <c r="B192" t="s">
        <v>22</v>
      </c>
      <c r="C192" s="1">
        <v>45346</v>
      </c>
      <c r="D192" t="s">
        <v>23</v>
      </c>
      <c r="E192" t="s">
        <v>361</v>
      </c>
      <c r="F192">
        <v>1022</v>
      </c>
      <c r="G192">
        <v>463</v>
      </c>
      <c r="H192">
        <v>360</v>
      </c>
      <c r="I192">
        <v>51468</v>
      </c>
      <c r="J192">
        <v>24279</v>
      </c>
      <c r="K192">
        <v>230</v>
      </c>
      <c r="L192" t="s">
        <v>16</v>
      </c>
      <c r="M192">
        <v>3.5847516903707161E-2</v>
      </c>
      <c r="N192" t="s">
        <v>19</v>
      </c>
    </row>
    <row r="193" spans="1:14">
      <c r="A193" t="s">
        <v>152</v>
      </c>
      <c r="B193" t="s">
        <v>22</v>
      </c>
      <c r="C193" s="1">
        <v>45346</v>
      </c>
      <c r="D193" t="s">
        <v>23</v>
      </c>
      <c r="E193" t="s">
        <v>361</v>
      </c>
      <c r="F193">
        <v>1022</v>
      </c>
      <c r="G193">
        <v>463</v>
      </c>
      <c r="H193">
        <v>360</v>
      </c>
      <c r="I193">
        <v>51468</v>
      </c>
      <c r="J193">
        <v>24279</v>
      </c>
      <c r="K193">
        <v>230</v>
      </c>
      <c r="L193" t="s">
        <v>16</v>
      </c>
      <c r="M193">
        <v>3.5847516903707161E-2</v>
      </c>
      <c r="N193" t="s">
        <v>364</v>
      </c>
    </row>
    <row r="194" spans="1:14">
      <c r="A194" t="s">
        <v>153</v>
      </c>
      <c r="B194" t="s">
        <v>27</v>
      </c>
      <c r="C194" s="1">
        <v>45424</v>
      </c>
      <c r="D194" t="s">
        <v>14</v>
      </c>
      <c r="E194" t="s">
        <v>363</v>
      </c>
      <c r="F194">
        <v>2911</v>
      </c>
      <c r="G194">
        <v>467</v>
      </c>
      <c r="H194">
        <v>94</v>
      </c>
      <c r="I194">
        <v>59083</v>
      </c>
      <c r="J194">
        <v>49762</v>
      </c>
      <c r="K194">
        <v>236</v>
      </c>
      <c r="L194" t="s">
        <v>20</v>
      </c>
      <c r="M194">
        <v>5.8764788517847777E-2</v>
      </c>
      <c r="N194" t="s">
        <v>19</v>
      </c>
    </row>
    <row r="195" spans="1:14">
      <c r="A195" t="s">
        <v>153</v>
      </c>
      <c r="B195" t="s">
        <v>27</v>
      </c>
      <c r="C195" s="1">
        <v>45424</v>
      </c>
      <c r="D195" t="s">
        <v>14</v>
      </c>
      <c r="E195" t="s">
        <v>363</v>
      </c>
      <c r="F195">
        <v>2911</v>
      </c>
      <c r="G195">
        <v>467</v>
      </c>
      <c r="H195">
        <v>94</v>
      </c>
      <c r="I195">
        <v>59083</v>
      </c>
      <c r="J195">
        <v>49762</v>
      </c>
      <c r="K195">
        <v>236</v>
      </c>
      <c r="L195" t="s">
        <v>20</v>
      </c>
      <c r="M195">
        <v>5.8764788517847777E-2</v>
      </c>
      <c r="N195" t="s">
        <v>365</v>
      </c>
    </row>
    <row r="196" spans="1:14">
      <c r="A196" t="s">
        <v>154</v>
      </c>
      <c r="B196" t="s">
        <v>22</v>
      </c>
      <c r="C196" s="1">
        <v>45421</v>
      </c>
      <c r="D196" t="s">
        <v>23</v>
      </c>
      <c r="E196" t="s">
        <v>24</v>
      </c>
      <c r="F196">
        <v>3277</v>
      </c>
      <c r="G196">
        <v>423</v>
      </c>
      <c r="H196">
        <v>259</v>
      </c>
      <c r="I196">
        <v>46328</v>
      </c>
      <c r="J196">
        <v>44293</v>
      </c>
      <c r="K196">
        <v>299</v>
      </c>
      <c r="L196" t="s">
        <v>16</v>
      </c>
      <c r="M196">
        <v>8.5455879813503707E-2</v>
      </c>
      <c r="N196" t="s">
        <v>37</v>
      </c>
    </row>
    <row r="197" spans="1:14">
      <c r="A197" t="s">
        <v>154</v>
      </c>
      <c r="B197" t="s">
        <v>22</v>
      </c>
      <c r="C197" s="1">
        <v>45421</v>
      </c>
      <c r="D197" t="s">
        <v>23</v>
      </c>
      <c r="E197" t="s">
        <v>24</v>
      </c>
      <c r="F197">
        <v>3277</v>
      </c>
      <c r="G197">
        <v>423</v>
      </c>
      <c r="H197">
        <v>259</v>
      </c>
      <c r="I197">
        <v>46328</v>
      </c>
      <c r="J197">
        <v>44293</v>
      </c>
      <c r="K197">
        <v>299</v>
      </c>
      <c r="L197" t="s">
        <v>16</v>
      </c>
      <c r="M197">
        <v>8.5455879813503707E-2</v>
      </c>
      <c r="N197" t="s">
        <v>34</v>
      </c>
    </row>
    <row r="198" spans="1:14">
      <c r="A198" t="s">
        <v>155</v>
      </c>
      <c r="B198" t="s">
        <v>22</v>
      </c>
      <c r="C198" s="1">
        <v>45602</v>
      </c>
      <c r="D198" t="s">
        <v>14</v>
      </c>
      <c r="E198" t="s">
        <v>363</v>
      </c>
      <c r="F198">
        <v>2956</v>
      </c>
      <c r="G198">
        <v>381</v>
      </c>
      <c r="H198">
        <v>345</v>
      </c>
      <c r="I198">
        <v>33347</v>
      </c>
      <c r="J198">
        <v>22558</v>
      </c>
      <c r="K198">
        <v>173</v>
      </c>
      <c r="L198" t="s">
        <v>16</v>
      </c>
      <c r="M198">
        <v>0.11041472996071611</v>
      </c>
      <c r="N198" t="s">
        <v>34</v>
      </c>
    </row>
    <row r="199" spans="1:14">
      <c r="A199" t="s">
        <v>156</v>
      </c>
      <c r="B199" t="s">
        <v>22</v>
      </c>
      <c r="C199" s="1">
        <v>45295</v>
      </c>
      <c r="D199" t="s">
        <v>23</v>
      </c>
      <c r="E199" t="s">
        <v>362</v>
      </c>
      <c r="F199">
        <v>3208</v>
      </c>
      <c r="G199">
        <v>476</v>
      </c>
      <c r="H199">
        <v>277</v>
      </c>
      <c r="I199">
        <v>56072</v>
      </c>
      <c r="J199">
        <v>21061</v>
      </c>
      <c r="K199">
        <v>113</v>
      </c>
      <c r="L199" t="s">
        <v>16</v>
      </c>
      <c r="M199">
        <v>7.064131830503638E-2</v>
      </c>
      <c r="N199" t="s">
        <v>364</v>
      </c>
    </row>
    <row r="200" spans="1:14">
      <c r="A200" t="s">
        <v>156</v>
      </c>
      <c r="B200" t="s">
        <v>22</v>
      </c>
      <c r="C200" s="1">
        <v>45295</v>
      </c>
      <c r="D200" t="s">
        <v>23</v>
      </c>
      <c r="E200" t="s">
        <v>362</v>
      </c>
      <c r="F200">
        <v>3208</v>
      </c>
      <c r="G200">
        <v>476</v>
      </c>
      <c r="H200">
        <v>277</v>
      </c>
      <c r="I200">
        <v>56072</v>
      </c>
      <c r="J200">
        <v>21061</v>
      </c>
      <c r="K200">
        <v>113</v>
      </c>
      <c r="L200" t="s">
        <v>16</v>
      </c>
      <c r="M200">
        <v>7.064131830503638E-2</v>
      </c>
      <c r="N200" t="s">
        <v>34</v>
      </c>
    </row>
    <row r="201" spans="1:14">
      <c r="A201" t="s">
        <v>157</v>
      </c>
      <c r="B201" t="s">
        <v>22</v>
      </c>
      <c r="C201" s="1">
        <v>45319</v>
      </c>
      <c r="D201" t="s">
        <v>14</v>
      </c>
      <c r="E201" t="s">
        <v>361</v>
      </c>
      <c r="F201">
        <v>1456</v>
      </c>
      <c r="G201">
        <v>265</v>
      </c>
      <c r="H201">
        <v>137</v>
      </c>
      <c r="I201">
        <v>53485</v>
      </c>
      <c r="J201">
        <v>59729</v>
      </c>
      <c r="K201">
        <v>145</v>
      </c>
      <c r="L201" t="s">
        <v>20</v>
      </c>
      <c r="M201">
        <v>3.4738711788351875E-2</v>
      </c>
      <c r="N201" t="s">
        <v>37</v>
      </c>
    </row>
    <row r="202" spans="1:14">
      <c r="A202" t="s">
        <v>158</v>
      </c>
      <c r="B202" t="s">
        <v>13</v>
      </c>
      <c r="C202" s="1">
        <v>45344</v>
      </c>
      <c r="D202" t="s">
        <v>14</v>
      </c>
      <c r="E202" t="s">
        <v>24</v>
      </c>
      <c r="F202">
        <v>1902</v>
      </c>
      <c r="G202">
        <v>394</v>
      </c>
      <c r="H202">
        <v>279</v>
      </c>
      <c r="I202">
        <v>24615</v>
      </c>
      <c r="J202">
        <v>51330</v>
      </c>
      <c r="K202">
        <v>176</v>
      </c>
      <c r="L202" t="s">
        <v>16</v>
      </c>
      <c r="M202">
        <v>0.10461100954702417</v>
      </c>
      <c r="N202" t="s">
        <v>37</v>
      </c>
    </row>
    <row r="203" spans="1:14">
      <c r="A203" t="s">
        <v>158</v>
      </c>
      <c r="B203" t="s">
        <v>13</v>
      </c>
      <c r="C203" s="1">
        <v>45344</v>
      </c>
      <c r="D203" t="s">
        <v>14</v>
      </c>
      <c r="E203" t="s">
        <v>24</v>
      </c>
      <c r="F203">
        <v>1902</v>
      </c>
      <c r="G203">
        <v>394</v>
      </c>
      <c r="H203">
        <v>279</v>
      </c>
      <c r="I203">
        <v>24615</v>
      </c>
      <c r="J203">
        <v>51330</v>
      </c>
      <c r="K203">
        <v>176</v>
      </c>
      <c r="L203" t="s">
        <v>16</v>
      </c>
      <c r="M203">
        <v>0.10461100954702417</v>
      </c>
      <c r="N203" t="s">
        <v>34</v>
      </c>
    </row>
    <row r="204" spans="1:14">
      <c r="A204" t="s">
        <v>159</v>
      </c>
      <c r="B204" t="s">
        <v>22</v>
      </c>
      <c r="C204" s="1">
        <v>45839</v>
      </c>
      <c r="D204" t="s">
        <v>23</v>
      </c>
      <c r="E204" t="s">
        <v>18</v>
      </c>
      <c r="F204">
        <v>3219</v>
      </c>
      <c r="G204">
        <v>424</v>
      </c>
      <c r="H204">
        <v>267</v>
      </c>
      <c r="I204">
        <v>48879</v>
      </c>
      <c r="J204">
        <v>37691</v>
      </c>
      <c r="K204">
        <v>224</v>
      </c>
      <c r="L204" t="s">
        <v>16</v>
      </c>
      <c r="M204">
        <v>7.9993453221219743E-2</v>
      </c>
      <c r="N204" t="s">
        <v>19</v>
      </c>
    </row>
    <row r="205" spans="1:14">
      <c r="A205" t="s">
        <v>159</v>
      </c>
      <c r="B205" t="s">
        <v>22</v>
      </c>
      <c r="C205" s="1">
        <v>45839</v>
      </c>
      <c r="D205" t="s">
        <v>23</v>
      </c>
      <c r="E205" t="s">
        <v>18</v>
      </c>
      <c r="F205">
        <v>3219</v>
      </c>
      <c r="G205">
        <v>424</v>
      </c>
      <c r="H205">
        <v>267</v>
      </c>
      <c r="I205">
        <v>48879</v>
      </c>
      <c r="J205">
        <v>37691</v>
      </c>
      <c r="K205">
        <v>224</v>
      </c>
      <c r="L205" t="s">
        <v>16</v>
      </c>
      <c r="M205">
        <v>7.9993453221219743E-2</v>
      </c>
      <c r="N205" t="s">
        <v>364</v>
      </c>
    </row>
    <row r="206" spans="1:14">
      <c r="A206" t="s">
        <v>160</v>
      </c>
      <c r="B206" t="s">
        <v>27</v>
      </c>
      <c r="C206" s="1">
        <v>45301</v>
      </c>
      <c r="D206" t="s">
        <v>14</v>
      </c>
      <c r="E206" t="s">
        <v>18</v>
      </c>
      <c r="F206">
        <v>1261</v>
      </c>
      <c r="G206">
        <v>190</v>
      </c>
      <c r="H206">
        <v>233</v>
      </c>
      <c r="I206">
        <v>59888</v>
      </c>
      <c r="J206">
        <v>51449</v>
      </c>
      <c r="K206">
        <v>205</v>
      </c>
      <c r="L206" t="s">
        <v>20</v>
      </c>
      <c r="M206">
        <v>2.811915575741384E-2</v>
      </c>
      <c r="N206" t="s">
        <v>19</v>
      </c>
    </row>
    <row r="207" spans="1:14">
      <c r="A207" t="s">
        <v>160</v>
      </c>
      <c r="B207" t="s">
        <v>27</v>
      </c>
      <c r="C207" s="1">
        <v>45301</v>
      </c>
      <c r="D207" t="s">
        <v>14</v>
      </c>
      <c r="E207" t="s">
        <v>18</v>
      </c>
      <c r="F207">
        <v>1261</v>
      </c>
      <c r="G207">
        <v>190</v>
      </c>
      <c r="H207">
        <v>233</v>
      </c>
      <c r="I207">
        <v>59888</v>
      </c>
      <c r="J207">
        <v>51449</v>
      </c>
      <c r="K207">
        <v>205</v>
      </c>
      <c r="L207" t="s">
        <v>20</v>
      </c>
      <c r="M207">
        <v>2.811915575741384E-2</v>
      </c>
      <c r="N207" t="s">
        <v>365</v>
      </c>
    </row>
    <row r="208" spans="1:14">
      <c r="A208" t="s">
        <v>161</v>
      </c>
      <c r="B208" t="s">
        <v>22</v>
      </c>
      <c r="C208" s="1">
        <v>45736</v>
      </c>
      <c r="D208" t="s">
        <v>14</v>
      </c>
      <c r="E208" t="s">
        <v>42</v>
      </c>
      <c r="F208">
        <v>1564</v>
      </c>
      <c r="G208">
        <v>362</v>
      </c>
      <c r="H208">
        <v>371</v>
      </c>
      <c r="I208">
        <v>42075</v>
      </c>
      <c r="J208">
        <v>66659</v>
      </c>
      <c r="K208">
        <v>205</v>
      </c>
      <c r="L208" t="s">
        <v>20</v>
      </c>
      <c r="M208">
        <v>5.4592988710635768E-2</v>
      </c>
      <c r="N208" t="s">
        <v>37</v>
      </c>
    </row>
    <row r="209" spans="1:14">
      <c r="A209" t="s">
        <v>162</v>
      </c>
      <c r="B209" t="s">
        <v>22</v>
      </c>
      <c r="C209" s="1">
        <v>45563</v>
      </c>
      <c r="D209" t="s">
        <v>14</v>
      </c>
      <c r="E209" t="s">
        <v>362</v>
      </c>
      <c r="F209">
        <v>4006</v>
      </c>
      <c r="G209">
        <v>420</v>
      </c>
      <c r="H209">
        <v>194</v>
      </c>
      <c r="I209">
        <v>49964</v>
      </c>
      <c r="J209">
        <v>20685</v>
      </c>
      <c r="K209">
        <v>148</v>
      </c>
      <c r="L209" t="s">
        <v>16</v>
      </c>
      <c r="M209">
        <v>9.2466575934672959E-2</v>
      </c>
      <c r="N209" t="s">
        <v>34</v>
      </c>
    </row>
    <row r="210" spans="1:14">
      <c r="A210" t="s">
        <v>163</v>
      </c>
      <c r="B210" t="s">
        <v>27</v>
      </c>
      <c r="C210" s="1">
        <v>45318</v>
      </c>
      <c r="D210" t="s">
        <v>14</v>
      </c>
      <c r="E210" t="s">
        <v>42</v>
      </c>
      <c r="F210">
        <v>1976</v>
      </c>
      <c r="G210">
        <v>262</v>
      </c>
      <c r="H210">
        <v>218</v>
      </c>
      <c r="I210">
        <v>51696</v>
      </c>
      <c r="J210">
        <v>44846</v>
      </c>
      <c r="K210">
        <v>139</v>
      </c>
      <c r="L210" t="s">
        <v>20</v>
      </c>
      <c r="M210">
        <v>4.7508511296812134E-2</v>
      </c>
      <c r="N210" t="s">
        <v>19</v>
      </c>
    </row>
    <row r="211" spans="1:14">
      <c r="A211" t="s">
        <v>163</v>
      </c>
      <c r="B211" t="s">
        <v>27</v>
      </c>
      <c r="C211" s="1">
        <v>45318</v>
      </c>
      <c r="D211" t="s">
        <v>14</v>
      </c>
      <c r="E211" t="s">
        <v>42</v>
      </c>
      <c r="F211">
        <v>1976</v>
      </c>
      <c r="G211">
        <v>262</v>
      </c>
      <c r="H211">
        <v>218</v>
      </c>
      <c r="I211">
        <v>51696</v>
      </c>
      <c r="J211">
        <v>44846</v>
      </c>
      <c r="K211">
        <v>139</v>
      </c>
      <c r="L211" t="s">
        <v>20</v>
      </c>
      <c r="M211">
        <v>4.7508511296812134E-2</v>
      </c>
      <c r="N211" t="s">
        <v>365</v>
      </c>
    </row>
    <row r="212" spans="1:14">
      <c r="A212" t="s">
        <v>164</v>
      </c>
      <c r="B212" t="s">
        <v>22</v>
      </c>
      <c r="C212" s="1">
        <v>45792</v>
      </c>
      <c r="D212" t="s">
        <v>14</v>
      </c>
      <c r="E212" t="s">
        <v>24</v>
      </c>
      <c r="F212">
        <v>1583</v>
      </c>
      <c r="G212">
        <v>433</v>
      </c>
      <c r="H212">
        <v>249</v>
      </c>
      <c r="I212">
        <v>30256</v>
      </c>
      <c r="J212">
        <v>47066</v>
      </c>
      <c r="K212">
        <v>196</v>
      </c>
      <c r="L212" t="s">
        <v>16</v>
      </c>
      <c r="M212">
        <v>7.4861184558434685E-2</v>
      </c>
      <c r="N212" t="s">
        <v>34</v>
      </c>
    </row>
    <row r="213" spans="1:14">
      <c r="A213" t="s">
        <v>165</v>
      </c>
      <c r="B213" t="s">
        <v>22</v>
      </c>
      <c r="C213" s="1">
        <v>45569</v>
      </c>
      <c r="D213" t="s">
        <v>23</v>
      </c>
      <c r="E213" t="s">
        <v>18</v>
      </c>
      <c r="F213">
        <v>2870</v>
      </c>
      <c r="G213">
        <v>380</v>
      </c>
      <c r="H213">
        <v>393</v>
      </c>
      <c r="I213">
        <v>37621</v>
      </c>
      <c r="J213">
        <v>71794</v>
      </c>
      <c r="K213">
        <v>127</v>
      </c>
      <c r="L213" t="s">
        <v>16</v>
      </c>
      <c r="M213">
        <v>9.6834214933149046E-2</v>
      </c>
      <c r="N213" t="s">
        <v>364</v>
      </c>
    </row>
    <row r="214" spans="1:14">
      <c r="A214" t="s">
        <v>165</v>
      </c>
      <c r="B214" t="s">
        <v>22</v>
      </c>
      <c r="C214" s="1">
        <v>45569</v>
      </c>
      <c r="D214" t="s">
        <v>23</v>
      </c>
      <c r="E214" t="s">
        <v>18</v>
      </c>
      <c r="F214">
        <v>2870</v>
      </c>
      <c r="G214">
        <v>380</v>
      </c>
      <c r="H214">
        <v>393</v>
      </c>
      <c r="I214">
        <v>37621</v>
      </c>
      <c r="J214">
        <v>71794</v>
      </c>
      <c r="K214">
        <v>127</v>
      </c>
      <c r="L214" t="s">
        <v>16</v>
      </c>
      <c r="M214">
        <v>9.6834214933149046E-2</v>
      </c>
      <c r="N214" t="s">
        <v>34</v>
      </c>
    </row>
    <row r="215" spans="1:14">
      <c r="A215" t="s">
        <v>166</v>
      </c>
      <c r="B215" t="s">
        <v>22</v>
      </c>
      <c r="C215" s="1">
        <v>45615</v>
      </c>
      <c r="D215" t="s">
        <v>14</v>
      </c>
      <c r="E215" t="s">
        <v>33</v>
      </c>
      <c r="F215">
        <v>3728</v>
      </c>
      <c r="G215">
        <v>271</v>
      </c>
      <c r="H215">
        <v>275</v>
      </c>
      <c r="I215">
        <v>22827</v>
      </c>
      <c r="J215">
        <v>37034</v>
      </c>
      <c r="K215">
        <v>199</v>
      </c>
      <c r="L215" t="s">
        <v>16</v>
      </c>
      <c r="M215">
        <v>0.18723441538528934</v>
      </c>
      <c r="N215" t="s">
        <v>34</v>
      </c>
    </row>
    <row r="216" spans="1:14">
      <c r="A216" t="s">
        <v>167</v>
      </c>
      <c r="B216" t="s">
        <v>22</v>
      </c>
      <c r="C216" s="1">
        <v>45387</v>
      </c>
      <c r="D216" t="s">
        <v>23</v>
      </c>
      <c r="E216" t="s">
        <v>24</v>
      </c>
      <c r="F216">
        <v>4965</v>
      </c>
      <c r="G216">
        <v>175</v>
      </c>
      <c r="H216">
        <v>307</v>
      </c>
      <c r="I216">
        <v>32793</v>
      </c>
      <c r="J216">
        <v>43412</v>
      </c>
      <c r="K216">
        <v>296</v>
      </c>
      <c r="L216" t="s">
        <v>16</v>
      </c>
      <c r="M216">
        <v>0.16610252187966945</v>
      </c>
      <c r="N216" t="s">
        <v>37</v>
      </c>
    </row>
    <row r="217" spans="1:14">
      <c r="A217" t="s">
        <v>167</v>
      </c>
      <c r="B217" t="s">
        <v>22</v>
      </c>
      <c r="C217" s="1">
        <v>45387</v>
      </c>
      <c r="D217" t="s">
        <v>23</v>
      </c>
      <c r="E217" t="s">
        <v>24</v>
      </c>
      <c r="F217">
        <v>4965</v>
      </c>
      <c r="G217">
        <v>175</v>
      </c>
      <c r="H217">
        <v>307</v>
      </c>
      <c r="I217">
        <v>32793</v>
      </c>
      <c r="J217">
        <v>43412</v>
      </c>
      <c r="K217">
        <v>296</v>
      </c>
      <c r="L217" t="s">
        <v>16</v>
      </c>
      <c r="M217">
        <v>0.16610252187966945</v>
      </c>
      <c r="N217" t="s">
        <v>34</v>
      </c>
    </row>
    <row r="218" spans="1:14">
      <c r="A218" t="s">
        <v>168</v>
      </c>
      <c r="B218" t="s">
        <v>22</v>
      </c>
      <c r="C218" s="1">
        <v>45624</v>
      </c>
      <c r="D218" t="s">
        <v>23</v>
      </c>
      <c r="E218" t="s">
        <v>24</v>
      </c>
      <c r="F218">
        <v>1131</v>
      </c>
      <c r="G218">
        <v>100</v>
      </c>
      <c r="H218">
        <v>116</v>
      </c>
      <c r="I218">
        <v>48437</v>
      </c>
      <c r="J218">
        <v>72704</v>
      </c>
      <c r="K218">
        <v>236</v>
      </c>
      <c r="L218" t="s">
        <v>16</v>
      </c>
      <c r="M218">
        <v>2.7809319322005904E-2</v>
      </c>
      <c r="N218" t="s">
        <v>19</v>
      </c>
    </row>
    <row r="219" spans="1:14">
      <c r="A219" t="s">
        <v>168</v>
      </c>
      <c r="B219" t="s">
        <v>22</v>
      </c>
      <c r="C219" s="1">
        <v>45624</v>
      </c>
      <c r="D219" t="s">
        <v>23</v>
      </c>
      <c r="E219" t="s">
        <v>24</v>
      </c>
      <c r="F219">
        <v>1131</v>
      </c>
      <c r="G219">
        <v>100</v>
      </c>
      <c r="H219">
        <v>116</v>
      </c>
      <c r="I219">
        <v>48437</v>
      </c>
      <c r="J219">
        <v>72704</v>
      </c>
      <c r="K219">
        <v>236</v>
      </c>
      <c r="L219" t="s">
        <v>16</v>
      </c>
      <c r="M219">
        <v>2.7809319322005904E-2</v>
      </c>
      <c r="N219" t="s">
        <v>364</v>
      </c>
    </row>
    <row r="220" spans="1:14">
      <c r="A220" t="s">
        <v>169</v>
      </c>
      <c r="B220" t="s">
        <v>22</v>
      </c>
      <c r="C220" s="1">
        <v>45725</v>
      </c>
      <c r="D220" t="s">
        <v>14</v>
      </c>
      <c r="E220" t="s">
        <v>42</v>
      </c>
      <c r="F220">
        <v>2754</v>
      </c>
      <c r="G220">
        <v>215</v>
      </c>
      <c r="H220">
        <v>264</v>
      </c>
      <c r="I220">
        <v>27762</v>
      </c>
      <c r="J220">
        <v>70203</v>
      </c>
      <c r="K220">
        <v>289</v>
      </c>
      <c r="L220" t="s">
        <v>16</v>
      </c>
      <c r="M220">
        <v>0.11645414595490239</v>
      </c>
      <c r="N220" t="s">
        <v>34</v>
      </c>
    </row>
    <row r="221" spans="1:14">
      <c r="A221" t="s">
        <v>170</v>
      </c>
      <c r="B221" t="s">
        <v>22</v>
      </c>
      <c r="C221" s="1">
        <v>45531</v>
      </c>
      <c r="D221" t="s">
        <v>23</v>
      </c>
      <c r="E221" t="s">
        <v>24</v>
      </c>
      <c r="F221">
        <v>1856</v>
      </c>
      <c r="G221">
        <v>357</v>
      </c>
      <c r="H221">
        <v>348</v>
      </c>
      <c r="I221">
        <v>29428</v>
      </c>
      <c r="J221">
        <v>70206</v>
      </c>
      <c r="K221">
        <v>236</v>
      </c>
      <c r="L221" t="s">
        <v>16</v>
      </c>
      <c r="M221">
        <v>8.702596166915863E-2</v>
      </c>
      <c r="N221" t="s">
        <v>364</v>
      </c>
    </row>
    <row r="222" spans="1:14">
      <c r="A222" t="s">
        <v>170</v>
      </c>
      <c r="B222" t="s">
        <v>22</v>
      </c>
      <c r="C222" s="1">
        <v>45531</v>
      </c>
      <c r="D222" t="s">
        <v>23</v>
      </c>
      <c r="E222" t="s">
        <v>24</v>
      </c>
      <c r="F222">
        <v>1856</v>
      </c>
      <c r="G222">
        <v>357</v>
      </c>
      <c r="H222">
        <v>348</v>
      </c>
      <c r="I222">
        <v>29428</v>
      </c>
      <c r="J222">
        <v>70206</v>
      </c>
      <c r="K222">
        <v>236</v>
      </c>
      <c r="L222" t="s">
        <v>16</v>
      </c>
      <c r="M222">
        <v>8.702596166915863E-2</v>
      </c>
      <c r="N222" t="s">
        <v>34</v>
      </c>
    </row>
    <row r="223" spans="1:14">
      <c r="A223" t="s">
        <v>171</v>
      </c>
      <c r="B223" t="s">
        <v>27</v>
      </c>
      <c r="C223" s="1">
        <v>45566</v>
      </c>
      <c r="D223" t="s">
        <v>48</v>
      </c>
      <c r="E223" t="s">
        <v>18</v>
      </c>
      <c r="F223">
        <v>3543</v>
      </c>
      <c r="G223">
        <v>334</v>
      </c>
      <c r="H223">
        <v>218</v>
      </c>
      <c r="I223">
        <v>58007</v>
      </c>
      <c r="J223">
        <v>24792</v>
      </c>
      <c r="K223">
        <v>273</v>
      </c>
      <c r="L223" t="s">
        <v>49</v>
      </c>
      <c r="M223">
        <v>7.0594928198320889E-2</v>
      </c>
      <c r="N223" t="s">
        <v>19</v>
      </c>
    </row>
    <row r="224" spans="1:14">
      <c r="A224" t="s">
        <v>171</v>
      </c>
      <c r="B224" t="s">
        <v>27</v>
      </c>
      <c r="C224" s="1">
        <v>45566</v>
      </c>
      <c r="D224" t="s">
        <v>48</v>
      </c>
      <c r="E224" t="s">
        <v>18</v>
      </c>
      <c r="F224">
        <v>3543</v>
      </c>
      <c r="G224">
        <v>334</v>
      </c>
      <c r="H224">
        <v>218</v>
      </c>
      <c r="I224">
        <v>58007</v>
      </c>
      <c r="J224">
        <v>24792</v>
      </c>
      <c r="K224">
        <v>273</v>
      </c>
      <c r="L224" t="s">
        <v>49</v>
      </c>
      <c r="M224">
        <v>7.0594928198320889E-2</v>
      </c>
      <c r="N224" t="s">
        <v>37</v>
      </c>
    </row>
    <row r="225" spans="1:14">
      <c r="A225" t="s">
        <v>172</v>
      </c>
      <c r="B225" t="s">
        <v>13</v>
      </c>
      <c r="C225" s="1">
        <v>45647</v>
      </c>
      <c r="D225" t="s">
        <v>23</v>
      </c>
      <c r="E225" t="s">
        <v>24</v>
      </c>
      <c r="F225">
        <v>4563</v>
      </c>
      <c r="G225">
        <v>398</v>
      </c>
      <c r="H225">
        <v>163</v>
      </c>
      <c r="I225">
        <v>43679</v>
      </c>
      <c r="J225">
        <v>48760</v>
      </c>
      <c r="K225">
        <v>92</v>
      </c>
      <c r="L225" t="s">
        <v>46</v>
      </c>
      <c r="M225">
        <v>0.11731037798484398</v>
      </c>
      <c r="N225" t="s">
        <v>34</v>
      </c>
    </row>
    <row r="226" spans="1:14">
      <c r="A226" t="s">
        <v>173</v>
      </c>
      <c r="B226" t="s">
        <v>13</v>
      </c>
      <c r="C226" s="1">
        <v>45460</v>
      </c>
      <c r="D226" t="s">
        <v>14</v>
      </c>
      <c r="E226" t="s">
        <v>15</v>
      </c>
      <c r="F226">
        <v>4283</v>
      </c>
      <c r="G226">
        <v>471</v>
      </c>
      <c r="H226">
        <v>156</v>
      </c>
      <c r="I226">
        <v>53004</v>
      </c>
      <c r="J226">
        <v>25678</v>
      </c>
      <c r="K226">
        <v>105</v>
      </c>
      <c r="L226" t="s">
        <v>20</v>
      </c>
      <c r="M226">
        <v>9.2634518149573616E-2</v>
      </c>
      <c r="N226" t="s">
        <v>19</v>
      </c>
    </row>
    <row r="227" spans="1:14">
      <c r="A227" t="s">
        <v>174</v>
      </c>
      <c r="B227" t="s">
        <v>13</v>
      </c>
      <c r="C227" s="1">
        <v>45702</v>
      </c>
      <c r="D227" t="s">
        <v>14</v>
      </c>
      <c r="E227" t="s">
        <v>15</v>
      </c>
      <c r="F227">
        <v>2329</v>
      </c>
      <c r="G227">
        <v>373</v>
      </c>
      <c r="H227">
        <v>291</v>
      </c>
      <c r="I227">
        <v>49577</v>
      </c>
      <c r="J227">
        <v>28002</v>
      </c>
      <c r="K227">
        <v>82</v>
      </c>
      <c r="L227" t="s">
        <v>16</v>
      </c>
      <c r="M227">
        <v>6.0370736430199488E-2</v>
      </c>
      <c r="N227" t="s">
        <v>37</v>
      </c>
    </row>
    <row r="228" spans="1:14">
      <c r="A228" t="s">
        <v>174</v>
      </c>
      <c r="B228" t="s">
        <v>13</v>
      </c>
      <c r="C228" s="1">
        <v>45702</v>
      </c>
      <c r="D228" t="s">
        <v>14</v>
      </c>
      <c r="E228" t="s">
        <v>15</v>
      </c>
      <c r="F228">
        <v>2329</v>
      </c>
      <c r="G228">
        <v>373</v>
      </c>
      <c r="H228">
        <v>291</v>
      </c>
      <c r="I228">
        <v>49577</v>
      </c>
      <c r="J228">
        <v>28002</v>
      </c>
      <c r="K228">
        <v>82</v>
      </c>
      <c r="L228" t="s">
        <v>16</v>
      </c>
      <c r="M228">
        <v>6.0370736430199488E-2</v>
      </c>
      <c r="N228" t="s">
        <v>34</v>
      </c>
    </row>
    <row r="229" spans="1:14">
      <c r="A229" t="s">
        <v>175</v>
      </c>
      <c r="B229" t="s">
        <v>22</v>
      </c>
      <c r="C229" s="1">
        <v>45805</v>
      </c>
      <c r="D229" t="s">
        <v>23</v>
      </c>
      <c r="E229" t="s">
        <v>33</v>
      </c>
      <c r="F229">
        <v>4287</v>
      </c>
      <c r="G229">
        <v>273</v>
      </c>
      <c r="H229">
        <v>122</v>
      </c>
      <c r="I229">
        <v>40792</v>
      </c>
      <c r="J229">
        <v>23878</v>
      </c>
      <c r="K229">
        <v>277</v>
      </c>
      <c r="L229" t="s">
        <v>16</v>
      </c>
      <c r="M229">
        <v>0.11477740733477153</v>
      </c>
      <c r="N229" t="s">
        <v>364</v>
      </c>
    </row>
    <row r="230" spans="1:14">
      <c r="A230" t="s">
        <v>175</v>
      </c>
      <c r="B230" t="s">
        <v>22</v>
      </c>
      <c r="C230" s="1">
        <v>45805</v>
      </c>
      <c r="D230" t="s">
        <v>23</v>
      </c>
      <c r="E230" t="s">
        <v>33</v>
      </c>
      <c r="F230">
        <v>4287</v>
      </c>
      <c r="G230">
        <v>273</v>
      </c>
      <c r="H230">
        <v>122</v>
      </c>
      <c r="I230">
        <v>40792</v>
      </c>
      <c r="J230">
        <v>23878</v>
      </c>
      <c r="K230">
        <v>277</v>
      </c>
      <c r="L230" t="s">
        <v>16</v>
      </c>
      <c r="M230">
        <v>0.11477740733477153</v>
      </c>
      <c r="N230" t="s">
        <v>34</v>
      </c>
    </row>
    <row r="231" spans="1:14">
      <c r="A231" t="s">
        <v>176</v>
      </c>
      <c r="B231" t="s">
        <v>13</v>
      </c>
      <c r="C231" s="1">
        <v>45799</v>
      </c>
      <c r="D231" t="s">
        <v>14</v>
      </c>
      <c r="E231" t="s">
        <v>15</v>
      </c>
      <c r="F231">
        <v>2633</v>
      </c>
      <c r="G231">
        <v>318</v>
      </c>
      <c r="H231">
        <v>380</v>
      </c>
      <c r="I231">
        <v>40869</v>
      </c>
      <c r="J231">
        <v>64474</v>
      </c>
      <c r="K231">
        <v>245</v>
      </c>
      <c r="L231" t="s">
        <v>20</v>
      </c>
      <c r="M231">
        <v>8.1504318676747664E-2</v>
      </c>
      <c r="N231" t="s">
        <v>19</v>
      </c>
    </row>
    <row r="232" spans="1:14">
      <c r="A232" t="s">
        <v>177</v>
      </c>
      <c r="B232" t="s">
        <v>22</v>
      </c>
      <c r="C232" s="1">
        <v>45312</v>
      </c>
      <c r="D232" t="s">
        <v>23</v>
      </c>
      <c r="E232" t="s">
        <v>15</v>
      </c>
      <c r="F232">
        <v>2383</v>
      </c>
      <c r="G232">
        <v>136</v>
      </c>
      <c r="H232">
        <v>302</v>
      </c>
      <c r="I232">
        <v>39187</v>
      </c>
      <c r="J232">
        <v>22133</v>
      </c>
      <c r="K232">
        <v>208</v>
      </c>
      <c r="L232" t="s">
        <v>16</v>
      </c>
      <c r="M232">
        <v>7.1988159338556151E-2</v>
      </c>
      <c r="N232" t="s">
        <v>364</v>
      </c>
    </row>
    <row r="233" spans="1:14">
      <c r="A233" t="s">
        <v>177</v>
      </c>
      <c r="B233" t="s">
        <v>22</v>
      </c>
      <c r="C233" s="1">
        <v>45312</v>
      </c>
      <c r="D233" t="s">
        <v>23</v>
      </c>
      <c r="E233" t="s">
        <v>15</v>
      </c>
      <c r="F233">
        <v>2383</v>
      </c>
      <c r="G233">
        <v>136</v>
      </c>
      <c r="H233">
        <v>302</v>
      </c>
      <c r="I233">
        <v>39187</v>
      </c>
      <c r="J233">
        <v>22133</v>
      </c>
      <c r="K233">
        <v>208</v>
      </c>
      <c r="L233" t="s">
        <v>16</v>
      </c>
      <c r="M233">
        <v>7.1988159338556151E-2</v>
      </c>
      <c r="N233" t="s">
        <v>34</v>
      </c>
    </row>
    <row r="234" spans="1:14">
      <c r="A234" t="s">
        <v>178</v>
      </c>
      <c r="B234" t="s">
        <v>22</v>
      </c>
      <c r="C234" s="1">
        <v>45696</v>
      </c>
      <c r="D234" t="s">
        <v>23</v>
      </c>
      <c r="E234" t="s">
        <v>42</v>
      </c>
      <c r="F234">
        <v>4752</v>
      </c>
      <c r="G234">
        <v>334</v>
      </c>
      <c r="H234">
        <v>56</v>
      </c>
      <c r="I234">
        <v>48017</v>
      </c>
      <c r="J234">
        <v>55534</v>
      </c>
      <c r="K234">
        <v>270</v>
      </c>
      <c r="L234" t="s">
        <v>16</v>
      </c>
      <c r="M234">
        <v>0.10708707332819627</v>
      </c>
      <c r="N234" t="s">
        <v>19</v>
      </c>
    </row>
    <row r="235" spans="1:14">
      <c r="A235" t="s">
        <v>178</v>
      </c>
      <c r="B235" t="s">
        <v>22</v>
      </c>
      <c r="C235" s="1">
        <v>45696</v>
      </c>
      <c r="D235" t="s">
        <v>23</v>
      </c>
      <c r="E235" t="s">
        <v>42</v>
      </c>
      <c r="F235">
        <v>4752</v>
      </c>
      <c r="G235">
        <v>334</v>
      </c>
      <c r="H235">
        <v>56</v>
      </c>
      <c r="I235">
        <v>48017</v>
      </c>
      <c r="J235">
        <v>55534</v>
      </c>
      <c r="K235">
        <v>270</v>
      </c>
      <c r="L235" t="s">
        <v>16</v>
      </c>
      <c r="M235">
        <v>0.10708707332819627</v>
      </c>
      <c r="N235" t="s">
        <v>364</v>
      </c>
    </row>
    <row r="236" spans="1:14">
      <c r="A236" t="s">
        <v>179</v>
      </c>
      <c r="B236" t="s">
        <v>22</v>
      </c>
      <c r="C236" s="1">
        <v>45760</v>
      </c>
      <c r="D236" t="s">
        <v>14</v>
      </c>
      <c r="E236" t="s">
        <v>363</v>
      </c>
      <c r="F236">
        <v>3890</v>
      </c>
      <c r="G236">
        <v>408</v>
      </c>
      <c r="H236">
        <v>338</v>
      </c>
      <c r="I236">
        <v>56994</v>
      </c>
      <c r="J236">
        <v>32621</v>
      </c>
      <c r="K236">
        <v>286</v>
      </c>
      <c r="L236" t="s">
        <v>20</v>
      </c>
      <c r="M236">
        <v>8.1341895638137346E-2</v>
      </c>
      <c r="N236" t="s">
        <v>37</v>
      </c>
    </row>
    <row r="237" spans="1:14">
      <c r="A237" t="s">
        <v>180</v>
      </c>
      <c r="B237" t="s">
        <v>22</v>
      </c>
      <c r="C237" s="1">
        <v>45442</v>
      </c>
      <c r="D237" t="s">
        <v>23</v>
      </c>
      <c r="E237" t="s">
        <v>42</v>
      </c>
      <c r="F237">
        <v>2311</v>
      </c>
      <c r="G237">
        <v>207</v>
      </c>
      <c r="H237">
        <v>363</v>
      </c>
      <c r="I237">
        <v>30349</v>
      </c>
      <c r="J237">
        <v>32925</v>
      </c>
      <c r="K237">
        <v>88</v>
      </c>
      <c r="L237" t="s">
        <v>16</v>
      </c>
      <c r="M237">
        <v>9.4928992718046723E-2</v>
      </c>
      <c r="N237" t="s">
        <v>364</v>
      </c>
    </row>
    <row r="238" spans="1:14">
      <c r="A238" t="s">
        <v>180</v>
      </c>
      <c r="B238" t="s">
        <v>22</v>
      </c>
      <c r="C238" s="1">
        <v>45442</v>
      </c>
      <c r="D238" t="s">
        <v>23</v>
      </c>
      <c r="E238" t="s">
        <v>42</v>
      </c>
      <c r="F238">
        <v>2311</v>
      </c>
      <c r="G238">
        <v>207</v>
      </c>
      <c r="H238">
        <v>363</v>
      </c>
      <c r="I238">
        <v>30349</v>
      </c>
      <c r="J238">
        <v>32925</v>
      </c>
      <c r="K238">
        <v>88</v>
      </c>
      <c r="L238" t="s">
        <v>16</v>
      </c>
      <c r="M238">
        <v>9.4928992718046723E-2</v>
      </c>
      <c r="N238" t="s">
        <v>34</v>
      </c>
    </row>
    <row r="239" spans="1:14">
      <c r="A239" t="s">
        <v>181</v>
      </c>
      <c r="B239" t="s">
        <v>13</v>
      </c>
      <c r="C239" s="1">
        <v>45516</v>
      </c>
      <c r="D239" t="s">
        <v>23</v>
      </c>
      <c r="E239" t="s">
        <v>15</v>
      </c>
      <c r="F239">
        <v>2962</v>
      </c>
      <c r="G239">
        <v>400</v>
      </c>
      <c r="H239">
        <v>280</v>
      </c>
      <c r="I239">
        <v>52508</v>
      </c>
      <c r="J239">
        <v>58329</v>
      </c>
      <c r="K239">
        <v>219</v>
      </c>
      <c r="L239" t="s">
        <v>46</v>
      </c>
      <c r="M239">
        <v>6.9360859297630834E-2</v>
      </c>
      <c r="N239" t="s">
        <v>34</v>
      </c>
    </row>
    <row r="240" spans="1:14">
      <c r="A240" t="s">
        <v>182</v>
      </c>
      <c r="B240" t="s">
        <v>13</v>
      </c>
      <c r="C240" s="1">
        <v>45562</v>
      </c>
      <c r="D240" t="s">
        <v>14</v>
      </c>
      <c r="E240" t="s">
        <v>15</v>
      </c>
      <c r="F240">
        <v>3118</v>
      </c>
      <c r="G240">
        <v>116</v>
      </c>
      <c r="H240">
        <v>195</v>
      </c>
      <c r="I240">
        <v>37100</v>
      </c>
      <c r="J240">
        <v>62629</v>
      </c>
      <c r="K240">
        <v>272</v>
      </c>
      <c r="L240" t="s">
        <v>20</v>
      </c>
      <c r="M240">
        <v>9.2425876010781671E-2</v>
      </c>
      <c r="N240" t="s">
        <v>19</v>
      </c>
    </row>
    <row r="241" spans="1:14">
      <c r="A241" t="s">
        <v>183</v>
      </c>
      <c r="B241" t="s">
        <v>22</v>
      </c>
      <c r="C241" s="1">
        <v>45819</v>
      </c>
      <c r="D241" t="s">
        <v>23</v>
      </c>
      <c r="E241" t="s">
        <v>18</v>
      </c>
      <c r="F241">
        <v>3805</v>
      </c>
      <c r="G241">
        <v>453</v>
      </c>
      <c r="H241">
        <v>63</v>
      </c>
      <c r="I241">
        <v>52395</v>
      </c>
      <c r="J241">
        <v>72934</v>
      </c>
      <c r="K241">
        <v>87</v>
      </c>
      <c r="L241" t="s">
        <v>16</v>
      </c>
      <c r="M241">
        <v>8.2469701307376658E-2</v>
      </c>
      <c r="N241" t="s">
        <v>19</v>
      </c>
    </row>
    <row r="242" spans="1:14">
      <c r="A242" t="s">
        <v>183</v>
      </c>
      <c r="B242" t="s">
        <v>22</v>
      </c>
      <c r="C242" s="1">
        <v>45819</v>
      </c>
      <c r="D242" t="s">
        <v>23</v>
      </c>
      <c r="E242" t="s">
        <v>18</v>
      </c>
      <c r="F242">
        <v>3805</v>
      </c>
      <c r="G242">
        <v>453</v>
      </c>
      <c r="H242">
        <v>63</v>
      </c>
      <c r="I242">
        <v>52395</v>
      </c>
      <c r="J242">
        <v>72934</v>
      </c>
      <c r="K242">
        <v>87</v>
      </c>
      <c r="L242" t="s">
        <v>16</v>
      </c>
      <c r="M242">
        <v>8.2469701307376658E-2</v>
      </c>
      <c r="N242" t="s">
        <v>364</v>
      </c>
    </row>
    <row r="243" spans="1:14">
      <c r="A243" t="s">
        <v>184</v>
      </c>
      <c r="B243" t="s">
        <v>13</v>
      </c>
      <c r="C243" s="1">
        <v>45615</v>
      </c>
      <c r="D243" t="s">
        <v>14</v>
      </c>
      <c r="E243" t="s">
        <v>362</v>
      </c>
      <c r="F243">
        <v>2525</v>
      </c>
      <c r="G243">
        <v>272</v>
      </c>
      <c r="H243">
        <v>294</v>
      </c>
      <c r="I243">
        <v>51875</v>
      </c>
      <c r="J243">
        <v>24732</v>
      </c>
      <c r="K243">
        <v>92</v>
      </c>
      <c r="L243" t="s">
        <v>20</v>
      </c>
      <c r="M243">
        <v>5.9585542168674697E-2</v>
      </c>
      <c r="N243" t="s">
        <v>19</v>
      </c>
    </row>
    <row r="244" spans="1:14">
      <c r="A244" t="s">
        <v>185</v>
      </c>
      <c r="B244" t="s">
        <v>13</v>
      </c>
      <c r="C244" s="1">
        <v>45407</v>
      </c>
      <c r="D244" t="s">
        <v>14</v>
      </c>
      <c r="E244" t="s">
        <v>361</v>
      </c>
      <c r="F244">
        <v>3563</v>
      </c>
      <c r="G244">
        <v>483</v>
      </c>
      <c r="H244">
        <v>227</v>
      </c>
      <c r="I244">
        <v>41085</v>
      </c>
      <c r="J244">
        <v>26393</v>
      </c>
      <c r="K244">
        <v>236</v>
      </c>
      <c r="L244" t="s">
        <v>16</v>
      </c>
      <c r="M244">
        <v>0.10400389436534015</v>
      </c>
      <c r="N244" t="s">
        <v>37</v>
      </c>
    </row>
    <row r="245" spans="1:14">
      <c r="A245" t="s">
        <v>185</v>
      </c>
      <c r="B245" t="s">
        <v>13</v>
      </c>
      <c r="C245" s="1">
        <v>45407</v>
      </c>
      <c r="D245" t="s">
        <v>14</v>
      </c>
      <c r="E245" t="s">
        <v>361</v>
      </c>
      <c r="F245">
        <v>3563</v>
      </c>
      <c r="G245">
        <v>483</v>
      </c>
      <c r="H245">
        <v>227</v>
      </c>
      <c r="I245">
        <v>41085</v>
      </c>
      <c r="J245">
        <v>26393</v>
      </c>
      <c r="K245">
        <v>236</v>
      </c>
      <c r="L245" t="s">
        <v>16</v>
      </c>
      <c r="M245">
        <v>0.10400389436534015</v>
      </c>
      <c r="N245" t="s">
        <v>34</v>
      </c>
    </row>
    <row r="246" spans="1:14">
      <c r="A246" t="s">
        <v>186</v>
      </c>
      <c r="B246" t="s">
        <v>27</v>
      </c>
      <c r="C246" s="1">
        <v>45538</v>
      </c>
      <c r="D246" t="s">
        <v>48</v>
      </c>
      <c r="E246" t="s">
        <v>362</v>
      </c>
      <c r="F246">
        <v>1437</v>
      </c>
      <c r="G246">
        <v>494</v>
      </c>
      <c r="H246">
        <v>129</v>
      </c>
      <c r="I246">
        <v>53048</v>
      </c>
      <c r="J246">
        <v>44090</v>
      </c>
      <c r="K246">
        <v>230</v>
      </c>
      <c r="L246" t="s">
        <v>49</v>
      </c>
      <c r="M246">
        <v>3.8832755240536872E-2</v>
      </c>
      <c r="N246" t="s">
        <v>19</v>
      </c>
    </row>
    <row r="247" spans="1:14">
      <c r="A247" t="s">
        <v>186</v>
      </c>
      <c r="B247" t="s">
        <v>27</v>
      </c>
      <c r="C247" s="1">
        <v>45538</v>
      </c>
      <c r="D247" t="s">
        <v>48</v>
      </c>
      <c r="E247" t="s">
        <v>362</v>
      </c>
      <c r="F247">
        <v>1437</v>
      </c>
      <c r="G247">
        <v>494</v>
      </c>
      <c r="H247">
        <v>129</v>
      </c>
      <c r="I247">
        <v>53048</v>
      </c>
      <c r="J247">
        <v>44090</v>
      </c>
      <c r="K247">
        <v>230</v>
      </c>
      <c r="L247" t="s">
        <v>49</v>
      </c>
      <c r="M247">
        <v>3.8832755240536872E-2</v>
      </c>
      <c r="N247" t="s">
        <v>37</v>
      </c>
    </row>
    <row r="248" spans="1:14">
      <c r="A248" t="s">
        <v>187</v>
      </c>
      <c r="B248" t="s">
        <v>27</v>
      </c>
      <c r="C248" s="1">
        <v>45718</v>
      </c>
      <c r="D248" t="s">
        <v>14</v>
      </c>
      <c r="E248" t="s">
        <v>363</v>
      </c>
      <c r="F248">
        <v>4425</v>
      </c>
      <c r="G248">
        <v>185</v>
      </c>
      <c r="H248">
        <v>162</v>
      </c>
      <c r="I248">
        <v>24610</v>
      </c>
      <c r="J248">
        <v>21342</v>
      </c>
      <c r="K248">
        <v>158</v>
      </c>
      <c r="L248" t="s">
        <v>20</v>
      </c>
      <c r="M248">
        <v>0.19390491670052823</v>
      </c>
      <c r="N248" t="s">
        <v>19</v>
      </c>
    </row>
    <row r="249" spans="1:14">
      <c r="A249" t="s">
        <v>187</v>
      </c>
      <c r="B249" t="s">
        <v>27</v>
      </c>
      <c r="C249" s="1">
        <v>45718</v>
      </c>
      <c r="D249" t="s">
        <v>14</v>
      </c>
      <c r="E249" t="s">
        <v>363</v>
      </c>
      <c r="F249">
        <v>4425</v>
      </c>
      <c r="G249">
        <v>185</v>
      </c>
      <c r="H249">
        <v>162</v>
      </c>
      <c r="I249">
        <v>24610</v>
      </c>
      <c r="J249">
        <v>21342</v>
      </c>
      <c r="K249">
        <v>158</v>
      </c>
      <c r="L249" t="s">
        <v>20</v>
      </c>
      <c r="M249">
        <v>0.19390491670052823</v>
      </c>
      <c r="N249" t="s">
        <v>365</v>
      </c>
    </row>
    <row r="250" spans="1:14">
      <c r="A250" t="s">
        <v>188</v>
      </c>
      <c r="B250" t="s">
        <v>22</v>
      </c>
      <c r="C250" s="1">
        <v>45737</v>
      </c>
      <c r="D250" t="s">
        <v>23</v>
      </c>
      <c r="E250" t="s">
        <v>24</v>
      </c>
      <c r="F250">
        <v>4609</v>
      </c>
      <c r="G250">
        <v>427</v>
      </c>
      <c r="H250">
        <v>395</v>
      </c>
      <c r="I250">
        <v>33698</v>
      </c>
      <c r="J250">
        <v>29259</v>
      </c>
      <c r="K250">
        <v>216</v>
      </c>
      <c r="L250" t="s">
        <v>16</v>
      </c>
      <c r="M250">
        <v>0.16116683482699271</v>
      </c>
      <c r="N250" t="s">
        <v>19</v>
      </c>
    </row>
    <row r="251" spans="1:14">
      <c r="A251" t="s">
        <v>188</v>
      </c>
      <c r="B251" t="s">
        <v>22</v>
      </c>
      <c r="C251" s="1">
        <v>45737</v>
      </c>
      <c r="D251" t="s">
        <v>23</v>
      </c>
      <c r="E251" t="s">
        <v>24</v>
      </c>
      <c r="F251">
        <v>4609</v>
      </c>
      <c r="G251">
        <v>427</v>
      </c>
      <c r="H251">
        <v>395</v>
      </c>
      <c r="I251">
        <v>33698</v>
      </c>
      <c r="J251">
        <v>29259</v>
      </c>
      <c r="K251">
        <v>216</v>
      </c>
      <c r="L251" t="s">
        <v>16</v>
      </c>
      <c r="M251">
        <v>0.16116683482699271</v>
      </c>
      <c r="N251" t="s">
        <v>364</v>
      </c>
    </row>
    <row r="252" spans="1:14">
      <c r="A252" t="s">
        <v>189</v>
      </c>
      <c r="B252" t="s">
        <v>13</v>
      </c>
      <c r="C252" s="1">
        <v>45394</v>
      </c>
      <c r="D252" t="s">
        <v>23</v>
      </c>
      <c r="E252" t="s">
        <v>30</v>
      </c>
      <c r="F252">
        <v>1558</v>
      </c>
      <c r="G252">
        <v>352</v>
      </c>
      <c r="H252">
        <v>202</v>
      </c>
      <c r="I252">
        <v>25405</v>
      </c>
      <c r="J252">
        <v>69941</v>
      </c>
      <c r="K252">
        <v>219</v>
      </c>
      <c r="L252" t="s">
        <v>46</v>
      </c>
      <c r="M252">
        <v>8.3133241487896081E-2</v>
      </c>
      <c r="N252" t="s">
        <v>34</v>
      </c>
    </row>
    <row r="253" spans="1:14">
      <c r="A253" t="s">
        <v>190</v>
      </c>
      <c r="B253" t="s">
        <v>27</v>
      </c>
      <c r="C253" s="1">
        <v>45330</v>
      </c>
      <c r="D253" t="s">
        <v>48</v>
      </c>
      <c r="E253" t="s">
        <v>33</v>
      </c>
      <c r="F253">
        <v>1889</v>
      </c>
      <c r="G253">
        <v>298</v>
      </c>
      <c r="H253">
        <v>122</v>
      </c>
      <c r="I253">
        <v>46225</v>
      </c>
      <c r="J253">
        <v>74305</v>
      </c>
      <c r="K253">
        <v>293</v>
      </c>
      <c r="L253" t="s">
        <v>49</v>
      </c>
      <c r="M253">
        <v>4.9951325040562468E-2</v>
      </c>
      <c r="N253" t="s">
        <v>19</v>
      </c>
    </row>
    <row r="254" spans="1:14">
      <c r="A254" t="s">
        <v>190</v>
      </c>
      <c r="B254" t="s">
        <v>27</v>
      </c>
      <c r="C254" s="1">
        <v>45330</v>
      </c>
      <c r="D254" t="s">
        <v>48</v>
      </c>
      <c r="E254" t="s">
        <v>33</v>
      </c>
      <c r="F254">
        <v>1889</v>
      </c>
      <c r="G254">
        <v>298</v>
      </c>
      <c r="H254">
        <v>122</v>
      </c>
      <c r="I254">
        <v>46225</v>
      </c>
      <c r="J254">
        <v>74305</v>
      </c>
      <c r="K254">
        <v>293</v>
      </c>
      <c r="L254" t="s">
        <v>49</v>
      </c>
      <c r="M254">
        <v>4.9951325040562468E-2</v>
      </c>
      <c r="N254" t="s">
        <v>37</v>
      </c>
    </row>
    <row r="255" spans="1:14">
      <c r="A255" t="s">
        <v>191</v>
      </c>
      <c r="B255" t="s">
        <v>13</v>
      </c>
      <c r="C255" s="1">
        <v>45803</v>
      </c>
      <c r="D255" t="s">
        <v>14</v>
      </c>
      <c r="E255" t="s">
        <v>15</v>
      </c>
      <c r="F255">
        <v>3086</v>
      </c>
      <c r="G255">
        <v>148</v>
      </c>
      <c r="H255">
        <v>310</v>
      </c>
      <c r="I255">
        <v>22824</v>
      </c>
      <c r="J255">
        <v>58103</v>
      </c>
      <c r="K255">
        <v>275</v>
      </c>
      <c r="L255" t="s">
        <v>20</v>
      </c>
      <c r="M255">
        <v>0.1552751489660007</v>
      </c>
      <c r="N255" t="s">
        <v>19</v>
      </c>
    </row>
    <row r="256" spans="1:14">
      <c r="A256" t="s">
        <v>192</v>
      </c>
      <c r="B256" t="s">
        <v>13</v>
      </c>
      <c r="C256" s="1">
        <v>45610</v>
      </c>
      <c r="D256" t="s">
        <v>14</v>
      </c>
      <c r="E256" t="s">
        <v>361</v>
      </c>
      <c r="F256">
        <v>2422</v>
      </c>
      <c r="G256">
        <v>318</v>
      </c>
      <c r="H256">
        <v>118</v>
      </c>
      <c r="I256">
        <v>25386</v>
      </c>
      <c r="J256">
        <v>20873</v>
      </c>
      <c r="K256">
        <v>100</v>
      </c>
      <c r="L256" t="s">
        <v>16</v>
      </c>
      <c r="M256">
        <v>0.11258173796580792</v>
      </c>
      <c r="N256" t="s">
        <v>37</v>
      </c>
    </row>
    <row r="257" spans="1:14">
      <c r="A257" t="s">
        <v>192</v>
      </c>
      <c r="B257" t="s">
        <v>13</v>
      </c>
      <c r="C257" s="1">
        <v>45610</v>
      </c>
      <c r="D257" t="s">
        <v>14</v>
      </c>
      <c r="E257" t="s">
        <v>361</v>
      </c>
      <c r="F257">
        <v>2422</v>
      </c>
      <c r="G257">
        <v>318</v>
      </c>
      <c r="H257">
        <v>118</v>
      </c>
      <c r="I257">
        <v>25386</v>
      </c>
      <c r="J257">
        <v>20873</v>
      </c>
      <c r="K257">
        <v>100</v>
      </c>
      <c r="L257" t="s">
        <v>16</v>
      </c>
      <c r="M257">
        <v>0.11258173796580792</v>
      </c>
      <c r="N257" t="s">
        <v>34</v>
      </c>
    </row>
    <row r="258" spans="1:14">
      <c r="A258" t="s">
        <v>193</v>
      </c>
      <c r="B258" t="s">
        <v>27</v>
      </c>
      <c r="C258" s="1">
        <v>45513</v>
      </c>
      <c r="D258" t="s">
        <v>48</v>
      </c>
      <c r="E258" t="s">
        <v>363</v>
      </c>
      <c r="F258">
        <v>3414</v>
      </c>
      <c r="G258">
        <v>154</v>
      </c>
      <c r="H258">
        <v>204</v>
      </c>
      <c r="I258">
        <v>34146</v>
      </c>
      <c r="J258">
        <v>44633</v>
      </c>
      <c r="K258">
        <v>256</v>
      </c>
      <c r="L258" t="s">
        <v>49</v>
      </c>
      <c r="M258">
        <v>0.11046681895390383</v>
      </c>
      <c r="N258" t="s">
        <v>19</v>
      </c>
    </row>
    <row r="259" spans="1:14">
      <c r="A259" t="s">
        <v>193</v>
      </c>
      <c r="B259" t="s">
        <v>27</v>
      </c>
      <c r="C259" s="1">
        <v>45513</v>
      </c>
      <c r="D259" t="s">
        <v>48</v>
      </c>
      <c r="E259" t="s">
        <v>363</v>
      </c>
      <c r="F259">
        <v>3414</v>
      </c>
      <c r="G259">
        <v>154</v>
      </c>
      <c r="H259">
        <v>204</v>
      </c>
      <c r="I259">
        <v>34146</v>
      </c>
      <c r="J259">
        <v>44633</v>
      </c>
      <c r="K259">
        <v>256</v>
      </c>
      <c r="L259" t="s">
        <v>49</v>
      </c>
      <c r="M259">
        <v>0.11046681895390383</v>
      </c>
      <c r="N259" t="s">
        <v>37</v>
      </c>
    </row>
    <row r="260" spans="1:14">
      <c r="A260" t="s">
        <v>194</v>
      </c>
      <c r="B260" t="s">
        <v>13</v>
      </c>
      <c r="C260" s="1">
        <v>45835</v>
      </c>
      <c r="D260" t="s">
        <v>23</v>
      </c>
      <c r="E260" t="s">
        <v>362</v>
      </c>
      <c r="F260">
        <v>1342</v>
      </c>
      <c r="G260">
        <v>332</v>
      </c>
      <c r="H260">
        <v>163</v>
      </c>
      <c r="I260">
        <v>51712</v>
      </c>
      <c r="J260">
        <v>57922</v>
      </c>
      <c r="K260">
        <v>168</v>
      </c>
      <c r="L260" t="s">
        <v>46</v>
      </c>
      <c r="M260">
        <v>3.5523669554455448E-2</v>
      </c>
      <c r="N260" t="s">
        <v>34</v>
      </c>
    </row>
    <row r="261" spans="1:14">
      <c r="A261" t="s">
        <v>195</v>
      </c>
      <c r="B261" t="s">
        <v>13</v>
      </c>
      <c r="C261" s="1">
        <v>45420</v>
      </c>
      <c r="D261" t="s">
        <v>23</v>
      </c>
      <c r="E261" t="s">
        <v>361</v>
      </c>
      <c r="F261">
        <v>2414</v>
      </c>
      <c r="G261">
        <v>220</v>
      </c>
      <c r="H261">
        <v>280</v>
      </c>
      <c r="I261">
        <v>27355</v>
      </c>
      <c r="J261">
        <v>50562</v>
      </c>
      <c r="K261">
        <v>258</v>
      </c>
      <c r="L261" t="s">
        <v>46</v>
      </c>
      <c r="M261">
        <v>0.10652531529884847</v>
      </c>
      <c r="N261" t="s">
        <v>34</v>
      </c>
    </row>
    <row r="262" spans="1:14">
      <c r="A262" t="s">
        <v>196</v>
      </c>
      <c r="B262" t="s">
        <v>13</v>
      </c>
      <c r="C262" s="1">
        <v>45387</v>
      </c>
      <c r="D262" t="s">
        <v>14</v>
      </c>
      <c r="E262" t="s">
        <v>24</v>
      </c>
      <c r="F262">
        <v>4383</v>
      </c>
      <c r="G262">
        <v>352</v>
      </c>
      <c r="H262">
        <v>176</v>
      </c>
      <c r="I262">
        <v>53239</v>
      </c>
      <c r="J262">
        <v>34168</v>
      </c>
      <c r="K262">
        <v>288</v>
      </c>
      <c r="L262" t="s">
        <v>20</v>
      </c>
      <c r="M262">
        <v>9.2244407295403744E-2</v>
      </c>
      <c r="N262" t="s">
        <v>19</v>
      </c>
    </row>
    <row r="263" spans="1:14">
      <c r="A263" t="s">
        <v>197</v>
      </c>
      <c r="B263" t="s">
        <v>27</v>
      </c>
      <c r="C263" s="1">
        <v>45684</v>
      </c>
      <c r="D263" t="s">
        <v>14</v>
      </c>
      <c r="E263" t="s">
        <v>360</v>
      </c>
      <c r="F263">
        <v>4294</v>
      </c>
      <c r="G263">
        <v>423</v>
      </c>
      <c r="H263">
        <v>93</v>
      </c>
      <c r="I263">
        <v>29828</v>
      </c>
      <c r="J263">
        <v>73144</v>
      </c>
      <c r="K263">
        <v>298</v>
      </c>
      <c r="L263" t="s">
        <v>20</v>
      </c>
      <c r="M263">
        <v>0.1612578785034196</v>
      </c>
      <c r="N263" t="s">
        <v>19</v>
      </c>
    </row>
    <row r="264" spans="1:14">
      <c r="A264" t="s">
        <v>197</v>
      </c>
      <c r="B264" t="s">
        <v>27</v>
      </c>
      <c r="C264" s="1">
        <v>45684</v>
      </c>
      <c r="D264" t="s">
        <v>14</v>
      </c>
      <c r="E264" t="s">
        <v>360</v>
      </c>
      <c r="F264">
        <v>4294</v>
      </c>
      <c r="G264">
        <v>423</v>
      </c>
      <c r="H264">
        <v>93</v>
      </c>
      <c r="I264">
        <v>29828</v>
      </c>
      <c r="J264">
        <v>73144</v>
      </c>
      <c r="K264">
        <v>298</v>
      </c>
      <c r="L264" t="s">
        <v>20</v>
      </c>
      <c r="M264">
        <v>0.1612578785034196</v>
      </c>
      <c r="N264" t="s">
        <v>365</v>
      </c>
    </row>
    <row r="265" spans="1:14">
      <c r="A265" t="s">
        <v>198</v>
      </c>
      <c r="B265" t="s">
        <v>13</v>
      </c>
      <c r="C265" s="1">
        <v>45385</v>
      </c>
      <c r="D265" t="s">
        <v>14</v>
      </c>
      <c r="E265" t="s">
        <v>33</v>
      </c>
      <c r="F265">
        <v>2762</v>
      </c>
      <c r="G265">
        <v>339</v>
      </c>
      <c r="H265">
        <v>323</v>
      </c>
      <c r="I265">
        <v>33757</v>
      </c>
      <c r="J265">
        <v>68511</v>
      </c>
      <c r="K265">
        <v>121</v>
      </c>
      <c r="L265" t="s">
        <v>16</v>
      </c>
      <c r="M265">
        <v>0.10143081434961637</v>
      </c>
      <c r="N265" t="s">
        <v>37</v>
      </c>
    </row>
    <row r="266" spans="1:14">
      <c r="A266" t="s">
        <v>198</v>
      </c>
      <c r="B266" t="s">
        <v>13</v>
      </c>
      <c r="C266" s="1">
        <v>45385</v>
      </c>
      <c r="D266" t="s">
        <v>14</v>
      </c>
      <c r="E266" t="s">
        <v>33</v>
      </c>
      <c r="F266">
        <v>2762</v>
      </c>
      <c r="G266">
        <v>339</v>
      </c>
      <c r="H266">
        <v>323</v>
      </c>
      <c r="I266">
        <v>33757</v>
      </c>
      <c r="J266">
        <v>68511</v>
      </c>
      <c r="K266">
        <v>121</v>
      </c>
      <c r="L266" t="s">
        <v>16</v>
      </c>
      <c r="M266">
        <v>0.10143081434961637</v>
      </c>
      <c r="N266" t="s">
        <v>34</v>
      </c>
    </row>
    <row r="267" spans="1:14">
      <c r="A267" t="s">
        <v>199</v>
      </c>
      <c r="B267" t="s">
        <v>27</v>
      </c>
      <c r="C267" s="1">
        <v>45660</v>
      </c>
      <c r="D267" t="s">
        <v>14</v>
      </c>
      <c r="E267" t="s">
        <v>24</v>
      </c>
      <c r="F267">
        <v>3782</v>
      </c>
      <c r="G267">
        <v>484</v>
      </c>
      <c r="H267">
        <v>144</v>
      </c>
      <c r="I267">
        <v>52172</v>
      </c>
      <c r="J267">
        <v>59386</v>
      </c>
      <c r="K267">
        <v>175</v>
      </c>
      <c r="L267" t="s">
        <v>20</v>
      </c>
      <c r="M267">
        <v>8.4528099363643333E-2</v>
      </c>
      <c r="N267" t="s">
        <v>19</v>
      </c>
    </row>
    <row r="268" spans="1:14">
      <c r="A268" t="s">
        <v>199</v>
      </c>
      <c r="B268" t="s">
        <v>27</v>
      </c>
      <c r="C268" s="1">
        <v>45660</v>
      </c>
      <c r="D268" t="s">
        <v>14</v>
      </c>
      <c r="E268" t="s">
        <v>24</v>
      </c>
      <c r="F268">
        <v>3782</v>
      </c>
      <c r="G268">
        <v>484</v>
      </c>
      <c r="H268">
        <v>144</v>
      </c>
      <c r="I268">
        <v>52172</v>
      </c>
      <c r="J268">
        <v>59386</v>
      </c>
      <c r="K268">
        <v>175</v>
      </c>
      <c r="L268" t="s">
        <v>20</v>
      </c>
      <c r="M268">
        <v>8.4528099363643333E-2</v>
      </c>
      <c r="N268" t="s">
        <v>365</v>
      </c>
    </row>
    <row r="269" spans="1:14">
      <c r="A269" t="s">
        <v>200</v>
      </c>
      <c r="B269" t="s">
        <v>22</v>
      </c>
      <c r="C269" s="1">
        <v>45619</v>
      </c>
      <c r="D269" t="s">
        <v>14</v>
      </c>
      <c r="E269" t="s">
        <v>24</v>
      </c>
      <c r="F269">
        <v>4318</v>
      </c>
      <c r="G269">
        <v>371</v>
      </c>
      <c r="H269">
        <v>329</v>
      </c>
      <c r="I269">
        <v>32347</v>
      </c>
      <c r="J269">
        <v>68956</v>
      </c>
      <c r="K269">
        <v>259</v>
      </c>
      <c r="L269" t="s">
        <v>20</v>
      </c>
      <c r="M269">
        <v>0.15513030574705536</v>
      </c>
      <c r="N269" t="s">
        <v>37</v>
      </c>
    </row>
    <row r="270" spans="1:14">
      <c r="A270" t="s">
        <v>201</v>
      </c>
      <c r="B270" t="s">
        <v>13</v>
      </c>
      <c r="C270" s="1">
        <v>45536</v>
      </c>
      <c r="D270" t="s">
        <v>23</v>
      </c>
      <c r="E270" t="s">
        <v>360</v>
      </c>
      <c r="F270">
        <v>2335</v>
      </c>
      <c r="G270">
        <v>150</v>
      </c>
      <c r="H270">
        <v>75</v>
      </c>
      <c r="I270">
        <v>26114</v>
      </c>
      <c r="J270">
        <v>57549</v>
      </c>
      <c r="K270">
        <v>135</v>
      </c>
      <c r="L270" t="s">
        <v>46</v>
      </c>
      <c r="M270">
        <v>9.8031707130274953E-2</v>
      </c>
      <c r="N270" t="s">
        <v>34</v>
      </c>
    </row>
    <row r="271" spans="1:14">
      <c r="A271" t="s">
        <v>202</v>
      </c>
      <c r="B271" t="s">
        <v>27</v>
      </c>
      <c r="C271" s="1">
        <v>45400</v>
      </c>
      <c r="D271" t="s">
        <v>14</v>
      </c>
      <c r="E271" t="s">
        <v>18</v>
      </c>
      <c r="F271">
        <v>4023</v>
      </c>
      <c r="G271">
        <v>293</v>
      </c>
      <c r="H271">
        <v>91</v>
      </c>
      <c r="I271">
        <v>26795</v>
      </c>
      <c r="J271">
        <v>28924</v>
      </c>
      <c r="K271">
        <v>278</v>
      </c>
      <c r="L271" t="s">
        <v>20</v>
      </c>
      <c r="M271">
        <v>0.16447098339242397</v>
      </c>
      <c r="N271" t="s">
        <v>19</v>
      </c>
    </row>
    <row r="272" spans="1:14">
      <c r="A272" t="s">
        <v>202</v>
      </c>
      <c r="B272" t="s">
        <v>27</v>
      </c>
      <c r="C272" s="1">
        <v>45400</v>
      </c>
      <c r="D272" t="s">
        <v>14</v>
      </c>
      <c r="E272" t="s">
        <v>18</v>
      </c>
      <c r="F272">
        <v>4023</v>
      </c>
      <c r="G272">
        <v>293</v>
      </c>
      <c r="H272">
        <v>91</v>
      </c>
      <c r="I272">
        <v>26795</v>
      </c>
      <c r="J272">
        <v>28924</v>
      </c>
      <c r="K272">
        <v>278</v>
      </c>
      <c r="L272" t="s">
        <v>20</v>
      </c>
      <c r="M272">
        <v>0.16447098339242397</v>
      </c>
      <c r="N272" t="s">
        <v>365</v>
      </c>
    </row>
    <row r="273" spans="1:14">
      <c r="A273" t="s">
        <v>203</v>
      </c>
      <c r="B273" t="s">
        <v>13</v>
      </c>
      <c r="C273" s="1">
        <v>45447</v>
      </c>
      <c r="D273" t="s">
        <v>14</v>
      </c>
      <c r="E273" t="s">
        <v>30</v>
      </c>
      <c r="F273">
        <v>3948</v>
      </c>
      <c r="G273">
        <v>151</v>
      </c>
      <c r="H273">
        <v>249</v>
      </c>
      <c r="I273">
        <v>43147</v>
      </c>
      <c r="J273">
        <v>63136</v>
      </c>
      <c r="K273">
        <v>230</v>
      </c>
      <c r="L273" t="s">
        <v>20</v>
      </c>
      <c r="M273">
        <v>0.10077178019329269</v>
      </c>
      <c r="N273" t="s">
        <v>19</v>
      </c>
    </row>
    <row r="274" spans="1:14">
      <c r="A274" t="s">
        <v>204</v>
      </c>
      <c r="B274" t="s">
        <v>27</v>
      </c>
      <c r="C274" s="1">
        <v>45749</v>
      </c>
      <c r="D274" t="s">
        <v>14</v>
      </c>
      <c r="E274" t="s">
        <v>360</v>
      </c>
      <c r="F274">
        <v>4598</v>
      </c>
      <c r="G274">
        <v>455</v>
      </c>
      <c r="H274">
        <v>378</v>
      </c>
      <c r="I274">
        <v>52952</v>
      </c>
      <c r="J274">
        <v>58504</v>
      </c>
      <c r="K274">
        <v>269</v>
      </c>
      <c r="L274" t="s">
        <v>20</v>
      </c>
      <c r="M274">
        <v>0.10256458679558846</v>
      </c>
      <c r="N274" t="s">
        <v>19</v>
      </c>
    </row>
    <row r="275" spans="1:14">
      <c r="A275" t="s">
        <v>204</v>
      </c>
      <c r="B275" t="s">
        <v>27</v>
      </c>
      <c r="C275" s="1">
        <v>45749</v>
      </c>
      <c r="D275" t="s">
        <v>14</v>
      </c>
      <c r="E275" t="s">
        <v>360</v>
      </c>
      <c r="F275">
        <v>4598</v>
      </c>
      <c r="G275">
        <v>455</v>
      </c>
      <c r="H275">
        <v>378</v>
      </c>
      <c r="I275">
        <v>52952</v>
      </c>
      <c r="J275">
        <v>58504</v>
      </c>
      <c r="K275">
        <v>269</v>
      </c>
      <c r="L275" t="s">
        <v>20</v>
      </c>
      <c r="M275">
        <v>0.10256458679558846</v>
      </c>
      <c r="N275" t="s">
        <v>365</v>
      </c>
    </row>
    <row r="276" spans="1:14">
      <c r="A276" t="s">
        <v>205</v>
      </c>
      <c r="B276" t="s">
        <v>22</v>
      </c>
      <c r="C276" s="1">
        <v>45748</v>
      </c>
      <c r="D276" t="s">
        <v>23</v>
      </c>
      <c r="E276" t="s">
        <v>361</v>
      </c>
      <c r="F276">
        <v>2665</v>
      </c>
      <c r="G276">
        <v>143</v>
      </c>
      <c r="H276">
        <v>315</v>
      </c>
      <c r="I276">
        <v>54808</v>
      </c>
      <c r="J276">
        <v>29818</v>
      </c>
      <c r="K276">
        <v>98</v>
      </c>
      <c r="L276" t="s">
        <v>16</v>
      </c>
      <c r="M276">
        <v>5.6980732739746021E-2</v>
      </c>
      <c r="N276" t="s">
        <v>19</v>
      </c>
    </row>
    <row r="277" spans="1:14">
      <c r="A277" t="s">
        <v>205</v>
      </c>
      <c r="B277" t="s">
        <v>22</v>
      </c>
      <c r="C277" s="1">
        <v>45748</v>
      </c>
      <c r="D277" t="s">
        <v>23</v>
      </c>
      <c r="E277" t="s">
        <v>361</v>
      </c>
      <c r="F277">
        <v>2665</v>
      </c>
      <c r="G277">
        <v>143</v>
      </c>
      <c r="H277">
        <v>315</v>
      </c>
      <c r="I277">
        <v>54808</v>
      </c>
      <c r="J277">
        <v>29818</v>
      </c>
      <c r="K277">
        <v>98</v>
      </c>
      <c r="L277" t="s">
        <v>16</v>
      </c>
      <c r="M277">
        <v>5.6980732739746021E-2</v>
      </c>
      <c r="N277" t="s">
        <v>364</v>
      </c>
    </row>
    <row r="278" spans="1:14">
      <c r="A278" t="s">
        <v>206</v>
      </c>
      <c r="B278" t="s">
        <v>13</v>
      </c>
      <c r="C278" s="1">
        <v>45475</v>
      </c>
      <c r="D278" t="s">
        <v>14</v>
      </c>
      <c r="E278" t="s">
        <v>33</v>
      </c>
      <c r="F278">
        <v>3469</v>
      </c>
      <c r="G278">
        <v>371</v>
      </c>
      <c r="H278">
        <v>76</v>
      </c>
      <c r="I278">
        <v>46493</v>
      </c>
      <c r="J278">
        <v>26906</v>
      </c>
      <c r="K278">
        <v>150</v>
      </c>
      <c r="L278" t="s">
        <v>16</v>
      </c>
      <c r="M278">
        <v>8.4227733207149463E-2</v>
      </c>
      <c r="N278" t="s">
        <v>37</v>
      </c>
    </row>
    <row r="279" spans="1:14">
      <c r="A279" t="s">
        <v>206</v>
      </c>
      <c r="B279" t="s">
        <v>13</v>
      </c>
      <c r="C279" s="1">
        <v>45475</v>
      </c>
      <c r="D279" t="s">
        <v>14</v>
      </c>
      <c r="E279" t="s">
        <v>33</v>
      </c>
      <c r="F279">
        <v>3469</v>
      </c>
      <c r="G279">
        <v>371</v>
      </c>
      <c r="H279">
        <v>76</v>
      </c>
      <c r="I279">
        <v>46493</v>
      </c>
      <c r="J279">
        <v>26906</v>
      </c>
      <c r="K279">
        <v>150</v>
      </c>
      <c r="L279" t="s">
        <v>16</v>
      </c>
      <c r="M279">
        <v>8.4227733207149463E-2</v>
      </c>
      <c r="N279" t="s">
        <v>34</v>
      </c>
    </row>
    <row r="280" spans="1:14">
      <c r="A280" t="s">
        <v>207</v>
      </c>
      <c r="B280" t="s">
        <v>22</v>
      </c>
      <c r="C280" s="1">
        <v>45606</v>
      </c>
      <c r="D280" t="s">
        <v>14</v>
      </c>
      <c r="E280" t="s">
        <v>18</v>
      </c>
      <c r="F280">
        <v>4823</v>
      </c>
      <c r="G280">
        <v>489</v>
      </c>
      <c r="H280">
        <v>302</v>
      </c>
      <c r="I280">
        <v>32470</v>
      </c>
      <c r="J280">
        <v>31861</v>
      </c>
      <c r="K280">
        <v>178</v>
      </c>
      <c r="L280" t="s">
        <v>20</v>
      </c>
      <c r="M280">
        <v>0.1728980597474592</v>
      </c>
      <c r="N280" t="s">
        <v>37</v>
      </c>
    </row>
    <row r="281" spans="1:14">
      <c r="A281" t="s">
        <v>208</v>
      </c>
      <c r="B281" t="s">
        <v>13</v>
      </c>
      <c r="C281" s="1">
        <v>45640</v>
      </c>
      <c r="D281" t="s">
        <v>23</v>
      </c>
      <c r="E281" t="s">
        <v>363</v>
      </c>
      <c r="F281">
        <v>3812</v>
      </c>
      <c r="G281">
        <v>321</v>
      </c>
      <c r="H281">
        <v>289</v>
      </c>
      <c r="I281">
        <v>59838</v>
      </c>
      <c r="J281">
        <v>36337</v>
      </c>
      <c r="K281">
        <v>161</v>
      </c>
      <c r="L281" t="s">
        <v>46</v>
      </c>
      <c r="M281">
        <v>7.3899528727564417E-2</v>
      </c>
      <c r="N281" t="s">
        <v>34</v>
      </c>
    </row>
    <row r="282" spans="1:14">
      <c r="A282" t="s">
        <v>209</v>
      </c>
      <c r="B282" t="s">
        <v>22</v>
      </c>
      <c r="C282" s="1">
        <v>45615</v>
      </c>
      <c r="D282" t="s">
        <v>14</v>
      </c>
      <c r="E282" t="s">
        <v>18</v>
      </c>
      <c r="F282">
        <v>2387</v>
      </c>
      <c r="G282">
        <v>353</v>
      </c>
      <c r="H282">
        <v>78</v>
      </c>
      <c r="I282">
        <v>39745</v>
      </c>
      <c r="J282">
        <v>69226</v>
      </c>
      <c r="K282">
        <v>208</v>
      </c>
      <c r="L282" t="s">
        <v>20</v>
      </c>
      <c r="M282">
        <v>7.090200025160398E-2</v>
      </c>
      <c r="N282" t="s">
        <v>37</v>
      </c>
    </row>
    <row r="283" spans="1:14">
      <c r="A283" t="s">
        <v>210</v>
      </c>
      <c r="B283" t="s">
        <v>22</v>
      </c>
      <c r="C283" s="1">
        <v>45777</v>
      </c>
      <c r="D283" t="s">
        <v>23</v>
      </c>
      <c r="E283" t="s">
        <v>360</v>
      </c>
      <c r="F283">
        <v>3929</v>
      </c>
      <c r="G283">
        <v>275</v>
      </c>
      <c r="H283">
        <v>330</v>
      </c>
      <c r="I283">
        <v>58329</v>
      </c>
      <c r="J283">
        <v>33196</v>
      </c>
      <c r="K283">
        <v>85</v>
      </c>
      <c r="L283" t="s">
        <v>16</v>
      </c>
      <c r="M283">
        <v>7.7731488624869283E-2</v>
      </c>
      <c r="N283" t="s">
        <v>364</v>
      </c>
    </row>
    <row r="284" spans="1:14">
      <c r="A284" t="s">
        <v>210</v>
      </c>
      <c r="B284" t="s">
        <v>22</v>
      </c>
      <c r="C284" s="1">
        <v>45777</v>
      </c>
      <c r="D284" t="s">
        <v>23</v>
      </c>
      <c r="E284" t="s">
        <v>360</v>
      </c>
      <c r="F284">
        <v>3929</v>
      </c>
      <c r="G284">
        <v>275</v>
      </c>
      <c r="H284">
        <v>330</v>
      </c>
      <c r="I284">
        <v>58329</v>
      </c>
      <c r="J284">
        <v>33196</v>
      </c>
      <c r="K284">
        <v>85</v>
      </c>
      <c r="L284" t="s">
        <v>16</v>
      </c>
      <c r="M284">
        <v>7.7731488624869283E-2</v>
      </c>
      <c r="N284" t="s">
        <v>34</v>
      </c>
    </row>
    <row r="285" spans="1:14">
      <c r="A285" t="s">
        <v>211</v>
      </c>
      <c r="B285" t="s">
        <v>22</v>
      </c>
      <c r="C285" s="1">
        <v>45370</v>
      </c>
      <c r="D285" t="s">
        <v>14</v>
      </c>
      <c r="E285" t="s">
        <v>363</v>
      </c>
      <c r="F285">
        <v>2191</v>
      </c>
      <c r="G285">
        <v>288</v>
      </c>
      <c r="H285">
        <v>83</v>
      </c>
      <c r="I285">
        <v>59606</v>
      </c>
      <c r="J285">
        <v>24765</v>
      </c>
      <c r="K285">
        <v>281</v>
      </c>
      <c r="L285" t="s">
        <v>20</v>
      </c>
      <c r="M285">
        <v>4.2982250109049422E-2</v>
      </c>
      <c r="N285" t="s">
        <v>37</v>
      </c>
    </row>
    <row r="286" spans="1:14">
      <c r="A286" t="s">
        <v>212</v>
      </c>
      <c r="B286" t="s">
        <v>13</v>
      </c>
      <c r="C286" s="1">
        <v>45370</v>
      </c>
      <c r="D286" t="s">
        <v>14</v>
      </c>
      <c r="E286" t="s">
        <v>363</v>
      </c>
      <c r="F286">
        <v>2878</v>
      </c>
      <c r="G286">
        <v>278</v>
      </c>
      <c r="H286">
        <v>255</v>
      </c>
      <c r="I286">
        <v>47235</v>
      </c>
      <c r="J286">
        <v>57922</v>
      </c>
      <c r="K286">
        <v>112</v>
      </c>
      <c r="L286" t="s">
        <v>16</v>
      </c>
      <c r="M286">
        <v>7.2213401079707848E-2</v>
      </c>
      <c r="N286" t="s">
        <v>37</v>
      </c>
    </row>
    <row r="287" spans="1:14">
      <c r="A287" t="s">
        <v>212</v>
      </c>
      <c r="B287" t="s">
        <v>13</v>
      </c>
      <c r="C287" s="1">
        <v>45370</v>
      </c>
      <c r="D287" t="s">
        <v>14</v>
      </c>
      <c r="E287" t="s">
        <v>363</v>
      </c>
      <c r="F287">
        <v>2878</v>
      </c>
      <c r="G287">
        <v>278</v>
      </c>
      <c r="H287">
        <v>255</v>
      </c>
      <c r="I287">
        <v>47235</v>
      </c>
      <c r="J287">
        <v>57922</v>
      </c>
      <c r="K287">
        <v>112</v>
      </c>
      <c r="L287" t="s">
        <v>16</v>
      </c>
      <c r="M287">
        <v>7.2213401079707848E-2</v>
      </c>
      <c r="N287" t="s">
        <v>34</v>
      </c>
    </row>
    <row r="288" spans="1:14">
      <c r="A288" t="s">
        <v>213</v>
      </c>
      <c r="B288" t="s">
        <v>22</v>
      </c>
      <c r="C288" s="1">
        <v>45496</v>
      </c>
      <c r="D288" t="s">
        <v>14</v>
      </c>
      <c r="E288" t="s">
        <v>33</v>
      </c>
      <c r="F288">
        <v>3204</v>
      </c>
      <c r="G288">
        <v>398</v>
      </c>
      <c r="H288">
        <v>85</v>
      </c>
      <c r="I288">
        <v>22020</v>
      </c>
      <c r="J288">
        <v>58353</v>
      </c>
      <c r="K288">
        <v>286</v>
      </c>
      <c r="L288" t="s">
        <v>20</v>
      </c>
      <c r="M288">
        <v>0.16743869209809265</v>
      </c>
      <c r="N288" t="s">
        <v>37</v>
      </c>
    </row>
    <row r="289" spans="1:14">
      <c r="A289" t="s">
        <v>214</v>
      </c>
      <c r="B289" t="s">
        <v>22</v>
      </c>
      <c r="C289" s="1">
        <v>45486</v>
      </c>
      <c r="D289" t="s">
        <v>23</v>
      </c>
      <c r="E289" t="s">
        <v>30</v>
      </c>
      <c r="F289">
        <v>2408</v>
      </c>
      <c r="G289">
        <v>323</v>
      </c>
      <c r="H289">
        <v>251</v>
      </c>
      <c r="I289">
        <v>47599</v>
      </c>
      <c r="J289">
        <v>35543</v>
      </c>
      <c r="K289">
        <v>287</v>
      </c>
      <c r="L289" t="s">
        <v>16</v>
      </c>
      <c r="M289">
        <v>6.2648374965860634E-2</v>
      </c>
      <c r="N289" t="s">
        <v>364</v>
      </c>
    </row>
    <row r="290" spans="1:14">
      <c r="A290" t="s">
        <v>214</v>
      </c>
      <c r="B290" t="s">
        <v>22</v>
      </c>
      <c r="C290" s="1">
        <v>45486</v>
      </c>
      <c r="D290" t="s">
        <v>23</v>
      </c>
      <c r="E290" t="s">
        <v>30</v>
      </c>
      <c r="F290">
        <v>2408</v>
      </c>
      <c r="G290">
        <v>323</v>
      </c>
      <c r="H290">
        <v>251</v>
      </c>
      <c r="I290">
        <v>47599</v>
      </c>
      <c r="J290">
        <v>35543</v>
      </c>
      <c r="K290">
        <v>287</v>
      </c>
      <c r="L290" t="s">
        <v>16</v>
      </c>
      <c r="M290">
        <v>6.2648374965860634E-2</v>
      </c>
      <c r="N290" t="s">
        <v>34</v>
      </c>
    </row>
    <row r="291" spans="1:14">
      <c r="A291" t="s">
        <v>215</v>
      </c>
      <c r="B291" t="s">
        <v>27</v>
      </c>
      <c r="C291" s="1">
        <v>45769</v>
      </c>
      <c r="D291" t="s">
        <v>48</v>
      </c>
      <c r="E291" t="s">
        <v>24</v>
      </c>
      <c r="F291">
        <v>2733</v>
      </c>
      <c r="G291">
        <v>297</v>
      </c>
      <c r="H291">
        <v>235</v>
      </c>
      <c r="I291">
        <v>37980</v>
      </c>
      <c r="J291">
        <v>33058</v>
      </c>
      <c r="K291">
        <v>219</v>
      </c>
      <c r="L291" t="s">
        <v>49</v>
      </c>
      <c r="M291">
        <v>8.5966298051606105E-2</v>
      </c>
      <c r="N291" t="s">
        <v>19</v>
      </c>
    </row>
    <row r="292" spans="1:14">
      <c r="A292" t="s">
        <v>215</v>
      </c>
      <c r="B292" t="s">
        <v>27</v>
      </c>
      <c r="C292" s="1">
        <v>45769</v>
      </c>
      <c r="D292" t="s">
        <v>48</v>
      </c>
      <c r="E292" t="s">
        <v>24</v>
      </c>
      <c r="F292">
        <v>2733</v>
      </c>
      <c r="G292">
        <v>297</v>
      </c>
      <c r="H292">
        <v>235</v>
      </c>
      <c r="I292">
        <v>37980</v>
      </c>
      <c r="J292">
        <v>33058</v>
      </c>
      <c r="K292">
        <v>219</v>
      </c>
      <c r="L292" t="s">
        <v>49</v>
      </c>
      <c r="M292">
        <v>8.5966298051606105E-2</v>
      </c>
      <c r="N292" t="s">
        <v>37</v>
      </c>
    </row>
    <row r="293" spans="1:14">
      <c r="A293" t="s">
        <v>216</v>
      </c>
      <c r="B293" t="s">
        <v>22</v>
      </c>
      <c r="C293" s="1">
        <v>45459</v>
      </c>
      <c r="D293" t="s">
        <v>23</v>
      </c>
      <c r="E293" t="s">
        <v>18</v>
      </c>
      <c r="F293">
        <v>4618</v>
      </c>
      <c r="G293">
        <v>312</v>
      </c>
      <c r="H293">
        <v>254</v>
      </c>
      <c r="I293">
        <v>22571</v>
      </c>
      <c r="J293">
        <v>29453</v>
      </c>
      <c r="K293">
        <v>197</v>
      </c>
      <c r="L293" t="s">
        <v>16</v>
      </c>
      <c r="M293">
        <v>0.22967524699836073</v>
      </c>
      <c r="N293" t="s">
        <v>364</v>
      </c>
    </row>
    <row r="294" spans="1:14">
      <c r="A294" t="s">
        <v>216</v>
      </c>
      <c r="B294" t="s">
        <v>22</v>
      </c>
      <c r="C294" s="1">
        <v>45459</v>
      </c>
      <c r="D294" t="s">
        <v>23</v>
      </c>
      <c r="E294" t="s">
        <v>18</v>
      </c>
      <c r="F294">
        <v>4618</v>
      </c>
      <c r="G294">
        <v>312</v>
      </c>
      <c r="H294">
        <v>254</v>
      </c>
      <c r="I294">
        <v>22571</v>
      </c>
      <c r="J294">
        <v>29453</v>
      </c>
      <c r="K294">
        <v>197</v>
      </c>
      <c r="L294" t="s">
        <v>16</v>
      </c>
      <c r="M294">
        <v>0.22967524699836073</v>
      </c>
      <c r="N294" t="s">
        <v>34</v>
      </c>
    </row>
    <row r="295" spans="1:14">
      <c r="A295" t="s">
        <v>217</v>
      </c>
      <c r="B295" t="s">
        <v>27</v>
      </c>
      <c r="C295" s="1">
        <v>45795</v>
      </c>
      <c r="D295" t="s">
        <v>48</v>
      </c>
      <c r="E295" t="s">
        <v>360</v>
      </c>
      <c r="F295">
        <v>4210</v>
      </c>
      <c r="G295">
        <v>319</v>
      </c>
      <c r="H295">
        <v>350</v>
      </c>
      <c r="I295">
        <v>37762</v>
      </c>
      <c r="J295">
        <v>55162</v>
      </c>
      <c r="K295">
        <v>204</v>
      </c>
      <c r="L295" t="s">
        <v>49</v>
      </c>
      <c r="M295">
        <v>0.12920396165457337</v>
      </c>
      <c r="N295" t="s">
        <v>19</v>
      </c>
    </row>
    <row r="296" spans="1:14">
      <c r="A296" t="s">
        <v>217</v>
      </c>
      <c r="B296" t="s">
        <v>27</v>
      </c>
      <c r="C296" s="1">
        <v>45795</v>
      </c>
      <c r="D296" t="s">
        <v>48</v>
      </c>
      <c r="E296" t="s">
        <v>360</v>
      </c>
      <c r="F296">
        <v>4210</v>
      </c>
      <c r="G296">
        <v>319</v>
      </c>
      <c r="H296">
        <v>350</v>
      </c>
      <c r="I296">
        <v>37762</v>
      </c>
      <c r="J296">
        <v>55162</v>
      </c>
      <c r="K296">
        <v>204</v>
      </c>
      <c r="L296" t="s">
        <v>49</v>
      </c>
      <c r="M296">
        <v>0.12920396165457337</v>
      </c>
      <c r="N296" t="s">
        <v>37</v>
      </c>
    </row>
    <row r="297" spans="1:14">
      <c r="A297" t="s">
        <v>218</v>
      </c>
      <c r="B297" t="s">
        <v>13</v>
      </c>
      <c r="C297" s="1">
        <v>45814</v>
      </c>
      <c r="D297" t="s">
        <v>14</v>
      </c>
      <c r="E297" t="s">
        <v>360</v>
      </c>
      <c r="F297">
        <v>3987</v>
      </c>
      <c r="G297">
        <v>171</v>
      </c>
      <c r="H297">
        <v>274</v>
      </c>
      <c r="I297">
        <v>45122</v>
      </c>
      <c r="J297">
        <v>65431</v>
      </c>
      <c r="K297">
        <v>168</v>
      </c>
      <c r="L297" t="s">
        <v>20</v>
      </c>
      <c r="M297">
        <v>9.8222596516111871E-2</v>
      </c>
      <c r="N297" t="s">
        <v>19</v>
      </c>
    </row>
    <row r="298" spans="1:14">
      <c r="A298" t="s">
        <v>219</v>
      </c>
      <c r="B298" t="s">
        <v>27</v>
      </c>
      <c r="C298" s="1">
        <v>45708</v>
      </c>
      <c r="D298" t="s">
        <v>48</v>
      </c>
      <c r="E298" t="s">
        <v>30</v>
      </c>
      <c r="F298">
        <v>4957</v>
      </c>
      <c r="G298">
        <v>262</v>
      </c>
      <c r="H298">
        <v>365</v>
      </c>
      <c r="I298">
        <v>49199</v>
      </c>
      <c r="J298">
        <v>40314</v>
      </c>
      <c r="K298">
        <v>216</v>
      </c>
      <c r="L298" t="s">
        <v>49</v>
      </c>
      <c r="M298">
        <v>0.11349824183418362</v>
      </c>
      <c r="N298" t="s">
        <v>19</v>
      </c>
    </row>
    <row r="299" spans="1:14">
      <c r="A299" t="s">
        <v>219</v>
      </c>
      <c r="B299" t="s">
        <v>27</v>
      </c>
      <c r="C299" s="1">
        <v>45708</v>
      </c>
      <c r="D299" t="s">
        <v>48</v>
      </c>
      <c r="E299" t="s">
        <v>30</v>
      </c>
      <c r="F299">
        <v>4957</v>
      </c>
      <c r="G299">
        <v>262</v>
      </c>
      <c r="H299">
        <v>365</v>
      </c>
      <c r="I299">
        <v>49199</v>
      </c>
      <c r="J299">
        <v>40314</v>
      </c>
      <c r="K299">
        <v>216</v>
      </c>
      <c r="L299" t="s">
        <v>49</v>
      </c>
      <c r="M299">
        <v>0.11349824183418362</v>
      </c>
      <c r="N299" t="s">
        <v>37</v>
      </c>
    </row>
    <row r="300" spans="1:14">
      <c r="A300" t="s">
        <v>220</v>
      </c>
      <c r="B300" t="s">
        <v>13</v>
      </c>
      <c r="C300" s="1">
        <v>45673</v>
      </c>
      <c r="D300" t="s">
        <v>14</v>
      </c>
      <c r="E300" t="s">
        <v>361</v>
      </c>
      <c r="F300">
        <v>2605</v>
      </c>
      <c r="G300">
        <v>282</v>
      </c>
      <c r="H300">
        <v>148</v>
      </c>
      <c r="I300">
        <v>32201</v>
      </c>
      <c r="J300">
        <v>49583</v>
      </c>
      <c r="K300">
        <v>241</v>
      </c>
      <c r="L300" t="s">
        <v>16</v>
      </c>
      <c r="M300">
        <v>9.4251731312692155E-2</v>
      </c>
      <c r="N300" t="s">
        <v>37</v>
      </c>
    </row>
    <row r="301" spans="1:14">
      <c r="A301" t="s">
        <v>220</v>
      </c>
      <c r="B301" t="s">
        <v>13</v>
      </c>
      <c r="C301" s="1">
        <v>45673</v>
      </c>
      <c r="D301" t="s">
        <v>14</v>
      </c>
      <c r="E301" t="s">
        <v>361</v>
      </c>
      <c r="F301">
        <v>2605</v>
      </c>
      <c r="G301">
        <v>282</v>
      </c>
      <c r="H301">
        <v>148</v>
      </c>
      <c r="I301">
        <v>32201</v>
      </c>
      <c r="J301">
        <v>49583</v>
      </c>
      <c r="K301">
        <v>241</v>
      </c>
      <c r="L301" t="s">
        <v>16</v>
      </c>
      <c r="M301">
        <v>9.4251731312692155E-2</v>
      </c>
      <c r="N301" t="s">
        <v>34</v>
      </c>
    </row>
    <row r="302" spans="1:14">
      <c r="A302" t="s">
        <v>221</v>
      </c>
      <c r="B302" t="s">
        <v>27</v>
      </c>
      <c r="C302" s="1">
        <v>45346</v>
      </c>
      <c r="D302" t="s">
        <v>48</v>
      </c>
      <c r="E302" t="s">
        <v>15</v>
      </c>
      <c r="F302">
        <v>4221</v>
      </c>
      <c r="G302">
        <v>307</v>
      </c>
      <c r="H302">
        <v>58</v>
      </c>
      <c r="I302">
        <v>45080</v>
      </c>
      <c r="J302">
        <v>37214</v>
      </c>
      <c r="K302">
        <v>240</v>
      </c>
      <c r="L302" t="s">
        <v>49</v>
      </c>
      <c r="M302">
        <v>0.10173025732031943</v>
      </c>
      <c r="N302" t="s">
        <v>19</v>
      </c>
    </row>
    <row r="303" spans="1:14">
      <c r="A303" t="s">
        <v>221</v>
      </c>
      <c r="B303" t="s">
        <v>27</v>
      </c>
      <c r="C303" s="1">
        <v>45346</v>
      </c>
      <c r="D303" t="s">
        <v>48</v>
      </c>
      <c r="E303" t="s">
        <v>15</v>
      </c>
      <c r="F303">
        <v>4221</v>
      </c>
      <c r="G303">
        <v>307</v>
      </c>
      <c r="H303">
        <v>58</v>
      </c>
      <c r="I303">
        <v>45080</v>
      </c>
      <c r="J303">
        <v>37214</v>
      </c>
      <c r="K303">
        <v>240</v>
      </c>
      <c r="L303" t="s">
        <v>49</v>
      </c>
      <c r="M303">
        <v>0.10173025732031943</v>
      </c>
      <c r="N303" t="s">
        <v>37</v>
      </c>
    </row>
    <row r="304" spans="1:14">
      <c r="A304" t="s">
        <v>222</v>
      </c>
      <c r="B304" t="s">
        <v>22</v>
      </c>
      <c r="C304" s="1">
        <v>45551</v>
      </c>
      <c r="D304" t="s">
        <v>23</v>
      </c>
      <c r="E304" t="s">
        <v>362</v>
      </c>
      <c r="F304">
        <v>4422</v>
      </c>
      <c r="G304">
        <v>434</v>
      </c>
      <c r="H304">
        <v>156</v>
      </c>
      <c r="I304">
        <v>56165</v>
      </c>
      <c r="J304">
        <v>52431</v>
      </c>
      <c r="K304">
        <v>173</v>
      </c>
      <c r="L304" t="s">
        <v>16</v>
      </c>
      <c r="M304">
        <v>8.9237069349238848E-2</v>
      </c>
      <c r="N304" t="s">
        <v>19</v>
      </c>
    </row>
    <row r="305" spans="1:14">
      <c r="A305" t="s">
        <v>222</v>
      </c>
      <c r="B305" t="s">
        <v>22</v>
      </c>
      <c r="C305" s="1">
        <v>45551</v>
      </c>
      <c r="D305" t="s">
        <v>23</v>
      </c>
      <c r="E305" t="s">
        <v>362</v>
      </c>
      <c r="F305">
        <v>4422</v>
      </c>
      <c r="G305">
        <v>434</v>
      </c>
      <c r="H305">
        <v>156</v>
      </c>
      <c r="I305">
        <v>56165</v>
      </c>
      <c r="J305">
        <v>52431</v>
      </c>
      <c r="K305">
        <v>173</v>
      </c>
      <c r="L305" t="s">
        <v>16</v>
      </c>
      <c r="M305">
        <v>8.9237069349238848E-2</v>
      </c>
      <c r="N305" t="s">
        <v>364</v>
      </c>
    </row>
    <row r="306" spans="1:14">
      <c r="A306" t="s">
        <v>223</v>
      </c>
      <c r="B306" t="s">
        <v>27</v>
      </c>
      <c r="C306" s="1">
        <v>45447</v>
      </c>
      <c r="D306" t="s">
        <v>48</v>
      </c>
      <c r="E306" t="s">
        <v>360</v>
      </c>
      <c r="F306">
        <v>1211</v>
      </c>
      <c r="G306">
        <v>431</v>
      </c>
      <c r="H306">
        <v>83</v>
      </c>
      <c r="I306">
        <v>26532</v>
      </c>
      <c r="J306">
        <v>47305</v>
      </c>
      <c r="K306">
        <v>232</v>
      </c>
      <c r="L306" t="s">
        <v>49</v>
      </c>
      <c r="M306">
        <v>6.5015829941203071E-2</v>
      </c>
      <c r="N306" t="s">
        <v>19</v>
      </c>
    </row>
    <row r="307" spans="1:14">
      <c r="A307" t="s">
        <v>223</v>
      </c>
      <c r="B307" t="s">
        <v>27</v>
      </c>
      <c r="C307" s="1">
        <v>45447</v>
      </c>
      <c r="D307" t="s">
        <v>48</v>
      </c>
      <c r="E307" t="s">
        <v>360</v>
      </c>
      <c r="F307">
        <v>1211</v>
      </c>
      <c r="G307">
        <v>431</v>
      </c>
      <c r="H307">
        <v>83</v>
      </c>
      <c r="I307">
        <v>26532</v>
      </c>
      <c r="J307">
        <v>47305</v>
      </c>
      <c r="K307">
        <v>232</v>
      </c>
      <c r="L307" t="s">
        <v>49</v>
      </c>
      <c r="M307">
        <v>6.5015829941203071E-2</v>
      </c>
      <c r="N307" t="s">
        <v>37</v>
      </c>
    </row>
    <row r="308" spans="1:14">
      <c r="A308" t="s">
        <v>224</v>
      </c>
      <c r="B308" t="s">
        <v>22</v>
      </c>
      <c r="C308" s="1">
        <v>45422</v>
      </c>
      <c r="D308" t="s">
        <v>23</v>
      </c>
      <c r="E308" t="s">
        <v>18</v>
      </c>
      <c r="F308">
        <v>2784</v>
      </c>
      <c r="G308">
        <v>111</v>
      </c>
      <c r="H308">
        <v>399</v>
      </c>
      <c r="I308">
        <v>58366</v>
      </c>
      <c r="J308">
        <v>69512</v>
      </c>
      <c r="K308">
        <v>269</v>
      </c>
      <c r="L308" t="s">
        <v>16</v>
      </c>
      <c r="M308">
        <v>5.6436966727204191E-2</v>
      </c>
      <c r="N308" t="s">
        <v>364</v>
      </c>
    </row>
    <row r="309" spans="1:14">
      <c r="A309" t="s">
        <v>224</v>
      </c>
      <c r="B309" t="s">
        <v>22</v>
      </c>
      <c r="C309" s="1">
        <v>45422</v>
      </c>
      <c r="D309" t="s">
        <v>23</v>
      </c>
      <c r="E309" t="s">
        <v>18</v>
      </c>
      <c r="F309">
        <v>2784</v>
      </c>
      <c r="G309">
        <v>111</v>
      </c>
      <c r="H309">
        <v>399</v>
      </c>
      <c r="I309">
        <v>58366</v>
      </c>
      <c r="J309">
        <v>69512</v>
      </c>
      <c r="K309">
        <v>269</v>
      </c>
      <c r="L309" t="s">
        <v>16</v>
      </c>
      <c r="M309">
        <v>5.6436966727204191E-2</v>
      </c>
      <c r="N309" t="s">
        <v>34</v>
      </c>
    </row>
    <row r="310" spans="1:14">
      <c r="A310" t="s">
        <v>225</v>
      </c>
      <c r="B310" t="s">
        <v>27</v>
      </c>
      <c r="C310" s="1">
        <v>45305</v>
      </c>
      <c r="D310" t="s">
        <v>14</v>
      </c>
      <c r="E310" t="s">
        <v>24</v>
      </c>
      <c r="F310">
        <v>3634</v>
      </c>
      <c r="G310">
        <v>280</v>
      </c>
      <c r="H310">
        <v>399</v>
      </c>
      <c r="I310">
        <v>40256</v>
      </c>
      <c r="J310">
        <v>52605</v>
      </c>
      <c r="K310">
        <v>213</v>
      </c>
      <c r="L310" t="s">
        <v>20</v>
      </c>
      <c r="M310">
        <v>0.10713930842607314</v>
      </c>
      <c r="N310" t="s">
        <v>19</v>
      </c>
    </row>
    <row r="311" spans="1:14">
      <c r="A311" t="s">
        <v>225</v>
      </c>
      <c r="B311" t="s">
        <v>27</v>
      </c>
      <c r="C311" s="1">
        <v>45305</v>
      </c>
      <c r="D311" t="s">
        <v>14</v>
      </c>
      <c r="E311" t="s">
        <v>24</v>
      </c>
      <c r="F311">
        <v>3634</v>
      </c>
      <c r="G311">
        <v>280</v>
      </c>
      <c r="H311">
        <v>399</v>
      </c>
      <c r="I311">
        <v>40256</v>
      </c>
      <c r="J311">
        <v>52605</v>
      </c>
      <c r="K311">
        <v>213</v>
      </c>
      <c r="L311" t="s">
        <v>20</v>
      </c>
      <c r="M311">
        <v>0.10713930842607314</v>
      </c>
      <c r="N311" t="s">
        <v>365</v>
      </c>
    </row>
    <row r="312" spans="1:14">
      <c r="A312" t="s">
        <v>226</v>
      </c>
      <c r="B312" t="s">
        <v>13</v>
      </c>
      <c r="C312" s="1">
        <v>45669</v>
      </c>
      <c r="D312" t="s">
        <v>14</v>
      </c>
      <c r="E312" t="s">
        <v>363</v>
      </c>
      <c r="F312">
        <v>1771</v>
      </c>
      <c r="G312">
        <v>487</v>
      </c>
      <c r="H312">
        <v>272</v>
      </c>
      <c r="I312">
        <v>48810</v>
      </c>
      <c r="J312">
        <v>48084</v>
      </c>
      <c r="K312">
        <v>272</v>
      </c>
      <c r="L312" t="s">
        <v>16</v>
      </c>
      <c r="M312">
        <v>5.1833640647408315E-2</v>
      </c>
      <c r="N312" t="s">
        <v>37</v>
      </c>
    </row>
    <row r="313" spans="1:14">
      <c r="A313" t="s">
        <v>226</v>
      </c>
      <c r="B313" t="s">
        <v>13</v>
      </c>
      <c r="C313" s="1">
        <v>45669</v>
      </c>
      <c r="D313" t="s">
        <v>14</v>
      </c>
      <c r="E313" t="s">
        <v>363</v>
      </c>
      <c r="F313">
        <v>1771</v>
      </c>
      <c r="G313">
        <v>487</v>
      </c>
      <c r="H313">
        <v>272</v>
      </c>
      <c r="I313">
        <v>48810</v>
      </c>
      <c r="J313">
        <v>48084</v>
      </c>
      <c r="K313">
        <v>272</v>
      </c>
      <c r="L313" t="s">
        <v>16</v>
      </c>
      <c r="M313">
        <v>5.1833640647408315E-2</v>
      </c>
      <c r="N313" t="s">
        <v>34</v>
      </c>
    </row>
    <row r="314" spans="1:14">
      <c r="A314" t="s">
        <v>227</v>
      </c>
      <c r="B314" t="s">
        <v>27</v>
      </c>
      <c r="C314" s="1">
        <v>45634</v>
      </c>
      <c r="D314" t="s">
        <v>14</v>
      </c>
      <c r="E314" t="s">
        <v>33</v>
      </c>
      <c r="F314">
        <v>1424</v>
      </c>
      <c r="G314">
        <v>396</v>
      </c>
      <c r="H314">
        <v>312</v>
      </c>
      <c r="I314">
        <v>59517</v>
      </c>
      <c r="J314">
        <v>46102</v>
      </c>
      <c r="K314">
        <v>239</v>
      </c>
      <c r="L314" t="s">
        <v>20</v>
      </c>
      <c r="M314">
        <v>3.5821698002251455E-2</v>
      </c>
      <c r="N314" t="s">
        <v>19</v>
      </c>
    </row>
    <row r="315" spans="1:14">
      <c r="A315" t="s">
        <v>227</v>
      </c>
      <c r="B315" t="s">
        <v>27</v>
      </c>
      <c r="C315" s="1">
        <v>45634</v>
      </c>
      <c r="D315" t="s">
        <v>14</v>
      </c>
      <c r="E315" t="s">
        <v>33</v>
      </c>
      <c r="F315">
        <v>1424</v>
      </c>
      <c r="G315">
        <v>396</v>
      </c>
      <c r="H315">
        <v>312</v>
      </c>
      <c r="I315">
        <v>59517</v>
      </c>
      <c r="J315">
        <v>46102</v>
      </c>
      <c r="K315">
        <v>239</v>
      </c>
      <c r="L315" t="s">
        <v>20</v>
      </c>
      <c r="M315">
        <v>3.5821698002251455E-2</v>
      </c>
      <c r="N315" t="s">
        <v>365</v>
      </c>
    </row>
    <row r="316" spans="1:14">
      <c r="A316" t="s">
        <v>228</v>
      </c>
      <c r="B316" t="s">
        <v>22</v>
      </c>
      <c r="C316" s="1">
        <v>45689</v>
      </c>
      <c r="D316" t="s">
        <v>23</v>
      </c>
      <c r="E316" t="s">
        <v>33</v>
      </c>
      <c r="F316">
        <v>1079</v>
      </c>
      <c r="G316">
        <v>265</v>
      </c>
      <c r="H316">
        <v>190</v>
      </c>
      <c r="I316">
        <v>43786</v>
      </c>
      <c r="J316">
        <v>72428</v>
      </c>
      <c r="K316">
        <v>222</v>
      </c>
      <c r="L316" t="s">
        <v>16</v>
      </c>
      <c r="M316">
        <v>3.5034029141734799E-2</v>
      </c>
      <c r="N316" t="s">
        <v>37</v>
      </c>
    </row>
    <row r="317" spans="1:14">
      <c r="A317" t="s">
        <v>228</v>
      </c>
      <c r="B317" t="s">
        <v>22</v>
      </c>
      <c r="C317" s="1">
        <v>45689</v>
      </c>
      <c r="D317" t="s">
        <v>23</v>
      </c>
      <c r="E317" t="s">
        <v>33</v>
      </c>
      <c r="F317">
        <v>1079</v>
      </c>
      <c r="G317">
        <v>265</v>
      </c>
      <c r="H317">
        <v>190</v>
      </c>
      <c r="I317">
        <v>43786</v>
      </c>
      <c r="J317">
        <v>72428</v>
      </c>
      <c r="K317">
        <v>222</v>
      </c>
      <c r="L317" t="s">
        <v>16</v>
      </c>
      <c r="M317">
        <v>3.5034029141734799E-2</v>
      </c>
      <c r="N317" t="s">
        <v>34</v>
      </c>
    </row>
    <row r="318" spans="1:14">
      <c r="A318" t="s">
        <v>229</v>
      </c>
      <c r="B318" t="s">
        <v>22</v>
      </c>
      <c r="C318" s="1">
        <v>45484</v>
      </c>
      <c r="D318" t="s">
        <v>23</v>
      </c>
      <c r="E318" t="s">
        <v>30</v>
      </c>
      <c r="F318">
        <v>4247</v>
      </c>
      <c r="G318">
        <v>179</v>
      </c>
      <c r="H318">
        <v>175</v>
      </c>
      <c r="I318">
        <v>32991</v>
      </c>
      <c r="J318">
        <v>70120</v>
      </c>
      <c r="K318">
        <v>276</v>
      </c>
      <c r="L318" t="s">
        <v>16</v>
      </c>
      <c r="M318">
        <v>0.13946227759085811</v>
      </c>
      <c r="N318" t="s">
        <v>37</v>
      </c>
    </row>
    <row r="319" spans="1:14">
      <c r="A319" t="s">
        <v>229</v>
      </c>
      <c r="B319" t="s">
        <v>22</v>
      </c>
      <c r="C319" s="1">
        <v>45484</v>
      </c>
      <c r="D319" t="s">
        <v>23</v>
      </c>
      <c r="E319" t="s">
        <v>30</v>
      </c>
      <c r="F319">
        <v>4247</v>
      </c>
      <c r="G319">
        <v>179</v>
      </c>
      <c r="H319">
        <v>175</v>
      </c>
      <c r="I319">
        <v>32991</v>
      </c>
      <c r="J319">
        <v>70120</v>
      </c>
      <c r="K319">
        <v>276</v>
      </c>
      <c r="L319" t="s">
        <v>16</v>
      </c>
      <c r="M319">
        <v>0.13946227759085811</v>
      </c>
      <c r="N319" t="s">
        <v>34</v>
      </c>
    </row>
    <row r="320" spans="1:14">
      <c r="A320" t="s">
        <v>230</v>
      </c>
      <c r="B320" t="s">
        <v>22</v>
      </c>
      <c r="C320" s="1">
        <v>45369</v>
      </c>
      <c r="D320" t="s">
        <v>14</v>
      </c>
      <c r="E320" t="s">
        <v>24</v>
      </c>
      <c r="F320">
        <v>2033</v>
      </c>
      <c r="G320">
        <v>420</v>
      </c>
      <c r="H320">
        <v>94</v>
      </c>
      <c r="I320">
        <v>56290</v>
      </c>
      <c r="J320">
        <v>57391</v>
      </c>
      <c r="K320">
        <v>196</v>
      </c>
      <c r="L320" t="s">
        <v>16</v>
      </c>
      <c r="M320">
        <v>4.5247823769763724E-2</v>
      </c>
      <c r="N320" t="s">
        <v>34</v>
      </c>
    </row>
    <row r="321" spans="1:14">
      <c r="A321" t="s">
        <v>231</v>
      </c>
      <c r="B321" t="s">
        <v>22</v>
      </c>
      <c r="C321" s="1">
        <v>45547</v>
      </c>
      <c r="D321" t="s">
        <v>23</v>
      </c>
      <c r="E321" t="s">
        <v>360</v>
      </c>
      <c r="F321">
        <v>1839</v>
      </c>
      <c r="G321">
        <v>223</v>
      </c>
      <c r="H321">
        <v>171</v>
      </c>
      <c r="I321">
        <v>35459</v>
      </c>
      <c r="J321">
        <v>69988</v>
      </c>
      <c r="K321">
        <v>114</v>
      </c>
      <c r="L321" t="s">
        <v>16</v>
      </c>
      <c r="M321">
        <v>6.2974139146620034E-2</v>
      </c>
      <c r="N321" t="s">
        <v>364</v>
      </c>
    </row>
    <row r="322" spans="1:14">
      <c r="A322" t="s">
        <v>231</v>
      </c>
      <c r="B322" t="s">
        <v>22</v>
      </c>
      <c r="C322" s="1">
        <v>45547</v>
      </c>
      <c r="D322" t="s">
        <v>23</v>
      </c>
      <c r="E322" t="s">
        <v>360</v>
      </c>
      <c r="F322">
        <v>1839</v>
      </c>
      <c r="G322">
        <v>223</v>
      </c>
      <c r="H322">
        <v>171</v>
      </c>
      <c r="I322">
        <v>35459</v>
      </c>
      <c r="J322">
        <v>69988</v>
      </c>
      <c r="K322">
        <v>114</v>
      </c>
      <c r="L322" t="s">
        <v>16</v>
      </c>
      <c r="M322">
        <v>6.2974139146620034E-2</v>
      </c>
      <c r="N322" t="s">
        <v>34</v>
      </c>
    </row>
    <row r="323" spans="1:14">
      <c r="A323" t="s">
        <v>232</v>
      </c>
      <c r="B323" t="s">
        <v>22</v>
      </c>
      <c r="C323" s="1">
        <v>45302</v>
      </c>
      <c r="D323" t="s">
        <v>23</v>
      </c>
      <c r="E323" t="s">
        <v>360</v>
      </c>
      <c r="F323">
        <v>2340</v>
      </c>
      <c r="G323">
        <v>141</v>
      </c>
      <c r="H323">
        <v>206</v>
      </c>
      <c r="I323">
        <v>24916</v>
      </c>
      <c r="J323">
        <v>30582</v>
      </c>
      <c r="K323">
        <v>157</v>
      </c>
      <c r="L323" t="s">
        <v>16</v>
      </c>
      <c r="M323">
        <v>0.10784235029699792</v>
      </c>
      <c r="N323" t="s">
        <v>37</v>
      </c>
    </row>
    <row r="324" spans="1:14">
      <c r="A324" t="s">
        <v>232</v>
      </c>
      <c r="B324" t="s">
        <v>22</v>
      </c>
      <c r="C324" s="1">
        <v>45302</v>
      </c>
      <c r="D324" t="s">
        <v>23</v>
      </c>
      <c r="E324" t="s">
        <v>360</v>
      </c>
      <c r="F324">
        <v>2340</v>
      </c>
      <c r="G324">
        <v>141</v>
      </c>
      <c r="H324">
        <v>206</v>
      </c>
      <c r="I324">
        <v>24916</v>
      </c>
      <c r="J324">
        <v>30582</v>
      </c>
      <c r="K324">
        <v>157</v>
      </c>
      <c r="L324" t="s">
        <v>16</v>
      </c>
      <c r="M324">
        <v>0.10784235029699792</v>
      </c>
      <c r="N324" t="s">
        <v>34</v>
      </c>
    </row>
    <row r="325" spans="1:14">
      <c r="A325" t="s">
        <v>233</v>
      </c>
      <c r="B325" t="s">
        <v>13</v>
      </c>
      <c r="C325" s="1">
        <v>45571</v>
      </c>
      <c r="D325" t="s">
        <v>14</v>
      </c>
      <c r="E325" t="s">
        <v>33</v>
      </c>
      <c r="F325">
        <v>2080</v>
      </c>
      <c r="G325">
        <v>389</v>
      </c>
      <c r="H325">
        <v>92</v>
      </c>
      <c r="I325">
        <v>30971</v>
      </c>
      <c r="J325">
        <v>25347</v>
      </c>
      <c r="K325">
        <v>111</v>
      </c>
      <c r="L325" t="s">
        <v>20</v>
      </c>
      <c r="M325">
        <v>8.2690258629040073E-2</v>
      </c>
      <c r="N325" t="s">
        <v>19</v>
      </c>
    </row>
    <row r="326" spans="1:14">
      <c r="A326" t="s">
        <v>234</v>
      </c>
      <c r="B326" t="s">
        <v>22</v>
      </c>
      <c r="C326" s="1">
        <v>45656</v>
      </c>
      <c r="D326" t="s">
        <v>14</v>
      </c>
      <c r="E326" t="s">
        <v>30</v>
      </c>
      <c r="F326">
        <v>4214</v>
      </c>
      <c r="G326">
        <v>286</v>
      </c>
      <c r="H326">
        <v>127</v>
      </c>
      <c r="I326">
        <v>47293</v>
      </c>
      <c r="J326">
        <v>27184</v>
      </c>
      <c r="K326">
        <v>232</v>
      </c>
      <c r="L326" t="s">
        <v>16</v>
      </c>
      <c r="M326">
        <v>9.7836889180216949E-2</v>
      </c>
      <c r="N326" t="s">
        <v>34</v>
      </c>
    </row>
    <row r="327" spans="1:14">
      <c r="A327" t="s">
        <v>235</v>
      </c>
      <c r="B327" t="s">
        <v>22</v>
      </c>
      <c r="C327" s="1">
        <v>45763</v>
      </c>
      <c r="D327" t="s">
        <v>14</v>
      </c>
      <c r="E327" t="s">
        <v>360</v>
      </c>
      <c r="F327">
        <v>3792</v>
      </c>
      <c r="G327">
        <v>315</v>
      </c>
      <c r="H327">
        <v>120</v>
      </c>
      <c r="I327">
        <v>54592</v>
      </c>
      <c r="J327">
        <v>67886</v>
      </c>
      <c r="K327">
        <v>117</v>
      </c>
      <c r="L327" t="s">
        <v>20</v>
      </c>
      <c r="M327">
        <v>7.7428927315357568E-2</v>
      </c>
      <c r="N327" t="s">
        <v>37</v>
      </c>
    </row>
    <row r="328" spans="1:14">
      <c r="A328" t="s">
        <v>236</v>
      </c>
      <c r="B328" t="s">
        <v>22</v>
      </c>
      <c r="C328" s="1">
        <v>45525</v>
      </c>
      <c r="D328" t="s">
        <v>23</v>
      </c>
      <c r="E328" t="s">
        <v>18</v>
      </c>
      <c r="F328">
        <v>3989</v>
      </c>
      <c r="G328">
        <v>476</v>
      </c>
      <c r="H328">
        <v>128</v>
      </c>
      <c r="I328">
        <v>57569</v>
      </c>
      <c r="J328">
        <v>40193</v>
      </c>
      <c r="K328">
        <v>222</v>
      </c>
      <c r="L328" t="s">
        <v>16</v>
      </c>
      <c r="M328">
        <v>7.9782521843353188E-2</v>
      </c>
      <c r="N328" t="s">
        <v>19</v>
      </c>
    </row>
    <row r="329" spans="1:14">
      <c r="A329" t="s">
        <v>236</v>
      </c>
      <c r="B329" t="s">
        <v>22</v>
      </c>
      <c r="C329" s="1">
        <v>45525</v>
      </c>
      <c r="D329" t="s">
        <v>23</v>
      </c>
      <c r="E329" t="s">
        <v>18</v>
      </c>
      <c r="F329">
        <v>3989</v>
      </c>
      <c r="G329">
        <v>476</v>
      </c>
      <c r="H329">
        <v>128</v>
      </c>
      <c r="I329">
        <v>57569</v>
      </c>
      <c r="J329">
        <v>40193</v>
      </c>
      <c r="K329">
        <v>222</v>
      </c>
      <c r="L329" t="s">
        <v>16</v>
      </c>
      <c r="M329">
        <v>7.9782521843353188E-2</v>
      </c>
      <c r="N329" t="s">
        <v>364</v>
      </c>
    </row>
    <row r="330" spans="1:14">
      <c r="A330" t="s">
        <v>237</v>
      </c>
      <c r="B330" t="s">
        <v>22</v>
      </c>
      <c r="C330" s="1">
        <v>45387</v>
      </c>
      <c r="D330" t="s">
        <v>23</v>
      </c>
      <c r="E330" t="s">
        <v>360</v>
      </c>
      <c r="F330">
        <v>2857</v>
      </c>
      <c r="G330">
        <v>443</v>
      </c>
      <c r="H330">
        <v>359</v>
      </c>
      <c r="I330">
        <v>51519</v>
      </c>
      <c r="J330">
        <v>28256</v>
      </c>
      <c r="K330">
        <v>155</v>
      </c>
      <c r="L330" t="s">
        <v>16</v>
      </c>
      <c r="M330">
        <v>7.1022341272152026E-2</v>
      </c>
      <c r="N330" t="s">
        <v>37</v>
      </c>
    </row>
    <row r="331" spans="1:14">
      <c r="A331" t="s">
        <v>237</v>
      </c>
      <c r="B331" t="s">
        <v>22</v>
      </c>
      <c r="C331" s="1">
        <v>45387</v>
      </c>
      <c r="D331" t="s">
        <v>23</v>
      </c>
      <c r="E331" t="s">
        <v>360</v>
      </c>
      <c r="F331">
        <v>2857</v>
      </c>
      <c r="G331">
        <v>443</v>
      </c>
      <c r="H331">
        <v>359</v>
      </c>
      <c r="I331">
        <v>51519</v>
      </c>
      <c r="J331">
        <v>28256</v>
      </c>
      <c r="K331">
        <v>155</v>
      </c>
      <c r="L331" t="s">
        <v>16</v>
      </c>
      <c r="M331">
        <v>7.1022341272152026E-2</v>
      </c>
      <c r="N331" t="s">
        <v>34</v>
      </c>
    </row>
    <row r="332" spans="1:14">
      <c r="A332" t="s">
        <v>238</v>
      </c>
      <c r="B332" t="s">
        <v>22</v>
      </c>
      <c r="C332" s="1">
        <v>45754</v>
      </c>
      <c r="D332" t="s">
        <v>14</v>
      </c>
      <c r="E332" t="s">
        <v>363</v>
      </c>
      <c r="F332">
        <v>1403</v>
      </c>
      <c r="G332">
        <v>385</v>
      </c>
      <c r="H332">
        <v>344</v>
      </c>
      <c r="I332">
        <v>54223</v>
      </c>
      <c r="J332">
        <v>72595</v>
      </c>
      <c r="K332">
        <v>239</v>
      </c>
      <c r="L332" t="s">
        <v>20</v>
      </c>
      <c r="M332">
        <v>3.9319108127547353E-2</v>
      </c>
      <c r="N332" t="s">
        <v>37</v>
      </c>
    </row>
    <row r="333" spans="1:14">
      <c r="A333" t="s">
        <v>239</v>
      </c>
      <c r="B333" t="s">
        <v>22</v>
      </c>
      <c r="C333" s="1">
        <v>45492</v>
      </c>
      <c r="D333" t="s">
        <v>23</v>
      </c>
      <c r="E333" t="s">
        <v>362</v>
      </c>
      <c r="F333">
        <v>3071</v>
      </c>
      <c r="G333">
        <v>126</v>
      </c>
      <c r="H333">
        <v>200</v>
      </c>
      <c r="I333">
        <v>44013</v>
      </c>
      <c r="J333">
        <v>44679</v>
      </c>
      <c r="K333">
        <v>118</v>
      </c>
      <c r="L333" t="s">
        <v>16</v>
      </c>
      <c r="M333">
        <v>7.7181741758116915E-2</v>
      </c>
      <c r="N333" t="s">
        <v>19</v>
      </c>
    </row>
    <row r="334" spans="1:14">
      <c r="A334" t="s">
        <v>239</v>
      </c>
      <c r="B334" t="s">
        <v>22</v>
      </c>
      <c r="C334" s="1">
        <v>45492</v>
      </c>
      <c r="D334" t="s">
        <v>23</v>
      </c>
      <c r="E334" t="s">
        <v>362</v>
      </c>
      <c r="F334">
        <v>3071</v>
      </c>
      <c r="G334">
        <v>126</v>
      </c>
      <c r="H334">
        <v>200</v>
      </c>
      <c r="I334">
        <v>44013</v>
      </c>
      <c r="J334">
        <v>44679</v>
      </c>
      <c r="K334">
        <v>118</v>
      </c>
      <c r="L334" t="s">
        <v>16</v>
      </c>
      <c r="M334">
        <v>7.7181741758116915E-2</v>
      </c>
      <c r="N334" t="s">
        <v>364</v>
      </c>
    </row>
    <row r="335" spans="1:14">
      <c r="A335" t="s">
        <v>240</v>
      </c>
      <c r="B335" t="s">
        <v>22</v>
      </c>
      <c r="C335" s="1">
        <v>45780</v>
      </c>
      <c r="D335" t="s">
        <v>23</v>
      </c>
      <c r="E335" t="s">
        <v>33</v>
      </c>
      <c r="F335">
        <v>1010</v>
      </c>
      <c r="G335">
        <v>361</v>
      </c>
      <c r="H335">
        <v>240</v>
      </c>
      <c r="I335">
        <v>47229</v>
      </c>
      <c r="J335">
        <v>72573</v>
      </c>
      <c r="K335">
        <v>275</v>
      </c>
      <c r="L335" t="s">
        <v>16</v>
      </c>
      <c r="M335">
        <v>3.4110398272247981E-2</v>
      </c>
      <c r="N335" t="s">
        <v>37</v>
      </c>
    </row>
    <row r="336" spans="1:14">
      <c r="A336" t="s">
        <v>240</v>
      </c>
      <c r="B336" t="s">
        <v>22</v>
      </c>
      <c r="C336" s="1">
        <v>45780</v>
      </c>
      <c r="D336" t="s">
        <v>23</v>
      </c>
      <c r="E336" t="s">
        <v>33</v>
      </c>
      <c r="F336">
        <v>1010</v>
      </c>
      <c r="G336">
        <v>361</v>
      </c>
      <c r="H336">
        <v>240</v>
      </c>
      <c r="I336">
        <v>47229</v>
      </c>
      <c r="J336">
        <v>72573</v>
      </c>
      <c r="K336">
        <v>275</v>
      </c>
      <c r="L336" t="s">
        <v>16</v>
      </c>
      <c r="M336">
        <v>3.4110398272247981E-2</v>
      </c>
      <c r="N336" t="s">
        <v>34</v>
      </c>
    </row>
    <row r="337" spans="1:14">
      <c r="A337" t="s">
        <v>241</v>
      </c>
      <c r="B337" t="s">
        <v>22</v>
      </c>
      <c r="C337" s="1">
        <v>45396</v>
      </c>
      <c r="D337" t="s">
        <v>23</v>
      </c>
      <c r="E337" t="s">
        <v>15</v>
      </c>
      <c r="F337">
        <v>1295</v>
      </c>
      <c r="G337">
        <v>153</v>
      </c>
      <c r="H337">
        <v>81</v>
      </c>
      <c r="I337">
        <v>48350</v>
      </c>
      <c r="J337">
        <v>61033</v>
      </c>
      <c r="K337">
        <v>232</v>
      </c>
      <c r="L337" t="s">
        <v>16</v>
      </c>
      <c r="M337">
        <v>3.1623578076525334E-2</v>
      </c>
      <c r="N337" t="s">
        <v>19</v>
      </c>
    </row>
    <row r="338" spans="1:14">
      <c r="A338" t="s">
        <v>241</v>
      </c>
      <c r="B338" t="s">
        <v>22</v>
      </c>
      <c r="C338" s="1">
        <v>45396</v>
      </c>
      <c r="D338" t="s">
        <v>23</v>
      </c>
      <c r="E338" t="s">
        <v>15</v>
      </c>
      <c r="F338">
        <v>1295</v>
      </c>
      <c r="G338">
        <v>153</v>
      </c>
      <c r="H338">
        <v>81</v>
      </c>
      <c r="I338">
        <v>48350</v>
      </c>
      <c r="J338">
        <v>61033</v>
      </c>
      <c r="K338">
        <v>232</v>
      </c>
      <c r="L338" t="s">
        <v>16</v>
      </c>
      <c r="M338">
        <v>3.1623578076525334E-2</v>
      </c>
      <c r="N338" t="s">
        <v>364</v>
      </c>
    </row>
    <row r="339" spans="1:14">
      <c r="A339" t="s">
        <v>242</v>
      </c>
      <c r="B339" t="s">
        <v>22</v>
      </c>
      <c r="C339" s="1">
        <v>45827</v>
      </c>
      <c r="D339" t="s">
        <v>23</v>
      </c>
      <c r="E339" t="s">
        <v>362</v>
      </c>
      <c r="F339">
        <v>1433</v>
      </c>
      <c r="G339">
        <v>452</v>
      </c>
      <c r="H339">
        <v>305</v>
      </c>
      <c r="I339">
        <v>54541</v>
      </c>
      <c r="J339">
        <v>63700</v>
      </c>
      <c r="K339">
        <v>296</v>
      </c>
      <c r="L339" t="s">
        <v>16</v>
      </c>
      <c r="M339">
        <v>4.0153279184466734E-2</v>
      </c>
      <c r="N339" t="s">
        <v>19</v>
      </c>
    </row>
    <row r="340" spans="1:14">
      <c r="A340" t="s">
        <v>242</v>
      </c>
      <c r="B340" t="s">
        <v>22</v>
      </c>
      <c r="C340" s="1">
        <v>45827</v>
      </c>
      <c r="D340" t="s">
        <v>23</v>
      </c>
      <c r="E340" t="s">
        <v>362</v>
      </c>
      <c r="F340">
        <v>1433</v>
      </c>
      <c r="G340">
        <v>452</v>
      </c>
      <c r="H340">
        <v>305</v>
      </c>
      <c r="I340">
        <v>54541</v>
      </c>
      <c r="J340">
        <v>63700</v>
      </c>
      <c r="K340">
        <v>296</v>
      </c>
      <c r="L340" t="s">
        <v>16</v>
      </c>
      <c r="M340">
        <v>4.0153279184466734E-2</v>
      </c>
      <c r="N340" t="s">
        <v>364</v>
      </c>
    </row>
    <row r="341" spans="1:14">
      <c r="A341" t="s">
        <v>243</v>
      </c>
      <c r="B341" t="s">
        <v>13</v>
      </c>
      <c r="C341" s="1">
        <v>45832</v>
      </c>
      <c r="D341" t="s">
        <v>23</v>
      </c>
      <c r="E341" t="s">
        <v>30</v>
      </c>
      <c r="F341">
        <v>4902</v>
      </c>
      <c r="G341">
        <v>422</v>
      </c>
      <c r="H341">
        <v>376</v>
      </c>
      <c r="I341">
        <v>31674</v>
      </c>
      <c r="J341">
        <v>53225</v>
      </c>
      <c r="K341">
        <v>147</v>
      </c>
      <c r="L341" t="s">
        <v>46</v>
      </c>
      <c r="M341">
        <v>0.17995832544042431</v>
      </c>
      <c r="N341" t="s">
        <v>34</v>
      </c>
    </row>
    <row r="342" spans="1:14">
      <c r="A342" t="s">
        <v>244</v>
      </c>
      <c r="B342" t="s">
        <v>22</v>
      </c>
      <c r="C342" s="1">
        <v>45574</v>
      </c>
      <c r="D342" t="s">
        <v>14</v>
      </c>
      <c r="E342" t="s">
        <v>360</v>
      </c>
      <c r="F342">
        <v>2659</v>
      </c>
      <c r="G342">
        <v>167</v>
      </c>
      <c r="H342">
        <v>73</v>
      </c>
      <c r="I342">
        <v>23090</v>
      </c>
      <c r="J342">
        <v>25872</v>
      </c>
      <c r="K342">
        <v>293</v>
      </c>
      <c r="L342" t="s">
        <v>20</v>
      </c>
      <c r="M342">
        <v>0.12555218709398008</v>
      </c>
      <c r="N342" t="s">
        <v>37</v>
      </c>
    </row>
    <row r="343" spans="1:14">
      <c r="A343" t="s">
        <v>245</v>
      </c>
      <c r="B343" t="s">
        <v>27</v>
      </c>
      <c r="C343" s="1">
        <v>45672</v>
      </c>
      <c r="D343" t="s">
        <v>14</v>
      </c>
      <c r="E343" t="s">
        <v>42</v>
      </c>
      <c r="F343">
        <v>2599</v>
      </c>
      <c r="G343">
        <v>324</v>
      </c>
      <c r="H343">
        <v>182</v>
      </c>
      <c r="I343">
        <v>37525</v>
      </c>
      <c r="J343">
        <v>37216</v>
      </c>
      <c r="K343">
        <v>186</v>
      </c>
      <c r="L343" t="s">
        <v>20</v>
      </c>
      <c r="M343">
        <v>8.2744836775483013E-2</v>
      </c>
      <c r="N343" t="s">
        <v>19</v>
      </c>
    </row>
    <row r="344" spans="1:14">
      <c r="A344" t="s">
        <v>245</v>
      </c>
      <c r="B344" t="s">
        <v>27</v>
      </c>
      <c r="C344" s="1">
        <v>45672</v>
      </c>
      <c r="D344" t="s">
        <v>14</v>
      </c>
      <c r="E344" t="s">
        <v>42</v>
      </c>
      <c r="F344">
        <v>2599</v>
      </c>
      <c r="G344">
        <v>324</v>
      </c>
      <c r="H344">
        <v>182</v>
      </c>
      <c r="I344">
        <v>37525</v>
      </c>
      <c r="J344">
        <v>37216</v>
      </c>
      <c r="K344">
        <v>186</v>
      </c>
      <c r="L344" t="s">
        <v>20</v>
      </c>
      <c r="M344">
        <v>8.2744836775483013E-2</v>
      </c>
      <c r="N344" t="s">
        <v>365</v>
      </c>
    </row>
    <row r="345" spans="1:14">
      <c r="A345" t="s">
        <v>246</v>
      </c>
      <c r="B345" t="s">
        <v>22</v>
      </c>
      <c r="C345" s="1">
        <v>45669</v>
      </c>
      <c r="D345" t="s">
        <v>14</v>
      </c>
      <c r="E345" t="s">
        <v>361</v>
      </c>
      <c r="F345">
        <v>1765</v>
      </c>
      <c r="G345">
        <v>285</v>
      </c>
      <c r="H345">
        <v>100</v>
      </c>
      <c r="I345">
        <v>41313</v>
      </c>
      <c r="J345">
        <v>56575</v>
      </c>
      <c r="K345">
        <v>174</v>
      </c>
      <c r="L345" t="s">
        <v>20</v>
      </c>
      <c r="M345">
        <v>5.2041730205988429E-2</v>
      </c>
      <c r="N345" t="s">
        <v>37</v>
      </c>
    </row>
    <row r="346" spans="1:14">
      <c r="A346" t="s">
        <v>247</v>
      </c>
      <c r="B346" t="s">
        <v>13</v>
      </c>
      <c r="C346" s="1">
        <v>45808</v>
      </c>
      <c r="D346" t="s">
        <v>14</v>
      </c>
      <c r="E346" t="s">
        <v>362</v>
      </c>
      <c r="F346">
        <v>2169</v>
      </c>
      <c r="G346">
        <v>240</v>
      </c>
      <c r="H346">
        <v>57</v>
      </c>
      <c r="I346">
        <v>26109</v>
      </c>
      <c r="J346">
        <v>46667</v>
      </c>
      <c r="K346">
        <v>133</v>
      </c>
      <c r="L346" t="s">
        <v>16</v>
      </c>
      <c r="M346">
        <v>9.4450189589796618E-2</v>
      </c>
      <c r="N346" t="s">
        <v>37</v>
      </c>
    </row>
    <row r="347" spans="1:14">
      <c r="A347" t="s">
        <v>247</v>
      </c>
      <c r="B347" t="s">
        <v>13</v>
      </c>
      <c r="C347" s="1">
        <v>45808</v>
      </c>
      <c r="D347" t="s">
        <v>14</v>
      </c>
      <c r="E347" t="s">
        <v>362</v>
      </c>
      <c r="F347">
        <v>2169</v>
      </c>
      <c r="G347">
        <v>240</v>
      </c>
      <c r="H347">
        <v>57</v>
      </c>
      <c r="I347">
        <v>26109</v>
      </c>
      <c r="J347">
        <v>46667</v>
      </c>
      <c r="K347">
        <v>133</v>
      </c>
      <c r="L347" t="s">
        <v>16</v>
      </c>
      <c r="M347">
        <v>9.4450189589796618E-2</v>
      </c>
      <c r="N347" t="s">
        <v>34</v>
      </c>
    </row>
    <row r="348" spans="1:14">
      <c r="A348" t="s">
        <v>248</v>
      </c>
      <c r="B348" t="s">
        <v>22</v>
      </c>
      <c r="C348" s="1">
        <v>45579</v>
      </c>
      <c r="D348" t="s">
        <v>23</v>
      </c>
      <c r="E348" t="s">
        <v>18</v>
      </c>
      <c r="F348">
        <v>4303</v>
      </c>
      <c r="G348">
        <v>306</v>
      </c>
      <c r="H348">
        <v>302</v>
      </c>
      <c r="I348">
        <v>39575</v>
      </c>
      <c r="J348">
        <v>33762</v>
      </c>
      <c r="K348">
        <v>265</v>
      </c>
      <c r="L348" t="s">
        <v>16</v>
      </c>
      <c r="M348">
        <v>0.12409349336702463</v>
      </c>
      <c r="N348" t="s">
        <v>19</v>
      </c>
    </row>
    <row r="349" spans="1:14">
      <c r="A349" t="s">
        <v>248</v>
      </c>
      <c r="B349" t="s">
        <v>22</v>
      </c>
      <c r="C349" s="1">
        <v>45579</v>
      </c>
      <c r="D349" t="s">
        <v>23</v>
      </c>
      <c r="E349" t="s">
        <v>18</v>
      </c>
      <c r="F349">
        <v>4303</v>
      </c>
      <c r="G349">
        <v>306</v>
      </c>
      <c r="H349">
        <v>302</v>
      </c>
      <c r="I349">
        <v>39575</v>
      </c>
      <c r="J349">
        <v>33762</v>
      </c>
      <c r="K349">
        <v>265</v>
      </c>
      <c r="L349" t="s">
        <v>16</v>
      </c>
      <c r="M349">
        <v>0.12409349336702463</v>
      </c>
      <c r="N349" t="s">
        <v>364</v>
      </c>
    </row>
    <row r="350" spans="1:14">
      <c r="A350" t="s">
        <v>249</v>
      </c>
      <c r="B350" t="s">
        <v>22</v>
      </c>
      <c r="C350" s="1">
        <v>45332</v>
      </c>
      <c r="D350" t="s">
        <v>14</v>
      </c>
      <c r="E350" t="s">
        <v>363</v>
      </c>
      <c r="F350">
        <v>1519</v>
      </c>
      <c r="G350">
        <v>456</v>
      </c>
      <c r="H350">
        <v>379</v>
      </c>
      <c r="I350">
        <v>51611</v>
      </c>
      <c r="J350">
        <v>45880</v>
      </c>
      <c r="K350">
        <v>176</v>
      </c>
      <c r="L350" t="s">
        <v>20</v>
      </c>
      <c r="M350">
        <v>4.5610431884675749E-2</v>
      </c>
      <c r="N350" t="s">
        <v>37</v>
      </c>
    </row>
    <row r="351" spans="1:14">
      <c r="A351" t="s">
        <v>250</v>
      </c>
      <c r="B351" t="s">
        <v>27</v>
      </c>
      <c r="C351" s="1">
        <v>45636</v>
      </c>
      <c r="D351" t="s">
        <v>14</v>
      </c>
      <c r="E351" t="s">
        <v>362</v>
      </c>
      <c r="F351">
        <v>2569</v>
      </c>
      <c r="G351">
        <v>140</v>
      </c>
      <c r="H351">
        <v>375</v>
      </c>
      <c r="I351">
        <v>38372</v>
      </c>
      <c r="J351">
        <v>22102</v>
      </c>
      <c r="K351">
        <v>255</v>
      </c>
      <c r="L351" t="s">
        <v>20</v>
      </c>
      <c r="M351">
        <v>8.0371103929948923E-2</v>
      </c>
      <c r="N351" t="s">
        <v>19</v>
      </c>
    </row>
    <row r="352" spans="1:14">
      <c r="A352" t="s">
        <v>250</v>
      </c>
      <c r="B352" t="s">
        <v>27</v>
      </c>
      <c r="C352" s="1">
        <v>45636</v>
      </c>
      <c r="D352" t="s">
        <v>14</v>
      </c>
      <c r="E352" t="s">
        <v>362</v>
      </c>
      <c r="F352">
        <v>2569</v>
      </c>
      <c r="G352">
        <v>140</v>
      </c>
      <c r="H352">
        <v>375</v>
      </c>
      <c r="I352">
        <v>38372</v>
      </c>
      <c r="J352">
        <v>22102</v>
      </c>
      <c r="K352">
        <v>255</v>
      </c>
      <c r="L352" t="s">
        <v>20</v>
      </c>
      <c r="M352">
        <v>8.0371103929948923E-2</v>
      </c>
      <c r="N352" t="s">
        <v>365</v>
      </c>
    </row>
    <row r="353" spans="1:14">
      <c r="A353" t="s">
        <v>251</v>
      </c>
      <c r="B353" t="s">
        <v>22</v>
      </c>
      <c r="C353" s="1">
        <v>45786</v>
      </c>
      <c r="D353" t="s">
        <v>23</v>
      </c>
      <c r="E353" t="s">
        <v>361</v>
      </c>
      <c r="F353">
        <v>2778</v>
      </c>
      <c r="G353">
        <v>241</v>
      </c>
      <c r="H353">
        <v>317</v>
      </c>
      <c r="I353">
        <v>26247</v>
      </c>
      <c r="J353">
        <v>20677</v>
      </c>
      <c r="K353">
        <v>282</v>
      </c>
      <c r="L353" t="s">
        <v>16</v>
      </c>
      <c r="M353">
        <v>0.1271002400274317</v>
      </c>
      <c r="N353" t="s">
        <v>364</v>
      </c>
    </row>
    <row r="354" spans="1:14">
      <c r="A354" t="s">
        <v>251</v>
      </c>
      <c r="B354" t="s">
        <v>22</v>
      </c>
      <c r="C354" s="1">
        <v>45786</v>
      </c>
      <c r="D354" t="s">
        <v>23</v>
      </c>
      <c r="E354" t="s">
        <v>361</v>
      </c>
      <c r="F354">
        <v>2778</v>
      </c>
      <c r="G354">
        <v>241</v>
      </c>
      <c r="H354">
        <v>317</v>
      </c>
      <c r="I354">
        <v>26247</v>
      </c>
      <c r="J354">
        <v>20677</v>
      </c>
      <c r="K354">
        <v>282</v>
      </c>
      <c r="L354" t="s">
        <v>16</v>
      </c>
      <c r="M354">
        <v>0.1271002400274317</v>
      </c>
      <c r="N354" t="s">
        <v>34</v>
      </c>
    </row>
    <row r="355" spans="1:14">
      <c r="A355" t="s">
        <v>252</v>
      </c>
      <c r="B355" t="s">
        <v>22</v>
      </c>
      <c r="C355" s="1">
        <v>45829</v>
      </c>
      <c r="D355" t="s">
        <v>14</v>
      </c>
      <c r="E355" t="s">
        <v>18</v>
      </c>
      <c r="F355">
        <v>3611</v>
      </c>
      <c r="G355">
        <v>127</v>
      </c>
      <c r="H355">
        <v>139</v>
      </c>
      <c r="I355">
        <v>44768</v>
      </c>
      <c r="J355">
        <v>29435</v>
      </c>
      <c r="K355">
        <v>178</v>
      </c>
      <c r="L355" t="s">
        <v>16</v>
      </c>
      <c r="M355">
        <v>8.6602037169406718E-2</v>
      </c>
      <c r="N355" t="s">
        <v>34</v>
      </c>
    </row>
    <row r="356" spans="1:14">
      <c r="A356" t="s">
        <v>253</v>
      </c>
      <c r="B356" t="s">
        <v>22</v>
      </c>
      <c r="C356" s="1">
        <v>45462</v>
      </c>
      <c r="D356" t="s">
        <v>14</v>
      </c>
      <c r="E356" t="s">
        <v>362</v>
      </c>
      <c r="F356">
        <v>1224</v>
      </c>
      <c r="G356">
        <v>168</v>
      </c>
      <c r="H356">
        <v>199</v>
      </c>
      <c r="I356">
        <v>54232</v>
      </c>
      <c r="J356">
        <v>52844</v>
      </c>
      <c r="K356">
        <v>271</v>
      </c>
      <c r="L356" t="s">
        <v>20</v>
      </c>
      <c r="M356">
        <v>2.9336922849977874E-2</v>
      </c>
      <c r="N356" t="s">
        <v>37</v>
      </c>
    </row>
    <row r="357" spans="1:14">
      <c r="A357" t="s">
        <v>254</v>
      </c>
      <c r="B357" t="s">
        <v>22</v>
      </c>
      <c r="C357" s="1">
        <v>45636</v>
      </c>
      <c r="D357" t="s">
        <v>14</v>
      </c>
      <c r="E357" t="s">
        <v>363</v>
      </c>
      <c r="F357">
        <v>4673</v>
      </c>
      <c r="G357">
        <v>270</v>
      </c>
      <c r="H357">
        <v>93</v>
      </c>
      <c r="I357">
        <v>45260</v>
      </c>
      <c r="J357">
        <v>57513</v>
      </c>
      <c r="K357">
        <v>103</v>
      </c>
      <c r="L357" t="s">
        <v>16</v>
      </c>
      <c r="M357">
        <v>0.11126822801590809</v>
      </c>
      <c r="N357" t="s">
        <v>34</v>
      </c>
    </row>
    <row r="358" spans="1:14">
      <c r="A358" t="s">
        <v>255</v>
      </c>
      <c r="B358" t="s">
        <v>27</v>
      </c>
      <c r="C358" s="1">
        <v>45323</v>
      </c>
      <c r="D358" t="s">
        <v>14</v>
      </c>
      <c r="E358" t="s">
        <v>360</v>
      </c>
      <c r="F358">
        <v>1432</v>
      </c>
      <c r="G358">
        <v>437</v>
      </c>
      <c r="H358">
        <v>267</v>
      </c>
      <c r="I358">
        <v>40634</v>
      </c>
      <c r="J358">
        <v>54511</v>
      </c>
      <c r="K358">
        <v>197</v>
      </c>
      <c r="L358" t="s">
        <v>20</v>
      </c>
      <c r="M358">
        <v>5.2566815966924252E-2</v>
      </c>
      <c r="N358" t="s">
        <v>19</v>
      </c>
    </row>
    <row r="359" spans="1:14">
      <c r="A359" t="s">
        <v>255</v>
      </c>
      <c r="B359" t="s">
        <v>27</v>
      </c>
      <c r="C359" s="1">
        <v>45323</v>
      </c>
      <c r="D359" t="s">
        <v>14</v>
      </c>
      <c r="E359" t="s">
        <v>360</v>
      </c>
      <c r="F359">
        <v>1432</v>
      </c>
      <c r="G359">
        <v>437</v>
      </c>
      <c r="H359">
        <v>267</v>
      </c>
      <c r="I359">
        <v>40634</v>
      </c>
      <c r="J359">
        <v>54511</v>
      </c>
      <c r="K359">
        <v>197</v>
      </c>
      <c r="L359" t="s">
        <v>20</v>
      </c>
      <c r="M359">
        <v>5.2566815966924252E-2</v>
      </c>
      <c r="N359" t="s">
        <v>365</v>
      </c>
    </row>
    <row r="360" spans="1:14">
      <c r="A360" t="s">
        <v>256</v>
      </c>
      <c r="B360" t="s">
        <v>22</v>
      </c>
      <c r="C360" s="1">
        <v>45308</v>
      </c>
      <c r="D360" t="s">
        <v>23</v>
      </c>
      <c r="E360" t="s">
        <v>24</v>
      </c>
      <c r="F360">
        <v>2174</v>
      </c>
      <c r="G360">
        <v>499</v>
      </c>
      <c r="H360">
        <v>212</v>
      </c>
      <c r="I360">
        <v>54938</v>
      </c>
      <c r="J360">
        <v>27190</v>
      </c>
      <c r="K360">
        <v>265</v>
      </c>
      <c r="L360" t="s">
        <v>16</v>
      </c>
      <c r="M360">
        <v>5.2513742764570971E-2</v>
      </c>
      <c r="N360" t="s">
        <v>364</v>
      </c>
    </row>
    <row r="361" spans="1:14">
      <c r="A361" t="s">
        <v>256</v>
      </c>
      <c r="B361" t="s">
        <v>22</v>
      </c>
      <c r="C361" s="1">
        <v>45308</v>
      </c>
      <c r="D361" t="s">
        <v>23</v>
      </c>
      <c r="E361" t="s">
        <v>24</v>
      </c>
      <c r="F361">
        <v>2174</v>
      </c>
      <c r="G361">
        <v>499</v>
      </c>
      <c r="H361">
        <v>212</v>
      </c>
      <c r="I361">
        <v>54938</v>
      </c>
      <c r="J361">
        <v>27190</v>
      </c>
      <c r="K361">
        <v>265</v>
      </c>
      <c r="L361" t="s">
        <v>16</v>
      </c>
      <c r="M361">
        <v>5.2513742764570971E-2</v>
      </c>
      <c r="N361" t="s">
        <v>34</v>
      </c>
    </row>
    <row r="362" spans="1:14">
      <c r="A362" t="s">
        <v>257</v>
      </c>
      <c r="B362" t="s">
        <v>27</v>
      </c>
      <c r="C362" s="1">
        <v>45738</v>
      </c>
      <c r="D362" t="s">
        <v>14</v>
      </c>
      <c r="E362" t="s">
        <v>361</v>
      </c>
      <c r="F362">
        <v>4308</v>
      </c>
      <c r="G362">
        <v>171</v>
      </c>
      <c r="H362">
        <v>106</v>
      </c>
      <c r="I362">
        <v>36955</v>
      </c>
      <c r="J362">
        <v>23949</v>
      </c>
      <c r="K362">
        <v>294</v>
      </c>
      <c r="L362" t="s">
        <v>20</v>
      </c>
      <c r="M362">
        <v>0.12406981463942633</v>
      </c>
      <c r="N362" t="s">
        <v>19</v>
      </c>
    </row>
    <row r="363" spans="1:14">
      <c r="A363" t="s">
        <v>257</v>
      </c>
      <c r="B363" t="s">
        <v>27</v>
      </c>
      <c r="C363" s="1">
        <v>45738</v>
      </c>
      <c r="D363" t="s">
        <v>14</v>
      </c>
      <c r="E363" t="s">
        <v>361</v>
      </c>
      <c r="F363">
        <v>4308</v>
      </c>
      <c r="G363">
        <v>171</v>
      </c>
      <c r="H363">
        <v>106</v>
      </c>
      <c r="I363">
        <v>36955</v>
      </c>
      <c r="J363">
        <v>23949</v>
      </c>
      <c r="K363">
        <v>294</v>
      </c>
      <c r="L363" t="s">
        <v>20</v>
      </c>
      <c r="M363">
        <v>0.12406981463942633</v>
      </c>
      <c r="N363" t="s">
        <v>365</v>
      </c>
    </row>
    <row r="364" spans="1:14">
      <c r="A364" t="s">
        <v>258</v>
      </c>
      <c r="B364" t="s">
        <v>27</v>
      </c>
      <c r="C364" s="1">
        <v>45442</v>
      </c>
      <c r="D364" t="s">
        <v>48</v>
      </c>
      <c r="E364" t="s">
        <v>362</v>
      </c>
      <c r="F364">
        <v>1060</v>
      </c>
      <c r="G364">
        <v>442</v>
      </c>
      <c r="H364">
        <v>319</v>
      </c>
      <c r="I364">
        <v>57194</v>
      </c>
      <c r="J364">
        <v>24258</v>
      </c>
      <c r="K364">
        <v>101</v>
      </c>
      <c r="L364" t="s">
        <v>49</v>
      </c>
      <c r="M364">
        <v>3.1839004091338254E-2</v>
      </c>
      <c r="N364" t="s">
        <v>19</v>
      </c>
    </row>
    <row r="365" spans="1:14">
      <c r="A365" t="s">
        <v>258</v>
      </c>
      <c r="B365" t="s">
        <v>27</v>
      </c>
      <c r="C365" s="1">
        <v>45442</v>
      </c>
      <c r="D365" t="s">
        <v>48</v>
      </c>
      <c r="E365" t="s">
        <v>362</v>
      </c>
      <c r="F365">
        <v>1060</v>
      </c>
      <c r="G365">
        <v>442</v>
      </c>
      <c r="H365">
        <v>319</v>
      </c>
      <c r="I365">
        <v>57194</v>
      </c>
      <c r="J365">
        <v>24258</v>
      </c>
      <c r="K365">
        <v>101</v>
      </c>
      <c r="L365" t="s">
        <v>49</v>
      </c>
      <c r="M365">
        <v>3.1839004091338254E-2</v>
      </c>
      <c r="N365" t="s">
        <v>37</v>
      </c>
    </row>
    <row r="366" spans="1:14">
      <c r="A366" t="s">
        <v>259</v>
      </c>
      <c r="B366" t="s">
        <v>27</v>
      </c>
      <c r="C366" s="1">
        <v>45346</v>
      </c>
      <c r="D366" t="s">
        <v>14</v>
      </c>
      <c r="E366" t="s">
        <v>361</v>
      </c>
      <c r="F366">
        <v>4653</v>
      </c>
      <c r="G366">
        <v>226</v>
      </c>
      <c r="H366">
        <v>349</v>
      </c>
      <c r="I366">
        <v>56876</v>
      </c>
      <c r="J366">
        <v>28452</v>
      </c>
      <c r="K366">
        <v>257</v>
      </c>
      <c r="L366" t="s">
        <v>20</v>
      </c>
      <c r="M366">
        <v>9.191926295801392E-2</v>
      </c>
      <c r="N366" t="s">
        <v>19</v>
      </c>
    </row>
    <row r="367" spans="1:14">
      <c r="A367" t="s">
        <v>259</v>
      </c>
      <c r="B367" t="s">
        <v>27</v>
      </c>
      <c r="C367" s="1">
        <v>45346</v>
      </c>
      <c r="D367" t="s">
        <v>14</v>
      </c>
      <c r="E367" t="s">
        <v>361</v>
      </c>
      <c r="F367">
        <v>4653</v>
      </c>
      <c r="G367">
        <v>226</v>
      </c>
      <c r="H367">
        <v>349</v>
      </c>
      <c r="I367">
        <v>56876</v>
      </c>
      <c r="J367">
        <v>28452</v>
      </c>
      <c r="K367">
        <v>257</v>
      </c>
      <c r="L367" t="s">
        <v>20</v>
      </c>
      <c r="M367">
        <v>9.191926295801392E-2</v>
      </c>
      <c r="N367" t="s">
        <v>365</v>
      </c>
    </row>
    <row r="368" spans="1:14">
      <c r="A368" t="s">
        <v>260</v>
      </c>
      <c r="B368" t="s">
        <v>27</v>
      </c>
      <c r="C368" s="1">
        <v>45791</v>
      </c>
      <c r="D368" t="s">
        <v>14</v>
      </c>
      <c r="E368" t="s">
        <v>15</v>
      </c>
      <c r="F368">
        <v>1701</v>
      </c>
      <c r="G368">
        <v>272</v>
      </c>
      <c r="H368">
        <v>385</v>
      </c>
      <c r="I368">
        <v>47496</v>
      </c>
      <c r="J368">
        <v>40832</v>
      </c>
      <c r="K368">
        <v>246</v>
      </c>
      <c r="L368" t="s">
        <v>20</v>
      </c>
      <c r="M368">
        <v>4.9646286003031836E-2</v>
      </c>
      <c r="N368" t="s">
        <v>19</v>
      </c>
    </row>
    <row r="369" spans="1:14">
      <c r="A369" t="s">
        <v>260</v>
      </c>
      <c r="B369" t="s">
        <v>27</v>
      </c>
      <c r="C369" s="1">
        <v>45791</v>
      </c>
      <c r="D369" t="s">
        <v>14</v>
      </c>
      <c r="E369" t="s">
        <v>15</v>
      </c>
      <c r="F369">
        <v>1701</v>
      </c>
      <c r="G369">
        <v>272</v>
      </c>
      <c r="H369">
        <v>385</v>
      </c>
      <c r="I369">
        <v>47496</v>
      </c>
      <c r="J369">
        <v>40832</v>
      </c>
      <c r="K369">
        <v>246</v>
      </c>
      <c r="L369" t="s">
        <v>20</v>
      </c>
      <c r="M369">
        <v>4.9646286003031836E-2</v>
      </c>
      <c r="N369" t="s">
        <v>365</v>
      </c>
    </row>
    <row r="370" spans="1:14">
      <c r="A370" t="s">
        <v>261</v>
      </c>
      <c r="B370" t="s">
        <v>13</v>
      </c>
      <c r="C370" s="1">
        <v>45379</v>
      </c>
      <c r="D370" t="s">
        <v>14</v>
      </c>
      <c r="E370" t="s">
        <v>362</v>
      </c>
      <c r="F370">
        <v>1673</v>
      </c>
      <c r="G370">
        <v>280</v>
      </c>
      <c r="H370">
        <v>67</v>
      </c>
      <c r="I370">
        <v>29847</v>
      </c>
      <c r="J370">
        <v>48016</v>
      </c>
      <c r="K370">
        <v>213</v>
      </c>
      <c r="L370" t="s">
        <v>16</v>
      </c>
      <c r="M370">
        <v>6.76784936509532E-2</v>
      </c>
      <c r="N370" t="s">
        <v>37</v>
      </c>
    </row>
    <row r="371" spans="1:14">
      <c r="A371" t="s">
        <v>261</v>
      </c>
      <c r="B371" t="s">
        <v>13</v>
      </c>
      <c r="C371" s="1">
        <v>45379</v>
      </c>
      <c r="D371" t="s">
        <v>14</v>
      </c>
      <c r="E371" t="s">
        <v>362</v>
      </c>
      <c r="F371">
        <v>1673</v>
      </c>
      <c r="G371">
        <v>280</v>
      </c>
      <c r="H371">
        <v>67</v>
      </c>
      <c r="I371">
        <v>29847</v>
      </c>
      <c r="J371">
        <v>48016</v>
      </c>
      <c r="K371">
        <v>213</v>
      </c>
      <c r="L371" t="s">
        <v>16</v>
      </c>
      <c r="M371">
        <v>6.76784936509532E-2</v>
      </c>
      <c r="N371" t="s">
        <v>34</v>
      </c>
    </row>
    <row r="372" spans="1:14">
      <c r="A372" t="s">
        <v>262</v>
      </c>
      <c r="B372" t="s">
        <v>27</v>
      </c>
      <c r="C372" s="1">
        <v>45723</v>
      </c>
      <c r="D372" t="s">
        <v>14</v>
      </c>
      <c r="E372" t="s">
        <v>33</v>
      </c>
      <c r="F372">
        <v>4310</v>
      </c>
      <c r="G372">
        <v>284</v>
      </c>
      <c r="H372">
        <v>306</v>
      </c>
      <c r="I372">
        <v>44606</v>
      </c>
      <c r="J372">
        <v>42604</v>
      </c>
      <c r="K372">
        <v>290</v>
      </c>
      <c r="L372" t="s">
        <v>20</v>
      </c>
      <c r="M372">
        <v>0.10985069273191947</v>
      </c>
      <c r="N372" t="s">
        <v>19</v>
      </c>
    </row>
    <row r="373" spans="1:14">
      <c r="A373" t="s">
        <v>262</v>
      </c>
      <c r="B373" t="s">
        <v>27</v>
      </c>
      <c r="C373" s="1">
        <v>45723</v>
      </c>
      <c r="D373" t="s">
        <v>14</v>
      </c>
      <c r="E373" t="s">
        <v>33</v>
      </c>
      <c r="F373">
        <v>4310</v>
      </c>
      <c r="G373">
        <v>284</v>
      </c>
      <c r="H373">
        <v>306</v>
      </c>
      <c r="I373">
        <v>44606</v>
      </c>
      <c r="J373">
        <v>42604</v>
      </c>
      <c r="K373">
        <v>290</v>
      </c>
      <c r="L373" t="s">
        <v>20</v>
      </c>
      <c r="M373">
        <v>0.10985069273191947</v>
      </c>
      <c r="N373" t="s">
        <v>365</v>
      </c>
    </row>
    <row r="374" spans="1:14">
      <c r="A374" t="s">
        <v>263</v>
      </c>
      <c r="B374" t="s">
        <v>22</v>
      </c>
      <c r="C374" s="1">
        <v>45585</v>
      </c>
      <c r="D374" t="s">
        <v>14</v>
      </c>
      <c r="E374" t="s">
        <v>363</v>
      </c>
      <c r="F374">
        <v>2752</v>
      </c>
      <c r="G374">
        <v>309</v>
      </c>
      <c r="H374">
        <v>91</v>
      </c>
      <c r="I374">
        <v>39038</v>
      </c>
      <c r="J374">
        <v>28095</v>
      </c>
      <c r="K374">
        <v>277</v>
      </c>
      <c r="L374" t="s">
        <v>16</v>
      </c>
      <c r="M374">
        <v>8.0741841282852611E-2</v>
      </c>
      <c r="N374" t="s">
        <v>34</v>
      </c>
    </row>
    <row r="375" spans="1:14">
      <c r="A375" t="s">
        <v>264</v>
      </c>
      <c r="B375" t="s">
        <v>22</v>
      </c>
      <c r="C375" s="1">
        <v>45324</v>
      </c>
      <c r="D375" t="s">
        <v>14</v>
      </c>
      <c r="E375" t="s">
        <v>363</v>
      </c>
      <c r="F375">
        <v>3818</v>
      </c>
      <c r="G375">
        <v>115</v>
      </c>
      <c r="H375">
        <v>286</v>
      </c>
      <c r="I375">
        <v>25127</v>
      </c>
      <c r="J375">
        <v>22277</v>
      </c>
      <c r="K375">
        <v>263</v>
      </c>
      <c r="L375" t="s">
        <v>16</v>
      </c>
      <c r="M375">
        <v>0.16790703227603773</v>
      </c>
      <c r="N375" t="s">
        <v>34</v>
      </c>
    </row>
    <row r="376" spans="1:14">
      <c r="A376" t="s">
        <v>265</v>
      </c>
      <c r="B376" t="s">
        <v>27</v>
      </c>
      <c r="C376" s="1">
        <v>45542</v>
      </c>
      <c r="D376" t="s">
        <v>14</v>
      </c>
      <c r="E376" t="s">
        <v>42</v>
      </c>
      <c r="F376">
        <v>2101</v>
      </c>
      <c r="G376">
        <v>411</v>
      </c>
      <c r="H376">
        <v>190</v>
      </c>
      <c r="I376">
        <v>41791</v>
      </c>
      <c r="J376">
        <v>57090</v>
      </c>
      <c r="K376">
        <v>172</v>
      </c>
      <c r="L376" t="s">
        <v>20</v>
      </c>
      <c r="M376">
        <v>6.4655069273288512E-2</v>
      </c>
      <c r="N376" t="s">
        <v>19</v>
      </c>
    </row>
    <row r="377" spans="1:14">
      <c r="A377" t="s">
        <v>265</v>
      </c>
      <c r="B377" t="s">
        <v>27</v>
      </c>
      <c r="C377" s="1">
        <v>45542</v>
      </c>
      <c r="D377" t="s">
        <v>14</v>
      </c>
      <c r="E377" t="s">
        <v>42</v>
      </c>
      <c r="F377">
        <v>2101</v>
      </c>
      <c r="G377">
        <v>411</v>
      </c>
      <c r="H377">
        <v>190</v>
      </c>
      <c r="I377">
        <v>41791</v>
      </c>
      <c r="J377">
        <v>57090</v>
      </c>
      <c r="K377">
        <v>172</v>
      </c>
      <c r="L377" t="s">
        <v>20</v>
      </c>
      <c r="M377">
        <v>6.4655069273288512E-2</v>
      </c>
      <c r="N377" t="s">
        <v>365</v>
      </c>
    </row>
    <row r="378" spans="1:14">
      <c r="A378" t="s">
        <v>266</v>
      </c>
      <c r="B378" t="s">
        <v>13</v>
      </c>
      <c r="C378" s="1">
        <v>45646</v>
      </c>
      <c r="D378" t="s">
        <v>14</v>
      </c>
      <c r="E378" t="s">
        <v>15</v>
      </c>
      <c r="F378">
        <v>2519</v>
      </c>
      <c r="G378">
        <v>202</v>
      </c>
      <c r="H378">
        <v>239</v>
      </c>
      <c r="I378">
        <v>36245</v>
      </c>
      <c r="J378">
        <v>48606</v>
      </c>
      <c r="K378">
        <v>145</v>
      </c>
      <c r="L378" t="s">
        <v>20</v>
      </c>
      <c r="M378">
        <v>8.1666436749896543E-2</v>
      </c>
      <c r="N378" t="s">
        <v>19</v>
      </c>
    </row>
    <row r="379" spans="1:14">
      <c r="A379" t="s">
        <v>267</v>
      </c>
      <c r="B379" t="s">
        <v>27</v>
      </c>
      <c r="C379" s="1">
        <v>45305</v>
      </c>
      <c r="D379" t="s">
        <v>14</v>
      </c>
      <c r="E379" t="s">
        <v>362</v>
      </c>
      <c r="F379">
        <v>4502</v>
      </c>
      <c r="G379">
        <v>238</v>
      </c>
      <c r="H379">
        <v>386</v>
      </c>
      <c r="I379">
        <v>39198</v>
      </c>
      <c r="J379">
        <v>25050</v>
      </c>
      <c r="K379">
        <v>297</v>
      </c>
      <c r="L379" t="s">
        <v>20</v>
      </c>
      <c r="M379">
        <v>0.13077197816215114</v>
      </c>
      <c r="N379" t="s">
        <v>19</v>
      </c>
    </row>
    <row r="380" spans="1:14">
      <c r="A380" t="s">
        <v>267</v>
      </c>
      <c r="B380" t="s">
        <v>27</v>
      </c>
      <c r="C380" s="1">
        <v>45305</v>
      </c>
      <c r="D380" t="s">
        <v>14</v>
      </c>
      <c r="E380" t="s">
        <v>362</v>
      </c>
      <c r="F380">
        <v>4502</v>
      </c>
      <c r="G380">
        <v>238</v>
      </c>
      <c r="H380">
        <v>386</v>
      </c>
      <c r="I380">
        <v>39198</v>
      </c>
      <c r="J380">
        <v>25050</v>
      </c>
      <c r="K380">
        <v>297</v>
      </c>
      <c r="L380" t="s">
        <v>20</v>
      </c>
      <c r="M380">
        <v>0.13077197816215114</v>
      </c>
      <c r="N380" t="s">
        <v>365</v>
      </c>
    </row>
    <row r="381" spans="1:14">
      <c r="A381" t="s">
        <v>268</v>
      </c>
      <c r="B381" t="s">
        <v>13</v>
      </c>
      <c r="C381" s="1">
        <v>45823</v>
      </c>
      <c r="D381" t="s">
        <v>14</v>
      </c>
      <c r="E381" t="s">
        <v>18</v>
      </c>
      <c r="F381">
        <v>2478</v>
      </c>
      <c r="G381">
        <v>427</v>
      </c>
      <c r="H381">
        <v>242</v>
      </c>
      <c r="I381">
        <v>59272</v>
      </c>
      <c r="J381">
        <v>37833</v>
      </c>
      <c r="K381">
        <v>214</v>
      </c>
      <c r="L381" t="s">
        <v>16</v>
      </c>
      <c r="M381">
        <v>5.3094209744904843E-2</v>
      </c>
      <c r="N381" t="s">
        <v>37</v>
      </c>
    </row>
    <row r="382" spans="1:14">
      <c r="A382" t="s">
        <v>268</v>
      </c>
      <c r="B382" t="s">
        <v>13</v>
      </c>
      <c r="C382" s="1">
        <v>45823</v>
      </c>
      <c r="D382" t="s">
        <v>14</v>
      </c>
      <c r="E382" t="s">
        <v>18</v>
      </c>
      <c r="F382">
        <v>2478</v>
      </c>
      <c r="G382">
        <v>427</v>
      </c>
      <c r="H382">
        <v>242</v>
      </c>
      <c r="I382">
        <v>59272</v>
      </c>
      <c r="J382">
        <v>37833</v>
      </c>
      <c r="K382">
        <v>214</v>
      </c>
      <c r="L382" t="s">
        <v>16</v>
      </c>
      <c r="M382">
        <v>5.3094209744904843E-2</v>
      </c>
      <c r="N382" t="s">
        <v>34</v>
      </c>
    </row>
    <row r="383" spans="1:14">
      <c r="A383" t="s">
        <v>269</v>
      </c>
      <c r="B383" t="s">
        <v>22</v>
      </c>
      <c r="C383" s="1">
        <v>45639</v>
      </c>
      <c r="D383" t="s">
        <v>23</v>
      </c>
      <c r="E383" t="s">
        <v>24</v>
      </c>
      <c r="F383">
        <v>4984</v>
      </c>
      <c r="G383">
        <v>300</v>
      </c>
      <c r="H383">
        <v>338</v>
      </c>
      <c r="I383">
        <v>32900</v>
      </c>
      <c r="J383">
        <v>31691</v>
      </c>
      <c r="K383">
        <v>160</v>
      </c>
      <c r="L383" t="s">
        <v>16</v>
      </c>
      <c r="M383">
        <v>0.17088145896656534</v>
      </c>
      <c r="N383" t="s">
        <v>364</v>
      </c>
    </row>
    <row r="384" spans="1:14">
      <c r="A384" t="s">
        <v>269</v>
      </c>
      <c r="B384" t="s">
        <v>22</v>
      </c>
      <c r="C384" s="1">
        <v>45639</v>
      </c>
      <c r="D384" t="s">
        <v>23</v>
      </c>
      <c r="E384" t="s">
        <v>24</v>
      </c>
      <c r="F384">
        <v>4984</v>
      </c>
      <c r="G384">
        <v>300</v>
      </c>
      <c r="H384">
        <v>338</v>
      </c>
      <c r="I384">
        <v>32900</v>
      </c>
      <c r="J384">
        <v>31691</v>
      </c>
      <c r="K384">
        <v>160</v>
      </c>
      <c r="L384" t="s">
        <v>16</v>
      </c>
      <c r="M384">
        <v>0.17088145896656534</v>
      </c>
      <c r="N384" t="s">
        <v>34</v>
      </c>
    </row>
    <row r="385" spans="1:14">
      <c r="A385" t="s">
        <v>270</v>
      </c>
      <c r="B385" t="s">
        <v>27</v>
      </c>
      <c r="C385" s="1">
        <v>45533</v>
      </c>
      <c r="D385" t="s">
        <v>14</v>
      </c>
      <c r="E385" t="s">
        <v>360</v>
      </c>
      <c r="F385">
        <v>4774</v>
      </c>
      <c r="G385">
        <v>389</v>
      </c>
      <c r="H385">
        <v>358</v>
      </c>
      <c r="I385">
        <v>52346</v>
      </c>
      <c r="J385">
        <v>30518</v>
      </c>
      <c r="K385">
        <v>277</v>
      </c>
      <c r="L385" t="s">
        <v>20</v>
      </c>
      <c r="M385">
        <v>0.10547128720437092</v>
      </c>
      <c r="N385" t="s">
        <v>19</v>
      </c>
    </row>
    <row r="386" spans="1:14">
      <c r="A386" t="s">
        <v>270</v>
      </c>
      <c r="B386" t="s">
        <v>27</v>
      </c>
      <c r="C386" s="1">
        <v>45533</v>
      </c>
      <c r="D386" t="s">
        <v>14</v>
      </c>
      <c r="E386" t="s">
        <v>360</v>
      </c>
      <c r="F386">
        <v>4774</v>
      </c>
      <c r="G386">
        <v>389</v>
      </c>
      <c r="H386">
        <v>358</v>
      </c>
      <c r="I386">
        <v>52346</v>
      </c>
      <c r="J386">
        <v>30518</v>
      </c>
      <c r="K386">
        <v>277</v>
      </c>
      <c r="L386" t="s">
        <v>20</v>
      </c>
      <c r="M386">
        <v>0.10547128720437092</v>
      </c>
      <c r="N386" t="s">
        <v>365</v>
      </c>
    </row>
    <row r="387" spans="1:14">
      <c r="A387" t="s">
        <v>271</v>
      </c>
      <c r="B387" t="s">
        <v>22</v>
      </c>
      <c r="C387" s="1">
        <v>45550</v>
      </c>
      <c r="D387" t="s">
        <v>14</v>
      </c>
      <c r="E387" t="s">
        <v>30</v>
      </c>
      <c r="F387">
        <v>2145</v>
      </c>
      <c r="G387">
        <v>340</v>
      </c>
      <c r="H387">
        <v>85</v>
      </c>
      <c r="I387">
        <v>53323</v>
      </c>
      <c r="J387">
        <v>49938</v>
      </c>
      <c r="K387">
        <v>104</v>
      </c>
      <c r="L387" t="s">
        <v>16</v>
      </c>
      <c r="M387">
        <v>4.819683813738912E-2</v>
      </c>
      <c r="N387" t="s">
        <v>34</v>
      </c>
    </row>
    <row r="388" spans="1:14">
      <c r="A388" t="s">
        <v>272</v>
      </c>
      <c r="B388" t="s">
        <v>22</v>
      </c>
      <c r="C388" s="1">
        <v>45759</v>
      </c>
      <c r="D388" t="s">
        <v>23</v>
      </c>
      <c r="E388" t="s">
        <v>363</v>
      </c>
      <c r="F388">
        <v>4315</v>
      </c>
      <c r="G388">
        <v>208</v>
      </c>
      <c r="H388">
        <v>273</v>
      </c>
      <c r="I388">
        <v>35780</v>
      </c>
      <c r="J388">
        <v>44349</v>
      </c>
      <c r="K388">
        <v>133</v>
      </c>
      <c r="L388" t="s">
        <v>16</v>
      </c>
      <c r="M388">
        <v>0.13404136389044158</v>
      </c>
      <c r="N388" t="s">
        <v>19</v>
      </c>
    </row>
    <row r="389" spans="1:14">
      <c r="A389" t="s">
        <v>272</v>
      </c>
      <c r="B389" t="s">
        <v>22</v>
      </c>
      <c r="C389" s="1">
        <v>45759</v>
      </c>
      <c r="D389" t="s">
        <v>23</v>
      </c>
      <c r="E389" t="s">
        <v>363</v>
      </c>
      <c r="F389">
        <v>4315</v>
      </c>
      <c r="G389">
        <v>208</v>
      </c>
      <c r="H389">
        <v>273</v>
      </c>
      <c r="I389">
        <v>35780</v>
      </c>
      <c r="J389">
        <v>44349</v>
      </c>
      <c r="K389">
        <v>133</v>
      </c>
      <c r="L389" t="s">
        <v>16</v>
      </c>
      <c r="M389">
        <v>0.13404136389044158</v>
      </c>
      <c r="N389" t="s">
        <v>364</v>
      </c>
    </row>
    <row r="390" spans="1:14">
      <c r="A390" t="s">
        <v>273</v>
      </c>
      <c r="B390" t="s">
        <v>22</v>
      </c>
      <c r="C390" s="1">
        <v>45636</v>
      </c>
      <c r="D390" t="s">
        <v>23</v>
      </c>
      <c r="E390" t="s">
        <v>360</v>
      </c>
      <c r="F390">
        <v>2267</v>
      </c>
      <c r="G390">
        <v>230</v>
      </c>
      <c r="H390">
        <v>243</v>
      </c>
      <c r="I390">
        <v>27904</v>
      </c>
      <c r="J390">
        <v>69771</v>
      </c>
      <c r="K390">
        <v>255</v>
      </c>
      <c r="L390" t="s">
        <v>16</v>
      </c>
      <c r="M390">
        <v>9.8193807339449546E-2</v>
      </c>
      <c r="N390" t="s">
        <v>19</v>
      </c>
    </row>
    <row r="391" spans="1:14">
      <c r="A391" t="s">
        <v>273</v>
      </c>
      <c r="B391" t="s">
        <v>22</v>
      </c>
      <c r="C391" s="1">
        <v>45636</v>
      </c>
      <c r="D391" t="s">
        <v>23</v>
      </c>
      <c r="E391" t="s">
        <v>360</v>
      </c>
      <c r="F391">
        <v>2267</v>
      </c>
      <c r="G391">
        <v>230</v>
      </c>
      <c r="H391">
        <v>243</v>
      </c>
      <c r="I391">
        <v>27904</v>
      </c>
      <c r="J391">
        <v>69771</v>
      </c>
      <c r="K391">
        <v>255</v>
      </c>
      <c r="L391" t="s">
        <v>16</v>
      </c>
      <c r="M391">
        <v>9.8193807339449546E-2</v>
      </c>
      <c r="N391" t="s">
        <v>364</v>
      </c>
    </row>
    <row r="392" spans="1:14">
      <c r="A392" t="s">
        <v>274</v>
      </c>
      <c r="B392" t="s">
        <v>27</v>
      </c>
      <c r="C392" s="1">
        <v>45816</v>
      </c>
      <c r="D392" t="s">
        <v>14</v>
      </c>
      <c r="E392" t="s">
        <v>361</v>
      </c>
      <c r="F392">
        <v>4375</v>
      </c>
      <c r="G392">
        <v>303</v>
      </c>
      <c r="H392">
        <v>294</v>
      </c>
      <c r="I392">
        <v>57468</v>
      </c>
      <c r="J392">
        <v>53397</v>
      </c>
      <c r="K392">
        <v>159</v>
      </c>
      <c r="L392" t="s">
        <v>20</v>
      </c>
      <c r="M392">
        <v>8.6517714206166912E-2</v>
      </c>
      <c r="N392" t="s">
        <v>19</v>
      </c>
    </row>
    <row r="393" spans="1:14">
      <c r="A393" t="s">
        <v>274</v>
      </c>
      <c r="B393" t="s">
        <v>27</v>
      </c>
      <c r="C393" s="1">
        <v>45816</v>
      </c>
      <c r="D393" t="s">
        <v>14</v>
      </c>
      <c r="E393" t="s">
        <v>361</v>
      </c>
      <c r="F393">
        <v>4375</v>
      </c>
      <c r="G393">
        <v>303</v>
      </c>
      <c r="H393">
        <v>294</v>
      </c>
      <c r="I393">
        <v>57468</v>
      </c>
      <c r="J393">
        <v>53397</v>
      </c>
      <c r="K393">
        <v>159</v>
      </c>
      <c r="L393" t="s">
        <v>20</v>
      </c>
      <c r="M393">
        <v>8.6517714206166912E-2</v>
      </c>
      <c r="N393" t="s">
        <v>365</v>
      </c>
    </row>
    <row r="394" spans="1:14">
      <c r="A394" t="s">
        <v>275</v>
      </c>
      <c r="B394" t="s">
        <v>22</v>
      </c>
      <c r="C394" s="1">
        <v>45666</v>
      </c>
      <c r="D394" t="s">
        <v>23</v>
      </c>
      <c r="E394" t="s">
        <v>42</v>
      </c>
      <c r="F394">
        <v>3817</v>
      </c>
      <c r="G394">
        <v>284</v>
      </c>
      <c r="H394">
        <v>204</v>
      </c>
      <c r="I394">
        <v>46434</v>
      </c>
      <c r="J394">
        <v>53396</v>
      </c>
      <c r="K394">
        <v>104</v>
      </c>
      <c r="L394" t="s">
        <v>16</v>
      </c>
      <c r="M394">
        <v>9.2712236723090841E-2</v>
      </c>
      <c r="N394" t="s">
        <v>364</v>
      </c>
    </row>
    <row r="395" spans="1:14">
      <c r="A395" t="s">
        <v>275</v>
      </c>
      <c r="B395" t="s">
        <v>22</v>
      </c>
      <c r="C395" s="1">
        <v>45666</v>
      </c>
      <c r="D395" t="s">
        <v>23</v>
      </c>
      <c r="E395" t="s">
        <v>42</v>
      </c>
      <c r="F395">
        <v>3817</v>
      </c>
      <c r="G395">
        <v>284</v>
      </c>
      <c r="H395">
        <v>204</v>
      </c>
      <c r="I395">
        <v>46434</v>
      </c>
      <c r="J395">
        <v>53396</v>
      </c>
      <c r="K395">
        <v>104</v>
      </c>
      <c r="L395" t="s">
        <v>16</v>
      </c>
      <c r="M395">
        <v>9.2712236723090841E-2</v>
      </c>
      <c r="N395" t="s">
        <v>34</v>
      </c>
    </row>
    <row r="396" spans="1:14">
      <c r="A396" t="s">
        <v>276</v>
      </c>
      <c r="B396" t="s">
        <v>22</v>
      </c>
      <c r="C396" s="1">
        <v>45481</v>
      </c>
      <c r="D396" t="s">
        <v>23</v>
      </c>
      <c r="E396" t="s">
        <v>33</v>
      </c>
      <c r="F396">
        <v>2981</v>
      </c>
      <c r="G396">
        <v>258</v>
      </c>
      <c r="H396">
        <v>168</v>
      </c>
      <c r="I396">
        <v>20677</v>
      </c>
      <c r="J396">
        <v>68290</v>
      </c>
      <c r="K396">
        <v>130</v>
      </c>
      <c r="L396" t="s">
        <v>16</v>
      </c>
      <c r="M396">
        <v>0.16477245248343569</v>
      </c>
      <c r="N396" t="s">
        <v>37</v>
      </c>
    </row>
    <row r="397" spans="1:14">
      <c r="A397" t="s">
        <v>276</v>
      </c>
      <c r="B397" t="s">
        <v>22</v>
      </c>
      <c r="C397" s="1">
        <v>45481</v>
      </c>
      <c r="D397" t="s">
        <v>23</v>
      </c>
      <c r="E397" t="s">
        <v>33</v>
      </c>
      <c r="F397">
        <v>2981</v>
      </c>
      <c r="G397">
        <v>258</v>
      </c>
      <c r="H397">
        <v>168</v>
      </c>
      <c r="I397">
        <v>20677</v>
      </c>
      <c r="J397">
        <v>68290</v>
      </c>
      <c r="K397">
        <v>130</v>
      </c>
      <c r="L397" t="s">
        <v>16</v>
      </c>
      <c r="M397">
        <v>0.16477245248343569</v>
      </c>
      <c r="N397" t="s">
        <v>34</v>
      </c>
    </row>
    <row r="398" spans="1:14">
      <c r="A398" t="s">
        <v>277</v>
      </c>
      <c r="B398" t="s">
        <v>22</v>
      </c>
      <c r="C398" s="1">
        <v>45551</v>
      </c>
      <c r="D398" t="s">
        <v>23</v>
      </c>
      <c r="E398" t="s">
        <v>42</v>
      </c>
      <c r="F398">
        <v>3300</v>
      </c>
      <c r="G398">
        <v>354</v>
      </c>
      <c r="H398">
        <v>397</v>
      </c>
      <c r="I398">
        <v>56773</v>
      </c>
      <c r="J398">
        <v>72110</v>
      </c>
      <c r="K398">
        <v>163</v>
      </c>
      <c r="L398" t="s">
        <v>16</v>
      </c>
      <c r="M398">
        <v>7.1354340971940891E-2</v>
      </c>
      <c r="N398" t="s">
        <v>19</v>
      </c>
    </row>
    <row r="399" spans="1:14">
      <c r="A399" t="s">
        <v>277</v>
      </c>
      <c r="B399" t="s">
        <v>22</v>
      </c>
      <c r="C399" s="1">
        <v>45551</v>
      </c>
      <c r="D399" t="s">
        <v>23</v>
      </c>
      <c r="E399" t="s">
        <v>42</v>
      </c>
      <c r="F399">
        <v>3300</v>
      </c>
      <c r="G399">
        <v>354</v>
      </c>
      <c r="H399">
        <v>397</v>
      </c>
      <c r="I399">
        <v>56773</v>
      </c>
      <c r="J399">
        <v>72110</v>
      </c>
      <c r="K399">
        <v>163</v>
      </c>
      <c r="L399" t="s">
        <v>16</v>
      </c>
      <c r="M399">
        <v>7.1354340971940891E-2</v>
      </c>
      <c r="N399" t="s">
        <v>364</v>
      </c>
    </row>
    <row r="400" spans="1:14">
      <c r="A400" t="s">
        <v>278</v>
      </c>
      <c r="B400" t="s">
        <v>27</v>
      </c>
      <c r="C400" s="1">
        <v>45457</v>
      </c>
      <c r="D400" t="s">
        <v>48</v>
      </c>
      <c r="E400" t="s">
        <v>360</v>
      </c>
      <c r="F400">
        <v>4722</v>
      </c>
      <c r="G400">
        <v>310</v>
      </c>
      <c r="H400">
        <v>344</v>
      </c>
      <c r="I400">
        <v>27911</v>
      </c>
      <c r="J400">
        <v>19000</v>
      </c>
      <c r="K400">
        <v>225</v>
      </c>
      <c r="L400" t="s">
        <v>49</v>
      </c>
      <c r="M400">
        <v>0.19261223173659131</v>
      </c>
      <c r="N400" t="s">
        <v>19</v>
      </c>
    </row>
    <row r="401" spans="1:14">
      <c r="A401" t="s">
        <v>278</v>
      </c>
      <c r="B401" t="s">
        <v>27</v>
      </c>
      <c r="C401" s="1">
        <v>45457</v>
      </c>
      <c r="D401" t="s">
        <v>48</v>
      </c>
      <c r="E401" t="s">
        <v>360</v>
      </c>
      <c r="F401">
        <v>4722</v>
      </c>
      <c r="G401">
        <v>310</v>
      </c>
      <c r="H401">
        <v>344</v>
      </c>
      <c r="I401">
        <v>27911</v>
      </c>
      <c r="J401">
        <v>19000</v>
      </c>
      <c r="K401">
        <v>225</v>
      </c>
      <c r="L401" t="s">
        <v>49</v>
      </c>
      <c r="M401">
        <v>0.19261223173659131</v>
      </c>
      <c r="N401" t="s">
        <v>37</v>
      </c>
    </row>
    <row r="402" spans="1:14">
      <c r="A402" t="s">
        <v>279</v>
      </c>
      <c r="B402" t="s">
        <v>13</v>
      </c>
      <c r="C402" s="1">
        <v>45357</v>
      </c>
      <c r="D402" t="s">
        <v>14</v>
      </c>
      <c r="E402" t="s">
        <v>362</v>
      </c>
      <c r="F402">
        <v>3529</v>
      </c>
      <c r="G402">
        <v>263</v>
      </c>
      <c r="H402">
        <v>107</v>
      </c>
      <c r="I402">
        <v>26570</v>
      </c>
      <c r="J402">
        <v>19367</v>
      </c>
      <c r="K402">
        <v>96</v>
      </c>
      <c r="L402" t="s">
        <v>20</v>
      </c>
      <c r="M402">
        <v>0.14674444862627023</v>
      </c>
      <c r="N402" t="s">
        <v>19</v>
      </c>
    </row>
    <row r="403" spans="1:14">
      <c r="A403" t="s">
        <v>280</v>
      </c>
      <c r="B403" t="s">
        <v>22</v>
      </c>
      <c r="C403" s="1">
        <v>45792</v>
      </c>
      <c r="D403" t="s">
        <v>14</v>
      </c>
      <c r="E403" t="s">
        <v>42</v>
      </c>
      <c r="F403">
        <v>4782</v>
      </c>
      <c r="G403">
        <v>210</v>
      </c>
      <c r="H403">
        <v>311</v>
      </c>
      <c r="I403">
        <v>29793</v>
      </c>
      <c r="J403">
        <v>37543</v>
      </c>
      <c r="K403">
        <v>145</v>
      </c>
      <c r="L403" t="s">
        <v>16</v>
      </c>
      <c r="M403">
        <v>0.17799483100057059</v>
      </c>
      <c r="N403" t="s">
        <v>34</v>
      </c>
    </row>
    <row r="404" spans="1:14">
      <c r="A404" t="s">
        <v>281</v>
      </c>
      <c r="B404" t="s">
        <v>22</v>
      </c>
      <c r="C404" s="1">
        <v>45480</v>
      </c>
      <c r="D404" t="s">
        <v>14</v>
      </c>
      <c r="E404" t="s">
        <v>362</v>
      </c>
      <c r="F404">
        <v>1848</v>
      </c>
      <c r="G404">
        <v>417</v>
      </c>
      <c r="H404">
        <v>294</v>
      </c>
      <c r="I404">
        <v>57819</v>
      </c>
      <c r="J404">
        <v>19798</v>
      </c>
      <c r="K404">
        <v>262</v>
      </c>
      <c r="L404" t="s">
        <v>20</v>
      </c>
      <c r="M404">
        <v>4.4258807658382193E-2</v>
      </c>
      <c r="N404" t="s">
        <v>37</v>
      </c>
    </row>
    <row r="405" spans="1:14">
      <c r="A405" t="s">
        <v>282</v>
      </c>
      <c r="B405" t="s">
        <v>27</v>
      </c>
      <c r="C405" s="1">
        <v>45591</v>
      </c>
      <c r="D405" t="s">
        <v>14</v>
      </c>
      <c r="E405" t="s">
        <v>24</v>
      </c>
      <c r="F405">
        <v>4676</v>
      </c>
      <c r="G405">
        <v>211</v>
      </c>
      <c r="H405">
        <v>55</v>
      </c>
      <c r="I405">
        <v>45917</v>
      </c>
      <c r="J405">
        <v>73503</v>
      </c>
      <c r="K405">
        <v>248</v>
      </c>
      <c r="L405" t="s">
        <v>20</v>
      </c>
      <c r="M405">
        <v>0.10762898272970794</v>
      </c>
      <c r="N405" t="s">
        <v>19</v>
      </c>
    </row>
    <row r="406" spans="1:14">
      <c r="A406" t="s">
        <v>282</v>
      </c>
      <c r="B406" t="s">
        <v>27</v>
      </c>
      <c r="C406" s="1">
        <v>45591</v>
      </c>
      <c r="D406" t="s">
        <v>14</v>
      </c>
      <c r="E406" t="s">
        <v>24</v>
      </c>
      <c r="F406">
        <v>4676</v>
      </c>
      <c r="G406">
        <v>211</v>
      </c>
      <c r="H406">
        <v>55</v>
      </c>
      <c r="I406">
        <v>45917</v>
      </c>
      <c r="J406">
        <v>73503</v>
      </c>
      <c r="K406">
        <v>248</v>
      </c>
      <c r="L406" t="s">
        <v>20</v>
      </c>
      <c r="M406">
        <v>0.10762898272970794</v>
      </c>
      <c r="N406" t="s">
        <v>365</v>
      </c>
    </row>
    <row r="407" spans="1:14">
      <c r="A407" t="s">
        <v>283</v>
      </c>
      <c r="B407" t="s">
        <v>27</v>
      </c>
      <c r="C407" s="1">
        <v>45512</v>
      </c>
      <c r="D407" t="s">
        <v>14</v>
      </c>
      <c r="E407" t="s">
        <v>363</v>
      </c>
      <c r="F407">
        <v>1994</v>
      </c>
      <c r="G407">
        <v>197</v>
      </c>
      <c r="H407">
        <v>290</v>
      </c>
      <c r="I407">
        <v>49500</v>
      </c>
      <c r="J407">
        <v>23343</v>
      </c>
      <c r="K407">
        <v>160</v>
      </c>
      <c r="L407" t="s">
        <v>20</v>
      </c>
      <c r="M407">
        <v>5.0121212121212122E-2</v>
      </c>
      <c r="N407" t="s">
        <v>19</v>
      </c>
    </row>
    <row r="408" spans="1:14">
      <c r="A408" t="s">
        <v>283</v>
      </c>
      <c r="B408" t="s">
        <v>27</v>
      </c>
      <c r="C408" s="1">
        <v>45512</v>
      </c>
      <c r="D408" t="s">
        <v>14</v>
      </c>
      <c r="E408" t="s">
        <v>363</v>
      </c>
      <c r="F408">
        <v>1994</v>
      </c>
      <c r="G408">
        <v>197</v>
      </c>
      <c r="H408">
        <v>290</v>
      </c>
      <c r="I408">
        <v>49500</v>
      </c>
      <c r="J408">
        <v>23343</v>
      </c>
      <c r="K408">
        <v>160</v>
      </c>
      <c r="L408" t="s">
        <v>20</v>
      </c>
      <c r="M408">
        <v>5.0121212121212122E-2</v>
      </c>
      <c r="N408" t="s">
        <v>365</v>
      </c>
    </row>
    <row r="409" spans="1:14">
      <c r="A409" t="s">
        <v>284</v>
      </c>
      <c r="B409" t="s">
        <v>22</v>
      </c>
      <c r="C409" s="1">
        <v>45691</v>
      </c>
      <c r="D409" t="s">
        <v>14</v>
      </c>
      <c r="E409" t="s">
        <v>362</v>
      </c>
      <c r="F409">
        <v>4995</v>
      </c>
      <c r="G409">
        <v>231</v>
      </c>
      <c r="H409">
        <v>94</v>
      </c>
      <c r="I409">
        <v>34431</v>
      </c>
      <c r="J409">
        <v>32560</v>
      </c>
      <c r="K409">
        <v>262</v>
      </c>
      <c r="L409" t="s">
        <v>16</v>
      </c>
      <c r="M409">
        <v>0.15451192239551567</v>
      </c>
      <c r="N409" t="s">
        <v>34</v>
      </c>
    </row>
    <row r="410" spans="1:14">
      <c r="A410" t="s">
        <v>285</v>
      </c>
      <c r="B410" t="s">
        <v>22</v>
      </c>
      <c r="C410" s="1">
        <v>45385</v>
      </c>
      <c r="D410" t="s">
        <v>23</v>
      </c>
      <c r="E410" t="s">
        <v>33</v>
      </c>
      <c r="F410">
        <v>2291</v>
      </c>
      <c r="G410">
        <v>146</v>
      </c>
      <c r="H410">
        <v>399</v>
      </c>
      <c r="I410">
        <v>49319</v>
      </c>
      <c r="J410">
        <v>28056</v>
      </c>
      <c r="K410">
        <v>90</v>
      </c>
      <c r="L410" t="s">
        <v>16</v>
      </c>
      <c r="M410">
        <v>5.7503193495407452E-2</v>
      </c>
      <c r="N410" t="s">
        <v>19</v>
      </c>
    </row>
    <row r="411" spans="1:14">
      <c r="A411" t="s">
        <v>285</v>
      </c>
      <c r="B411" t="s">
        <v>22</v>
      </c>
      <c r="C411" s="1">
        <v>45385</v>
      </c>
      <c r="D411" t="s">
        <v>23</v>
      </c>
      <c r="E411" t="s">
        <v>33</v>
      </c>
      <c r="F411">
        <v>2291</v>
      </c>
      <c r="G411">
        <v>146</v>
      </c>
      <c r="H411">
        <v>399</v>
      </c>
      <c r="I411">
        <v>49319</v>
      </c>
      <c r="J411">
        <v>28056</v>
      </c>
      <c r="K411">
        <v>90</v>
      </c>
      <c r="L411" t="s">
        <v>16</v>
      </c>
      <c r="M411">
        <v>5.7503193495407452E-2</v>
      </c>
      <c r="N411" t="s">
        <v>364</v>
      </c>
    </row>
    <row r="412" spans="1:14">
      <c r="A412" t="s">
        <v>286</v>
      </c>
      <c r="B412" t="s">
        <v>22</v>
      </c>
      <c r="C412" s="1">
        <v>45481</v>
      </c>
      <c r="D412" t="s">
        <v>23</v>
      </c>
      <c r="E412" t="s">
        <v>360</v>
      </c>
      <c r="F412">
        <v>2304</v>
      </c>
      <c r="G412">
        <v>289</v>
      </c>
      <c r="H412">
        <v>161</v>
      </c>
      <c r="I412">
        <v>52645</v>
      </c>
      <c r="J412">
        <v>66262</v>
      </c>
      <c r="K412">
        <v>146</v>
      </c>
      <c r="L412" t="s">
        <v>16</v>
      </c>
      <c r="M412">
        <v>5.2312660271630736E-2</v>
      </c>
      <c r="N412" t="s">
        <v>364</v>
      </c>
    </row>
    <row r="413" spans="1:14">
      <c r="A413" t="s">
        <v>286</v>
      </c>
      <c r="B413" t="s">
        <v>22</v>
      </c>
      <c r="C413" s="1">
        <v>45481</v>
      </c>
      <c r="D413" t="s">
        <v>23</v>
      </c>
      <c r="E413" t="s">
        <v>360</v>
      </c>
      <c r="F413">
        <v>2304</v>
      </c>
      <c r="G413">
        <v>289</v>
      </c>
      <c r="H413">
        <v>161</v>
      </c>
      <c r="I413">
        <v>52645</v>
      </c>
      <c r="J413">
        <v>66262</v>
      </c>
      <c r="K413">
        <v>146</v>
      </c>
      <c r="L413" t="s">
        <v>16</v>
      </c>
      <c r="M413">
        <v>5.2312660271630736E-2</v>
      </c>
      <c r="N413" t="s">
        <v>34</v>
      </c>
    </row>
    <row r="414" spans="1:14">
      <c r="A414" t="s">
        <v>287</v>
      </c>
      <c r="B414" t="s">
        <v>22</v>
      </c>
      <c r="C414" s="1">
        <v>45451</v>
      </c>
      <c r="D414" t="s">
        <v>23</v>
      </c>
      <c r="E414" t="s">
        <v>33</v>
      </c>
      <c r="F414">
        <v>3413</v>
      </c>
      <c r="G414">
        <v>326</v>
      </c>
      <c r="H414">
        <v>86</v>
      </c>
      <c r="I414">
        <v>44680</v>
      </c>
      <c r="J414">
        <v>52719</v>
      </c>
      <c r="K414">
        <v>272</v>
      </c>
      <c r="L414" t="s">
        <v>16</v>
      </c>
      <c r="M414">
        <v>8.5608773500447627E-2</v>
      </c>
      <c r="N414" t="s">
        <v>19</v>
      </c>
    </row>
    <row r="415" spans="1:14">
      <c r="A415" t="s">
        <v>287</v>
      </c>
      <c r="B415" t="s">
        <v>22</v>
      </c>
      <c r="C415" s="1">
        <v>45451</v>
      </c>
      <c r="D415" t="s">
        <v>23</v>
      </c>
      <c r="E415" t="s">
        <v>33</v>
      </c>
      <c r="F415">
        <v>3413</v>
      </c>
      <c r="G415">
        <v>326</v>
      </c>
      <c r="H415">
        <v>86</v>
      </c>
      <c r="I415">
        <v>44680</v>
      </c>
      <c r="J415">
        <v>52719</v>
      </c>
      <c r="K415">
        <v>272</v>
      </c>
      <c r="L415" t="s">
        <v>16</v>
      </c>
      <c r="M415">
        <v>8.5608773500447627E-2</v>
      </c>
      <c r="N415" t="s">
        <v>364</v>
      </c>
    </row>
    <row r="416" spans="1:14">
      <c r="A416" t="s">
        <v>288</v>
      </c>
      <c r="B416" t="s">
        <v>27</v>
      </c>
      <c r="C416" s="1">
        <v>45736</v>
      </c>
      <c r="D416" t="s">
        <v>48</v>
      </c>
      <c r="E416" t="s">
        <v>363</v>
      </c>
      <c r="F416">
        <v>1453</v>
      </c>
      <c r="G416">
        <v>156</v>
      </c>
      <c r="H416">
        <v>178</v>
      </c>
      <c r="I416">
        <v>52980</v>
      </c>
      <c r="J416">
        <v>57180</v>
      </c>
      <c r="K416">
        <v>286</v>
      </c>
      <c r="L416" t="s">
        <v>49</v>
      </c>
      <c r="M416">
        <v>3.3729709324273313E-2</v>
      </c>
      <c r="N416" t="s">
        <v>19</v>
      </c>
    </row>
    <row r="417" spans="1:14">
      <c r="A417" t="s">
        <v>288</v>
      </c>
      <c r="B417" t="s">
        <v>27</v>
      </c>
      <c r="C417" s="1">
        <v>45736</v>
      </c>
      <c r="D417" t="s">
        <v>48</v>
      </c>
      <c r="E417" t="s">
        <v>363</v>
      </c>
      <c r="F417">
        <v>1453</v>
      </c>
      <c r="G417">
        <v>156</v>
      </c>
      <c r="H417">
        <v>178</v>
      </c>
      <c r="I417">
        <v>52980</v>
      </c>
      <c r="J417">
        <v>57180</v>
      </c>
      <c r="K417">
        <v>286</v>
      </c>
      <c r="L417" t="s">
        <v>49</v>
      </c>
      <c r="M417">
        <v>3.3729709324273313E-2</v>
      </c>
      <c r="N417" t="s">
        <v>37</v>
      </c>
    </row>
    <row r="418" spans="1:14">
      <c r="A418" t="s">
        <v>289</v>
      </c>
      <c r="B418" t="s">
        <v>22</v>
      </c>
      <c r="C418" s="1">
        <v>45676</v>
      </c>
      <c r="D418" t="s">
        <v>23</v>
      </c>
      <c r="E418" t="s">
        <v>361</v>
      </c>
      <c r="F418">
        <v>1651</v>
      </c>
      <c r="G418">
        <v>480</v>
      </c>
      <c r="H418">
        <v>282</v>
      </c>
      <c r="I418">
        <v>32140</v>
      </c>
      <c r="J418">
        <v>70560</v>
      </c>
      <c r="K418">
        <v>138</v>
      </c>
      <c r="L418" t="s">
        <v>16</v>
      </c>
      <c r="M418">
        <v>7.5077784691972627E-2</v>
      </c>
      <c r="N418" t="s">
        <v>37</v>
      </c>
    </row>
    <row r="419" spans="1:14">
      <c r="A419" t="s">
        <v>289</v>
      </c>
      <c r="B419" t="s">
        <v>22</v>
      </c>
      <c r="C419" s="1">
        <v>45676</v>
      </c>
      <c r="D419" t="s">
        <v>23</v>
      </c>
      <c r="E419" t="s">
        <v>361</v>
      </c>
      <c r="F419">
        <v>1651</v>
      </c>
      <c r="G419">
        <v>480</v>
      </c>
      <c r="H419">
        <v>282</v>
      </c>
      <c r="I419">
        <v>32140</v>
      </c>
      <c r="J419">
        <v>70560</v>
      </c>
      <c r="K419">
        <v>138</v>
      </c>
      <c r="L419" t="s">
        <v>16</v>
      </c>
      <c r="M419">
        <v>7.5077784691972627E-2</v>
      </c>
      <c r="N419" t="s">
        <v>34</v>
      </c>
    </row>
    <row r="420" spans="1:14">
      <c r="A420" t="s">
        <v>290</v>
      </c>
      <c r="B420" t="s">
        <v>22</v>
      </c>
      <c r="C420" s="1">
        <v>45662</v>
      </c>
      <c r="D420" t="s">
        <v>23</v>
      </c>
      <c r="E420" t="s">
        <v>18</v>
      </c>
      <c r="F420">
        <v>3341</v>
      </c>
      <c r="G420">
        <v>154</v>
      </c>
      <c r="H420">
        <v>123</v>
      </c>
      <c r="I420">
        <v>43369</v>
      </c>
      <c r="J420">
        <v>49035</v>
      </c>
      <c r="K420">
        <v>128</v>
      </c>
      <c r="L420" t="s">
        <v>16</v>
      </c>
      <c r="M420">
        <v>8.3423643616408028E-2</v>
      </c>
      <c r="N420" t="s">
        <v>364</v>
      </c>
    </row>
    <row r="421" spans="1:14">
      <c r="A421" t="s">
        <v>290</v>
      </c>
      <c r="B421" t="s">
        <v>22</v>
      </c>
      <c r="C421" s="1">
        <v>45662</v>
      </c>
      <c r="D421" t="s">
        <v>23</v>
      </c>
      <c r="E421" t="s">
        <v>18</v>
      </c>
      <c r="F421">
        <v>3341</v>
      </c>
      <c r="G421">
        <v>154</v>
      </c>
      <c r="H421">
        <v>123</v>
      </c>
      <c r="I421">
        <v>43369</v>
      </c>
      <c r="J421">
        <v>49035</v>
      </c>
      <c r="K421">
        <v>128</v>
      </c>
      <c r="L421" t="s">
        <v>16</v>
      </c>
      <c r="M421">
        <v>8.3423643616408028E-2</v>
      </c>
      <c r="N421" t="s">
        <v>34</v>
      </c>
    </row>
    <row r="422" spans="1:14">
      <c r="A422" t="s">
        <v>291</v>
      </c>
      <c r="B422" t="s">
        <v>22</v>
      </c>
      <c r="C422" s="1">
        <v>45612</v>
      </c>
      <c r="D422" t="s">
        <v>14</v>
      </c>
      <c r="E422" t="s">
        <v>363</v>
      </c>
      <c r="F422">
        <v>2972</v>
      </c>
      <c r="G422">
        <v>263</v>
      </c>
      <c r="H422">
        <v>308</v>
      </c>
      <c r="I422">
        <v>51740</v>
      </c>
      <c r="J422">
        <v>28214</v>
      </c>
      <c r="K422">
        <v>190</v>
      </c>
      <c r="L422" t="s">
        <v>20</v>
      </c>
      <c r="M422">
        <v>6.8477000386548123E-2</v>
      </c>
      <c r="N422" t="s">
        <v>37</v>
      </c>
    </row>
    <row r="423" spans="1:14">
      <c r="A423" t="s">
        <v>292</v>
      </c>
      <c r="B423" t="s">
        <v>22</v>
      </c>
      <c r="C423" s="1">
        <v>45626</v>
      </c>
      <c r="D423" t="s">
        <v>23</v>
      </c>
      <c r="E423" t="s">
        <v>18</v>
      </c>
      <c r="F423">
        <v>4963</v>
      </c>
      <c r="G423">
        <v>255</v>
      </c>
      <c r="H423">
        <v>193</v>
      </c>
      <c r="I423">
        <v>44386</v>
      </c>
      <c r="J423">
        <v>28415</v>
      </c>
      <c r="K423">
        <v>174</v>
      </c>
      <c r="L423" t="s">
        <v>16</v>
      </c>
      <c r="M423">
        <v>0.12190780876853062</v>
      </c>
      <c r="N423" t="s">
        <v>364</v>
      </c>
    </row>
    <row r="424" spans="1:14">
      <c r="A424" t="s">
        <v>292</v>
      </c>
      <c r="B424" t="s">
        <v>22</v>
      </c>
      <c r="C424" s="1">
        <v>45626</v>
      </c>
      <c r="D424" t="s">
        <v>23</v>
      </c>
      <c r="E424" t="s">
        <v>18</v>
      </c>
      <c r="F424">
        <v>4963</v>
      </c>
      <c r="G424">
        <v>255</v>
      </c>
      <c r="H424">
        <v>193</v>
      </c>
      <c r="I424">
        <v>44386</v>
      </c>
      <c r="J424">
        <v>28415</v>
      </c>
      <c r="K424">
        <v>174</v>
      </c>
      <c r="L424" t="s">
        <v>16</v>
      </c>
      <c r="M424">
        <v>0.12190780876853062</v>
      </c>
      <c r="N424" t="s">
        <v>34</v>
      </c>
    </row>
    <row r="425" spans="1:14">
      <c r="A425" t="s">
        <v>293</v>
      </c>
      <c r="B425" t="s">
        <v>27</v>
      </c>
      <c r="C425" s="1">
        <v>45378</v>
      </c>
      <c r="D425" t="s">
        <v>14</v>
      </c>
      <c r="E425" t="s">
        <v>361</v>
      </c>
      <c r="F425">
        <v>2399</v>
      </c>
      <c r="G425">
        <v>191</v>
      </c>
      <c r="H425">
        <v>221</v>
      </c>
      <c r="I425">
        <v>51603</v>
      </c>
      <c r="J425">
        <v>40033</v>
      </c>
      <c r="K425">
        <v>173</v>
      </c>
      <c r="L425" t="s">
        <v>20</v>
      </c>
      <c r="M425">
        <v>5.4473577117609438E-2</v>
      </c>
      <c r="N425" t="s">
        <v>19</v>
      </c>
    </row>
    <row r="426" spans="1:14">
      <c r="A426" t="s">
        <v>293</v>
      </c>
      <c r="B426" t="s">
        <v>27</v>
      </c>
      <c r="C426" s="1">
        <v>45378</v>
      </c>
      <c r="D426" t="s">
        <v>14</v>
      </c>
      <c r="E426" t="s">
        <v>361</v>
      </c>
      <c r="F426">
        <v>2399</v>
      </c>
      <c r="G426">
        <v>191</v>
      </c>
      <c r="H426">
        <v>221</v>
      </c>
      <c r="I426">
        <v>51603</v>
      </c>
      <c r="J426">
        <v>40033</v>
      </c>
      <c r="K426">
        <v>173</v>
      </c>
      <c r="L426" t="s">
        <v>20</v>
      </c>
      <c r="M426">
        <v>5.4473577117609438E-2</v>
      </c>
      <c r="N426" t="s">
        <v>365</v>
      </c>
    </row>
    <row r="427" spans="1:14">
      <c r="A427" t="s">
        <v>294</v>
      </c>
      <c r="B427" t="s">
        <v>27</v>
      </c>
      <c r="C427" s="1">
        <v>45808</v>
      </c>
      <c r="D427" t="s">
        <v>48</v>
      </c>
      <c r="E427" t="s">
        <v>30</v>
      </c>
      <c r="F427">
        <v>2162</v>
      </c>
      <c r="G427">
        <v>318</v>
      </c>
      <c r="H427">
        <v>83</v>
      </c>
      <c r="I427">
        <v>46719</v>
      </c>
      <c r="J427">
        <v>20482</v>
      </c>
      <c r="K427">
        <v>185</v>
      </c>
      <c r="L427" t="s">
        <v>49</v>
      </c>
      <c r="M427">
        <v>5.4859907104176028E-2</v>
      </c>
      <c r="N427" t="s">
        <v>19</v>
      </c>
    </row>
    <row r="428" spans="1:14">
      <c r="A428" t="s">
        <v>294</v>
      </c>
      <c r="B428" t="s">
        <v>27</v>
      </c>
      <c r="C428" s="1">
        <v>45808</v>
      </c>
      <c r="D428" t="s">
        <v>48</v>
      </c>
      <c r="E428" t="s">
        <v>30</v>
      </c>
      <c r="F428">
        <v>2162</v>
      </c>
      <c r="G428">
        <v>318</v>
      </c>
      <c r="H428">
        <v>83</v>
      </c>
      <c r="I428">
        <v>46719</v>
      </c>
      <c r="J428">
        <v>20482</v>
      </c>
      <c r="K428">
        <v>185</v>
      </c>
      <c r="L428" t="s">
        <v>49</v>
      </c>
      <c r="M428">
        <v>5.4859907104176028E-2</v>
      </c>
      <c r="N428" t="s">
        <v>37</v>
      </c>
    </row>
    <row r="429" spans="1:14">
      <c r="A429" t="s">
        <v>295</v>
      </c>
      <c r="B429" t="s">
        <v>22</v>
      </c>
      <c r="C429" s="1">
        <v>45825</v>
      </c>
      <c r="D429" t="s">
        <v>23</v>
      </c>
      <c r="E429" t="s">
        <v>18</v>
      </c>
      <c r="F429">
        <v>4341</v>
      </c>
      <c r="G429">
        <v>141</v>
      </c>
      <c r="H429">
        <v>63</v>
      </c>
      <c r="I429">
        <v>50081</v>
      </c>
      <c r="J429">
        <v>27507</v>
      </c>
      <c r="K429">
        <v>221</v>
      </c>
      <c r="L429" t="s">
        <v>16</v>
      </c>
      <c r="M429">
        <v>9.0752980172121162E-2</v>
      </c>
      <c r="N429" t="s">
        <v>19</v>
      </c>
    </row>
    <row r="430" spans="1:14">
      <c r="A430" t="s">
        <v>295</v>
      </c>
      <c r="B430" t="s">
        <v>22</v>
      </c>
      <c r="C430" s="1">
        <v>45825</v>
      </c>
      <c r="D430" t="s">
        <v>23</v>
      </c>
      <c r="E430" t="s">
        <v>18</v>
      </c>
      <c r="F430">
        <v>4341</v>
      </c>
      <c r="G430">
        <v>141</v>
      </c>
      <c r="H430">
        <v>63</v>
      </c>
      <c r="I430">
        <v>50081</v>
      </c>
      <c r="J430">
        <v>27507</v>
      </c>
      <c r="K430">
        <v>221</v>
      </c>
      <c r="L430" t="s">
        <v>16</v>
      </c>
      <c r="M430">
        <v>9.0752980172121162E-2</v>
      </c>
      <c r="N430" t="s">
        <v>364</v>
      </c>
    </row>
    <row r="431" spans="1:14">
      <c r="A431" t="s">
        <v>296</v>
      </c>
      <c r="B431" t="s">
        <v>13</v>
      </c>
      <c r="C431" s="1">
        <v>45442</v>
      </c>
      <c r="D431" t="s">
        <v>23</v>
      </c>
      <c r="E431" t="s">
        <v>30</v>
      </c>
      <c r="F431">
        <v>2448</v>
      </c>
      <c r="G431">
        <v>464</v>
      </c>
      <c r="H431">
        <v>98</v>
      </c>
      <c r="I431">
        <v>25737</v>
      </c>
      <c r="J431">
        <v>48545</v>
      </c>
      <c r="K431">
        <v>246</v>
      </c>
      <c r="L431" t="s">
        <v>46</v>
      </c>
      <c r="M431">
        <v>0.11695224773672146</v>
      </c>
      <c r="N431" t="s">
        <v>34</v>
      </c>
    </row>
    <row r="432" spans="1:14">
      <c r="A432" t="s">
        <v>297</v>
      </c>
      <c r="B432" t="s">
        <v>27</v>
      </c>
      <c r="C432" s="1">
        <v>45604</v>
      </c>
      <c r="D432" t="s">
        <v>14</v>
      </c>
      <c r="E432" t="s">
        <v>33</v>
      </c>
      <c r="F432">
        <v>2471</v>
      </c>
      <c r="G432">
        <v>166</v>
      </c>
      <c r="H432">
        <v>320</v>
      </c>
      <c r="I432">
        <v>48254</v>
      </c>
      <c r="J432">
        <v>46900</v>
      </c>
      <c r="K432">
        <v>111</v>
      </c>
      <c r="L432" t="s">
        <v>20</v>
      </c>
      <c r="M432">
        <v>6.1279893894806647E-2</v>
      </c>
      <c r="N432" t="s">
        <v>19</v>
      </c>
    </row>
    <row r="433" spans="1:14">
      <c r="A433" t="s">
        <v>297</v>
      </c>
      <c r="B433" t="s">
        <v>27</v>
      </c>
      <c r="C433" s="1">
        <v>45604</v>
      </c>
      <c r="D433" t="s">
        <v>14</v>
      </c>
      <c r="E433" t="s">
        <v>33</v>
      </c>
      <c r="F433">
        <v>2471</v>
      </c>
      <c r="G433">
        <v>166</v>
      </c>
      <c r="H433">
        <v>320</v>
      </c>
      <c r="I433">
        <v>48254</v>
      </c>
      <c r="J433">
        <v>46900</v>
      </c>
      <c r="K433">
        <v>111</v>
      </c>
      <c r="L433" t="s">
        <v>20</v>
      </c>
      <c r="M433">
        <v>6.1279893894806647E-2</v>
      </c>
      <c r="N433" t="s">
        <v>365</v>
      </c>
    </row>
    <row r="434" spans="1:14">
      <c r="A434" t="s">
        <v>298</v>
      </c>
      <c r="B434" t="s">
        <v>27</v>
      </c>
      <c r="C434" s="1">
        <v>45368</v>
      </c>
      <c r="D434" t="s">
        <v>48</v>
      </c>
      <c r="E434" t="s">
        <v>18</v>
      </c>
      <c r="F434">
        <v>2692</v>
      </c>
      <c r="G434">
        <v>446</v>
      </c>
      <c r="H434">
        <v>216</v>
      </c>
      <c r="I434">
        <v>45818</v>
      </c>
      <c r="J434">
        <v>62723</v>
      </c>
      <c r="K434">
        <v>85</v>
      </c>
      <c r="L434" t="s">
        <v>49</v>
      </c>
      <c r="M434">
        <v>7.3202671439172376E-2</v>
      </c>
      <c r="N434" t="s">
        <v>19</v>
      </c>
    </row>
    <row r="435" spans="1:14">
      <c r="A435" t="s">
        <v>298</v>
      </c>
      <c r="B435" t="s">
        <v>27</v>
      </c>
      <c r="C435" s="1">
        <v>45368</v>
      </c>
      <c r="D435" t="s">
        <v>48</v>
      </c>
      <c r="E435" t="s">
        <v>18</v>
      </c>
      <c r="F435">
        <v>2692</v>
      </c>
      <c r="G435">
        <v>446</v>
      </c>
      <c r="H435">
        <v>216</v>
      </c>
      <c r="I435">
        <v>45818</v>
      </c>
      <c r="J435">
        <v>62723</v>
      </c>
      <c r="K435">
        <v>85</v>
      </c>
      <c r="L435" t="s">
        <v>49</v>
      </c>
      <c r="M435">
        <v>7.3202671439172376E-2</v>
      </c>
      <c r="N435" t="s">
        <v>37</v>
      </c>
    </row>
    <row r="436" spans="1:14">
      <c r="A436" t="s">
        <v>299</v>
      </c>
      <c r="B436" t="s">
        <v>27</v>
      </c>
      <c r="C436" s="1">
        <v>45464</v>
      </c>
      <c r="D436" t="s">
        <v>48</v>
      </c>
      <c r="E436" t="s">
        <v>361</v>
      </c>
      <c r="F436">
        <v>4621</v>
      </c>
      <c r="G436">
        <v>374</v>
      </c>
      <c r="H436">
        <v>298</v>
      </c>
      <c r="I436">
        <v>56979</v>
      </c>
      <c r="J436">
        <v>24098</v>
      </c>
      <c r="K436">
        <v>205</v>
      </c>
      <c r="L436" t="s">
        <v>49</v>
      </c>
      <c r="M436">
        <v>9.2893873181347508E-2</v>
      </c>
      <c r="N436" t="s">
        <v>19</v>
      </c>
    </row>
    <row r="437" spans="1:14">
      <c r="A437" t="s">
        <v>299</v>
      </c>
      <c r="B437" t="s">
        <v>27</v>
      </c>
      <c r="C437" s="1">
        <v>45464</v>
      </c>
      <c r="D437" t="s">
        <v>48</v>
      </c>
      <c r="E437" t="s">
        <v>361</v>
      </c>
      <c r="F437">
        <v>4621</v>
      </c>
      <c r="G437">
        <v>374</v>
      </c>
      <c r="H437">
        <v>298</v>
      </c>
      <c r="I437">
        <v>56979</v>
      </c>
      <c r="J437">
        <v>24098</v>
      </c>
      <c r="K437">
        <v>205</v>
      </c>
      <c r="L437" t="s">
        <v>49</v>
      </c>
      <c r="M437">
        <v>9.2893873181347508E-2</v>
      </c>
      <c r="N437" t="s">
        <v>37</v>
      </c>
    </row>
    <row r="438" spans="1:14">
      <c r="A438" t="s">
        <v>300</v>
      </c>
      <c r="B438" t="s">
        <v>22</v>
      </c>
      <c r="C438" s="1">
        <v>45609</v>
      </c>
      <c r="D438" t="s">
        <v>23</v>
      </c>
      <c r="E438" t="s">
        <v>24</v>
      </c>
      <c r="F438">
        <v>1409</v>
      </c>
      <c r="G438">
        <v>466</v>
      </c>
      <c r="H438">
        <v>105</v>
      </c>
      <c r="I438">
        <v>58923</v>
      </c>
      <c r="J438">
        <v>38753</v>
      </c>
      <c r="K438">
        <v>265</v>
      </c>
      <c r="L438" t="s">
        <v>16</v>
      </c>
      <c r="M438">
        <v>3.3603177027646251E-2</v>
      </c>
      <c r="N438" t="s">
        <v>19</v>
      </c>
    </row>
    <row r="439" spans="1:14">
      <c r="A439" t="s">
        <v>300</v>
      </c>
      <c r="B439" t="s">
        <v>22</v>
      </c>
      <c r="C439" s="1">
        <v>45609</v>
      </c>
      <c r="D439" t="s">
        <v>23</v>
      </c>
      <c r="E439" t="s">
        <v>24</v>
      </c>
      <c r="F439">
        <v>1409</v>
      </c>
      <c r="G439">
        <v>466</v>
      </c>
      <c r="H439">
        <v>105</v>
      </c>
      <c r="I439">
        <v>58923</v>
      </c>
      <c r="J439">
        <v>38753</v>
      </c>
      <c r="K439">
        <v>265</v>
      </c>
      <c r="L439" t="s">
        <v>16</v>
      </c>
      <c r="M439">
        <v>3.3603177027646251E-2</v>
      </c>
      <c r="N439" t="s">
        <v>364</v>
      </c>
    </row>
    <row r="440" spans="1:14">
      <c r="A440" t="s">
        <v>301</v>
      </c>
      <c r="B440" t="s">
        <v>22</v>
      </c>
      <c r="C440" s="1">
        <v>45693</v>
      </c>
      <c r="D440" t="s">
        <v>23</v>
      </c>
      <c r="E440" t="s">
        <v>15</v>
      </c>
      <c r="F440">
        <v>3029</v>
      </c>
      <c r="G440">
        <v>440</v>
      </c>
      <c r="H440">
        <v>66</v>
      </c>
      <c r="I440">
        <v>23815</v>
      </c>
      <c r="J440">
        <v>47895</v>
      </c>
      <c r="K440">
        <v>210</v>
      </c>
      <c r="L440" t="s">
        <v>16</v>
      </c>
      <c r="M440">
        <v>0.14843585975225698</v>
      </c>
      <c r="N440" t="s">
        <v>19</v>
      </c>
    </row>
    <row r="441" spans="1:14">
      <c r="A441" t="s">
        <v>301</v>
      </c>
      <c r="B441" t="s">
        <v>22</v>
      </c>
      <c r="C441" s="1">
        <v>45693</v>
      </c>
      <c r="D441" t="s">
        <v>23</v>
      </c>
      <c r="E441" t="s">
        <v>15</v>
      </c>
      <c r="F441">
        <v>3029</v>
      </c>
      <c r="G441">
        <v>440</v>
      </c>
      <c r="H441">
        <v>66</v>
      </c>
      <c r="I441">
        <v>23815</v>
      </c>
      <c r="J441">
        <v>47895</v>
      </c>
      <c r="K441">
        <v>210</v>
      </c>
      <c r="L441" t="s">
        <v>16</v>
      </c>
      <c r="M441">
        <v>0.14843585975225698</v>
      </c>
      <c r="N441" t="s">
        <v>364</v>
      </c>
    </row>
    <row r="442" spans="1:14">
      <c r="A442" t="s">
        <v>302</v>
      </c>
      <c r="B442" t="s">
        <v>22</v>
      </c>
      <c r="C442" s="1">
        <v>45603</v>
      </c>
      <c r="D442" t="s">
        <v>14</v>
      </c>
      <c r="E442" t="s">
        <v>18</v>
      </c>
      <c r="F442">
        <v>2229</v>
      </c>
      <c r="G442">
        <v>395</v>
      </c>
      <c r="H442">
        <v>328</v>
      </c>
      <c r="I442">
        <v>56921</v>
      </c>
      <c r="J442">
        <v>37176</v>
      </c>
      <c r="K442">
        <v>126</v>
      </c>
      <c r="L442" t="s">
        <v>20</v>
      </c>
      <c r="M442">
        <v>5.1861351697967357E-2</v>
      </c>
      <c r="N442" t="s">
        <v>37</v>
      </c>
    </row>
    <row r="443" spans="1:14">
      <c r="A443" t="s">
        <v>303</v>
      </c>
      <c r="B443" t="s">
        <v>22</v>
      </c>
      <c r="C443" s="1">
        <v>45334</v>
      </c>
      <c r="D443" t="s">
        <v>14</v>
      </c>
      <c r="E443" t="s">
        <v>18</v>
      </c>
      <c r="F443">
        <v>2691</v>
      </c>
      <c r="G443">
        <v>486</v>
      </c>
      <c r="H443">
        <v>206</v>
      </c>
      <c r="I443">
        <v>51133</v>
      </c>
      <c r="J443">
        <v>44583</v>
      </c>
      <c r="K443">
        <v>276</v>
      </c>
      <c r="L443" t="s">
        <v>16</v>
      </c>
      <c r="M443">
        <v>6.6160796354604659E-2</v>
      </c>
      <c r="N443" t="s">
        <v>34</v>
      </c>
    </row>
    <row r="444" spans="1:14">
      <c r="A444" t="s">
        <v>304</v>
      </c>
      <c r="B444" t="s">
        <v>13</v>
      </c>
      <c r="C444" s="1">
        <v>45573</v>
      </c>
      <c r="D444" t="s">
        <v>14</v>
      </c>
      <c r="E444" t="s">
        <v>18</v>
      </c>
      <c r="F444">
        <v>2110</v>
      </c>
      <c r="G444">
        <v>384</v>
      </c>
      <c r="H444">
        <v>236</v>
      </c>
      <c r="I444">
        <v>49965</v>
      </c>
      <c r="J444">
        <v>61555</v>
      </c>
      <c r="K444">
        <v>195</v>
      </c>
      <c r="L444" t="s">
        <v>20</v>
      </c>
      <c r="M444">
        <v>5.4638246772740921E-2</v>
      </c>
      <c r="N444" t="s">
        <v>19</v>
      </c>
    </row>
    <row r="445" spans="1:14">
      <c r="A445" t="s">
        <v>305</v>
      </c>
      <c r="B445" t="s">
        <v>13</v>
      </c>
      <c r="C445" s="1">
        <v>45341</v>
      </c>
      <c r="D445" t="s">
        <v>14</v>
      </c>
      <c r="E445" t="s">
        <v>360</v>
      </c>
      <c r="F445">
        <v>4752</v>
      </c>
      <c r="G445">
        <v>449</v>
      </c>
      <c r="H445">
        <v>309</v>
      </c>
      <c r="I445">
        <v>58530</v>
      </c>
      <c r="J445">
        <v>26630</v>
      </c>
      <c r="K445">
        <v>234</v>
      </c>
      <c r="L445" t="s">
        <v>20</v>
      </c>
      <c r="M445">
        <v>9.4139757389372969E-2</v>
      </c>
      <c r="N445" t="s">
        <v>19</v>
      </c>
    </row>
    <row r="446" spans="1:14">
      <c r="A446" t="s">
        <v>306</v>
      </c>
      <c r="B446" t="s">
        <v>22</v>
      </c>
      <c r="C446" s="1">
        <v>45720</v>
      </c>
      <c r="D446" t="s">
        <v>14</v>
      </c>
      <c r="E446" t="s">
        <v>15</v>
      </c>
      <c r="F446">
        <v>2177</v>
      </c>
      <c r="G446">
        <v>258</v>
      </c>
      <c r="H446">
        <v>292</v>
      </c>
      <c r="I446">
        <v>47276</v>
      </c>
      <c r="J446">
        <v>51324</v>
      </c>
      <c r="K446">
        <v>143</v>
      </c>
      <c r="L446" t="s">
        <v>16</v>
      </c>
      <c r="M446">
        <v>5.7682545054573146E-2</v>
      </c>
      <c r="N446" t="s">
        <v>34</v>
      </c>
    </row>
    <row r="447" spans="1:14">
      <c r="A447" t="s">
        <v>307</v>
      </c>
      <c r="B447" t="s">
        <v>13</v>
      </c>
      <c r="C447" s="1">
        <v>45691</v>
      </c>
      <c r="D447" t="s">
        <v>23</v>
      </c>
      <c r="E447" t="s">
        <v>24</v>
      </c>
      <c r="F447">
        <v>1205</v>
      </c>
      <c r="G447">
        <v>486</v>
      </c>
      <c r="H447">
        <v>269</v>
      </c>
      <c r="I447">
        <v>23341</v>
      </c>
      <c r="J447">
        <v>42411</v>
      </c>
      <c r="K447">
        <v>184</v>
      </c>
      <c r="L447" t="s">
        <v>46</v>
      </c>
      <c r="M447">
        <v>8.3972409065592737E-2</v>
      </c>
      <c r="N447" t="s">
        <v>34</v>
      </c>
    </row>
    <row r="448" spans="1:14">
      <c r="A448" t="s">
        <v>308</v>
      </c>
      <c r="B448" t="s">
        <v>13</v>
      </c>
      <c r="C448" s="1">
        <v>45628</v>
      </c>
      <c r="D448" t="s">
        <v>14</v>
      </c>
      <c r="E448" t="s">
        <v>33</v>
      </c>
      <c r="F448">
        <v>3194</v>
      </c>
      <c r="G448">
        <v>292</v>
      </c>
      <c r="H448">
        <v>245</v>
      </c>
      <c r="I448">
        <v>56371</v>
      </c>
      <c r="J448">
        <v>65597</v>
      </c>
      <c r="K448">
        <v>163</v>
      </c>
      <c r="L448" t="s">
        <v>16</v>
      </c>
      <c r="M448">
        <v>6.6186514342481059E-2</v>
      </c>
      <c r="N448" t="s">
        <v>37</v>
      </c>
    </row>
    <row r="449" spans="1:14">
      <c r="A449" t="s">
        <v>308</v>
      </c>
      <c r="B449" t="s">
        <v>13</v>
      </c>
      <c r="C449" s="1">
        <v>45628</v>
      </c>
      <c r="D449" t="s">
        <v>14</v>
      </c>
      <c r="E449" t="s">
        <v>33</v>
      </c>
      <c r="F449">
        <v>3194</v>
      </c>
      <c r="G449">
        <v>292</v>
      </c>
      <c r="H449">
        <v>245</v>
      </c>
      <c r="I449">
        <v>56371</v>
      </c>
      <c r="J449">
        <v>65597</v>
      </c>
      <c r="K449">
        <v>163</v>
      </c>
      <c r="L449" t="s">
        <v>16</v>
      </c>
      <c r="M449">
        <v>6.6186514342481059E-2</v>
      </c>
      <c r="N449" t="s">
        <v>34</v>
      </c>
    </row>
    <row r="450" spans="1:14">
      <c r="A450" t="s">
        <v>309</v>
      </c>
      <c r="B450" t="s">
        <v>22</v>
      </c>
      <c r="C450" s="1">
        <v>45676</v>
      </c>
      <c r="D450" t="s">
        <v>23</v>
      </c>
      <c r="E450" t="s">
        <v>24</v>
      </c>
      <c r="F450">
        <v>3507</v>
      </c>
      <c r="G450">
        <v>295</v>
      </c>
      <c r="H450">
        <v>371</v>
      </c>
      <c r="I450">
        <v>20410</v>
      </c>
      <c r="J450">
        <v>53965</v>
      </c>
      <c r="K450">
        <v>212</v>
      </c>
      <c r="L450" t="s">
        <v>16</v>
      </c>
      <c r="M450">
        <v>0.20445859872611466</v>
      </c>
      <c r="N450" t="s">
        <v>37</v>
      </c>
    </row>
    <row r="451" spans="1:14">
      <c r="A451" t="s">
        <v>309</v>
      </c>
      <c r="B451" t="s">
        <v>22</v>
      </c>
      <c r="C451" s="1">
        <v>45676</v>
      </c>
      <c r="D451" t="s">
        <v>23</v>
      </c>
      <c r="E451" t="s">
        <v>24</v>
      </c>
      <c r="F451">
        <v>3507</v>
      </c>
      <c r="G451">
        <v>295</v>
      </c>
      <c r="H451">
        <v>371</v>
      </c>
      <c r="I451">
        <v>20410</v>
      </c>
      <c r="J451">
        <v>53965</v>
      </c>
      <c r="K451">
        <v>212</v>
      </c>
      <c r="L451" t="s">
        <v>16</v>
      </c>
      <c r="M451">
        <v>0.20445859872611466</v>
      </c>
      <c r="N451" t="s">
        <v>34</v>
      </c>
    </row>
    <row r="452" spans="1:14">
      <c r="A452" t="s">
        <v>310</v>
      </c>
      <c r="B452" t="s">
        <v>22</v>
      </c>
      <c r="C452" s="1">
        <v>45563</v>
      </c>
      <c r="D452" t="s">
        <v>23</v>
      </c>
      <c r="E452" t="s">
        <v>360</v>
      </c>
      <c r="F452">
        <v>4471</v>
      </c>
      <c r="G452">
        <v>317</v>
      </c>
      <c r="H452">
        <v>249</v>
      </c>
      <c r="I452">
        <v>44862</v>
      </c>
      <c r="J452">
        <v>33365</v>
      </c>
      <c r="K452">
        <v>184</v>
      </c>
      <c r="L452" t="s">
        <v>16</v>
      </c>
      <c r="M452">
        <v>0.1122776514644911</v>
      </c>
      <c r="N452" t="s">
        <v>19</v>
      </c>
    </row>
    <row r="453" spans="1:14">
      <c r="A453" t="s">
        <v>310</v>
      </c>
      <c r="B453" t="s">
        <v>22</v>
      </c>
      <c r="C453" s="1">
        <v>45563</v>
      </c>
      <c r="D453" t="s">
        <v>23</v>
      </c>
      <c r="E453" t="s">
        <v>360</v>
      </c>
      <c r="F453">
        <v>4471</v>
      </c>
      <c r="G453">
        <v>317</v>
      </c>
      <c r="H453">
        <v>249</v>
      </c>
      <c r="I453">
        <v>44862</v>
      </c>
      <c r="J453">
        <v>33365</v>
      </c>
      <c r="K453">
        <v>184</v>
      </c>
      <c r="L453" t="s">
        <v>16</v>
      </c>
      <c r="M453">
        <v>0.1122776514644911</v>
      </c>
      <c r="N453" t="s">
        <v>364</v>
      </c>
    </row>
    <row r="454" spans="1:14">
      <c r="A454" t="s">
        <v>311</v>
      </c>
      <c r="B454" t="s">
        <v>13</v>
      </c>
      <c r="C454" s="1">
        <v>45298</v>
      </c>
      <c r="D454" t="s">
        <v>14</v>
      </c>
      <c r="E454" t="s">
        <v>33</v>
      </c>
      <c r="F454">
        <v>4931</v>
      </c>
      <c r="G454">
        <v>469</v>
      </c>
      <c r="H454">
        <v>193</v>
      </c>
      <c r="I454">
        <v>56701</v>
      </c>
      <c r="J454">
        <v>69437</v>
      </c>
      <c r="K454">
        <v>291</v>
      </c>
      <c r="L454" t="s">
        <v>16</v>
      </c>
      <c r="M454">
        <v>9.8640235621946709E-2</v>
      </c>
      <c r="N454" t="s">
        <v>37</v>
      </c>
    </row>
    <row r="455" spans="1:14">
      <c r="A455" t="s">
        <v>311</v>
      </c>
      <c r="B455" t="s">
        <v>13</v>
      </c>
      <c r="C455" s="1">
        <v>45298</v>
      </c>
      <c r="D455" t="s">
        <v>14</v>
      </c>
      <c r="E455" t="s">
        <v>33</v>
      </c>
      <c r="F455">
        <v>4931</v>
      </c>
      <c r="G455">
        <v>469</v>
      </c>
      <c r="H455">
        <v>193</v>
      </c>
      <c r="I455">
        <v>56701</v>
      </c>
      <c r="J455">
        <v>69437</v>
      </c>
      <c r="K455">
        <v>291</v>
      </c>
      <c r="L455" t="s">
        <v>16</v>
      </c>
      <c r="M455">
        <v>9.8640235621946709E-2</v>
      </c>
      <c r="N455" t="s">
        <v>34</v>
      </c>
    </row>
    <row r="456" spans="1:14">
      <c r="A456" t="s">
        <v>312</v>
      </c>
      <c r="B456" t="s">
        <v>22</v>
      </c>
      <c r="C456" s="1">
        <v>45343</v>
      </c>
      <c r="D456" t="s">
        <v>23</v>
      </c>
      <c r="E456" t="s">
        <v>30</v>
      </c>
      <c r="F456">
        <v>2604</v>
      </c>
      <c r="G456">
        <v>439</v>
      </c>
      <c r="H456">
        <v>148</v>
      </c>
      <c r="I456">
        <v>58468</v>
      </c>
      <c r="J456">
        <v>39629</v>
      </c>
      <c r="K456">
        <v>163</v>
      </c>
      <c r="L456" t="s">
        <v>16</v>
      </c>
      <c r="M456">
        <v>5.4576862557296296E-2</v>
      </c>
      <c r="N456" t="s">
        <v>364</v>
      </c>
    </row>
    <row r="457" spans="1:14">
      <c r="A457" t="s">
        <v>312</v>
      </c>
      <c r="B457" t="s">
        <v>22</v>
      </c>
      <c r="C457" s="1">
        <v>45343</v>
      </c>
      <c r="D457" t="s">
        <v>23</v>
      </c>
      <c r="E457" t="s">
        <v>30</v>
      </c>
      <c r="F457">
        <v>2604</v>
      </c>
      <c r="G457">
        <v>439</v>
      </c>
      <c r="H457">
        <v>148</v>
      </c>
      <c r="I457">
        <v>58468</v>
      </c>
      <c r="J457">
        <v>39629</v>
      </c>
      <c r="K457">
        <v>163</v>
      </c>
      <c r="L457" t="s">
        <v>16</v>
      </c>
      <c r="M457">
        <v>5.4576862557296296E-2</v>
      </c>
      <c r="N457" t="s">
        <v>34</v>
      </c>
    </row>
    <row r="458" spans="1:14">
      <c r="A458" t="s">
        <v>313</v>
      </c>
      <c r="B458" t="s">
        <v>13</v>
      </c>
      <c r="C458" s="1">
        <v>45531</v>
      </c>
      <c r="D458" t="s">
        <v>14</v>
      </c>
      <c r="E458" t="s">
        <v>361</v>
      </c>
      <c r="F458">
        <v>4197</v>
      </c>
      <c r="G458">
        <v>359</v>
      </c>
      <c r="H458">
        <v>280</v>
      </c>
      <c r="I458">
        <v>56048</v>
      </c>
      <c r="J458">
        <v>70930</v>
      </c>
      <c r="K458">
        <v>295</v>
      </c>
      <c r="L458" t="s">
        <v>20</v>
      </c>
      <c r="M458">
        <v>8.628318584070796E-2</v>
      </c>
      <c r="N458" t="s">
        <v>19</v>
      </c>
    </row>
    <row r="459" spans="1:14">
      <c r="A459" t="s">
        <v>314</v>
      </c>
      <c r="B459" t="s">
        <v>13</v>
      </c>
      <c r="C459" s="1">
        <v>45589</v>
      </c>
      <c r="D459" t="s">
        <v>23</v>
      </c>
      <c r="E459" t="s">
        <v>33</v>
      </c>
      <c r="F459">
        <v>1914</v>
      </c>
      <c r="G459">
        <v>255</v>
      </c>
      <c r="H459">
        <v>156</v>
      </c>
      <c r="I459">
        <v>27660</v>
      </c>
      <c r="J459">
        <v>47776</v>
      </c>
      <c r="K459">
        <v>111</v>
      </c>
      <c r="L459" t="s">
        <v>46</v>
      </c>
      <c r="M459">
        <v>8.4056399132321047E-2</v>
      </c>
      <c r="N459" t="s">
        <v>34</v>
      </c>
    </row>
    <row r="460" spans="1:14">
      <c r="A460" t="s">
        <v>315</v>
      </c>
      <c r="B460" t="s">
        <v>27</v>
      </c>
      <c r="C460" s="1">
        <v>45686</v>
      </c>
      <c r="D460" t="s">
        <v>14</v>
      </c>
      <c r="E460" t="s">
        <v>24</v>
      </c>
      <c r="F460">
        <v>1334</v>
      </c>
      <c r="G460">
        <v>357</v>
      </c>
      <c r="H460">
        <v>257</v>
      </c>
      <c r="I460">
        <v>56910</v>
      </c>
      <c r="J460">
        <v>70606</v>
      </c>
      <c r="K460">
        <v>228</v>
      </c>
      <c r="L460" t="s">
        <v>20</v>
      </c>
      <c r="M460">
        <v>3.4229485151994379E-2</v>
      </c>
      <c r="N460" t="s">
        <v>19</v>
      </c>
    </row>
    <row r="461" spans="1:14">
      <c r="A461" t="s">
        <v>315</v>
      </c>
      <c r="B461" t="s">
        <v>27</v>
      </c>
      <c r="C461" s="1">
        <v>45686</v>
      </c>
      <c r="D461" t="s">
        <v>14</v>
      </c>
      <c r="E461" t="s">
        <v>24</v>
      </c>
      <c r="F461">
        <v>1334</v>
      </c>
      <c r="G461">
        <v>357</v>
      </c>
      <c r="H461">
        <v>257</v>
      </c>
      <c r="I461">
        <v>56910</v>
      </c>
      <c r="J461">
        <v>70606</v>
      </c>
      <c r="K461">
        <v>228</v>
      </c>
      <c r="L461" t="s">
        <v>20</v>
      </c>
      <c r="M461">
        <v>3.4229485151994379E-2</v>
      </c>
      <c r="N461" t="s">
        <v>365</v>
      </c>
    </row>
    <row r="462" spans="1:14">
      <c r="A462" t="s">
        <v>316</v>
      </c>
      <c r="B462" t="s">
        <v>13</v>
      </c>
      <c r="C462" s="1">
        <v>45413</v>
      </c>
      <c r="D462" t="s">
        <v>14</v>
      </c>
      <c r="E462" t="s">
        <v>30</v>
      </c>
      <c r="F462">
        <v>3359</v>
      </c>
      <c r="G462">
        <v>137</v>
      </c>
      <c r="H462">
        <v>387</v>
      </c>
      <c r="I462">
        <v>33861</v>
      </c>
      <c r="J462">
        <v>47257</v>
      </c>
      <c r="K462">
        <v>198</v>
      </c>
      <c r="L462" t="s">
        <v>20</v>
      </c>
      <c r="M462">
        <v>0.11467469950680724</v>
      </c>
      <c r="N462" t="s">
        <v>19</v>
      </c>
    </row>
    <row r="463" spans="1:14">
      <c r="A463" t="s">
        <v>317</v>
      </c>
      <c r="B463" t="s">
        <v>27</v>
      </c>
      <c r="C463" s="1">
        <v>45468</v>
      </c>
      <c r="D463" t="s">
        <v>14</v>
      </c>
      <c r="E463" t="s">
        <v>42</v>
      </c>
      <c r="F463">
        <v>2172</v>
      </c>
      <c r="G463">
        <v>338</v>
      </c>
      <c r="H463">
        <v>70</v>
      </c>
      <c r="I463">
        <v>30515</v>
      </c>
      <c r="J463">
        <v>57853</v>
      </c>
      <c r="K463">
        <v>156</v>
      </c>
      <c r="L463" t="s">
        <v>20</v>
      </c>
      <c r="M463">
        <v>8.4548582664263475E-2</v>
      </c>
      <c r="N463" t="s">
        <v>19</v>
      </c>
    </row>
    <row r="464" spans="1:14">
      <c r="A464" t="s">
        <v>317</v>
      </c>
      <c r="B464" t="s">
        <v>27</v>
      </c>
      <c r="C464" s="1">
        <v>45468</v>
      </c>
      <c r="D464" t="s">
        <v>14</v>
      </c>
      <c r="E464" t="s">
        <v>42</v>
      </c>
      <c r="F464">
        <v>2172</v>
      </c>
      <c r="G464">
        <v>338</v>
      </c>
      <c r="H464">
        <v>70</v>
      </c>
      <c r="I464">
        <v>30515</v>
      </c>
      <c r="J464">
        <v>57853</v>
      </c>
      <c r="K464">
        <v>156</v>
      </c>
      <c r="L464" t="s">
        <v>20</v>
      </c>
      <c r="M464">
        <v>8.4548582664263475E-2</v>
      </c>
      <c r="N464" t="s">
        <v>365</v>
      </c>
    </row>
    <row r="465" spans="1:14">
      <c r="A465" t="s">
        <v>318</v>
      </c>
      <c r="B465" t="s">
        <v>22</v>
      </c>
      <c r="C465" s="1">
        <v>45513</v>
      </c>
      <c r="D465" t="s">
        <v>23</v>
      </c>
      <c r="E465" t="s">
        <v>363</v>
      </c>
      <c r="F465">
        <v>4877</v>
      </c>
      <c r="G465">
        <v>442</v>
      </c>
      <c r="H465">
        <v>236</v>
      </c>
      <c r="I465">
        <v>52673</v>
      </c>
      <c r="J465">
        <v>48241</v>
      </c>
      <c r="K465">
        <v>114</v>
      </c>
      <c r="L465" t="s">
        <v>16</v>
      </c>
      <c r="M465">
        <v>0.10546200140489435</v>
      </c>
      <c r="N465" t="s">
        <v>19</v>
      </c>
    </row>
    <row r="466" spans="1:14">
      <c r="A466" t="s">
        <v>318</v>
      </c>
      <c r="B466" t="s">
        <v>22</v>
      </c>
      <c r="C466" s="1">
        <v>45513</v>
      </c>
      <c r="D466" t="s">
        <v>23</v>
      </c>
      <c r="E466" t="s">
        <v>363</v>
      </c>
      <c r="F466">
        <v>4877</v>
      </c>
      <c r="G466">
        <v>442</v>
      </c>
      <c r="H466">
        <v>236</v>
      </c>
      <c r="I466">
        <v>52673</v>
      </c>
      <c r="J466">
        <v>48241</v>
      </c>
      <c r="K466">
        <v>114</v>
      </c>
      <c r="L466" t="s">
        <v>16</v>
      </c>
      <c r="M466">
        <v>0.10546200140489435</v>
      </c>
      <c r="N466" t="s">
        <v>364</v>
      </c>
    </row>
    <row r="467" spans="1:14">
      <c r="A467" t="s">
        <v>319</v>
      </c>
      <c r="B467" t="s">
        <v>13</v>
      </c>
      <c r="C467" s="1">
        <v>45678</v>
      </c>
      <c r="D467" t="s">
        <v>23</v>
      </c>
      <c r="E467" t="s">
        <v>24</v>
      </c>
      <c r="F467">
        <v>4918</v>
      </c>
      <c r="G467">
        <v>440</v>
      </c>
      <c r="H467">
        <v>149</v>
      </c>
      <c r="I467">
        <v>53269</v>
      </c>
      <c r="J467">
        <v>64370</v>
      </c>
      <c r="K467">
        <v>269</v>
      </c>
      <c r="L467" t="s">
        <v>46</v>
      </c>
      <c r="M467">
        <v>0.10338095327488783</v>
      </c>
      <c r="N467" t="s">
        <v>34</v>
      </c>
    </row>
    <row r="468" spans="1:14">
      <c r="A468" t="s">
        <v>320</v>
      </c>
      <c r="B468" t="s">
        <v>22</v>
      </c>
      <c r="C468" s="1">
        <v>45517</v>
      </c>
      <c r="D468" t="s">
        <v>14</v>
      </c>
      <c r="E468" t="s">
        <v>18</v>
      </c>
      <c r="F468">
        <v>3418</v>
      </c>
      <c r="G468">
        <v>107</v>
      </c>
      <c r="H468">
        <v>221</v>
      </c>
      <c r="I468">
        <v>23927</v>
      </c>
      <c r="J468">
        <v>26182</v>
      </c>
      <c r="K468">
        <v>155</v>
      </c>
      <c r="L468" t="s">
        <v>20</v>
      </c>
      <c r="M468">
        <v>0.1565595352530614</v>
      </c>
      <c r="N468" t="s">
        <v>37</v>
      </c>
    </row>
    <row r="469" spans="1:14">
      <c r="A469" t="s">
        <v>321</v>
      </c>
      <c r="B469" t="s">
        <v>13</v>
      </c>
      <c r="C469" s="1">
        <v>45472</v>
      </c>
      <c r="D469" t="s">
        <v>14</v>
      </c>
      <c r="E469" t="s">
        <v>42</v>
      </c>
      <c r="F469">
        <v>2088</v>
      </c>
      <c r="G469">
        <v>490</v>
      </c>
      <c r="H469">
        <v>124</v>
      </c>
      <c r="I469">
        <v>46544</v>
      </c>
      <c r="J469">
        <v>69346</v>
      </c>
      <c r="K469">
        <v>178</v>
      </c>
      <c r="L469" t="s">
        <v>16</v>
      </c>
      <c r="M469">
        <v>5.8052595393606049E-2</v>
      </c>
      <c r="N469" t="s">
        <v>37</v>
      </c>
    </row>
    <row r="470" spans="1:14">
      <c r="A470" t="s">
        <v>321</v>
      </c>
      <c r="B470" t="s">
        <v>13</v>
      </c>
      <c r="C470" s="1">
        <v>45472</v>
      </c>
      <c r="D470" t="s">
        <v>14</v>
      </c>
      <c r="E470" t="s">
        <v>42</v>
      </c>
      <c r="F470">
        <v>2088</v>
      </c>
      <c r="G470">
        <v>490</v>
      </c>
      <c r="H470">
        <v>124</v>
      </c>
      <c r="I470">
        <v>46544</v>
      </c>
      <c r="J470">
        <v>69346</v>
      </c>
      <c r="K470">
        <v>178</v>
      </c>
      <c r="L470" t="s">
        <v>16</v>
      </c>
      <c r="M470">
        <v>5.8052595393606049E-2</v>
      </c>
      <c r="N470" t="s">
        <v>34</v>
      </c>
    </row>
    <row r="471" spans="1:14">
      <c r="A471" t="s">
        <v>322</v>
      </c>
      <c r="B471" t="s">
        <v>22</v>
      </c>
      <c r="C471" s="1">
        <v>45599</v>
      </c>
      <c r="D471" t="s">
        <v>23</v>
      </c>
      <c r="E471" t="s">
        <v>18</v>
      </c>
      <c r="F471">
        <v>3061</v>
      </c>
      <c r="G471">
        <v>320</v>
      </c>
      <c r="H471">
        <v>76</v>
      </c>
      <c r="I471">
        <v>26640</v>
      </c>
      <c r="J471">
        <v>24306</v>
      </c>
      <c r="K471">
        <v>112</v>
      </c>
      <c r="L471" t="s">
        <v>16</v>
      </c>
      <c r="M471">
        <v>0.12976726726726726</v>
      </c>
      <c r="N471" t="s">
        <v>364</v>
      </c>
    </row>
    <row r="472" spans="1:14">
      <c r="A472" t="s">
        <v>322</v>
      </c>
      <c r="B472" t="s">
        <v>22</v>
      </c>
      <c r="C472" s="1">
        <v>45599</v>
      </c>
      <c r="D472" t="s">
        <v>23</v>
      </c>
      <c r="E472" t="s">
        <v>18</v>
      </c>
      <c r="F472">
        <v>3061</v>
      </c>
      <c r="G472">
        <v>320</v>
      </c>
      <c r="H472">
        <v>76</v>
      </c>
      <c r="I472">
        <v>26640</v>
      </c>
      <c r="J472">
        <v>24306</v>
      </c>
      <c r="K472">
        <v>112</v>
      </c>
      <c r="L472" t="s">
        <v>16</v>
      </c>
      <c r="M472">
        <v>0.12976726726726726</v>
      </c>
      <c r="N472" t="s">
        <v>34</v>
      </c>
    </row>
    <row r="473" spans="1:14">
      <c r="A473" t="s">
        <v>323</v>
      </c>
      <c r="B473" t="s">
        <v>27</v>
      </c>
      <c r="C473" s="1">
        <v>45765</v>
      </c>
      <c r="D473" t="s">
        <v>48</v>
      </c>
      <c r="E473" t="s">
        <v>42</v>
      </c>
      <c r="F473">
        <v>1265</v>
      </c>
      <c r="G473">
        <v>230</v>
      </c>
      <c r="H473">
        <v>364</v>
      </c>
      <c r="I473">
        <v>41312</v>
      </c>
      <c r="J473">
        <v>50382</v>
      </c>
      <c r="K473">
        <v>106</v>
      </c>
      <c r="L473" t="s">
        <v>49</v>
      </c>
      <c r="M473">
        <v>4.4999031758326875E-2</v>
      </c>
      <c r="N473" t="s">
        <v>19</v>
      </c>
    </row>
    <row r="474" spans="1:14">
      <c r="A474" t="s">
        <v>323</v>
      </c>
      <c r="B474" t="s">
        <v>27</v>
      </c>
      <c r="C474" s="1">
        <v>45765</v>
      </c>
      <c r="D474" t="s">
        <v>48</v>
      </c>
      <c r="E474" t="s">
        <v>42</v>
      </c>
      <c r="F474">
        <v>1265</v>
      </c>
      <c r="G474">
        <v>230</v>
      </c>
      <c r="H474">
        <v>364</v>
      </c>
      <c r="I474">
        <v>41312</v>
      </c>
      <c r="J474">
        <v>50382</v>
      </c>
      <c r="K474">
        <v>106</v>
      </c>
      <c r="L474" t="s">
        <v>49</v>
      </c>
      <c r="M474">
        <v>4.4999031758326875E-2</v>
      </c>
      <c r="N474" t="s">
        <v>37</v>
      </c>
    </row>
    <row r="475" spans="1:14">
      <c r="A475" t="s">
        <v>324</v>
      </c>
      <c r="B475" t="s">
        <v>13</v>
      </c>
      <c r="C475" s="1">
        <v>45653</v>
      </c>
      <c r="D475" t="s">
        <v>14</v>
      </c>
      <c r="E475" t="s">
        <v>363</v>
      </c>
      <c r="F475">
        <v>1436</v>
      </c>
      <c r="G475">
        <v>219</v>
      </c>
      <c r="H475">
        <v>229</v>
      </c>
      <c r="I475">
        <v>58488</v>
      </c>
      <c r="J475">
        <v>24314</v>
      </c>
      <c r="K475">
        <v>147</v>
      </c>
      <c r="L475" t="s">
        <v>20</v>
      </c>
      <c r="M475">
        <v>3.221173574066475E-2</v>
      </c>
      <c r="N475" t="s">
        <v>19</v>
      </c>
    </row>
    <row r="476" spans="1:14">
      <c r="A476" t="s">
        <v>325</v>
      </c>
      <c r="B476" t="s">
        <v>13</v>
      </c>
      <c r="C476" s="1">
        <v>45724</v>
      </c>
      <c r="D476" t="s">
        <v>23</v>
      </c>
      <c r="E476" t="s">
        <v>33</v>
      </c>
      <c r="F476">
        <v>2244</v>
      </c>
      <c r="G476">
        <v>392</v>
      </c>
      <c r="H476">
        <v>231</v>
      </c>
      <c r="I476">
        <v>25834</v>
      </c>
      <c r="J476">
        <v>50906</v>
      </c>
      <c r="K476">
        <v>165</v>
      </c>
      <c r="L476" t="s">
        <v>46</v>
      </c>
      <c r="M476">
        <v>0.1109777812185492</v>
      </c>
      <c r="N476" t="s">
        <v>34</v>
      </c>
    </row>
    <row r="477" spans="1:14">
      <c r="A477" t="s">
        <v>326</v>
      </c>
      <c r="B477" t="s">
        <v>22</v>
      </c>
      <c r="C477" s="1">
        <v>45736</v>
      </c>
      <c r="D477" t="s">
        <v>23</v>
      </c>
      <c r="E477" t="s">
        <v>42</v>
      </c>
      <c r="F477">
        <v>3393</v>
      </c>
      <c r="G477">
        <v>104</v>
      </c>
      <c r="H477">
        <v>79</v>
      </c>
      <c r="I477">
        <v>30025</v>
      </c>
      <c r="J477">
        <v>21593</v>
      </c>
      <c r="K477">
        <v>165</v>
      </c>
      <c r="L477" t="s">
        <v>16</v>
      </c>
      <c r="M477">
        <v>0.1191007493755204</v>
      </c>
      <c r="N477" t="s">
        <v>364</v>
      </c>
    </row>
    <row r="478" spans="1:14">
      <c r="A478" t="s">
        <v>326</v>
      </c>
      <c r="B478" t="s">
        <v>22</v>
      </c>
      <c r="C478" s="1">
        <v>45736</v>
      </c>
      <c r="D478" t="s">
        <v>23</v>
      </c>
      <c r="E478" t="s">
        <v>42</v>
      </c>
      <c r="F478">
        <v>3393</v>
      </c>
      <c r="G478">
        <v>104</v>
      </c>
      <c r="H478">
        <v>79</v>
      </c>
      <c r="I478">
        <v>30025</v>
      </c>
      <c r="J478">
        <v>21593</v>
      </c>
      <c r="K478">
        <v>165</v>
      </c>
      <c r="L478" t="s">
        <v>16</v>
      </c>
      <c r="M478">
        <v>0.1191007493755204</v>
      </c>
      <c r="N478" t="s">
        <v>34</v>
      </c>
    </row>
    <row r="479" spans="1:14">
      <c r="A479" t="s">
        <v>327</v>
      </c>
      <c r="B479" t="s">
        <v>22</v>
      </c>
      <c r="C479" s="1">
        <v>45612</v>
      </c>
      <c r="D479" t="s">
        <v>14</v>
      </c>
      <c r="E479" t="s">
        <v>18</v>
      </c>
      <c r="F479">
        <v>2901</v>
      </c>
      <c r="G479">
        <v>108</v>
      </c>
      <c r="H479">
        <v>86</v>
      </c>
      <c r="I479">
        <v>51777</v>
      </c>
      <c r="J479">
        <v>23773</v>
      </c>
      <c r="K479">
        <v>160</v>
      </c>
      <c r="L479" t="s">
        <v>20</v>
      </c>
      <c r="M479">
        <v>5.9775576027966085E-2</v>
      </c>
      <c r="N479" t="s">
        <v>37</v>
      </c>
    </row>
    <row r="480" spans="1:14">
      <c r="A480" t="s">
        <v>328</v>
      </c>
      <c r="B480" t="s">
        <v>22</v>
      </c>
      <c r="C480" s="1">
        <v>45838</v>
      </c>
      <c r="D480" t="s">
        <v>14</v>
      </c>
      <c r="E480" t="s">
        <v>362</v>
      </c>
      <c r="F480">
        <v>2275</v>
      </c>
      <c r="G480">
        <v>285</v>
      </c>
      <c r="H480">
        <v>125</v>
      </c>
      <c r="I480">
        <v>43970</v>
      </c>
      <c r="J480">
        <v>74761</v>
      </c>
      <c r="K480">
        <v>83</v>
      </c>
      <c r="L480" t="s">
        <v>16</v>
      </c>
      <c r="M480">
        <v>6.1064362065044349E-2</v>
      </c>
      <c r="N480" t="s">
        <v>34</v>
      </c>
    </row>
    <row r="481" spans="1:14">
      <c r="A481" t="s">
        <v>329</v>
      </c>
      <c r="B481" t="s">
        <v>22</v>
      </c>
      <c r="C481" s="1">
        <v>45303</v>
      </c>
      <c r="D481" t="s">
        <v>23</v>
      </c>
      <c r="E481" t="s">
        <v>360</v>
      </c>
      <c r="F481">
        <v>2227</v>
      </c>
      <c r="G481">
        <v>494</v>
      </c>
      <c r="H481">
        <v>161</v>
      </c>
      <c r="I481">
        <v>51651</v>
      </c>
      <c r="J481">
        <v>68074</v>
      </c>
      <c r="K481">
        <v>240</v>
      </c>
      <c r="L481" t="s">
        <v>16</v>
      </c>
      <c r="M481">
        <v>5.5797564422760453E-2</v>
      </c>
      <c r="N481" t="s">
        <v>19</v>
      </c>
    </row>
    <row r="482" spans="1:14">
      <c r="A482" t="s">
        <v>329</v>
      </c>
      <c r="B482" t="s">
        <v>22</v>
      </c>
      <c r="C482" s="1">
        <v>45303</v>
      </c>
      <c r="D482" t="s">
        <v>23</v>
      </c>
      <c r="E482" t="s">
        <v>360</v>
      </c>
      <c r="F482">
        <v>2227</v>
      </c>
      <c r="G482">
        <v>494</v>
      </c>
      <c r="H482">
        <v>161</v>
      </c>
      <c r="I482">
        <v>51651</v>
      </c>
      <c r="J482">
        <v>68074</v>
      </c>
      <c r="K482">
        <v>240</v>
      </c>
      <c r="L482" t="s">
        <v>16</v>
      </c>
      <c r="M482">
        <v>5.5797564422760453E-2</v>
      </c>
      <c r="N482" t="s">
        <v>364</v>
      </c>
    </row>
    <row r="483" spans="1:14">
      <c r="A483" t="s">
        <v>330</v>
      </c>
      <c r="B483" t="s">
        <v>13</v>
      </c>
      <c r="C483" s="1">
        <v>45329</v>
      </c>
      <c r="D483" t="s">
        <v>14</v>
      </c>
      <c r="E483" t="s">
        <v>361</v>
      </c>
      <c r="F483">
        <v>1883</v>
      </c>
      <c r="G483">
        <v>432</v>
      </c>
      <c r="H483">
        <v>397</v>
      </c>
      <c r="I483">
        <v>28759</v>
      </c>
      <c r="J483">
        <v>18691</v>
      </c>
      <c r="K483">
        <v>270</v>
      </c>
      <c r="L483" t="s">
        <v>16</v>
      </c>
      <c r="M483">
        <v>9.4300914496331587E-2</v>
      </c>
      <c r="N483" t="s">
        <v>37</v>
      </c>
    </row>
    <row r="484" spans="1:14">
      <c r="A484" t="s">
        <v>330</v>
      </c>
      <c r="B484" t="s">
        <v>13</v>
      </c>
      <c r="C484" s="1">
        <v>45329</v>
      </c>
      <c r="D484" t="s">
        <v>14</v>
      </c>
      <c r="E484" t="s">
        <v>361</v>
      </c>
      <c r="F484">
        <v>1883</v>
      </c>
      <c r="G484">
        <v>432</v>
      </c>
      <c r="H484">
        <v>397</v>
      </c>
      <c r="I484">
        <v>28759</v>
      </c>
      <c r="J484">
        <v>18691</v>
      </c>
      <c r="K484">
        <v>270</v>
      </c>
      <c r="L484" t="s">
        <v>16</v>
      </c>
      <c r="M484">
        <v>9.4300914496331587E-2</v>
      </c>
      <c r="N484" t="s">
        <v>34</v>
      </c>
    </row>
  </sheetData>
  <mergeCells count="3">
    <mergeCell ref="P12:W12"/>
    <mergeCell ref="P16:U16"/>
    <mergeCell ref="P15:U15"/>
  </mergeCells>
  <conditionalFormatting sqref="P5:Q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D829-0866-4C68-BB91-109B588C6977}">
  <dimension ref="A1:W484"/>
  <sheetViews>
    <sheetView topLeftCell="K1" zoomScale="85" zoomScaleNormal="85" workbookViewId="0">
      <pane ySplit="1" topLeftCell="A2" activePane="bottomLeft" state="frozen"/>
      <selection activeCell="K1" sqref="K1"/>
      <selection pane="bottomLeft" activeCell="R5" sqref="R5"/>
    </sheetView>
  </sheetViews>
  <sheetFormatPr defaultRowHeight="15"/>
  <cols>
    <col min="1" max="1" width="9.42578125" hidden="1" customWidth="1"/>
    <col min="2" max="2" width="11" hidden="1" customWidth="1"/>
    <col min="3" max="3" width="15.5703125" style="1" hidden="1" customWidth="1"/>
    <col min="4" max="4" width="15.140625" hidden="1" customWidth="1"/>
    <col min="5" max="5" width="36.5703125" hidden="1" customWidth="1"/>
    <col min="6" max="6" width="7.7109375" hidden="1" customWidth="1"/>
    <col min="7" max="7" width="0" hidden="1" customWidth="1"/>
    <col min="8" max="8" width="12.85546875" hidden="1" customWidth="1"/>
    <col min="9" max="9" width="14" hidden="1" customWidth="1"/>
    <col min="10" max="10" width="8.5703125" hidden="1" customWidth="1"/>
    <col min="11" max="11" width="8.28515625" style="46" bestFit="1" customWidth="1"/>
    <col min="12" max="12" width="18.42578125" hidden="1" customWidth="1"/>
    <col min="13" max="13" width="18.85546875" hidden="1" customWidth="1"/>
    <col min="14" max="14" width="18.5703125" bestFit="1" customWidth="1"/>
    <col min="15" max="15" width="18.5703125" customWidth="1"/>
    <col min="16" max="16" width="18.85546875" bestFit="1" customWidth="1"/>
    <col min="17" max="17" width="16.140625" bestFit="1" customWidth="1"/>
  </cols>
  <sheetData>
    <row r="1" spans="1:2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6" t="s">
        <v>10</v>
      </c>
      <c r="L1" t="s">
        <v>11</v>
      </c>
      <c r="M1" t="s">
        <v>368</v>
      </c>
      <c r="N1" t="s">
        <v>373</v>
      </c>
    </row>
    <row r="2" spans="1:23" ht="15" customHeight="1">
      <c r="A2" t="s">
        <v>154</v>
      </c>
      <c r="B2" t="s">
        <v>22</v>
      </c>
      <c r="C2" s="1">
        <v>45421</v>
      </c>
      <c r="D2" t="s">
        <v>23</v>
      </c>
      <c r="E2" t="s">
        <v>24</v>
      </c>
      <c r="F2">
        <v>3277</v>
      </c>
      <c r="G2">
        <v>423</v>
      </c>
      <c r="H2">
        <v>259</v>
      </c>
      <c r="I2">
        <v>46328</v>
      </c>
      <c r="J2">
        <v>44293</v>
      </c>
      <c r="K2" s="46">
        <v>299</v>
      </c>
      <c r="L2" t="s">
        <v>16</v>
      </c>
      <c r="M2">
        <v>8.5455879813503707E-2</v>
      </c>
      <c r="N2" t="s">
        <v>37</v>
      </c>
      <c r="P2" s="17"/>
      <c r="Q2" s="17"/>
    </row>
    <row r="3" spans="1:23" ht="15" customHeight="1">
      <c r="A3" t="s">
        <v>154</v>
      </c>
      <c r="B3" t="s">
        <v>22</v>
      </c>
      <c r="C3" s="1">
        <v>45421</v>
      </c>
      <c r="D3" t="s">
        <v>23</v>
      </c>
      <c r="E3" t="s">
        <v>24</v>
      </c>
      <c r="F3">
        <v>3277</v>
      </c>
      <c r="G3">
        <v>423</v>
      </c>
      <c r="H3">
        <v>259</v>
      </c>
      <c r="I3">
        <v>46328</v>
      </c>
      <c r="J3">
        <v>44293</v>
      </c>
      <c r="K3" s="46">
        <v>299</v>
      </c>
      <c r="L3" t="s">
        <v>16</v>
      </c>
      <c r="M3">
        <v>8.5455879813503707E-2</v>
      </c>
      <c r="N3" t="s">
        <v>34</v>
      </c>
      <c r="P3" s="17"/>
      <c r="Q3" s="17"/>
    </row>
    <row r="4" spans="1:23">
      <c r="A4" t="s">
        <v>118</v>
      </c>
      <c r="B4" t="s">
        <v>22</v>
      </c>
      <c r="C4" s="1">
        <v>45705</v>
      </c>
      <c r="D4" t="s">
        <v>23</v>
      </c>
      <c r="E4" t="s">
        <v>362</v>
      </c>
      <c r="F4">
        <v>4796</v>
      </c>
      <c r="G4">
        <v>427</v>
      </c>
      <c r="H4">
        <v>339</v>
      </c>
      <c r="I4">
        <v>30752</v>
      </c>
      <c r="J4">
        <v>33870</v>
      </c>
      <c r="K4" s="46">
        <v>298</v>
      </c>
      <c r="L4" t="s">
        <v>16</v>
      </c>
      <c r="M4">
        <v>0.18086628511966701</v>
      </c>
      <c r="N4" t="s">
        <v>37</v>
      </c>
      <c r="P4" s="15" t="s">
        <v>377</v>
      </c>
      <c r="Q4" t="s">
        <v>372</v>
      </c>
      <c r="R4" s="73" t="s">
        <v>374</v>
      </c>
    </row>
    <row r="5" spans="1:23">
      <c r="A5" t="s">
        <v>118</v>
      </c>
      <c r="B5" t="s">
        <v>22</v>
      </c>
      <c r="C5" s="1">
        <v>45705</v>
      </c>
      <c r="D5" t="s">
        <v>23</v>
      </c>
      <c r="E5" t="s">
        <v>362</v>
      </c>
      <c r="F5">
        <v>4796</v>
      </c>
      <c r="G5">
        <v>427</v>
      </c>
      <c r="H5">
        <v>339</v>
      </c>
      <c r="I5">
        <v>30752</v>
      </c>
      <c r="J5">
        <v>33870</v>
      </c>
      <c r="K5" s="46">
        <v>298</v>
      </c>
      <c r="L5" t="s">
        <v>16</v>
      </c>
      <c r="M5">
        <v>0.18086628511966701</v>
      </c>
      <c r="N5" t="s">
        <v>34</v>
      </c>
      <c r="P5" s="48" t="s">
        <v>365</v>
      </c>
      <c r="Q5" s="51">
        <v>208.47058823529412</v>
      </c>
      <c r="R5" s="56">
        <f>RANK(Q5,$Q$5:$Q$9,0)</f>
        <v>1</v>
      </c>
    </row>
    <row r="6" spans="1:23">
      <c r="A6" t="s">
        <v>197</v>
      </c>
      <c r="B6" t="s">
        <v>27</v>
      </c>
      <c r="C6" s="1">
        <v>45684</v>
      </c>
      <c r="D6" t="s">
        <v>14</v>
      </c>
      <c r="E6" t="s">
        <v>360</v>
      </c>
      <c r="F6">
        <v>4294</v>
      </c>
      <c r="G6">
        <v>423</v>
      </c>
      <c r="H6">
        <v>93</v>
      </c>
      <c r="I6">
        <v>29828</v>
      </c>
      <c r="J6">
        <v>73144</v>
      </c>
      <c r="K6" s="46">
        <v>298</v>
      </c>
      <c r="L6" t="s">
        <v>20</v>
      </c>
      <c r="M6">
        <v>0.1612578785034196</v>
      </c>
      <c r="N6" t="s">
        <v>19</v>
      </c>
      <c r="P6" s="49" t="s">
        <v>19</v>
      </c>
      <c r="Q6" s="52">
        <v>197.16923076923078</v>
      </c>
      <c r="R6" s="56">
        <f t="shared" ref="R6:R9" si="0">RANK(Q6,$Q$5:$Q$9,0)</f>
        <v>2</v>
      </c>
    </row>
    <row r="7" spans="1:23">
      <c r="A7" t="s">
        <v>197</v>
      </c>
      <c r="B7" t="s">
        <v>27</v>
      </c>
      <c r="C7" s="1">
        <v>45684</v>
      </c>
      <c r="D7" t="s">
        <v>14</v>
      </c>
      <c r="E7" t="s">
        <v>360</v>
      </c>
      <c r="F7">
        <v>4294</v>
      </c>
      <c r="G7">
        <v>423</v>
      </c>
      <c r="H7">
        <v>93</v>
      </c>
      <c r="I7">
        <v>29828</v>
      </c>
      <c r="J7">
        <v>73144</v>
      </c>
      <c r="K7" s="46">
        <v>298</v>
      </c>
      <c r="L7" t="s">
        <v>20</v>
      </c>
      <c r="M7">
        <v>0.1612578785034196</v>
      </c>
      <c r="N7" t="s">
        <v>365</v>
      </c>
      <c r="P7" s="49" t="s">
        <v>37</v>
      </c>
      <c r="Q7" s="52">
        <v>192.45871559633028</v>
      </c>
      <c r="R7" s="56">
        <f t="shared" si="0"/>
        <v>3</v>
      </c>
    </row>
    <row r="8" spans="1:23">
      <c r="A8" t="s">
        <v>267</v>
      </c>
      <c r="B8" t="s">
        <v>27</v>
      </c>
      <c r="C8" s="1">
        <v>45305</v>
      </c>
      <c r="D8" t="s">
        <v>14</v>
      </c>
      <c r="E8" t="s">
        <v>362</v>
      </c>
      <c r="F8">
        <v>4502</v>
      </c>
      <c r="G8">
        <v>238</v>
      </c>
      <c r="H8">
        <v>386</v>
      </c>
      <c r="I8">
        <v>39198</v>
      </c>
      <c r="J8">
        <v>25050</v>
      </c>
      <c r="K8" s="46">
        <v>297</v>
      </c>
      <c r="L8" t="s">
        <v>20</v>
      </c>
      <c r="M8">
        <v>0.13077197816215114</v>
      </c>
      <c r="N8" t="s">
        <v>19</v>
      </c>
      <c r="P8" s="49" t="s">
        <v>34</v>
      </c>
      <c r="Q8" s="52">
        <v>186.72027972027973</v>
      </c>
      <c r="R8" s="56">
        <f t="shared" si="0"/>
        <v>4</v>
      </c>
    </row>
    <row r="9" spans="1:23">
      <c r="A9" t="s">
        <v>267</v>
      </c>
      <c r="B9" t="s">
        <v>27</v>
      </c>
      <c r="C9" s="1">
        <v>45305</v>
      </c>
      <c r="D9" t="s">
        <v>14</v>
      </c>
      <c r="E9" t="s">
        <v>362</v>
      </c>
      <c r="F9">
        <v>4502</v>
      </c>
      <c r="G9">
        <v>238</v>
      </c>
      <c r="H9">
        <v>386</v>
      </c>
      <c r="I9">
        <v>39198</v>
      </c>
      <c r="J9">
        <v>25050</v>
      </c>
      <c r="K9" s="46">
        <v>297</v>
      </c>
      <c r="L9" t="s">
        <v>20</v>
      </c>
      <c r="M9">
        <v>0.13077197816215114</v>
      </c>
      <c r="N9" t="s">
        <v>365</v>
      </c>
      <c r="P9" s="50" t="s">
        <v>364</v>
      </c>
      <c r="Q9" s="53">
        <v>183.47761194029852</v>
      </c>
      <c r="R9" s="57">
        <f t="shared" si="0"/>
        <v>5</v>
      </c>
    </row>
    <row r="10" spans="1:23">
      <c r="A10" t="s">
        <v>167</v>
      </c>
      <c r="B10" t="s">
        <v>22</v>
      </c>
      <c r="C10" s="1">
        <v>45387</v>
      </c>
      <c r="D10" t="s">
        <v>23</v>
      </c>
      <c r="E10" t="s">
        <v>24</v>
      </c>
      <c r="F10">
        <v>4965</v>
      </c>
      <c r="G10">
        <v>175</v>
      </c>
      <c r="H10">
        <v>307</v>
      </c>
      <c r="I10">
        <v>32793</v>
      </c>
      <c r="J10">
        <v>43412</v>
      </c>
      <c r="K10" s="46">
        <v>296</v>
      </c>
      <c r="L10" t="s">
        <v>16</v>
      </c>
      <c r="M10">
        <v>0.16610252187966945</v>
      </c>
      <c r="N10" t="s">
        <v>37</v>
      </c>
    </row>
    <row r="11" spans="1:23">
      <c r="A11" t="s">
        <v>167</v>
      </c>
      <c r="B11" t="s">
        <v>22</v>
      </c>
      <c r="C11" s="1">
        <v>45387</v>
      </c>
      <c r="D11" t="s">
        <v>23</v>
      </c>
      <c r="E11" t="s">
        <v>24</v>
      </c>
      <c r="F11">
        <v>4965</v>
      </c>
      <c r="G11">
        <v>175</v>
      </c>
      <c r="H11">
        <v>307</v>
      </c>
      <c r="I11">
        <v>32793</v>
      </c>
      <c r="J11">
        <v>43412</v>
      </c>
      <c r="K11" s="46">
        <v>296</v>
      </c>
      <c r="L11" t="s">
        <v>16</v>
      </c>
      <c r="M11">
        <v>0.16610252187966945</v>
      </c>
      <c r="N11" t="s">
        <v>34</v>
      </c>
      <c r="P11" s="78"/>
      <c r="Q11" s="78"/>
      <c r="R11" s="78"/>
      <c r="S11" s="78"/>
      <c r="T11" s="78"/>
      <c r="U11" s="72"/>
      <c r="V11" s="72"/>
      <c r="W11" s="72"/>
    </row>
    <row r="12" spans="1:23">
      <c r="A12" t="s">
        <v>242</v>
      </c>
      <c r="B12" t="s">
        <v>22</v>
      </c>
      <c r="C12" s="1">
        <v>45827</v>
      </c>
      <c r="D12" t="s">
        <v>23</v>
      </c>
      <c r="E12" t="s">
        <v>362</v>
      </c>
      <c r="F12">
        <v>1433</v>
      </c>
      <c r="G12">
        <v>452</v>
      </c>
      <c r="H12">
        <v>305</v>
      </c>
      <c r="I12">
        <v>54541</v>
      </c>
      <c r="J12">
        <v>63700</v>
      </c>
      <c r="K12" s="46">
        <v>296</v>
      </c>
      <c r="L12" t="s">
        <v>16</v>
      </c>
      <c r="M12">
        <v>4.0153279184466734E-2</v>
      </c>
      <c r="N12" t="s">
        <v>19</v>
      </c>
      <c r="P12" s="76"/>
      <c r="Q12" s="76"/>
      <c r="R12" s="76"/>
      <c r="S12" s="76"/>
      <c r="T12" s="76"/>
    </row>
    <row r="13" spans="1:23">
      <c r="A13" t="s">
        <v>242</v>
      </c>
      <c r="B13" t="s">
        <v>22</v>
      </c>
      <c r="C13" s="1">
        <v>45827</v>
      </c>
      <c r="D13" t="s">
        <v>23</v>
      </c>
      <c r="E13" t="s">
        <v>362</v>
      </c>
      <c r="F13">
        <v>1433</v>
      </c>
      <c r="G13">
        <v>452</v>
      </c>
      <c r="H13">
        <v>305</v>
      </c>
      <c r="I13">
        <v>54541</v>
      </c>
      <c r="J13">
        <v>63700</v>
      </c>
      <c r="K13" s="46">
        <v>296</v>
      </c>
      <c r="L13" t="s">
        <v>16</v>
      </c>
      <c r="M13">
        <v>4.0153279184466734E-2</v>
      </c>
      <c r="N13" t="s">
        <v>364</v>
      </c>
    </row>
    <row r="14" spans="1:23">
      <c r="A14" t="s">
        <v>313</v>
      </c>
      <c r="B14" t="s">
        <v>13</v>
      </c>
      <c r="C14" s="1">
        <v>45531</v>
      </c>
      <c r="D14" t="s">
        <v>14</v>
      </c>
      <c r="E14" t="s">
        <v>361</v>
      </c>
      <c r="F14">
        <v>4197</v>
      </c>
      <c r="G14">
        <v>359</v>
      </c>
      <c r="H14">
        <v>280</v>
      </c>
      <c r="I14">
        <v>56048</v>
      </c>
      <c r="J14">
        <v>70930</v>
      </c>
      <c r="K14" s="46">
        <v>295</v>
      </c>
      <c r="L14" t="s">
        <v>20</v>
      </c>
      <c r="M14">
        <v>8.628318584070796E-2</v>
      </c>
      <c r="N14" t="s">
        <v>19</v>
      </c>
    </row>
    <row r="15" spans="1:23">
      <c r="A15" t="s">
        <v>257</v>
      </c>
      <c r="B15" t="s">
        <v>27</v>
      </c>
      <c r="C15" s="1">
        <v>45738</v>
      </c>
      <c r="D15" t="s">
        <v>14</v>
      </c>
      <c r="E15" t="s">
        <v>361</v>
      </c>
      <c r="F15">
        <v>4308</v>
      </c>
      <c r="G15">
        <v>171</v>
      </c>
      <c r="H15">
        <v>106</v>
      </c>
      <c r="I15">
        <v>36955</v>
      </c>
      <c r="J15">
        <v>23949</v>
      </c>
      <c r="K15" s="46">
        <v>294</v>
      </c>
      <c r="L15" t="s">
        <v>20</v>
      </c>
      <c r="M15">
        <v>0.12406981463942633</v>
      </c>
      <c r="N15" t="s">
        <v>19</v>
      </c>
    </row>
    <row r="16" spans="1:23">
      <c r="A16" t="s">
        <v>257</v>
      </c>
      <c r="B16" t="s">
        <v>27</v>
      </c>
      <c r="C16" s="1">
        <v>45738</v>
      </c>
      <c r="D16" t="s">
        <v>14</v>
      </c>
      <c r="E16" t="s">
        <v>361</v>
      </c>
      <c r="F16">
        <v>4308</v>
      </c>
      <c r="G16">
        <v>171</v>
      </c>
      <c r="H16">
        <v>106</v>
      </c>
      <c r="I16">
        <v>36955</v>
      </c>
      <c r="J16">
        <v>23949</v>
      </c>
      <c r="K16" s="46">
        <v>294</v>
      </c>
      <c r="L16" t="s">
        <v>20</v>
      </c>
      <c r="M16">
        <v>0.12406981463942633</v>
      </c>
      <c r="N16" t="s">
        <v>365</v>
      </c>
    </row>
    <row r="17" spans="1:23">
      <c r="A17" t="s">
        <v>190</v>
      </c>
      <c r="B17" t="s">
        <v>27</v>
      </c>
      <c r="C17" s="1">
        <v>45330</v>
      </c>
      <c r="D17" t="s">
        <v>48</v>
      </c>
      <c r="E17" t="s">
        <v>33</v>
      </c>
      <c r="F17">
        <v>1889</v>
      </c>
      <c r="G17">
        <v>298</v>
      </c>
      <c r="H17">
        <v>122</v>
      </c>
      <c r="I17">
        <v>46225</v>
      </c>
      <c r="J17">
        <v>74305</v>
      </c>
      <c r="K17" s="46">
        <v>293</v>
      </c>
      <c r="L17" t="s">
        <v>49</v>
      </c>
      <c r="M17">
        <v>4.9951325040562468E-2</v>
      </c>
      <c r="N17" t="s">
        <v>19</v>
      </c>
    </row>
    <row r="18" spans="1:23">
      <c r="A18" t="s">
        <v>190</v>
      </c>
      <c r="B18" t="s">
        <v>27</v>
      </c>
      <c r="C18" s="1">
        <v>45330</v>
      </c>
      <c r="D18" t="s">
        <v>48</v>
      </c>
      <c r="E18" t="s">
        <v>33</v>
      </c>
      <c r="F18">
        <v>1889</v>
      </c>
      <c r="G18">
        <v>298</v>
      </c>
      <c r="H18">
        <v>122</v>
      </c>
      <c r="I18">
        <v>46225</v>
      </c>
      <c r="J18">
        <v>74305</v>
      </c>
      <c r="K18" s="46">
        <v>293</v>
      </c>
      <c r="L18" t="s">
        <v>49</v>
      </c>
      <c r="M18">
        <v>4.9951325040562468E-2</v>
      </c>
      <c r="N18" t="s">
        <v>37</v>
      </c>
    </row>
    <row r="19" spans="1:23">
      <c r="A19" t="s">
        <v>244</v>
      </c>
      <c r="B19" t="s">
        <v>22</v>
      </c>
      <c r="C19" s="1">
        <v>45574</v>
      </c>
      <c r="D19" t="s">
        <v>14</v>
      </c>
      <c r="E19" t="s">
        <v>360</v>
      </c>
      <c r="F19">
        <v>2659</v>
      </c>
      <c r="G19">
        <v>167</v>
      </c>
      <c r="H19">
        <v>73</v>
      </c>
      <c r="I19">
        <v>23090</v>
      </c>
      <c r="J19">
        <v>25872</v>
      </c>
      <c r="K19" s="46">
        <v>293</v>
      </c>
      <c r="L19" t="s">
        <v>20</v>
      </c>
      <c r="M19">
        <v>0.12555218709398008</v>
      </c>
      <c r="N19" t="s">
        <v>37</v>
      </c>
    </row>
    <row r="20" spans="1:23">
      <c r="A20" t="s">
        <v>87</v>
      </c>
      <c r="B20" t="s">
        <v>13</v>
      </c>
      <c r="C20" s="1">
        <v>45299</v>
      </c>
      <c r="D20" t="s">
        <v>14</v>
      </c>
      <c r="E20" t="s">
        <v>33</v>
      </c>
      <c r="F20">
        <v>2683</v>
      </c>
      <c r="G20">
        <v>405</v>
      </c>
      <c r="H20">
        <v>223</v>
      </c>
      <c r="I20">
        <v>31233</v>
      </c>
      <c r="J20">
        <v>58106</v>
      </c>
      <c r="K20" s="46">
        <v>291</v>
      </c>
      <c r="L20" t="s">
        <v>20</v>
      </c>
      <c r="M20">
        <v>0.10600966926007749</v>
      </c>
      <c r="N20" t="s">
        <v>19</v>
      </c>
    </row>
    <row r="21" spans="1:23">
      <c r="A21" t="s">
        <v>311</v>
      </c>
      <c r="B21" t="s">
        <v>13</v>
      </c>
      <c r="C21" s="1">
        <v>45298</v>
      </c>
      <c r="D21" t="s">
        <v>14</v>
      </c>
      <c r="E21" t="s">
        <v>33</v>
      </c>
      <c r="F21">
        <v>4931</v>
      </c>
      <c r="G21">
        <v>469</v>
      </c>
      <c r="H21">
        <v>193</v>
      </c>
      <c r="I21">
        <v>56701</v>
      </c>
      <c r="J21">
        <v>69437</v>
      </c>
      <c r="K21" s="46">
        <v>291</v>
      </c>
      <c r="L21" t="s">
        <v>16</v>
      </c>
      <c r="M21">
        <v>9.8640235621946709E-2</v>
      </c>
      <c r="N21" t="s">
        <v>37</v>
      </c>
    </row>
    <row r="22" spans="1:23">
      <c r="A22" t="s">
        <v>311</v>
      </c>
      <c r="B22" t="s">
        <v>13</v>
      </c>
      <c r="C22" s="1">
        <v>45298</v>
      </c>
      <c r="D22" t="s">
        <v>14</v>
      </c>
      <c r="E22" t="s">
        <v>33</v>
      </c>
      <c r="F22">
        <v>4931</v>
      </c>
      <c r="G22">
        <v>469</v>
      </c>
      <c r="H22">
        <v>193</v>
      </c>
      <c r="I22">
        <v>56701</v>
      </c>
      <c r="J22">
        <v>69437</v>
      </c>
      <c r="K22" s="46">
        <v>291</v>
      </c>
      <c r="L22" t="s">
        <v>16</v>
      </c>
      <c r="M22">
        <v>9.8640235621946709E-2</v>
      </c>
      <c r="N22" t="s">
        <v>34</v>
      </c>
    </row>
    <row r="23" spans="1:23">
      <c r="A23" t="s">
        <v>74</v>
      </c>
      <c r="B23" t="s">
        <v>13</v>
      </c>
      <c r="C23" s="1">
        <v>45541</v>
      </c>
      <c r="D23" t="s">
        <v>14</v>
      </c>
      <c r="E23" t="s">
        <v>24</v>
      </c>
      <c r="F23">
        <v>1452</v>
      </c>
      <c r="G23">
        <v>281</v>
      </c>
      <c r="H23">
        <v>326</v>
      </c>
      <c r="I23">
        <v>51556</v>
      </c>
      <c r="J23">
        <v>62599</v>
      </c>
      <c r="K23" s="46">
        <v>290</v>
      </c>
      <c r="L23" t="s">
        <v>20</v>
      </c>
      <c r="M23">
        <v>3.9937155714174881E-2</v>
      </c>
      <c r="N23" t="s">
        <v>19</v>
      </c>
    </row>
    <row r="24" spans="1:23">
      <c r="A24" t="s">
        <v>262</v>
      </c>
      <c r="B24" t="s">
        <v>27</v>
      </c>
      <c r="C24" s="1">
        <v>45723</v>
      </c>
      <c r="D24" t="s">
        <v>14</v>
      </c>
      <c r="E24" t="s">
        <v>33</v>
      </c>
      <c r="F24">
        <v>4310</v>
      </c>
      <c r="G24">
        <v>284</v>
      </c>
      <c r="H24">
        <v>306</v>
      </c>
      <c r="I24">
        <v>44606</v>
      </c>
      <c r="J24">
        <v>42604</v>
      </c>
      <c r="K24" s="46">
        <v>290</v>
      </c>
      <c r="L24" t="s">
        <v>20</v>
      </c>
      <c r="M24">
        <v>0.10985069273191947</v>
      </c>
      <c r="N24" t="s">
        <v>19</v>
      </c>
      <c r="P24" s="69"/>
    </row>
    <row r="25" spans="1:23">
      <c r="A25" t="s">
        <v>262</v>
      </c>
      <c r="B25" t="s">
        <v>27</v>
      </c>
      <c r="C25" s="1">
        <v>45723</v>
      </c>
      <c r="D25" t="s">
        <v>14</v>
      </c>
      <c r="E25" t="s">
        <v>33</v>
      </c>
      <c r="F25">
        <v>4310</v>
      </c>
      <c r="G25">
        <v>284</v>
      </c>
      <c r="H25">
        <v>306</v>
      </c>
      <c r="I25">
        <v>44606</v>
      </c>
      <c r="J25">
        <v>42604</v>
      </c>
      <c r="K25" s="46">
        <v>290</v>
      </c>
      <c r="L25" t="s">
        <v>20</v>
      </c>
      <c r="M25">
        <v>0.10985069273191947</v>
      </c>
      <c r="N25" t="s">
        <v>365</v>
      </c>
      <c r="P25" s="71"/>
      <c r="Q25" s="71"/>
      <c r="R25" s="71"/>
      <c r="S25" s="71"/>
      <c r="T25" s="71"/>
      <c r="U25" s="71"/>
      <c r="V25" s="71"/>
      <c r="W25" s="71"/>
    </row>
    <row r="26" spans="1:23">
      <c r="A26" t="s">
        <v>63</v>
      </c>
      <c r="B26" t="s">
        <v>22</v>
      </c>
      <c r="C26" s="1">
        <v>45574</v>
      </c>
      <c r="D26" t="s">
        <v>23</v>
      </c>
      <c r="E26" t="s">
        <v>15</v>
      </c>
      <c r="F26">
        <v>4929</v>
      </c>
      <c r="G26">
        <v>182</v>
      </c>
      <c r="H26">
        <v>95</v>
      </c>
      <c r="I26">
        <v>32181</v>
      </c>
      <c r="J26">
        <v>31084</v>
      </c>
      <c r="K26" s="46">
        <v>289</v>
      </c>
      <c r="L26" t="s">
        <v>16</v>
      </c>
      <c r="M26">
        <v>0.16177247444144061</v>
      </c>
      <c r="N26" t="s">
        <v>19</v>
      </c>
      <c r="P26" s="70"/>
    </row>
    <row r="27" spans="1:23">
      <c r="A27" t="s">
        <v>63</v>
      </c>
      <c r="B27" t="s">
        <v>22</v>
      </c>
      <c r="C27" s="1">
        <v>45574</v>
      </c>
      <c r="D27" t="s">
        <v>23</v>
      </c>
      <c r="E27" t="s">
        <v>15</v>
      </c>
      <c r="F27">
        <v>4929</v>
      </c>
      <c r="G27">
        <v>182</v>
      </c>
      <c r="H27">
        <v>95</v>
      </c>
      <c r="I27">
        <v>32181</v>
      </c>
      <c r="J27">
        <v>31084</v>
      </c>
      <c r="K27" s="46">
        <v>289</v>
      </c>
      <c r="L27" t="s">
        <v>16</v>
      </c>
      <c r="M27">
        <v>0.16177247444144061</v>
      </c>
      <c r="N27" t="s">
        <v>364</v>
      </c>
    </row>
    <row r="28" spans="1:23">
      <c r="A28" t="s">
        <v>169</v>
      </c>
      <c r="B28" t="s">
        <v>22</v>
      </c>
      <c r="C28" s="1">
        <v>45725</v>
      </c>
      <c r="D28" t="s">
        <v>14</v>
      </c>
      <c r="E28" t="s">
        <v>42</v>
      </c>
      <c r="F28">
        <v>2754</v>
      </c>
      <c r="G28">
        <v>215</v>
      </c>
      <c r="H28">
        <v>264</v>
      </c>
      <c r="I28">
        <v>27762</v>
      </c>
      <c r="J28">
        <v>70203</v>
      </c>
      <c r="K28" s="46">
        <v>289</v>
      </c>
      <c r="L28" t="s">
        <v>16</v>
      </c>
      <c r="M28">
        <v>0.11645414595490239</v>
      </c>
      <c r="N28" t="s">
        <v>34</v>
      </c>
      <c r="P28" s="72"/>
      <c r="Q28" s="72"/>
      <c r="R28" s="72"/>
      <c r="S28" s="72"/>
      <c r="T28" s="72"/>
      <c r="U28" s="72"/>
    </row>
    <row r="29" spans="1:23">
      <c r="A29" t="s">
        <v>196</v>
      </c>
      <c r="B29" t="s">
        <v>13</v>
      </c>
      <c r="C29" s="1">
        <v>45387</v>
      </c>
      <c r="D29" t="s">
        <v>14</v>
      </c>
      <c r="E29" t="s">
        <v>24</v>
      </c>
      <c r="F29">
        <v>4383</v>
      </c>
      <c r="G29">
        <v>352</v>
      </c>
      <c r="H29">
        <v>176</v>
      </c>
      <c r="I29">
        <v>53239</v>
      </c>
      <c r="J29">
        <v>34168</v>
      </c>
      <c r="K29" s="46">
        <v>288</v>
      </c>
      <c r="L29" t="s">
        <v>20</v>
      </c>
      <c r="M29">
        <v>9.2244407295403744E-2</v>
      </c>
      <c r="N29" t="s">
        <v>19</v>
      </c>
      <c r="P29" s="70"/>
      <c r="Q29" s="70"/>
      <c r="R29" s="70"/>
      <c r="S29" s="70"/>
      <c r="T29" s="70"/>
      <c r="U29" s="70"/>
    </row>
    <row r="30" spans="1:23">
      <c r="A30" t="s">
        <v>64</v>
      </c>
      <c r="B30" t="s">
        <v>13</v>
      </c>
      <c r="C30" s="1">
        <v>45666</v>
      </c>
      <c r="D30" t="s">
        <v>14</v>
      </c>
      <c r="E30" t="s">
        <v>24</v>
      </c>
      <c r="F30">
        <v>1015</v>
      </c>
      <c r="G30">
        <v>366</v>
      </c>
      <c r="H30">
        <v>308</v>
      </c>
      <c r="I30">
        <v>38127</v>
      </c>
      <c r="J30">
        <v>63790</v>
      </c>
      <c r="K30" s="46">
        <v>287</v>
      </c>
      <c r="L30" t="s">
        <v>16</v>
      </c>
      <c r="M30">
        <v>4.4299315445747112E-2</v>
      </c>
      <c r="N30" t="s">
        <v>37</v>
      </c>
    </row>
    <row r="31" spans="1:23">
      <c r="A31" t="s">
        <v>64</v>
      </c>
      <c r="B31" t="s">
        <v>13</v>
      </c>
      <c r="C31" s="1">
        <v>45666</v>
      </c>
      <c r="D31" t="s">
        <v>14</v>
      </c>
      <c r="E31" t="s">
        <v>24</v>
      </c>
      <c r="F31">
        <v>1015</v>
      </c>
      <c r="G31">
        <v>366</v>
      </c>
      <c r="H31">
        <v>308</v>
      </c>
      <c r="I31">
        <v>38127</v>
      </c>
      <c r="J31">
        <v>63790</v>
      </c>
      <c r="K31" s="46">
        <v>287</v>
      </c>
      <c r="L31" t="s">
        <v>16</v>
      </c>
      <c r="M31">
        <v>4.4299315445747112E-2</v>
      </c>
      <c r="N31" t="s">
        <v>34</v>
      </c>
    </row>
    <row r="32" spans="1:23">
      <c r="A32" t="s">
        <v>214</v>
      </c>
      <c r="B32" t="s">
        <v>22</v>
      </c>
      <c r="C32" s="1">
        <v>45486</v>
      </c>
      <c r="D32" t="s">
        <v>23</v>
      </c>
      <c r="E32" t="s">
        <v>30</v>
      </c>
      <c r="F32">
        <v>2408</v>
      </c>
      <c r="G32">
        <v>323</v>
      </c>
      <c r="H32">
        <v>251</v>
      </c>
      <c r="I32">
        <v>47599</v>
      </c>
      <c r="J32">
        <v>35543</v>
      </c>
      <c r="K32" s="46">
        <v>287</v>
      </c>
      <c r="L32" t="s">
        <v>16</v>
      </c>
      <c r="M32">
        <v>6.2648374965860634E-2</v>
      </c>
      <c r="N32" t="s">
        <v>364</v>
      </c>
    </row>
    <row r="33" spans="1:14">
      <c r="A33" t="s">
        <v>214</v>
      </c>
      <c r="B33" t="s">
        <v>22</v>
      </c>
      <c r="C33" s="1">
        <v>45486</v>
      </c>
      <c r="D33" t="s">
        <v>23</v>
      </c>
      <c r="E33" t="s">
        <v>30</v>
      </c>
      <c r="F33">
        <v>2408</v>
      </c>
      <c r="G33">
        <v>323</v>
      </c>
      <c r="H33">
        <v>251</v>
      </c>
      <c r="I33">
        <v>47599</v>
      </c>
      <c r="J33">
        <v>35543</v>
      </c>
      <c r="K33" s="46">
        <v>287</v>
      </c>
      <c r="L33" t="s">
        <v>16</v>
      </c>
      <c r="M33">
        <v>6.2648374965860634E-2</v>
      </c>
      <c r="N33" t="s">
        <v>34</v>
      </c>
    </row>
    <row r="34" spans="1:14">
      <c r="A34" t="s">
        <v>179</v>
      </c>
      <c r="B34" t="s">
        <v>22</v>
      </c>
      <c r="C34" s="1">
        <v>45760</v>
      </c>
      <c r="D34" t="s">
        <v>14</v>
      </c>
      <c r="E34" t="s">
        <v>363</v>
      </c>
      <c r="F34">
        <v>3890</v>
      </c>
      <c r="G34">
        <v>408</v>
      </c>
      <c r="H34">
        <v>338</v>
      </c>
      <c r="I34">
        <v>56994</v>
      </c>
      <c r="J34">
        <v>32621</v>
      </c>
      <c r="K34" s="46">
        <v>286</v>
      </c>
      <c r="L34" t="s">
        <v>20</v>
      </c>
      <c r="M34">
        <v>8.1341895638137346E-2</v>
      </c>
      <c r="N34" t="s">
        <v>37</v>
      </c>
    </row>
    <row r="35" spans="1:14">
      <c r="A35" t="s">
        <v>213</v>
      </c>
      <c r="B35" t="s">
        <v>22</v>
      </c>
      <c r="C35" s="1">
        <v>45496</v>
      </c>
      <c r="D35" t="s">
        <v>14</v>
      </c>
      <c r="E35" t="s">
        <v>33</v>
      </c>
      <c r="F35">
        <v>3204</v>
      </c>
      <c r="G35">
        <v>398</v>
      </c>
      <c r="H35">
        <v>85</v>
      </c>
      <c r="I35">
        <v>22020</v>
      </c>
      <c r="J35">
        <v>58353</v>
      </c>
      <c r="K35" s="46">
        <v>286</v>
      </c>
      <c r="L35" t="s">
        <v>20</v>
      </c>
      <c r="M35">
        <v>0.16743869209809265</v>
      </c>
      <c r="N35" t="s">
        <v>37</v>
      </c>
    </row>
    <row r="36" spans="1:14">
      <c r="A36" t="s">
        <v>288</v>
      </c>
      <c r="B36" t="s">
        <v>27</v>
      </c>
      <c r="C36" s="1">
        <v>45736</v>
      </c>
      <c r="D36" t="s">
        <v>48</v>
      </c>
      <c r="E36" t="s">
        <v>363</v>
      </c>
      <c r="F36">
        <v>1453</v>
      </c>
      <c r="G36">
        <v>156</v>
      </c>
      <c r="H36">
        <v>178</v>
      </c>
      <c r="I36">
        <v>52980</v>
      </c>
      <c r="J36">
        <v>57180</v>
      </c>
      <c r="K36" s="46">
        <v>286</v>
      </c>
      <c r="L36" t="s">
        <v>49</v>
      </c>
      <c r="M36">
        <v>3.3729709324273313E-2</v>
      </c>
      <c r="N36" t="s">
        <v>19</v>
      </c>
    </row>
    <row r="37" spans="1:14">
      <c r="A37" t="s">
        <v>288</v>
      </c>
      <c r="B37" t="s">
        <v>27</v>
      </c>
      <c r="C37" s="1">
        <v>45736</v>
      </c>
      <c r="D37" t="s">
        <v>48</v>
      </c>
      <c r="E37" t="s">
        <v>363</v>
      </c>
      <c r="F37">
        <v>1453</v>
      </c>
      <c r="G37">
        <v>156</v>
      </c>
      <c r="H37">
        <v>178</v>
      </c>
      <c r="I37">
        <v>52980</v>
      </c>
      <c r="J37">
        <v>57180</v>
      </c>
      <c r="K37" s="46">
        <v>286</v>
      </c>
      <c r="L37" t="s">
        <v>49</v>
      </c>
      <c r="M37">
        <v>3.3729709324273313E-2</v>
      </c>
      <c r="N37" t="s">
        <v>37</v>
      </c>
    </row>
    <row r="38" spans="1:14">
      <c r="A38" t="s">
        <v>35</v>
      </c>
      <c r="B38" t="s">
        <v>22</v>
      </c>
      <c r="C38" s="1">
        <v>45630</v>
      </c>
      <c r="D38" t="s">
        <v>14</v>
      </c>
      <c r="E38" t="s">
        <v>360</v>
      </c>
      <c r="F38">
        <v>2357</v>
      </c>
      <c r="G38">
        <v>274</v>
      </c>
      <c r="H38">
        <v>172</v>
      </c>
      <c r="I38">
        <v>21566</v>
      </c>
      <c r="J38">
        <v>66829</v>
      </c>
      <c r="K38" s="46">
        <v>284</v>
      </c>
      <c r="L38" t="s">
        <v>16</v>
      </c>
      <c r="M38">
        <v>0.12997310581470833</v>
      </c>
      <c r="N38" t="s">
        <v>34</v>
      </c>
    </row>
    <row r="39" spans="1:14">
      <c r="A39" t="s">
        <v>132</v>
      </c>
      <c r="B39" t="s">
        <v>22</v>
      </c>
      <c r="C39" s="1">
        <v>45591</v>
      </c>
      <c r="D39" t="s">
        <v>14</v>
      </c>
      <c r="E39" t="s">
        <v>15</v>
      </c>
      <c r="F39">
        <v>3036</v>
      </c>
      <c r="G39">
        <v>293</v>
      </c>
      <c r="H39">
        <v>115</v>
      </c>
      <c r="I39">
        <v>23776</v>
      </c>
      <c r="J39">
        <v>46386</v>
      </c>
      <c r="K39" s="46">
        <v>282</v>
      </c>
      <c r="L39" t="s">
        <v>16</v>
      </c>
      <c r="M39">
        <v>0.14485195154777927</v>
      </c>
      <c r="N39" t="s">
        <v>34</v>
      </c>
    </row>
    <row r="40" spans="1:14">
      <c r="A40" t="s">
        <v>143</v>
      </c>
      <c r="B40" t="s">
        <v>13</v>
      </c>
      <c r="C40" s="1">
        <v>45544</v>
      </c>
      <c r="D40" t="s">
        <v>14</v>
      </c>
      <c r="E40" t="s">
        <v>24</v>
      </c>
      <c r="F40">
        <v>1616</v>
      </c>
      <c r="G40">
        <v>360</v>
      </c>
      <c r="H40">
        <v>180</v>
      </c>
      <c r="I40">
        <v>54342</v>
      </c>
      <c r="J40">
        <v>18796</v>
      </c>
      <c r="K40" s="46">
        <v>282</v>
      </c>
      <c r="L40" t="s">
        <v>16</v>
      </c>
      <c r="M40">
        <v>3.9674653122814763E-2</v>
      </c>
      <c r="N40" t="s">
        <v>37</v>
      </c>
    </row>
    <row r="41" spans="1:14">
      <c r="A41" t="s">
        <v>143</v>
      </c>
      <c r="B41" t="s">
        <v>13</v>
      </c>
      <c r="C41" s="1">
        <v>45544</v>
      </c>
      <c r="D41" t="s">
        <v>14</v>
      </c>
      <c r="E41" t="s">
        <v>24</v>
      </c>
      <c r="F41">
        <v>1616</v>
      </c>
      <c r="G41">
        <v>360</v>
      </c>
      <c r="H41">
        <v>180</v>
      </c>
      <c r="I41">
        <v>54342</v>
      </c>
      <c r="J41">
        <v>18796</v>
      </c>
      <c r="K41" s="46">
        <v>282</v>
      </c>
      <c r="L41" t="s">
        <v>16</v>
      </c>
      <c r="M41">
        <v>3.9674653122814763E-2</v>
      </c>
      <c r="N41" t="s">
        <v>34</v>
      </c>
    </row>
    <row r="42" spans="1:14">
      <c r="A42" t="s">
        <v>251</v>
      </c>
      <c r="B42" t="s">
        <v>22</v>
      </c>
      <c r="C42" s="1">
        <v>45786</v>
      </c>
      <c r="D42" t="s">
        <v>23</v>
      </c>
      <c r="E42" t="s">
        <v>361</v>
      </c>
      <c r="F42">
        <v>2778</v>
      </c>
      <c r="G42">
        <v>241</v>
      </c>
      <c r="H42">
        <v>317</v>
      </c>
      <c r="I42">
        <v>26247</v>
      </c>
      <c r="J42">
        <v>20677</v>
      </c>
      <c r="K42" s="46">
        <v>282</v>
      </c>
      <c r="L42" t="s">
        <v>16</v>
      </c>
      <c r="M42">
        <v>0.1271002400274317</v>
      </c>
      <c r="N42" t="s">
        <v>364</v>
      </c>
    </row>
    <row r="43" spans="1:14">
      <c r="A43" t="s">
        <v>251</v>
      </c>
      <c r="B43" t="s">
        <v>22</v>
      </c>
      <c r="C43" s="1">
        <v>45786</v>
      </c>
      <c r="D43" t="s">
        <v>23</v>
      </c>
      <c r="E43" t="s">
        <v>361</v>
      </c>
      <c r="F43">
        <v>2778</v>
      </c>
      <c r="G43">
        <v>241</v>
      </c>
      <c r="H43">
        <v>317</v>
      </c>
      <c r="I43">
        <v>26247</v>
      </c>
      <c r="J43">
        <v>20677</v>
      </c>
      <c r="K43" s="46">
        <v>282</v>
      </c>
      <c r="L43" t="s">
        <v>16</v>
      </c>
      <c r="M43">
        <v>0.1271002400274317</v>
      </c>
      <c r="N43" t="s">
        <v>34</v>
      </c>
    </row>
    <row r="44" spans="1:14">
      <c r="A44" t="s">
        <v>211</v>
      </c>
      <c r="B44" t="s">
        <v>22</v>
      </c>
      <c r="C44" s="1">
        <v>45370</v>
      </c>
      <c r="D44" t="s">
        <v>14</v>
      </c>
      <c r="E44" t="s">
        <v>363</v>
      </c>
      <c r="F44">
        <v>2191</v>
      </c>
      <c r="G44">
        <v>288</v>
      </c>
      <c r="H44">
        <v>83</v>
      </c>
      <c r="I44">
        <v>59606</v>
      </c>
      <c r="J44">
        <v>24765</v>
      </c>
      <c r="K44" s="46">
        <v>281</v>
      </c>
      <c r="L44" t="s">
        <v>20</v>
      </c>
      <c r="M44">
        <v>4.2982250109049422E-2</v>
      </c>
      <c r="N44" t="s">
        <v>37</v>
      </c>
    </row>
    <row r="45" spans="1:14">
      <c r="A45" t="s">
        <v>61</v>
      </c>
      <c r="B45" t="s">
        <v>13</v>
      </c>
      <c r="C45" s="1">
        <v>45658</v>
      </c>
      <c r="D45" t="s">
        <v>14</v>
      </c>
      <c r="E45" t="s">
        <v>24</v>
      </c>
      <c r="F45">
        <v>4036</v>
      </c>
      <c r="G45">
        <v>112</v>
      </c>
      <c r="H45">
        <v>382</v>
      </c>
      <c r="I45">
        <v>56284</v>
      </c>
      <c r="J45">
        <v>29440</v>
      </c>
      <c r="K45" s="46">
        <v>279</v>
      </c>
      <c r="L45" t="s">
        <v>16</v>
      </c>
      <c r="M45">
        <v>8.0484684812735408E-2</v>
      </c>
      <c r="N45" t="s">
        <v>37</v>
      </c>
    </row>
    <row r="46" spans="1:14">
      <c r="A46" t="s">
        <v>61</v>
      </c>
      <c r="B46" t="s">
        <v>13</v>
      </c>
      <c r="C46" s="1">
        <v>45658</v>
      </c>
      <c r="D46" t="s">
        <v>14</v>
      </c>
      <c r="E46" t="s">
        <v>24</v>
      </c>
      <c r="F46">
        <v>4036</v>
      </c>
      <c r="G46">
        <v>112</v>
      </c>
      <c r="H46">
        <v>382</v>
      </c>
      <c r="I46">
        <v>56284</v>
      </c>
      <c r="J46">
        <v>29440</v>
      </c>
      <c r="K46" s="46">
        <v>279</v>
      </c>
      <c r="L46" t="s">
        <v>16</v>
      </c>
      <c r="M46">
        <v>8.0484684812735408E-2</v>
      </c>
      <c r="N46" t="s">
        <v>34</v>
      </c>
    </row>
    <row r="47" spans="1:14">
      <c r="A47" t="s">
        <v>202</v>
      </c>
      <c r="B47" t="s">
        <v>27</v>
      </c>
      <c r="C47" s="1">
        <v>45400</v>
      </c>
      <c r="D47" t="s">
        <v>14</v>
      </c>
      <c r="E47" t="s">
        <v>18</v>
      </c>
      <c r="F47">
        <v>4023</v>
      </c>
      <c r="G47">
        <v>293</v>
      </c>
      <c r="H47">
        <v>91</v>
      </c>
      <c r="I47">
        <v>26795</v>
      </c>
      <c r="J47">
        <v>28924</v>
      </c>
      <c r="K47" s="46">
        <v>278</v>
      </c>
      <c r="L47" t="s">
        <v>20</v>
      </c>
      <c r="M47">
        <v>0.16447098339242397</v>
      </c>
      <c r="N47" t="s">
        <v>19</v>
      </c>
    </row>
    <row r="48" spans="1:14">
      <c r="A48" t="s">
        <v>202</v>
      </c>
      <c r="B48" t="s">
        <v>27</v>
      </c>
      <c r="C48" s="1">
        <v>45400</v>
      </c>
      <c r="D48" t="s">
        <v>14</v>
      </c>
      <c r="E48" t="s">
        <v>18</v>
      </c>
      <c r="F48">
        <v>4023</v>
      </c>
      <c r="G48">
        <v>293</v>
      </c>
      <c r="H48">
        <v>91</v>
      </c>
      <c r="I48">
        <v>26795</v>
      </c>
      <c r="J48">
        <v>28924</v>
      </c>
      <c r="K48" s="46">
        <v>278</v>
      </c>
      <c r="L48" t="s">
        <v>20</v>
      </c>
      <c r="M48">
        <v>0.16447098339242397</v>
      </c>
      <c r="N48" t="s">
        <v>365</v>
      </c>
    </row>
    <row r="49" spans="1:14">
      <c r="A49" t="s">
        <v>150</v>
      </c>
      <c r="B49" t="s">
        <v>13</v>
      </c>
      <c r="C49" s="1">
        <v>45674</v>
      </c>
      <c r="D49" t="s">
        <v>14</v>
      </c>
      <c r="E49" t="s">
        <v>33</v>
      </c>
      <c r="F49">
        <v>2266</v>
      </c>
      <c r="G49">
        <v>126</v>
      </c>
      <c r="H49">
        <v>140</v>
      </c>
      <c r="I49">
        <v>53759</v>
      </c>
      <c r="J49">
        <v>46834</v>
      </c>
      <c r="K49" s="46">
        <v>277</v>
      </c>
      <c r="L49" t="s">
        <v>20</v>
      </c>
      <c r="M49">
        <v>4.7099090384865788E-2</v>
      </c>
      <c r="N49" t="s">
        <v>19</v>
      </c>
    </row>
    <row r="50" spans="1:14">
      <c r="A50" t="s">
        <v>175</v>
      </c>
      <c r="B50" t="s">
        <v>22</v>
      </c>
      <c r="C50" s="1">
        <v>45805</v>
      </c>
      <c r="D50" t="s">
        <v>23</v>
      </c>
      <c r="E50" t="s">
        <v>33</v>
      </c>
      <c r="F50">
        <v>4287</v>
      </c>
      <c r="G50">
        <v>273</v>
      </c>
      <c r="H50">
        <v>122</v>
      </c>
      <c r="I50">
        <v>40792</v>
      </c>
      <c r="J50">
        <v>23878</v>
      </c>
      <c r="K50" s="46">
        <v>277</v>
      </c>
      <c r="L50" t="s">
        <v>16</v>
      </c>
      <c r="M50">
        <v>0.11477740733477153</v>
      </c>
      <c r="N50" t="s">
        <v>364</v>
      </c>
    </row>
    <row r="51" spans="1:14">
      <c r="A51" t="s">
        <v>175</v>
      </c>
      <c r="B51" t="s">
        <v>22</v>
      </c>
      <c r="C51" s="1">
        <v>45805</v>
      </c>
      <c r="D51" t="s">
        <v>23</v>
      </c>
      <c r="E51" t="s">
        <v>33</v>
      </c>
      <c r="F51">
        <v>4287</v>
      </c>
      <c r="G51">
        <v>273</v>
      </c>
      <c r="H51">
        <v>122</v>
      </c>
      <c r="I51">
        <v>40792</v>
      </c>
      <c r="J51">
        <v>23878</v>
      </c>
      <c r="K51" s="46">
        <v>277</v>
      </c>
      <c r="L51" t="s">
        <v>16</v>
      </c>
      <c r="M51">
        <v>0.11477740733477153</v>
      </c>
      <c r="N51" t="s">
        <v>34</v>
      </c>
    </row>
    <row r="52" spans="1:14">
      <c r="A52" t="s">
        <v>263</v>
      </c>
      <c r="B52" t="s">
        <v>22</v>
      </c>
      <c r="C52" s="1">
        <v>45585</v>
      </c>
      <c r="D52" t="s">
        <v>14</v>
      </c>
      <c r="E52" t="s">
        <v>363</v>
      </c>
      <c r="F52">
        <v>2752</v>
      </c>
      <c r="G52">
        <v>309</v>
      </c>
      <c r="H52">
        <v>91</v>
      </c>
      <c r="I52">
        <v>39038</v>
      </c>
      <c r="J52">
        <v>28095</v>
      </c>
      <c r="K52" s="46">
        <v>277</v>
      </c>
      <c r="L52" t="s">
        <v>16</v>
      </c>
      <c r="M52">
        <v>8.0741841282852611E-2</v>
      </c>
      <c r="N52" t="s">
        <v>34</v>
      </c>
    </row>
    <row r="53" spans="1:14">
      <c r="A53" t="s">
        <v>270</v>
      </c>
      <c r="B53" t="s">
        <v>27</v>
      </c>
      <c r="C53" s="1">
        <v>45533</v>
      </c>
      <c r="D53" t="s">
        <v>14</v>
      </c>
      <c r="E53" t="s">
        <v>360</v>
      </c>
      <c r="F53">
        <v>4774</v>
      </c>
      <c r="G53">
        <v>389</v>
      </c>
      <c r="H53">
        <v>358</v>
      </c>
      <c r="I53">
        <v>52346</v>
      </c>
      <c r="J53">
        <v>30518</v>
      </c>
      <c r="K53" s="46">
        <v>277</v>
      </c>
      <c r="L53" t="s">
        <v>20</v>
      </c>
      <c r="M53">
        <v>0.10547128720437092</v>
      </c>
      <c r="N53" t="s">
        <v>19</v>
      </c>
    </row>
    <row r="54" spans="1:14">
      <c r="A54" t="s">
        <v>270</v>
      </c>
      <c r="B54" t="s">
        <v>27</v>
      </c>
      <c r="C54" s="1">
        <v>45533</v>
      </c>
      <c r="D54" t="s">
        <v>14</v>
      </c>
      <c r="E54" t="s">
        <v>360</v>
      </c>
      <c r="F54">
        <v>4774</v>
      </c>
      <c r="G54">
        <v>389</v>
      </c>
      <c r="H54">
        <v>358</v>
      </c>
      <c r="I54">
        <v>52346</v>
      </c>
      <c r="J54">
        <v>30518</v>
      </c>
      <c r="K54" s="46">
        <v>277</v>
      </c>
      <c r="L54" t="s">
        <v>20</v>
      </c>
      <c r="M54">
        <v>0.10547128720437092</v>
      </c>
      <c r="N54" t="s">
        <v>365</v>
      </c>
    </row>
    <row r="55" spans="1:14">
      <c r="A55" t="s">
        <v>229</v>
      </c>
      <c r="B55" t="s">
        <v>22</v>
      </c>
      <c r="C55" s="1">
        <v>45484</v>
      </c>
      <c r="D55" t="s">
        <v>23</v>
      </c>
      <c r="E55" t="s">
        <v>30</v>
      </c>
      <c r="F55">
        <v>4247</v>
      </c>
      <c r="G55">
        <v>179</v>
      </c>
      <c r="H55">
        <v>175</v>
      </c>
      <c r="I55">
        <v>32991</v>
      </c>
      <c r="J55">
        <v>70120</v>
      </c>
      <c r="K55" s="46">
        <v>276</v>
      </c>
      <c r="L55" t="s">
        <v>16</v>
      </c>
      <c r="M55">
        <v>0.13946227759085811</v>
      </c>
      <c r="N55" t="s">
        <v>37</v>
      </c>
    </row>
    <row r="56" spans="1:14">
      <c r="A56" t="s">
        <v>229</v>
      </c>
      <c r="B56" t="s">
        <v>22</v>
      </c>
      <c r="C56" s="1">
        <v>45484</v>
      </c>
      <c r="D56" t="s">
        <v>23</v>
      </c>
      <c r="E56" t="s">
        <v>30</v>
      </c>
      <c r="F56">
        <v>4247</v>
      </c>
      <c r="G56">
        <v>179</v>
      </c>
      <c r="H56">
        <v>175</v>
      </c>
      <c r="I56">
        <v>32991</v>
      </c>
      <c r="J56">
        <v>70120</v>
      </c>
      <c r="K56" s="46">
        <v>276</v>
      </c>
      <c r="L56" t="s">
        <v>16</v>
      </c>
      <c r="M56">
        <v>0.13946227759085811</v>
      </c>
      <c r="N56" t="s">
        <v>34</v>
      </c>
    </row>
    <row r="57" spans="1:14">
      <c r="A57" t="s">
        <v>303</v>
      </c>
      <c r="B57" t="s">
        <v>22</v>
      </c>
      <c r="C57" s="1">
        <v>45334</v>
      </c>
      <c r="D57" t="s">
        <v>14</v>
      </c>
      <c r="E57" t="s">
        <v>18</v>
      </c>
      <c r="F57">
        <v>2691</v>
      </c>
      <c r="G57">
        <v>486</v>
      </c>
      <c r="H57">
        <v>206</v>
      </c>
      <c r="I57">
        <v>51133</v>
      </c>
      <c r="J57">
        <v>44583</v>
      </c>
      <c r="K57" s="46">
        <v>276</v>
      </c>
      <c r="L57" t="s">
        <v>16</v>
      </c>
      <c r="M57">
        <v>6.6160796354604659E-2</v>
      </c>
      <c r="N57" t="s">
        <v>34</v>
      </c>
    </row>
    <row r="58" spans="1:14">
      <c r="A58" t="s">
        <v>71</v>
      </c>
      <c r="B58" t="s">
        <v>13</v>
      </c>
      <c r="C58" s="1">
        <v>45401</v>
      </c>
      <c r="D58" t="s">
        <v>14</v>
      </c>
      <c r="E58" t="s">
        <v>24</v>
      </c>
      <c r="F58">
        <v>4001</v>
      </c>
      <c r="G58">
        <v>353</v>
      </c>
      <c r="H58">
        <v>129</v>
      </c>
      <c r="I58">
        <v>41265</v>
      </c>
      <c r="J58">
        <v>37279</v>
      </c>
      <c r="K58" s="46">
        <v>275</v>
      </c>
      <c r="L58" t="s">
        <v>16</v>
      </c>
      <c r="M58">
        <v>0.10863928268508422</v>
      </c>
      <c r="N58" t="s">
        <v>37</v>
      </c>
    </row>
    <row r="59" spans="1:14">
      <c r="A59" t="s">
        <v>71</v>
      </c>
      <c r="B59" t="s">
        <v>13</v>
      </c>
      <c r="C59" s="1">
        <v>45401</v>
      </c>
      <c r="D59" t="s">
        <v>14</v>
      </c>
      <c r="E59" t="s">
        <v>24</v>
      </c>
      <c r="F59">
        <v>4001</v>
      </c>
      <c r="G59">
        <v>353</v>
      </c>
      <c r="H59">
        <v>129</v>
      </c>
      <c r="I59">
        <v>41265</v>
      </c>
      <c r="J59">
        <v>37279</v>
      </c>
      <c r="K59" s="46">
        <v>275</v>
      </c>
      <c r="L59" t="s">
        <v>16</v>
      </c>
      <c r="M59">
        <v>0.10863928268508422</v>
      </c>
      <c r="N59" t="s">
        <v>34</v>
      </c>
    </row>
    <row r="60" spans="1:14">
      <c r="A60" t="s">
        <v>191</v>
      </c>
      <c r="B60" t="s">
        <v>13</v>
      </c>
      <c r="C60" s="1">
        <v>45803</v>
      </c>
      <c r="D60" t="s">
        <v>14</v>
      </c>
      <c r="E60" t="s">
        <v>15</v>
      </c>
      <c r="F60">
        <v>3086</v>
      </c>
      <c r="G60">
        <v>148</v>
      </c>
      <c r="H60">
        <v>310</v>
      </c>
      <c r="I60">
        <v>22824</v>
      </c>
      <c r="J60">
        <v>58103</v>
      </c>
      <c r="K60" s="46">
        <v>275</v>
      </c>
      <c r="L60" t="s">
        <v>20</v>
      </c>
      <c r="M60">
        <v>0.1552751489660007</v>
      </c>
      <c r="N60" t="s">
        <v>19</v>
      </c>
    </row>
    <row r="61" spans="1:14">
      <c r="A61" t="s">
        <v>240</v>
      </c>
      <c r="B61" t="s">
        <v>22</v>
      </c>
      <c r="C61" s="1">
        <v>45780</v>
      </c>
      <c r="D61" t="s">
        <v>23</v>
      </c>
      <c r="E61" t="s">
        <v>33</v>
      </c>
      <c r="F61">
        <v>1010</v>
      </c>
      <c r="G61">
        <v>361</v>
      </c>
      <c r="H61">
        <v>240</v>
      </c>
      <c r="I61">
        <v>47229</v>
      </c>
      <c r="J61">
        <v>72573</v>
      </c>
      <c r="K61" s="46">
        <v>275</v>
      </c>
      <c r="L61" t="s">
        <v>16</v>
      </c>
      <c r="M61">
        <v>3.4110398272247981E-2</v>
      </c>
      <c r="N61" t="s">
        <v>37</v>
      </c>
    </row>
    <row r="62" spans="1:14">
      <c r="A62" t="s">
        <v>240</v>
      </c>
      <c r="B62" t="s">
        <v>22</v>
      </c>
      <c r="C62" s="1">
        <v>45780</v>
      </c>
      <c r="D62" t="s">
        <v>23</v>
      </c>
      <c r="E62" t="s">
        <v>33</v>
      </c>
      <c r="F62">
        <v>1010</v>
      </c>
      <c r="G62">
        <v>361</v>
      </c>
      <c r="H62">
        <v>240</v>
      </c>
      <c r="I62">
        <v>47229</v>
      </c>
      <c r="J62">
        <v>72573</v>
      </c>
      <c r="K62" s="46">
        <v>275</v>
      </c>
      <c r="L62" t="s">
        <v>16</v>
      </c>
      <c r="M62">
        <v>3.4110398272247981E-2</v>
      </c>
      <c r="N62" t="s">
        <v>34</v>
      </c>
    </row>
    <row r="63" spans="1:14">
      <c r="A63" t="s">
        <v>17</v>
      </c>
      <c r="B63" t="s">
        <v>13</v>
      </c>
      <c r="C63" s="1">
        <v>45689</v>
      </c>
      <c r="D63" t="s">
        <v>14</v>
      </c>
      <c r="E63" t="s">
        <v>18</v>
      </c>
      <c r="F63">
        <v>1934</v>
      </c>
      <c r="G63">
        <v>210</v>
      </c>
      <c r="H63">
        <v>393</v>
      </c>
      <c r="I63">
        <v>29129</v>
      </c>
      <c r="J63">
        <v>73287</v>
      </c>
      <c r="K63" s="46">
        <v>273</v>
      </c>
      <c r="L63" t="s">
        <v>20</v>
      </c>
      <c r="M63">
        <v>8.7095334546328396E-2</v>
      </c>
      <c r="N63" t="s">
        <v>19</v>
      </c>
    </row>
    <row r="64" spans="1:14">
      <c r="A64" t="s">
        <v>171</v>
      </c>
      <c r="B64" t="s">
        <v>27</v>
      </c>
      <c r="C64" s="1">
        <v>45566</v>
      </c>
      <c r="D64" t="s">
        <v>48</v>
      </c>
      <c r="E64" t="s">
        <v>18</v>
      </c>
      <c r="F64">
        <v>3543</v>
      </c>
      <c r="G64">
        <v>334</v>
      </c>
      <c r="H64">
        <v>218</v>
      </c>
      <c r="I64">
        <v>58007</v>
      </c>
      <c r="J64">
        <v>24792</v>
      </c>
      <c r="K64" s="46">
        <v>273</v>
      </c>
      <c r="L64" t="s">
        <v>49</v>
      </c>
      <c r="M64">
        <v>7.0594928198320889E-2</v>
      </c>
      <c r="N64" t="s">
        <v>19</v>
      </c>
    </row>
    <row r="65" spans="1:14">
      <c r="A65" t="s">
        <v>171</v>
      </c>
      <c r="B65" t="s">
        <v>27</v>
      </c>
      <c r="C65" s="1">
        <v>45566</v>
      </c>
      <c r="D65" t="s">
        <v>48</v>
      </c>
      <c r="E65" t="s">
        <v>18</v>
      </c>
      <c r="F65">
        <v>3543</v>
      </c>
      <c r="G65">
        <v>334</v>
      </c>
      <c r="H65">
        <v>218</v>
      </c>
      <c r="I65">
        <v>58007</v>
      </c>
      <c r="J65">
        <v>24792</v>
      </c>
      <c r="K65" s="46">
        <v>273</v>
      </c>
      <c r="L65" t="s">
        <v>49</v>
      </c>
      <c r="M65">
        <v>7.0594928198320889E-2</v>
      </c>
      <c r="N65" t="s">
        <v>37</v>
      </c>
    </row>
    <row r="66" spans="1:14">
      <c r="A66" t="s">
        <v>25</v>
      </c>
      <c r="B66" t="s">
        <v>13</v>
      </c>
      <c r="C66" s="1">
        <v>45629</v>
      </c>
      <c r="D66" t="s">
        <v>14</v>
      </c>
      <c r="E66" t="s">
        <v>360</v>
      </c>
      <c r="F66">
        <v>3173</v>
      </c>
      <c r="G66">
        <v>229</v>
      </c>
      <c r="H66">
        <v>197</v>
      </c>
      <c r="I66">
        <v>29604</v>
      </c>
      <c r="J66">
        <v>21809</v>
      </c>
      <c r="K66" s="46">
        <v>272</v>
      </c>
      <c r="L66" t="s">
        <v>16</v>
      </c>
      <c r="M66">
        <v>0.1215714092690177</v>
      </c>
      <c r="N66" t="s">
        <v>37</v>
      </c>
    </row>
    <row r="67" spans="1:14">
      <c r="A67" t="s">
        <v>25</v>
      </c>
      <c r="B67" t="s">
        <v>13</v>
      </c>
      <c r="C67" s="1">
        <v>45629</v>
      </c>
      <c r="D67" t="s">
        <v>14</v>
      </c>
      <c r="E67" t="s">
        <v>360</v>
      </c>
      <c r="F67">
        <v>3173</v>
      </c>
      <c r="G67">
        <v>229</v>
      </c>
      <c r="H67">
        <v>197</v>
      </c>
      <c r="I67">
        <v>29604</v>
      </c>
      <c r="J67">
        <v>21809</v>
      </c>
      <c r="K67" s="46">
        <v>272</v>
      </c>
      <c r="L67" t="s">
        <v>16</v>
      </c>
      <c r="M67">
        <v>0.1215714092690177</v>
      </c>
      <c r="N67" t="s">
        <v>34</v>
      </c>
    </row>
    <row r="68" spans="1:14">
      <c r="A68" t="s">
        <v>182</v>
      </c>
      <c r="B68" t="s">
        <v>13</v>
      </c>
      <c r="C68" s="1">
        <v>45562</v>
      </c>
      <c r="D68" t="s">
        <v>14</v>
      </c>
      <c r="E68" t="s">
        <v>15</v>
      </c>
      <c r="F68">
        <v>3118</v>
      </c>
      <c r="G68">
        <v>116</v>
      </c>
      <c r="H68">
        <v>195</v>
      </c>
      <c r="I68">
        <v>37100</v>
      </c>
      <c r="J68">
        <v>62629</v>
      </c>
      <c r="K68" s="46">
        <v>272</v>
      </c>
      <c r="L68" t="s">
        <v>20</v>
      </c>
      <c r="M68">
        <v>9.2425876010781671E-2</v>
      </c>
      <c r="N68" t="s">
        <v>19</v>
      </c>
    </row>
    <row r="69" spans="1:14">
      <c r="A69" t="s">
        <v>226</v>
      </c>
      <c r="B69" t="s">
        <v>13</v>
      </c>
      <c r="C69" s="1">
        <v>45669</v>
      </c>
      <c r="D69" t="s">
        <v>14</v>
      </c>
      <c r="E69" t="s">
        <v>363</v>
      </c>
      <c r="F69">
        <v>1771</v>
      </c>
      <c r="G69">
        <v>487</v>
      </c>
      <c r="H69">
        <v>272</v>
      </c>
      <c r="I69">
        <v>48810</v>
      </c>
      <c r="J69">
        <v>48084</v>
      </c>
      <c r="K69" s="46">
        <v>272</v>
      </c>
      <c r="L69" t="s">
        <v>16</v>
      </c>
      <c r="M69">
        <v>5.1833640647408315E-2</v>
      </c>
      <c r="N69" t="s">
        <v>37</v>
      </c>
    </row>
    <row r="70" spans="1:14">
      <c r="A70" t="s">
        <v>226</v>
      </c>
      <c r="B70" t="s">
        <v>13</v>
      </c>
      <c r="C70" s="1">
        <v>45669</v>
      </c>
      <c r="D70" t="s">
        <v>14</v>
      </c>
      <c r="E70" t="s">
        <v>363</v>
      </c>
      <c r="F70">
        <v>1771</v>
      </c>
      <c r="G70">
        <v>487</v>
      </c>
      <c r="H70">
        <v>272</v>
      </c>
      <c r="I70">
        <v>48810</v>
      </c>
      <c r="J70">
        <v>48084</v>
      </c>
      <c r="K70" s="46">
        <v>272</v>
      </c>
      <c r="L70" t="s">
        <v>16</v>
      </c>
      <c r="M70">
        <v>5.1833640647408315E-2</v>
      </c>
      <c r="N70" t="s">
        <v>34</v>
      </c>
    </row>
    <row r="71" spans="1:14">
      <c r="A71" t="s">
        <v>287</v>
      </c>
      <c r="B71" t="s">
        <v>22</v>
      </c>
      <c r="C71" s="1">
        <v>45451</v>
      </c>
      <c r="D71" t="s">
        <v>23</v>
      </c>
      <c r="E71" t="s">
        <v>33</v>
      </c>
      <c r="F71">
        <v>3413</v>
      </c>
      <c r="G71">
        <v>326</v>
      </c>
      <c r="H71">
        <v>86</v>
      </c>
      <c r="I71">
        <v>44680</v>
      </c>
      <c r="J71">
        <v>52719</v>
      </c>
      <c r="K71" s="46">
        <v>272</v>
      </c>
      <c r="L71" t="s">
        <v>16</v>
      </c>
      <c r="M71">
        <v>8.5608773500447627E-2</v>
      </c>
      <c r="N71" t="s">
        <v>19</v>
      </c>
    </row>
    <row r="72" spans="1:14">
      <c r="A72" t="s">
        <v>287</v>
      </c>
      <c r="B72" t="s">
        <v>22</v>
      </c>
      <c r="C72" s="1">
        <v>45451</v>
      </c>
      <c r="D72" t="s">
        <v>23</v>
      </c>
      <c r="E72" t="s">
        <v>33</v>
      </c>
      <c r="F72">
        <v>3413</v>
      </c>
      <c r="G72">
        <v>326</v>
      </c>
      <c r="H72">
        <v>86</v>
      </c>
      <c r="I72">
        <v>44680</v>
      </c>
      <c r="J72">
        <v>52719</v>
      </c>
      <c r="K72" s="46">
        <v>272</v>
      </c>
      <c r="L72" t="s">
        <v>16</v>
      </c>
      <c r="M72">
        <v>8.5608773500447627E-2</v>
      </c>
      <c r="N72" t="s">
        <v>364</v>
      </c>
    </row>
    <row r="73" spans="1:14">
      <c r="A73" t="s">
        <v>253</v>
      </c>
      <c r="B73" t="s">
        <v>22</v>
      </c>
      <c r="C73" s="1">
        <v>45462</v>
      </c>
      <c r="D73" t="s">
        <v>14</v>
      </c>
      <c r="E73" t="s">
        <v>362</v>
      </c>
      <c r="F73">
        <v>1224</v>
      </c>
      <c r="G73">
        <v>168</v>
      </c>
      <c r="H73">
        <v>199</v>
      </c>
      <c r="I73">
        <v>54232</v>
      </c>
      <c r="J73">
        <v>52844</v>
      </c>
      <c r="K73" s="46">
        <v>271</v>
      </c>
      <c r="L73" t="s">
        <v>20</v>
      </c>
      <c r="M73">
        <v>2.9336922849977874E-2</v>
      </c>
      <c r="N73" t="s">
        <v>37</v>
      </c>
    </row>
    <row r="74" spans="1:14">
      <c r="A74" t="s">
        <v>103</v>
      </c>
      <c r="B74" t="s">
        <v>27</v>
      </c>
      <c r="C74" s="1">
        <v>45783</v>
      </c>
      <c r="D74" t="s">
        <v>48</v>
      </c>
      <c r="E74" t="s">
        <v>15</v>
      </c>
      <c r="F74">
        <v>1085</v>
      </c>
      <c r="G74">
        <v>496</v>
      </c>
      <c r="H74">
        <v>320</v>
      </c>
      <c r="I74">
        <v>36528</v>
      </c>
      <c r="J74">
        <v>38599</v>
      </c>
      <c r="K74" s="46">
        <v>270</v>
      </c>
      <c r="L74" t="s">
        <v>49</v>
      </c>
      <c r="M74">
        <v>5.2042268944371438E-2</v>
      </c>
      <c r="N74" t="s">
        <v>19</v>
      </c>
    </row>
    <row r="75" spans="1:14">
      <c r="A75" t="s">
        <v>103</v>
      </c>
      <c r="B75" t="s">
        <v>27</v>
      </c>
      <c r="C75" s="1">
        <v>45783</v>
      </c>
      <c r="D75" t="s">
        <v>48</v>
      </c>
      <c r="E75" t="s">
        <v>15</v>
      </c>
      <c r="F75">
        <v>1085</v>
      </c>
      <c r="G75">
        <v>496</v>
      </c>
      <c r="H75">
        <v>320</v>
      </c>
      <c r="I75">
        <v>36528</v>
      </c>
      <c r="J75">
        <v>38599</v>
      </c>
      <c r="K75" s="46">
        <v>270</v>
      </c>
      <c r="L75" t="s">
        <v>49</v>
      </c>
      <c r="M75">
        <v>5.2042268944371438E-2</v>
      </c>
      <c r="N75" t="s">
        <v>37</v>
      </c>
    </row>
    <row r="76" spans="1:14">
      <c r="A76" t="s">
        <v>178</v>
      </c>
      <c r="B76" t="s">
        <v>22</v>
      </c>
      <c r="C76" s="1">
        <v>45696</v>
      </c>
      <c r="D76" t="s">
        <v>23</v>
      </c>
      <c r="E76" t="s">
        <v>42</v>
      </c>
      <c r="F76">
        <v>4752</v>
      </c>
      <c r="G76">
        <v>334</v>
      </c>
      <c r="H76">
        <v>56</v>
      </c>
      <c r="I76">
        <v>48017</v>
      </c>
      <c r="J76">
        <v>55534</v>
      </c>
      <c r="K76" s="46">
        <v>270</v>
      </c>
      <c r="L76" t="s">
        <v>16</v>
      </c>
      <c r="M76">
        <v>0.10708707332819627</v>
      </c>
      <c r="N76" t="s">
        <v>19</v>
      </c>
    </row>
    <row r="77" spans="1:14">
      <c r="A77" t="s">
        <v>178</v>
      </c>
      <c r="B77" t="s">
        <v>22</v>
      </c>
      <c r="C77" s="1">
        <v>45696</v>
      </c>
      <c r="D77" t="s">
        <v>23</v>
      </c>
      <c r="E77" t="s">
        <v>42</v>
      </c>
      <c r="F77">
        <v>4752</v>
      </c>
      <c r="G77">
        <v>334</v>
      </c>
      <c r="H77">
        <v>56</v>
      </c>
      <c r="I77">
        <v>48017</v>
      </c>
      <c r="J77">
        <v>55534</v>
      </c>
      <c r="K77" s="46">
        <v>270</v>
      </c>
      <c r="L77" t="s">
        <v>16</v>
      </c>
      <c r="M77">
        <v>0.10708707332819627</v>
      </c>
      <c r="N77" t="s">
        <v>364</v>
      </c>
    </row>
    <row r="78" spans="1:14">
      <c r="A78" t="s">
        <v>330</v>
      </c>
      <c r="B78" t="s">
        <v>13</v>
      </c>
      <c r="C78" s="1">
        <v>45329</v>
      </c>
      <c r="D78" t="s">
        <v>14</v>
      </c>
      <c r="E78" t="s">
        <v>361</v>
      </c>
      <c r="F78">
        <v>1883</v>
      </c>
      <c r="G78">
        <v>432</v>
      </c>
      <c r="H78">
        <v>397</v>
      </c>
      <c r="I78">
        <v>28759</v>
      </c>
      <c r="J78">
        <v>18691</v>
      </c>
      <c r="K78" s="46">
        <v>270</v>
      </c>
      <c r="L78" t="s">
        <v>16</v>
      </c>
      <c r="M78">
        <v>9.4300914496331587E-2</v>
      </c>
      <c r="N78" t="s">
        <v>37</v>
      </c>
    </row>
    <row r="79" spans="1:14">
      <c r="A79" t="s">
        <v>330</v>
      </c>
      <c r="B79" t="s">
        <v>13</v>
      </c>
      <c r="C79" s="1">
        <v>45329</v>
      </c>
      <c r="D79" t="s">
        <v>14</v>
      </c>
      <c r="E79" t="s">
        <v>361</v>
      </c>
      <c r="F79">
        <v>1883</v>
      </c>
      <c r="G79">
        <v>432</v>
      </c>
      <c r="H79">
        <v>397</v>
      </c>
      <c r="I79">
        <v>28759</v>
      </c>
      <c r="J79">
        <v>18691</v>
      </c>
      <c r="K79" s="46">
        <v>270</v>
      </c>
      <c r="L79" t="s">
        <v>16</v>
      </c>
      <c r="M79">
        <v>9.4300914496331587E-2</v>
      </c>
      <c r="N79" t="s">
        <v>34</v>
      </c>
    </row>
    <row r="80" spans="1:14">
      <c r="A80" t="s">
        <v>204</v>
      </c>
      <c r="B80" t="s">
        <v>27</v>
      </c>
      <c r="C80" s="1">
        <v>45749</v>
      </c>
      <c r="D80" t="s">
        <v>14</v>
      </c>
      <c r="E80" t="s">
        <v>360</v>
      </c>
      <c r="F80">
        <v>4598</v>
      </c>
      <c r="G80">
        <v>455</v>
      </c>
      <c r="H80">
        <v>378</v>
      </c>
      <c r="I80">
        <v>52952</v>
      </c>
      <c r="J80">
        <v>58504</v>
      </c>
      <c r="K80" s="46">
        <v>269</v>
      </c>
      <c r="L80" t="s">
        <v>20</v>
      </c>
      <c r="M80">
        <v>0.10256458679558846</v>
      </c>
      <c r="N80" t="s">
        <v>19</v>
      </c>
    </row>
    <row r="81" spans="1:14">
      <c r="A81" t="s">
        <v>204</v>
      </c>
      <c r="B81" t="s">
        <v>27</v>
      </c>
      <c r="C81" s="1">
        <v>45749</v>
      </c>
      <c r="D81" t="s">
        <v>14</v>
      </c>
      <c r="E81" t="s">
        <v>360</v>
      </c>
      <c r="F81">
        <v>4598</v>
      </c>
      <c r="G81">
        <v>455</v>
      </c>
      <c r="H81">
        <v>378</v>
      </c>
      <c r="I81">
        <v>52952</v>
      </c>
      <c r="J81">
        <v>58504</v>
      </c>
      <c r="K81" s="46">
        <v>269</v>
      </c>
      <c r="L81" t="s">
        <v>20</v>
      </c>
      <c r="M81">
        <v>0.10256458679558846</v>
      </c>
      <c r="N81" t="s">
        <v>365</v>
      </c>
    </row>
    <row r="82" spans="1:14">
      <c r="A82" t="s">
        <v>224</v>
      </c>
      <c r="B82" t="s">
        <v>22</v>
      </c>
      <c r="C82" s="1">
        <v>45422</v>
      </c>
      <c r="D82" t="s">
        <v>23</v>
      </c>
      <c r="E82" t="s">
        <v>18</v>
      </c>
      <c r="F82">
        <v>2784</v>
      </c>
      <c r="G82">
        <v>111</v>
      </c>
      <c r="H82">
        <v>399</v>
      </c>
      <c r="I82">
        <v>58366</v>
      </c>
      <c r="J82">
        <v>69512</v>
      </c>
      <c r="K82" s="46">
        <v>269</v>
      </c>
      <c r="L82" t="s">
        <v>16</v>
      </c>
      <c r="M82">
        <v>5.6436966727204191E-2</v>
      </c>
      <c r="N82" t="s">
        <v>364</v>
      </c>
    </row>
    <row r="83" spans="1:14">
      <c r="A83" t="s">
        <v>224</v>
      </c>
      <c r="B83" t="s">
        <v>22</v>
      </c>
      <c r="C83" s="1">
        <v>45422</v>
      </c>
      <c r="D83" t="s">
        <v>23</v>
      </c>
      <c r="E83" t="s">
        <v>18</v>
      </c>
      <c r="F83">
        <v>2784</v>
      </c>
      <c r="G83">
        <v>111</v>
      </c>
      <c r="H83">
        <v>399</v>
      </c>
      <c r="I83">
        <v>58366</v>
      </c>
      <c r="J83">
        <v>69512</v>
      </c>
      <c r="K83" s="46">
        <v>269</v>
      </c>
      <c r="L83" t="s">
        <v>16</v>
      </c>
      <c r="M83">
        <v>5.6436966727204191E-2</v>
      </c>
      <c r="N83" t="s">
        <v>34</v>
      </c>
    </row>
    <row r="84" spans="1:14">
      <c r="A84" t="s">
        <v>319</v>
      </c>
      <c r="B84" t="s">
        <v>13</v>
      </c>
      <c r="C84" s="1">
        <v>45678</v>
      </c>
      <c r="D84" t="s">
        <v>23</v>
      </c>
      <c r="E84" t="s">
        <v>24</v>
      </c>
      <c r="F84">
        <v>4918</v>
      </c>
      <c r="G84">
        <v>440</v>
      </c>
      <c r="H84">
        <v>149</v>
      </c>
      <c r="I84">
        <v>53269</v>
      </c>
      <c r="J84">
        <v>64370</v>
      </c>
      <c r="K84" s="46">
        <v>269</v>
      </c>
      <c r="L84" t="s">
        <v>46</v>
      </c>
      <c r="M84">
        <v>0.10338095327488783</v>
      </c>
      <c r="N84" t="s">
        <v>34</v>
      </c>
    </row>
    <row r="85" spans="1:14">
      <c r="A85" t="s">
        <v>57</v>
      </c>
      <c r="B85" t="s">
        <v>13</v>
      </c>
      <c r="C85" s="1">
        <v>45625</v>
      </c>
      <c r="D85" t="s">
        <v>14</v>
      </c>
      <c r="E85" t="s">
        <v>362</v>
      </c>
      <c r="F85">
        <v>2824</v>
      </c>
      <c r="G85">
        <v>425</v>
      </c>
      <c r="H85">
        <v>274</v>
      </c>
      <c r="I85">
        <v>31004</v>
      </c>
      <c r="J85">
        <v>53488</v>
      </c>
      <c r="K85" s="46">
        <v>268</v>
      </c>
      <c r="L85" t="s">
        <v>16</v>
      </c>
      <c r="M85">
        <v>0.11363049929041415</v>
      </c>
      <c r="N85" t="s">
        <v>37</v>
      </c>
    </row>
    <row r="86" spans="1:14">
      <c r="A86" t="s">
        <v>57</v>
      </c>
      <c r="B86" t="s">
        <v>13</v>
      </c>
      <c r="C86" s="1">
        <v>45625</v>
      </c>
      <c r="D86" t="s">
        <v>14</v>
      </c>
      <c r="E86" t="s">
        <v>362</v>
      </c>
      <c r="F86">
        <v>2824</v>
      </c>
      <c r="G86">
        <v>425</v>
      </c>
      <c r="H86">
        <v>274</v>
      </c>
      <c r="I86">
        <v>31004</v>
      </c>
      <c r="J86">
        <v>53488</v>
      </c>
      <c r="K86" s="46">
        <v>268</v>
      </c>
      <c r="L86" t="s">
        <v>16</v>
      </c>
      <c r="M86">
        <v>0.11363049929041415</v>
      </c>
      <c r="N86" t="s">
        <v>34</v>
      </c>
    </row>
    <row r="87" spans="1:14">
      <c r="A87" t="s">
        <v>97</v>
      </c>
      <c r="B87" t="s">
        <v>27</v>
      </c>
      <c r="C87" s="1">
        <v>45384</v>
      </c>
      <c r="D87" t="s">
        <v>48</v>
      </c>
      <c r="E87" t="s">
        <v>42</v>
      </c>
      <c r="F87">
        <v>4563</v>
      </c>
      <c r="G87">
        <v>488</v>
      </c>
      <c r="H87">
        <v>356</v>
      </c>
      <c r="I87">
        <v>30619</v>
      </c>
      <c r="J87">
        <v>23328</v>
      </c>
      <c r="K87" s="46">
        <v>267</v>
      </c>
      <c r="L87" t="s">
        <v>49</v>
      </c>
      <c r="M87">
        <v>0.17658969920637513</v>
      </c>
      <c r="N87" t="s">
        <v>19</v>
      </c>
    </row>
    <row r="88" spans="1:14">
      <c r="A88" t="s">
        <v>97</v>
      </c>
      <c r="B88" t="s">
        <v>27</v>
      </c>
      <c r="C88" s="1">
        <v>45384</v>
      </c>
      <c r="D88" t="s">
        <v>48</v>
      </c>
      <c r="E88" t="s">
        <v>42</v>
      </c>
      <c r="F88">
        <v>4563</v>
      </c>
      <c r="G88">
        <v>488</v>
      </c>
      <c r="H88">
        <v>356</v>
      </c>
      <c r="I88">
        <v>30619</v>
      </c>
      <c r="J88">
        <v>23328</v>
      </c>
      <c r="K88" s="46">
        <v>267</v>
      </c>
      <c r="L88" t="s">
        <v>49</v>
      </c>
      <c r="M88">
        <v>0.17658969920637513</v>
      </c>
      <c r="N88" t="s">
        <v>37</v>
      </c>
    </row>
    <row r="89" spans="1:14">
      <c r="A89" t="s">
        <v>65</v>
      </c>
      <c r="B89" t="s">
        <v>22</v>
      </c>
      <c r="C89" s="1">
        <v>45785</v>
      </c>
      <c r="D89" t="s">
        <v>23</v>
      </c>
      <c r="E89" t="s">
        <v>42</v>
      </c>
      <c r="F89">
        <v>3316</v>
      </c>
      <c r="G89">
        <v>332</v>
      </c>
      <c r="H89">
        <v>268</v>
      </c>
      <c r="I89">
        <v>40095</v>
      </c>
      <c r="J89">
        <v>36913</v>
      </c>
      <c r="K89" s="46">
        <v>265</v>
      </c>
      <c r="L89" t="s">
        <v>16</v>
      </c>
      <c r="M89">
        <v>9.7668038408779148E-2</v>
      </c>
      <c r="N89" t="s">
        <v>364</v>
      </c>
    </row>
    <row r="90" spans="1:14">
      <c r="A90" t="s">
        <v>65</v>
      </c>
      <c r="B90" t="s">
        <v>22</v>
      </c>
      <c r="C90" s="1">
        <v>45785</v>
      </c>
      <c r="D90" t="s">
        <v>23</v>
      </c>
      <c r="E90" t="s">
        <v>42</v>
      </c>
      <c r="F90">
        <v>3316</v>
      </c>
      <c r="G90">
        <v>332</v>
      </c>
      <c r="H90">
        <v>268</v>
      </c>
      <c r="I90">
        <v>40095</v>
      </c>
      <c r="J90">
        <v>36913</v>
      </c>
      <c r="K90" s="46">
        <v>265</v>
      </c>
      <c r="L90" t="s">
        <v>16</v>
      </c>
      <c r="M90">
        <v>9.7668038408779148E-2</v>
      </c>
      <c r="N90" t="s">
        <v>34</v>
      </c>
    </row>
    <row r="91" spans="1:14">
      <c r="A91" t="s">
        <v>248</v>
      </c>
      <c r="B91" t="s">
        <v>22</v>
      </c>
      <c r="C91" s="1">
        <v>45579</v>
      </c>
      <c r="D91" t="s">
        <v>23</v>
      </c>
      <c r="E91" t="s">
        <v>18</v>
      </c>
      <c r="F91">
        <v>4303</v>
      </c>
      <c r="G91">
        <v>306</v>
      </c>
      <c r="H91">
        <v>302</v>
      </c>
      <c r="I91">
        <v>39575</v>
      </c>
      <c r="J91">
        <v>33762</v>
      </c>
      <c r="K91" s="46">
        <v>265</v>
      </c>
      <c r="L91" t="s">
        <v>16</v>
      </c>
      <c r="M91">
        <v>0.12409349336702463</v>
      </c>
      <c r="N91" t="s">
        <v>19</v>
      </c>
    </row>
    <row r="92" spans="1:14">
      <c r="A92" t="s">
        <v>248</v>
      </c>
      <c r="B92" t="s">
        <v>22</v>
      </c>
      <c r="C92" s="1">
        <v>45579</v>
      </c>
      <c r="D92" t="s">
        <v>23</v>
      </c>
      <c r="E92" t="s">
        <v>18</v>
      </c>
      <c r="F92">
        <v>4303</v>
      </c>
      <c r="G92">
        <v>306</v>
      </c>
      <c r="H92">
        <v>302</v>
      </c>
      <c r="I92">
        <v>39575</v>
      </c>
      <c r="J92">
        <v>33762</v>
      </c>
      <c r="K92" s="46">
        <v>265</v>
      </c>
      <c r="L92" t="s">
        <v>16</v>
      </c>
      <c r="M92">
        <v>0.12409349336702463</v>
      </c>
      <c r="N92" t="s">
        <v>364</v>
      </c>
    </row>
    <row r="93" spans="1:14">
      <c r="A93" t="s">
        <v>256</v>
      </c>
      <c r="B93" t="s">
        <v>22</v>
      </c>
      <c r="C93" s="1">
        <v>45308</v>
      </c>
      <c r="D93" t="s">
        <v>23</v>
      </c>
      <c r="E93" t="s">
        <v>24</v>
      </c>
      <c r="F93">
        <v>2174</v>
      </c>
      <c r="G93">
        <v>499</v>
      </c>
      <c r="H93">
        <v>212</v>
      </c>
      <c r="I93">
        <v>54938</v>
      </c>
      <c r="J93">
        <v>27190</v>
      </c>
      <c r="K93" s="46">
        <v>265</v>
      </c>
      <c r="L93" t="s">
        <v>16</v>
      </c>
      <c r="M93">
        <v>5.2513742764570971E-2</v>
      </c>
      <c r="N93" t="s">
        <v>364</v>
      </c>
    </row>
    <row r="94" spans="1:14">
      <c r="A94" t="s">
        <v>256</v>
      </c>
      <c r="B94" t="s">
        <v>22</v>
      </c>
      <c r="C94" s="1">
        <v>45308</v>
      </c>
      <c r="D94" t="s">
        <v>23</v>
      </c>
      <c r="E94" t="s">
        <v>24</v>
      </c>
      <c r="F94">
        <v>2174</v>
      </c>
      <c r="G94">
        <v>499</v>
      </c>
      <c r="H94">
        <v>212</v>
      </c>
      <c r="I94">
        <v>54938</v>
      </c>
      <c r="J94">
        <v>27190</v>
      </c>
      <c r="K94" s="46">
        <v>265</v>
      </c>
      <c r="L94" t="s">
        <v>16</v>
      </c>
      <c r="M94">
        <v>5.2513742764570971E-2</v>
      </c>
      <c r="N94" t="s">
        <v>34</v>
      </c>
    </row>
    <row r="95" spans="1:14">
      <c r="A95" t="s">
        <v>300</v>
      </c>
      <c r="B95" t="s">
        <v>22</v>
      </c>
      <c r="C95" s="1">
        <v>45609</v>
      </c>
      <c r="D95" t="s">
        <v>23</v>
      </c>
      <c r="E95" t="s">
        <v>24</v>
      </c>
      <c r="F95">
        <v>1409</v>
      </c>
      <c r="G95">
        <v>466</v>
      </c>
      <c r="H95">
        <v>105</v>
      </c>
      <c r="I95">
        <v>58923</v>
      </c>
      <c r="J95">
        <v>38753</v>
      </c>
      <c r="K95" s="46">
        <v>265</v>
      </c>
      <c r="L95" t="s">
        <v>16</v>
      </c>
      <c r="M95">
        <v>3.3603177027646251E-2</v>
      </c>
      <c r="N95" t="s">
        <v>19</v>
      </c>
    </row>
    <row r="96" spans="1:14">
      <c r="A96" t="s">
        <v>300</v>
      </c>
      <c r="B96" t="s">
        <v>22</v>
      </c>
      <c r="C96" s="1">
        <v>45609</v>
      </c>
      <c r="D96" t="s">
        <v>23</v>
      </c>
      <c r="E96" t="s">
        <v>24</v>
      </c>
      <c r="F96">
        <v>1409</v>
      </c>
      <c r="G96">
        <v>466</v>
      </c>
      <c r="H96">
        <v>105</v>
      </c>
      <c r="I96">
        <v>58923</v>
      </c>
      <c r="J96">
        <v>38753</v>
      </c>
      <c r="K96" s="46">
        <v>265</v>
      </c>
      <c r="L96" t="s">
        <v>16</v>
      </c>
      <c r="M96">
        <v>3.3603177027646251E-2</v>
      </c>
      <c r="N96" t="s">
        <v>364</v>
      </c>
    </row>
    <row r="97" spans="1:14">
      <c r="A97" t="s">
        <v>40</v>
      </c>
      <c r="B97" t="s">
        <v>22</v>
      </c>
      <c r="C97" s="1">
        <v>45573</v>
      </c>
      <c r="D97" t="s">
        <v>14</v>
      </c>
      <c r="E97" t="s">
        <v>363</v>
      </c>
      <c r="F97">
        <v>2460</v>
      </c>
      <c r="G97">
        <v>409</v>
      </c>
      <c r="H97">
        <v>253</v>
      </c>
      <c r="I97">
        <v>36702</v>
      </c>
      <c r="J97">
        <v>46122</v>
      </c>
      <c r="K97" s="46">
        <v>264</v>
      </c>
      <c r="L97" t="s">
        <v>16</v>
      </c>
      <c r="M97">
        <v>8.5063484278785892E-2</v>
      </c>
      <c r="N97" t="s">
        <v>34</v>
      </c>
    </row>
    <row r="98" spans="1:14">
      <c r="A98" t="s">
        <v>115</v>
      </c>
      <c r="B98" t="s">
        <v>13</v>
      </c>
      <c r="C98" s="1">
        <v>45522</v>
      </c>
      <c r="D98" t="s">
        <v>14</v>
      </c>
      <c r="E98" t="s">
        <v>18</v>
      </c>
      <c r="F98">
        <v>2965</v>
      </c>
      <c r="G98">
        <v>328</v>
      </c>
      <c r="H98">
        <v>171</v>
      </c>
      <c r="I98">
        <v>57685</v>
      </c>
      <c r="J98">
        <v>67536</v>
      </c>
      <c r="K98" s="46">
        <v>264</v>
      </c>
      <c r="L98" t="s">
        <v>16</v>
      </c>
      <c r="M98">
        <v>6.0050273034584378E-2</v>
      </c>
      <c r="N98" t="s">
        <v>37</v>
      </c>
    </row>
    <row r="99" spans="1:14">
      <c r="A99" t="s">
        <v>115</v>
      </c>
      <c r="B99" t="s">
        <v>13</v>
      </c>
      <c r="C99" s="1">
        <v>45522</v>
      </c>
      <c r="D99" t="s">
        <v>14</v>
      </c>
      <c r="E99" t="s">
        <v>18</v>
      </c>
      <c r="F99">
        <v>2965</v>
      </c>
      <c r="G99">
        <v>328</v>
      </c>
      <c r="H99">
        <v>171</v>
      </c>
      <c r="I99">
        <v>57685</v>
      </c>
      <c r="J99">
        <v>67536</v>
      </c>
      <c r="K99" s="46">
        <v>264</v>
      </c>
      <c r="L99" t="s">
        <v>16</v>
      </c>
      <c r="M99">
        <v>6.0050273034584378E-2</v>
      </c>
      <c r="N99" t="s">
        <v>34</v>
      </c>
    </row>
    <row r="100" spans="1:14">
      <c r="A100" t="s">
        <v>133</v>
      </c>
      <c r="B100" t="s">
        <v>13</v>
      </c>
      <c r="C100" s="1">
        <v>45336</v>
      </c>
      <c r="D100" t="s">
        <v>14</v>
      </c>
      <c r="E100" t="s">
        <v>361</v>
      </c>
      <c r="F100">
        <v>1830</v>
      </c>
      <c r="G100">
        <v>112</v>
      </c>
      <c r="H100">
        <v>181</v>
      </c>
      <c r="I100">
        <v>31870</v>
      </c>
      <c r="J100">
        <v>55742</v>
      </c>
      <c r="K100" s="46">
        <v>263</v>
      </c>
      <c r="L100" t="s">
        <v>16</v>
      </c>
      <c r="M100">
        <v>6.6614370881706936E-2</v>
      </c>
      <c r="N100" t="s">
        <v>37</v>
      </c>
    </row>
    <row r="101" spans="1:14">
      <c r="A101" t="s">
        <v>133</v>
      </c>
      <c r="B101" t="s">
        <v>13</v>
      </c>
      <c r="C101" s="1">
        <v>45336</v>
      </c>
      <c r="D101" t="s">
        <v>14</v>
      </c>
      <c r="E101" t="s">
        <v>361</v>
      </c>
      <c r="F101">
        <v>1830</v>
      </c>
      <c r="G101">
        <v>112</v>
      </c>
      <c r="H101">
        <v>181</v>
      </c>
      <c r="I101">
        <v>31870</v>
      </c>
      <c r="J101">
        <v>55742</v>
      </c>
      <c r="K101" s="46">
        <v>263</v>
      </c>
      <c r="L101" t="s">
        <v>16</v>
      </c>
      <c r="M101">
        <v>6.6614370881706936E-2</v>
      </c>
      <c r="N101" t="s">
        <v>34</v>
      </c>
    </row>
    <row r="102" spans="1:14">
      <c r="A102" t="s">
        <v>264</v>
      </c>
      <c r="B102" t="s">
        <v>22</v>
      </c>
      <c r="C102" s="1">
        <v>45324</v>
      </c>
      <c r="D102" t="s">
        <v>14</v>
      </c>
      <c r="E102" t="s">
        <v>363</v>
      </c>
      <c r="F102">
        <v>3818</v>
      </c>
      <c r="G102">
        <v>115</v>
      </c>
      <c r="H102">
        <v>286</v>
      </c>
      <c r="I102">
        <v>25127</v>
      </c>
      <c r="J102">
        <v>22277</v>
      </c>
      <c r="K102" s="46">
        <v>263</v>
      </c>
      <c r="L102" t="s">
        <v>16</v>
      </c>
      <c r="M102">
        <v>0.16790703227603773</v>
      </c>
      <c r="N102" t="s">
        <v>34</v>
      </c>
    </row>
    <row r="103" spans="1:14">
      <c r="A103" t="s">
        <v>281</v>
      </c>
      <c r="B103" t="s">
        <v>22</v>
      </c>
      <c r="C103" s="1">
        <v>45480</v>
      </c>
      <c r="D103" t="s">
        <v>14</v>
      </c>
      <c r="E103" t="s">
        <v>362</v>
      </c>
      <c r="F103">
        <v>1848</v>
      </c>
      <c r="G103">
        <v>417</v>
      </c>
      <c r="H103">
        <v>294</v>
      </c>
      <c r="I103">
        <v>57819</v>
      </c>
      <c r="J103">
        <v>19798</v>
      </c>
      <c r="K103" s="46">
        <v>262</v>
      </c>
      <c r="L103" t="s">
        <v>20</v>
      </c>
      <c r="M103">
        <v>4.4258807658382193E-2</v>
      </c>
      <c r="N103" t="s">
        <v>37</v>
      </c>
    </row>
    <row r="104" spans="1:14">
      <c r="A104" t="s">
        <v>284</v>
      </c>
      <c r="B104" t="s">
        <v>22</v>
      </c>
      <c r="C104" s="1">
        <v>45691</v>
      </c>
      <c r="D104" t="s">
        <v>14</v>
      </c>
      <c r="E104" t="s">
        <v>362</v>
      </c>
      <c r="F104">
        <v>4995</v>
      </c>
      <c r="G104">
        <v>231</v>
      </c>
      <c r="H104">
        <v>94</v>
      </c>
      <c r="I104">
        <v>34431</v>
      </c>
      <c r="J104">
        <v>32560</v>
      </c>
      <c r="K104" s="46">
        <v>262</v>
      </c>
      <c r="L104" t="s">
        <v>16</v>
      </c>
      <c r="M104">
        <v>0.15451192239551567</v>
      </c>
      <c r="N104" t="s">
        <v>34</v>
      </c>
    </row>
    <row r="105" spans="1:14">
      <c r="A105" t="s">
        <v>82</v>
      </c>
      <c r="B105" t="s">
        <v>22</v>
      </c>
      <c r="C105" s="1">
        <v>45539</v>
      </c>
      <c r="D105" t="s">
        <v>23</v>
      </c>
      <c r="E105" t="s">
        <v>24</v>
      </c>
      <c r="F105">
        <v>2613</v>
      </c>
      <c r="G105">
        <v>455</v>
      </c>
      <c r="H105">
        <v>228</v>
      </c>
      <c r="I105">
        <v>21645</v>
      </c>
      <c r="J105">
        <v>61334</v>
      </c>
      <c r="K105" s="46">
        <v>261</v>
      </c>
      <c r="L105" t="s">
        <v>16</v>
      </c>
      <c r="M105">
        <v>0.15227535227535227</v>
      </c>
      <c r="N105" t="s">
        <v>19</v>
      </c>
    </row>
    <row r="106" spans="1:14">
      <c r="A106" t="s">
        <v>82</v>
      </c>
      <c r="B106" t="s">
        <v>22</v>
      </c>
      <c r="C106" s="1">
        <v>45539</v>
      </c>
      <c r="D106" t="s">
        <v>23</v>
      </c>
      <c r="E106" t="s">
        <v>24</v>
      </c>
      <c r="F106">
        <v>2613</v>
      </c>
      <c r="G106">
        <v>455</v>
      </c>
      <c r="H106">
        <v>228</v>
      </c>
      <c r="I106">
        <v>21645</v>
      </c>
      <c r="J106">
        <v>61334</v>
      </c>
      <c r="K106" s="46">
        <v>261</v>
      </c>
      <c r="L106" t="s">
        <v>16</v>
      </c>
      <c r="M106">
        <v>0.15227535227535227</v>
      </c>
      <c r="N106" t="s">
        <v>364</v>
      </c>
    </row>
    <row r="107" spans="1:14">
      <c r="A107" t="s">
        <v>86</v>
      </c>
      <c r="B107" t="s">
        <v>13</v>
      </c>
      <c r="C107" s="1">
        <v>45707</v>
      </c>
      <c r="D107" t="s">
        <v>23</v>
      </c>
      <c r="E107" t="s">
        <v>363</v>
      </c>
      <c r="F107">
        <v>2422</v>
      </c>
      <c r="G107">
        <v>455</v>
      </c>
      <c r="H107">
        <v>376</v>
      </c>
      <c r="I107">
        <v>23428</v>
      </c>
      <c r="J107">
        <v>46775</v>
      </c>
      <c r="K107" s="46">
        <v>259</v>
      </c>
      <c r="L107" t="s">
        <v>46</v>
      </c>
      <c r="M107">
        <v>0.13885094758408742</v>
      </c>
      <c r="N107" t="s">
        <v>34</v>
      </c>
    </row>
    <row r="108" spans="1:14">
      <c r="A108" t="s">
        <v>200</v>
      </c>
      <c r="B108" t="s">
        <v>22</v>
      </c>
      <c r="C108" s="1">
        <v>45619</v>
      </c>
      <c r="D108" t="s">
        <v>14</v>
      </c>
      <c r="E108" t="s">
        <v>24</v>
      </c>
      <c r="F108">
        <v>4318</v>
      </c>
      <c r="G108">
        <v>371</v>
      </c>
      <c r="H108">
        <v>329</v>
      </c>
      <c r="I108">
        <v>32347</v>
      </c>
      <c r="J108">
        <v>68956</v>
      </c>
      <c r="K108" s="46">
        <v>259</v>
      </c>
      <c r="L108" t="s">
        <v>20</v>
      </c>
      <c r="M108">
        <v>0.15513030574705536</v>
      </c>
      <c r="N108" t="s">
        <v>37</v>
      </c>
    </row>
    <row r="109" spans="1:14">
      <c r="A109" t="s">
        <v>129</v>
      </c>
      <c r="B109" t="s">
        <v>22</v>
      </c>
      <c r="C109" s="1">
        <v>45580</v>
      </c>
      <c r="D109" t="s">
        <v>14</v>
      </c>
      <c r="E109" t="s">
        <v>360</v>
      </c>
      <c r="F109">
        <v>1984</v>
      </c>
      <c r="G109">
        <v>481</v>
      </c>
      <c r="H109">
        <v>356</v>
      </c>
      <c r="I109">
        <v>40681</v>
      </c>
      <c r="J109">
        <v>63111</v>
      </c>
      <c r="K109" s="46">
        <v>258</v>
      </c>
      <c r="L109" t="s">
        <v>16</v>
      </c>
      <c r="M109">
        <v>6.934441139598338E-2</v>
      </c>
      <c r="N109" t="s">
        <v>34</v>
      </c>
    </row>
    <row r="110" spans="1:14">
      <c r="A110" t="s">
        <v>195</v>
      </c>
      <c r="B110" t="s">
        <v>13</v>
      </c>
      <c r="C110" s="1">
        <v>45420</v>
      </c>
      <c r="D110" t="s">
        <v>23</v>
      </c>
      <c r="E110" t="s">
        <v>361</v>
      </c>
      <c r="F110">
        <v>2414</v>
      </c>
      <c r="G110">
        <v>220</v>
      </c>
      <c r="H110">
        <v>280</v>
      </c>
      <c r="I110">
        <v>27355</v>
      </c>
      <c r="J110">
        <v>50562</v>
      </c>
      <c r="K110" s="46">
        <v>258</v>
      </c>
      <c r="L110" t="s">
        <v>46</v>
      </c>
      <c r="M110">
        <v>0.10652531529884847</v>
      </c>
      <c r="N110" t="s">
        <v>34</v>
      </c>
    </row>
    <row r="111" spans="1:14">
      <c r="A111" t="s">
        <v>259</v>
      </c>
      <c r="B111" t="s">
        <v>27</v>
      </c>
      <c r="C111" s="1">
        <v>45346</v>
      </c>
      <c r="D111" t="s">
        <v>14</v>
      </c>
      <c r="E111" t="s">
        <v>361</v>
      </c>
      <c r="F111">
        <v>4653</v>
      </c>
      <c r="G111">
        <v>226</v>
      </c>
      <c r="H111">
        <v>349</v>
      </c>
      <c r="I111">
        <v>56876</v>
      </c>
      <c r="J111">
        <v>28452</v>
      </c>
      <c r="K111" s="46">
        <v>257</v>
      </c>
      <c r="L111" t="s">
        <v>20</v>
      </c>
      <c r="M111">
        <v>9.191926295801392E-2</v>
      </c>
      <c r="N111" t="s">
        <v>19</v>
      </c>
    </row>
    <row r="112" spans="1:14">
      <c r="A112" t="s">
        <v>259</v>
      </c>
      <c r="B112" t="s">
        <v>27</v>
      </c>
      <c r="C112" s="1">
        <v>45346</v>
      </c>
      <c r="D112" t="s">
        <v>14</v>
      </c>
      <c r="E112" t="s">
        <v>361</v>
      </c>
      <c r="F112">
        <v>4653</v>
      </c>
      <c r="G112">
        <v>226</v>
      </c>
      <c r="H112">
        <v>349</v>
      </c>
      <c r="I112">
        <v>56876</v>
      </c>
      <c r="J112">
        <v>28452</v>
      </c>
      <c r="K112" s="46">
        <v>257</v>
      </c>
      <c r="L112" t="s">
        <v>20</v>
      </c>
      <c r="M112">
        <v>9.191926295801392E-2</v>
      </c>
      <c r="N112" t="s">
        <v>365</v>
      </c>
    </row>
    <row r="113" spans="1:14">
      <c r="A113" t="s">
        <v>193</v>
      </c>
      <c r="B113" t="s">
        <v>27</v>
      </c>
      <c r="C113" s="1">
        <v>45513</v>
      </c>
      <c r="D113" t="s">
        <v>48</v>
      </c>
      <c r="E113" t="s">
        <v>363</v>
      </c>
      <c r="F113">
        <v>3414</v>
      </c>
      <c r="G113">
        <v>154</v>
      </c>
      <c r="H113">
        <v>204</v>
      </c>
      <c r="I113">
        <v>34146</v>
      </c>
      <c r="J113">
        <v>44633</v>
      </c>
      <c r="K113" s="46">
        <v>256</v>
      </c>
      <c r="L113" t="s">
        <v>49</v>
      </c>
      <c r="M113">
        <v>0.11046681895390383</v>
      </c>
      <c r="N113" t="s">
        <v>19</v>
      </c>
    </row>
    <row r="114" spans="1:14">
      <c r="A114" t="s">
        <v>193</v>
      </c>
      <c r="B114" t="s">
        <v>27</v>
      </c>
      <c r="C114" s="1">
        <v>45513</v>
      </c>
      <c r="D114" t="s">
        <v>48</v>
      </c>
      <c r="E114" t="s">
        <v>363</v>
      </c>
      <c r="F114">
        <v>3414</v>
      </c>
      <c r="G114">
        <v>154</v>
      </c>
      <c r="H114">
        <v>204</v>
      </c>
      <c r="I114">
        <v>34146</v>
      </c>
      <c r="J114">
        <v>44633</v>
      </c>
      <c r="K114" s="46">
        <v>256</v>
      </c>
      <c r="L114" t="s">
        <v>49</v>
      </c>
      <c r="M114">
        <v>0.11046681895390383</v>
      </c>
      <c r="N114" t="s">
        <v>37</v>
      </c>
    </row>
    <row r="115" spans="1:14">
      <c r="A115" t="s">
        <v>250</v>
      </c>
      <c r="B115" t="s">
        <v>27</v>
      </c>
      <c r="C115" s="1">
        <v>45636</v>
      </c>
      <c r="D115" t="s">
        <v>14</v>
      </c>
      <c r="E115" t="s">
        <v>362</v>
      </c>
      <c r="F115">
        <v>2569</v>
      </c>
      <c r="G115">
        <v>140</v>
      </c>
      <c r="H115">
        <v>375</v>
      </c>
      <c r="I115">
        <v>38372</v>
      </c>
      <c r="J115">
        <v>22102</v>
      </c>
      <c r="K115" s="46">
        <v>255</v>
      </c>
      <c r="L115" t="s">
        <v>20</v>
      </c>
      <c r="M115">
        <v>8.0371103929948923E-2</v>
      </c>
      <c r="N115" t="s">
        <v>19</v>
      </c>
    </row>
    <row r="116" spans="1:14">
      <c r="A116" t="s">
        <v>250</v>
      </c>
      <c r="B116" t="s">
        <v>27</v>
      </c>
      <c r="C116" s="1">
        <v>45636</v>
      </c>
      <c r="D116" t="s">
        <v>14</v>
      </c>
      <c r="E116" t="s">
        <v>362</v>
      </c>
      <c r="F116">
        <v>2569</v>
      </c>
      <c r="G116">
        <v>140</v>
      </c>
      <c r="H116">
        <v>375</v>
      </c>
      <c r="I116">
        <v>38372</v>
      </c>
      <c r="J116">
        <v>22102</v>
      </c>
      <c r="K116" s="46">
        <v>255</v>
      </c>
      <c r="L116" t="s">
        <v>20</v>
      </c>
      <c r="M116">
        <v>8.0371103929948923E-2</v>
      </c>
      <c r="N116" t="s">
        <v>365</v>
      </c>
    </row>
    <row r="117" spans="1:14">
      <c r="A117" t="s">
        <v>273</v>
      </c>
      <c r="B117" t="s">
        <v>22</v>
      </c>
      <c r="C117" s="1">
        <v>45636</v>
      </c>
      <c r="D117" t="s">
        <v>23</v>
      </c>
      <c r="E117" t="s">
        <v>360</v>
      </c>
      <c r="F117">
        <v>2267</v>
      </c>
      <c r="G117">
        <v>230</v>
      </c>
      <c r="H117">
        <v>243</v>
      </c>
      <c r="I117">
        <v>27904</v>
      </c>
      <c r="J117">
        <v>69771</v>
      </c>
      <c r="K117" s="46">
        <v>255</v>
      </c>
      <c r="L117" t="s">
        <v>16</v>
      </c>
      <c r="M117">
        <v>9.8193807339449546E-2</v>
      </c>
      <c r="N117" t="s">
        <v>19</v>
      </c>
    </row>
    <row r="118" spans="1:14">
      <c r="A118" t="s">
        <v>273</v>
      </c>
      <c r="B118" t="s">
        <v>22</v>
      </c>
      <c r="C118" s="1">
        <v>45636</v>
      </c>
      <c r="D118" t="s">
        <v>23</v>
      </c>
      <c r="E118" t="s">
        <v>360</v>
      </c>
      <c r="F118">
        <v>2267</v>
      </c>
      <c r="G118">
        <v>230</v>
      </c>
      <c r="H118">
        <v>243</v>
      </c>
      <c r="I118">
        <v>27904</v>
      </c>
      <c r="J118">
        <v>69771</v>
      </c>
      <c r="K118" s="46">
        <v>255</v>
      </c>
      <c r="L118" t="s">
        <v>16</v>
      </c>
      <c r="M118">
        <v>9.8193807339449546E-2</v>
      </c>
      <c r="N118" t="s">
        <v>364</v>
      </c>
    </row>
    <row r="119" spans="1:14">
      <c r="A119" t="s">
        <v>145</v>
      </c>
      <c r="B119" t="s">
        <v>13</v>
      </c>
      <c r="C119" s="1">
        <v>45762</v>
      </c>
      <c r="D119" t="s">
        <v>14</v>
      </c>
      <c r="E119" t="s">
        <v>18</v>
      </c>
      <c r="F119">
        <v>4177</v>
      </c>
      <c r="G119">
        <v>489</v>
      </c>
      <c r="H119">
        <v>331</v>
      </c>
      <c r="I119">
        <v>57451</v>
      </c>
      <c r="J119">
        <v>73793</v>
      </c>
      <c r="K119" s="46">
        <v>251</v>
      </c>
      <c r="L119" t="s">
        <v>20</v>
      </c>
      <c r="M119">
        <v>8.6978468608031198E-2</v>
      </c>
      <c r="N119" t="s">
        <v>19</v>
      </c>
    </row>
    <row r="120" spans="1:14">
      <c r="A120" t="s">
        <v>282</v>
      </c>
      <c r="B120" t="s">
        <v>27</v>
      </c>
      <c r="C120" s="1">
        <v>45591</v>
      </c>
      <c r="D120" t="s">
        <v>14</v>
      </c>
      <c r="E120" t="s">
        <v>24</v>
      </c>
      <c r="F120">
        <v>4676</v>
      </c>
      <c r="G120">
        <v>211</v>
      </c>
      <c r="H120">
        <v>55</v>
      </c>
      <c r="I120">
        <v>45917</v>
      </c>
      <c r="J120">
        <v>73503</v>
      </c>
      <c r="K120" s="46">
        <v>248</v>
      </c>
      <c r="L120" t="s">
        <v>20</v>
      </c>
      <c r="M120">
        <v>0.10762898272970794</v>
      </c>
      <c r="N120" t="s">
        <v>19</v>
      </c>
    </row>
    <row r="121" spans="1:14">
      <c r="A121" t="s">
        <v>282</v>
      </c>
      <c r="B121" t="s">
        <v>27</v>
      </c>
      <c r="C121" s="1">
        <v>45591</v>
      </c>
      <c r="D121" t="s">
        <v>14</v>
      </c>
      <c r="E121" t="s">
        <v>24</v>
      </c>
      <c r="F121">
        <v>4676</v>
      </c>
      <c r="G121">
        <v>211</v>
      </c>
      <c r="H121">
        <v>55</v>
      </c>
      <c r="I121">
        <v>45917</v>
      </c>
      <c r="J121">
        <v>73503</v>
      </c>
      <c r="K121" s="46">
        <v>248</v>
      </c>
      <c r="L121" t="s">
        <v>20</v>
      </c>
      <c r="M121">
        <v>0.10762898272970794</v>
      </c>
      <c r="N121" t="s">
        <v>365</v>
      </c>
    </row>
    <row r="122" spans="1:14">
      <c r="A122" t="s">
        <v>260</v>
      </c>
      <c r="B122" t="s">
        <v>27</v>
      </c>
      <c r="C122" s="1">
        <v>45791</v>
      </c>
      <c r="D122" t="s">
        <v>14</v>
      </c>
      <c r="E122" t="s">
        <v>15</v>
      </c>
      <c r="F122">
        <v>1701</v>
      </c>
      <c r="G122">
        <v>272</v>
      </c>
      <c r="H122">
        <v>385</v>
      </c>
      <c r="I122">
        <v>47496</v>
      </c>
      <c r="J122">
        <v>40832</v>
      </c>
      <c r="K122" s="46">
        <v>246</v>
      </c>
      <c r="L122" t="s">
        <v>20</v>
      </c>
      <c r="M122">
        <v>4.9646286003031836E-2</v>
      </c>
      <c r="N122" t="s">
        <v>19</v>
      </c>
    </row>
    <row r="123" spans="1:14">
      <c r="A123" t="s">
        <v>260</v>
      </c>
      <c r="B123" t="s">
        <v>27</v>
      </c>
      <c r="C123" s="1">
        <v>45791</v>
      </c>
      <c r="D123" t="s">
        <v>14</v>
      </c>
      <c r="E123" t="s">
        <v>15</v>
      </c>
      <c r="F123">
        <v>1701</v>
      </c>
      <c r="G123">
        <v>272</v>
      </c>
      <c r="H123">
        <v>385</v>
      </c>
      <c r="I123">
        <v>47496</v>
      </c>
      <c r="J123">
        <v>40832</v>
      </c>
      <c r="K123" s="46">
        <v>246</v>
      </c>
      <c r="L123" t="s">
        <v>20</v>
      </c>
      <c r="M123">
        <v>4.9646286003031836E-2</v>
      </c>
      <c r="N123" t="s">
        <v>365</v>
      </c>
    </row>
    <row r="124" spans="1:14">
      <c r="A124" t="s">
        <v>296</v>
      </c>
      <c r="B124" t="s">
        <v>13</v>
      </c>
      <c r="C124" s="1">
        <v>45442</v>
      </c>
      <c r="D124" t="s">
        <v>23</v>
      </c>
      <c r="E124" t="s">
        <v>30</v>
      </c>
      <c r="F124">
        <v>2448</v>
      </c>
      <c r="G124">
        <v>464</v>
      </c>
      <c r="H124">
        <v>98</v>
      </c>
      <c r="I124">
        <v>25737</v>
      </c>
      <c r="J124">
        <v>48545</v>
      </c>
      <c r="K124" s="46">
        <v>246</v>
      </c>
      <c r="L124" t="s">
        <v>46</v>
      </c>
      <c r="M124">
        <v>0.11695224773672146</v>
      </c>
      <c r="N124" t="s">
        <v>34</v>
      </c>
    </row>
    <row r="125" spans="1:14">
      <c r="A125" t="s">
        <v>146</v>
      </c>
      <c r="B125" t="s">
        <v>13</v>
      </c>
      <c r="C125" s="1">
        <v>45781</v>
      </c>
      <c r="D125" t="s">
        <v>23</v>
      </c>
      <c r="E125" t="s">
        <v>24</v>
      </c>
      <c r="F125">
        <v>1311</v>
      </c>
      <c r="G125">
        <v>181</v>
      </c>
      <c r="H125">
        <v>361</v>
      </c>
      <c r="I125">
        <v>37148</v>
      </c>
      <c r="J125">
        <v>44875</v>
      </c>
      <c r="K125" s="46">
        <v>245</v>
      </c>
      <c r="L125" t="s">
        <v>46</v>
      </c>
      <c r="M125">
        <v>4.9881554861634543E-2</v>
      </c>
      <c r="N125" t="s">
        <v>34</v>
      </c>
    </row>
    <row r="126" spans="1:14">
      <c r="A126" t="s">
        <v>176</v>
      </c>
      <c r="B126" t="s">
        <v>13</v>
      </c>
      <c r="C126" s="1">
        <v>45799</v>
      </c>
      <c r="D126" t="s">
        <v>14</v>
      </c>
      <c r="E126" t="s">
        <v>15</v>
      </c>
      <c r="F126">
        <v>2633</v>
      </c>
      <c r="G126">
        <v>318</v>
      </c>
      <c r="H126">
        <v>380</v>
      </c>
      <c r="I126">
        <v>40869</v>
      </c>
      <c r="J126">
        <v>64474</v>
      </c>
      <c r="K126" s="46">
        <v>245</v>
      </c>
      <c r="L126" t="s">
        <v>20</v>
      </c>
      <c r="M126">
        <v>8.1504318676747664E-2</v>
      </c>
      <c r="N126" t="s">
        <v>19</v>
      </c>
    </row>
    <row r="127" spans="1:14">
      <c r="A127" t="s">
        <v>125</v>
      </c>
      <c r="B127" t="s">
        <v>13</v>
      </c>
      <c r="C127" s="1">
        <v>45373</v>
      </c>
      <c r="D127" t="s">
        <v>23</v>
      </c>
      <c r="E127" t="s">
        <v>15</v>
      </c>
      <c r="F127">
        <v>2319</v>
      </c>
      <c r="G127">
        <v>484</v>
      </c>
      <c r="H127">
        <v>193</v>
      </c>
      <c r="I127">
        <v>21202</v>
      </c>
      <c r="J127">
        <v>18091</v>
      </c>
      <c r="K127" s="46">
        <v>241</v>
      </c>
      <c r="L127" t="s">
        <v>46</v>
      </c>
      <c r="M127">
        <v>0.14130742382794076</v>
      </c>
      <c r="N127" t="s">
        <v>34</v>
      </c>
    </row>
    <row r="128" spans="1:14">
      <c r="A128" t="s">
        <v>220</v>
      </c>
      <c r="B128" t="s">
        <v>13</v>
      </c>
      <c r="C128" s="1">
        <v>45673</v>
      </c>
      <c r="D128" t="s">
        <v>14</v>
      </c>
      <c r="E128" t="s">
        <v>361</v>
      </c>
      <c r="F128">
        <v>2605</v>
      </c>
      <c r="G128">
        <v>282</v>
      </c>
      <c r="H128">
        <v>148</v>
      </c>
      <c r="I128">
        <v>32201</v>
      </c>
      <c r="J128">
        <v>49583</v>
      </c>
      <c r="K128" s="46">
        <v>241</v>
      </c>
      <c r="L128" t="s">
        <v>16</v>
      </c>
      <c r="M128">
        <v>9.4251731312692155E-2</v>
      </c>
      <c r="N128" t="s">
        <v>37</v>
      </c>
    </row>
    <row r="129" spans="1:14">
      <c r="A129" t="s">
        <v>220</v>
      </c>
      <c r="B129" t="s">
        <v>13</v>
      </c>
      <c r="C129" s="1">
        <v>45673</v>
      </c>
      <c r="D129" t="s">
        <v>14</v>
      </c>
      <c r="E129" t="s">
        <v>361</v>
      </c>
      <c r="F129">
        <v>2605</v>
      </c>
      <c r="G129">
        <v>282</v>
      </c>
      <c r="H129">
        <v>148</v>
      </c>
      <c r="I129">
        <v>32201</v>
      </c>
      <c r="J129">
        <v>49583</v>
      </c>
      <c r="K129" s="46">
        <v>241</v>
      </c>
      <c r="L129" t="s">
        <v>16</v>
      </c>
      <c r="M129">
        <v>9.4251731312692155E-2</v>
      </c>
      <c r="N129" t="s">
        <v>34</v>
      </c>
    </row>
    <row r="130" spans="1:14">
      <c r="A130" t="s">
        <v>221</v>
      </c>
      <c r="B130" t="s">
        <v>27</v>
      </c>
      <c r="C130" s="1">
        <v>45346</v>
      </c>
      <c r="D130" t="s">
        <v>48</v>
      </c>
      <c r="E130" t="s">
        <v>15</v>
      </c>
      <c r="F130">
        <v>4221</v>
      </c>
      <c r="G130">
        <v>307</v>
      </c>
      <c r="H130">
        <v>58</v>
      </c>
      <c r="I130">
        <v>45080</v>
      </c>
      <c r="J130">
        <v>37214</v>
      </c>
      <c r="K130" s="46">
        <v>240</v>
      </c>
      <c r="L130" t="s">
        <v>49</v>
      </c>
      <c r="M130">
        <v>0.10173025732031943</v>
      </c>
      <c r="N130" t="s">
        <v>19</v>
      </c>
    </row>
    <row r="131" spans="1:14">
      <c r="A131" t="s">
        <v>221</v>
      </c>
      <c r="B131" t="s">
        <v>27</v>
      </c>
      <c r="C131" s="1">
        <v>45346</v>
      </c>
      <c r="D131" t="s">
        <v>48</v>
      </c>
      <c r="E131" t="s">
        <v>15</v>
      </c>
      <c r="F131">
        <v>4221</v>
      </c>
      <c r="G131">
        <v>307</v>
      </c>
      <c r="H131">
        <v>58</v>
      </c>
      <c r="I131">
        <v>45080</v>
      </c>
      <c r="J131">
        <v>37214</v>
      </c>
      <c r="K131" s="46">
        <v>240</v>
      </c>
      <c r="L131" t="s">
        <v>49</v>
      </c>
      <c r="M131">
        <v>0.10173025732031943</v>
      </c>
      <c r="N131" t="s">
        <v>37</v>
      </c>
    </row>
    <row r="132" spans="1:14">
      <c r="A132" t="s">
        <v>329</v>
      </c>
      <c r="B132" t="s">
        <v>22</v>
      </c>
      <c r="C132" s="1">
        <v>45303</v>
      </c>
      <c r="D132" t="s">
        <v>23</v>
      </c>
      <c r="E132" t="s">
        <v>360</v>
      </c>
      <c r="F132">
        <v>2227</v>
      </c>
      <c r="G132">
        <v>494</v>
      </c>
      <c r="H132">
        <v>161</v>
      </c>
      <c r="I132">
        <v>51651</v>
      </c>
      <c r="J132">
        <v>68074</v>
      </c>
      <c r="K132" s="46">
        <v>240</v>
      </c>
      <c r="L132" t="s">
        <v>16</v>
      </c>
      <c r="M132">
        <v>5.5797564422760453E-2</v>
      </c>
      <c r="N132" t="s">
        <v>19</v>
      </c>
    </row>
    <row r="133" spans="1:14">
      <c r="A133" t="s">
        <v>329</v>
      </c>
      <c r="B133" t="s">
        <v>22</v>
      </c>
      <c r="C133" s="1">
        <v>45303</v>
      </c>
      <c r="D133" t="s">
        <v>23</v>
      </c>
      <c r="E133" t="s">
        <v>360</v>
      </c>
      <c r="F133">
        <v>2227</v>
      </c>
      <c r="G133">
        <v>494</v>
      </c>
      <c r="H133">
        <v>161</v>
      </c>
      <c r="I133">
        <v>51651</v>
      </c>
      <c r="J133">
        <v>68074</v>
      </c>
      <c r="K133" s="46">
        <v>240</v>
      </c>
      <c r="L133" t="s">
        <v>16</v>
      </c>
      <c r="M133">
        <v>5.5797564422760453E-2</v>
      </c>
      <c r="N133" t="s">
        <v>364</v>
      </c>
    </row>
    <row r="134" spans="1:14">
      <c r="A134" t="s">
        <v>84</v>
      </c>
      <c r="B134" t="s">
        <v>13</v>
      </c>
      <c r="C134" s="1">
        <v>45722</v>
      </c>
      <c r="D134" t="s">
        <v>14</v>
      </c>
      <c r="E134" t="s">
        <v>30</v>
      </c>
      <c r="F134">
        <v>4851</v>
      </c>
      <c r="G134">
        <v>460</v>
      </c>
      <c r="H134">
        <v>212</v>
      </c>
      <c r="I134">
        <v>58075</v>
      </c>
      <c r="J134">
        <v>59574</v>
      </c>
      <c r="K134" s="46">
        <v>239</v>
      </c>
      <c r="L134" t="s">
        <v>20</v>
      </c>
      <c r="M134">
        <v>9.5101162290142052E-2</v>
      </c>
      <c r="N134" t="s">
        <v>19</v>
      </c>
    </row>
    <row r="135" spans="1:14">
      <c r="A135" t="s">
        <v>227</v>
      </c>
      <c r="B135" t="s">
        <v>27</v>
      </c>
      <c r="C135" s="1">
        <v>45634</v>
      </c>
      <c r="D135" t="s">
        <v>14</v>
      </c>
      <c r="E135" t="s">
        <v>33</v>
      </c>
      <c r="F135">
        <v>1424</v>
      </c>
      <c r="G135">
        <v>396</v>
      </c>
      <c r="H135">
        <v>312</v>
      </c>
      <c r="I135">
        <v>59517</v>
      </c>
      <c r="J135">
        <v>46102</v>
      </c>
      <c r="K135" s="46">
        <v>239</v>
      </c>
      <c r="L135" t="s">
        <v>20</v>
      </c>
      <c r="M135">
        <v>3.5821698002251455E-2</v>
      </c>
      <c r="N135" t="s">
        <v>19</v>
      </c>
    </row>
    <row r="136" spans="1:14">
      <c r="A136" t="s">
        <v>227</v>
      </c>
      <c r="B136" t="s">
        <v>27</v>
      </c>
      <c r="C136" s="1">
        <v>45634</v>
      </c>
      <c r="D136" t="s">
        <v>14</v>
      </c>
      <c r="E136" t="s">
        <v>33</v>
      </c>
      <c r="F136">
        <v>1424</v>
      </c>
      <c r="G136">
        <v>396</v>
      </c>
      <c r="H136">
        <v>312</v>
      </c>
      <c r="I136">
        <v>59517</v>
      </c>
      <c r="J136">
        <v>46102</v>
      </c>
      <c r="K136" s="46">
        <v>239</v>
      </c>
      <c r="L136" t="s">
        <v>20</v>
      </c>
      <c r="M136">
        <v>3.5821698002251455E-2</v>
      </c>
      <c r="N136" t="s">
        <v>365</v>
      </c>
    </row>
    <row r="137" spans="1:14">
      <c r="A137" t="s">
        <v>238</v>
      </c>
      <c r="B137" t="s">
        <v>22</v>
      </c>
      <c r="C137" s="1">
        <v>45754</v>
      </c>
      <c r="D137" t="s">
        <v>14</v>
      </c>
      <c r="E137" t="s">
        <v>363</v>
      </c>
      <c r="F137">
        <v>1403</v>
      </c>
      <c r="G137">
        <v>385</v>
      </c>
      <c r="H137">
        <v>344</v>
      </c>
      <c r="I137">
        <v>54223</v>
      </c>
      <c r="J137">
        <v>72595</v>
      </c>
      <c r="K137" s="46">
        <v>239</v>
      </c>
      <c r="L137" t="s">
        <v>20</v>
      </c>
      <c r="M137">
        <v>3.9319108127547353E-2</v>
      </c>
      <c r="N137" t="s">
        <v>37</v>
      </c>
    </row>
    <row r="138" spans="1:14">
      <c r="A138" t="s">
        <v>93</v>
      </c>
      <c r="B138" t="s">
        <v>22</v>
      </c>
      <c r="C138" s="1">
        <v>45480</v>
      </c>
      <c r="D138" t="s">
        <v>14</v>
      </c>
      <c r="E138" t="s">
        <v>24</v>
      </c>
      <c r="F138">
        <v>1035</v>
      </c>
      <c r="G138">
        <v>137</v>
      </c>
      <c r="H138">
        <v>184</v>
      </c>
      <c r="I138">
        <v>37302</v>
      </c>
      <c r="J138">
        <v>68953</v>
      </c>
      <c r="K138" s="46">
        <v>237</v>
      </c>
      <c r="L138" t="s">
        <v>20</v>
      </c>
      <c r="M138">
        <v>3.6351938233874857E-2</v>
      </c>
      <c r="N138" t="s">
        <v>37</v>
      </c>
    </row>
    <row r="139" spans="1:14">
      <c r="A139" t="s">
        <v>153</v>
      </c>
      <c r="B139" t="s">
        <v>27</v>
      </c>
      <c r="C139" s="1">
        <v>45424</v>
      </c>
      <c r="D139" t="s">
        <v>14</v>
      </c>
      <c r="E139" t="s">
        <v>363</v>
      </c>
      <c r="F139">
        <v>2911</v>
      </c>
      <c r="G139">
        <v>467</v>
      </c>
      <c r="H139">
        <v>94</v>
      </c>
      <c r="I139">
        <v>59083</v>
      </c>
      <c r="J139">
        <v>49762</v>
      </c>
      <c r="K139" s="46">
        <v>236</v>
      </c>
      <c r="L139" t="s">
        <v>20</v>
      </c>
      <c r="M139">
        <v>5.8764788517847777E-2</v>
      </c>
      <c r="N139" t="s">
        <v>19</v>
      </c>
    </row>
    <row r="140" spans="1:14">
      <c r="A140" t="s">
        <v>153</v>
      </c>
      <c r="B140" t="s">
        <v>27</v>
      </c>
      <c r="C140" s="1">
        <v>45424</v>
      </c>
      <c r="D140" t="s">
        <v>14</v>
      </c>
      <c r="E140" t="s">
        <v>363</v>
      </c>
      <c r="F140">
        <v>2911</v>
      </c>
      <c r="G140">
        <v>467</v>
      </c>
      <c r="H140">
        <v>94</v>
      </c>
      <c r="I140">
        <v>59083</v>
      </c>
      <c r="J140">
        <v>49762</v>
      </c>
      <c r="K140" s="46">
        <v>236</v>
      </c>
      <c r="L140" t="s">
        <v>20</v>
      </c>
      <c r="M140">
        <v>5.8764788517847777E-2</v>
      </c>
      <c r="N140" t="s">
        <v>365</v>
      </c>
    </row>
    <row r="141" spans="1:14">
      <c r="A141" t="s">
        <v>168</v>
      </c>
      <c r="B141" t="s">
        <v>22</v>
      </c>
      <c r="C141" s="1">
        <v>45624</v>
      </c>
      <c r="D141" t="s">
        <v>23</v>
      </c>
      <c r="E141" t="s">
        <v>24</v>
      </c>
      <c r="F141">
        <v>1131</v>
      </c>
      <c r="G141">
        <v>100</v>
      </c>
      <c r="H141">
        <v>116</v>
      </c>
      <c r="I141">
        <v>48437</v>
      </c>
      <c r="J141">
        <v>72704</v>
      </c>
      <c r="K141" s="46">
        <v>236</v>
      </c>
      <c r="L141" t="s">
        <v>16</v>
      </c>
      <c r="M141">
        <v>2.7809319322005904E-2</v>
      </c>
      <c r="N141" t="s">
        <v>19</v>
      </c>
    </row>
    <row r="142" spans="1:14">
      <c r="A142" t="s">
        <v>168</v>
      </c>
      <c r="B142" t="s">
        <v>22</v>
      </c>
      <c r="C142" s="1">
        <v>45624</v>
      </c>
      <c r="D142" t="s">
        <v>23</v>
      </c>
      <c r="E142" t="s">
        <v>24</v>
      </c>
      <c r="F142">
        <v>1131</v>
      </c>
      <c r="G142">
        <v>100</v>
      </c>
      <c r="H142">
        <v>116</v>
      </c>
      <c r="I142">
        <v>48437</v>
      </c>
      <c r="J142">
        <v>72704</v>
      </c>
      <c r="K142" s="46">
        <v>236</v>
      </c>
      <c r="L142" t="s">
        <v>16</v>
      </c>
      <c r="M142">
        <v>2.7809319322005904E-2</v>
      </c>
      <c r="N142" t="s">
        <v>364</v>
      </c>
    </row>
    <row r="143" spans="1:14">
      <c r="A143" t="s">
        <v>170</v>
      </c>
      <c r="B143" t="s">
        <v>22</v>
      </c>
      <c r="C143" s="1">
        <v>45531</v>
      </c>
      <c r="D143" t="s">
        <v>23</v>
      </c>
      <c r="E143" t="s">
        <v>24</v>
      </c>
      <c r="F143">
        <v>1856</v>
      </c>
      <c r="G143">
        <v>357</v>
      </c>
      <c r="H143">
        <v>348</v>
      </c>
      <c r="I143">
        <v>29428</v>
      </c>
      <c r="J143">
        <v>70206</v>
      </c>
      <c r="K143" s="46">
        <v>236</v>
      </c>
      <c r="L143" t="s">
        <v>16</v>
      </c>
      <c r="M143">
        <v>8.702596166915863E-2</v>
      </c>
      <c r="N143" t="s">
        <v>364</v>
      </c>
    </row>
    <row r="144" spans="1:14">
      <c r="A144" t="s">
        <v>170</v>
      </c>
      <c r="B144" t="s">
        <v>22</v>
      </c>
      <c r="C144" s="1">
        <v>45531</v>
      </c>
      <c r="D144" t="s">
        <v>23</v>
      </c>
      <c r="E144" t="s">
        <v>24</v>
      </c>
      <c r="F144">
        <v>1856</v>
      </c>
      <c r="G144">
        <v>357</v>
      </c>
      <c r="H144">
        <v>348</v>
      </c>
      <c r="I144">
        <v>29428</v>
      </c>
      <c r="J144">
        <v>70206</v>
      </c>
      <c r="K144" s="46">
        <v>236</v>
      </c>
      <c r="L144" t="s">
        <v>16</v>
      </c>
      <c r="M144">
        <v>8.702596166915863E-2</v>
      </c>
      <c r="N144" t="s">
        <v>34</v>
      </c>
    </row>
    <row r="145" spans="1:14">
      <c r="A145" t="s">
        <v>185</v>
      </c>
      <c r="B145" t="s">
        <v>13</v>
      </c>
      <c r="C145" s="1">
        <v>45407</v>
      </c>
      <c r="D145" t="s">
        <v>14</v>
      </c>
      <c r="E145" t="s">
        <v>361</v>
      </c>
      <c r="F145">
        <v>3563</v>
      </c>
      <c r="G145">
        <v>483</v>
      </c>
      <c r="H145">
        <v>227</v>
      </c>
      <c r="I145">
        <v>41085</v>
      </c>
      <c r="J145">
        <v>26393</v>
      </c>
      <c r="K145" s="46">
        <v>236</v>
      </c>
      <c r="L145" t="s">
        <v>16</v>
      </c>
      <c r="M145">
        <v>0.10400389436534015</v>
      </c>
      <c r="N145" t="s">
        <v>37</v>
      </c>
    </row>
    <row r="146" spans="1:14">
      <c r="A146" t="s">
        <v>185</v>
      </c>
      <c r="B146" t="s">
        <v>13</v>
      </c>
      <c r="C146" s="1">
        <v>45407</v>
      </c>
      <c r="D146" t="s">
        <v>14</v>
      </c>
      <c r="E146" t="s">
        <v>361</v>
      </c>
      <c r="F146">
        <v>3563</v>
      </c>
      <c r="G146">
        <v>483</v>
      </c>
      <c r="H146">
        <v>227</v>
      </c>
      <c r="I146">
        <v>41085</v>
      </c>
      <c r="J146">
        <v>26393</v>
      </c>
      <c r="K146" s="46">
        <v>236</v>
      </c>
      <c r="L146" t="s">
        <v>16</v>
      </c>
      <c r="M146">
        <v>0.10400389436534015</v>
      </c>
      <c r="N146" t="s">
        <v>34</v>
      </c>
    </row>
    <row r="147" spans="1:14">
      <c r="A147" t="s">
        <v>45</v>
      </c>
      <c r="B147" t="s">
        <v>13</v>
      </c>
      <c r="C147" s="1">
        <v>45325</v>
      </c>
      <c r="D147" t="s">
        <v>23</v>
      </c>
      <c r="E147" t="s">
        <v>361</v>
      </c>
      <c r="F147">
        <v>4281</v>
      </c>
      <c r="G147">
        <v>101</v>
      </c>
      <c r="H147">
        <v>163</v>
      </c>
      <c r="I147">
        <v>32278</v>
      </c>
      <c r="J147">
        <v>53382</v>
      </c>
      <c r="K147" s="46">
        <v>235</v>
      </c>
      <c r="L147" t="s">
        <v>46</v>
      </c>
      <c r="M147">
        <v>0.1408079806679472</v>
      </c>
      <c r="N147" t="s">
        <v>34</v>
      </c>
    </row>
    <row r="148" spans="1:14">
      <c r="A148" t="s">
        <v>305</v>
      </c>
      <c r="B148" t="s">
        <v>13</v>
      </c>
      <c r="C148" s="1">
        <v>45341</v>
      </c>
      <c r="D148" t="s">
        <v>14</v>
      </c>
      <c r="E148" t="s">
        <v>360</v>
      </c>
      <c r="F148">
        <v>4752</v>
      </c>
      <c r="G148">
        <v>449</v>
      </c>
      <c r="H148">
        <v>309</v>
      </c>
      <c r="I148">
        <v>58530</v>
      </c>
      <c r="J148">
        <v>26630</v>
      </c>
      <c r="K148" s="46">
        <v>234</v>
      </c>
      <c r="L148" t="s">
        <v>20</v>
      </c>
      <c r="M148">
        <v>9.4139757389372969E-2</v>
      </c>
      <c r="N148" t="s">
        <v>19</v>
      </c>
    </row>
    <row r="149" spans="1:14">
      <c r="A149" t="s">
        <v>55</v>
      </c>
      <c r="B149" t="s">
        <v>27</v>
      </c>
      <c r="C149" s="1">
        <v>45575</v>
      </c>
      <c r="D149" t="s">
        <v>48</v>
      </c>
      <c r="E149" t="s">
        <v>363</v>
      </c>
      <c r="F149">
        <v>4013</v>
      </c>
      <c r="G149">
        <v>320</v>
      </c>
      <c r="H149">
        <v>92</v>
      </c>
      <c r="I149">
        <v>54605</v>
      </c>
      <c r="J149">
        <v>60169</v>
      </c>
      <c r="K149" s="46">
        <v>232</v>
      </c>
      <c r="L149" t="s">
        <v>49</v>
      </c>
      <c r="M149">
        <v>8.1036535115831879E-2</v>
      </c>
      <c r="N149" t="s">
        <v>19</v>
      </c>
    </row>
    <row r="150" spans="1:14">
      <c r="A150" t="s">
        <v>55</v>
      </c>
      <c r="B150" t="s">
        <v>27</v>
      </c>
      <c r="C150" s="1">
        <v>45575</v>
      </c>
      <c r="D150" t="s">
        <v>48</v>
      </c>
      <c r="E150" t="s">
        <v>363</v>
      </c>
      <c r="F150">
        <v>4013</v>
      </c>
      <c r="G150">
        <v>320</v>
      </c>
      <c r="H150">
        <v>92</v>
      </c>
      <c r="I150">
        <v>54605</v>
      </c>
      <c r="J150">
        <v>60169</v>
      </c>
      <c r="K150" s="46">
        <v>232</v>
      </c>
      <c r="L150" t="s">
        <v>49</v>
      </c>
      <c r="M150">
        <v>8.1036535115831879E-2</v>
      </c>
      <c r="N150" t="s">
        <v>37</v>
      </c>
    </row>
    <row r="151" spans="1:14">
      <c r="A151" t="s">
        <v>223</v>
      </c>
      <c r="B151" t="s">
        <v>27</v>
      </c>
      <c r="C151" s="1">
        <v>45447</v>
      </c>
      <c r="D151" t="s">
        <v>48</v>
      </c>
      <c r="E151" t="s">
        <v>360</v>
      </c>
      <c r="F151">
        <v>1211</v>
      </c>
      <c r="G151">
        <v>431</v>
      </c>
      <c r="H151">
        <v>83</v>
      </c>
      <c r="I151">
        <v>26532</v>
      </c>
      <c r="J151">
        <v>47305</v>
      </c>
      <c r="K151" s="46">
        <v>232</v>
      </c>
      <c r="L151" t="s">
        <v>49</v>
      </c>
      <c r="M151">
        <v>6.5015829941203071E-2</v>
      </c>
      <c r="N151" t="s">
        <v>19</v>
      </c>
    </row>
    <row r="152" spans="1:14">
      <c r="A152" t="s">
        <v>223</v>
      </c>
      <c r="B152" t="s">
        <v>27</v>
      </c>
      <c r="C152" s="1">
        <v>45447</v>
      </c>
      <c r="D152" t="s">
        <v>48</v>
      </c>
      <c r="E152" t="s">
        <v>360</v>
      </c>
      <c r="F152">
        <v>1211</v>
      </c>
      <c r="G152">
        <v>431</v>
      </c>
      <c r="H152">
        <v>83</v>
      </c>
      <c r="I152">
        <v>26532</v>
      </c>
      <c r="J152">
        <v>47305</v>
      </c>
      <c r="K152" s="46">
        <v>232</v>
      </c>
      <c r="L152" t="s">
        <v>49</v>
      </c>
      <c r="M152">
        <v>6.5015829941203071E-2</v>
      </c>
      <c r="N152" t="s">
        <v>37</v>
      </c>
    </row>
    <row r="153" spans="1:14">
      <c r="A153" t="s">
        <v>234</v>
      </c>
      <c r="B153" t="s">
        <v>22</v>
      </c>
      <c r="C153" s="1">
        <v>45656</v>
      </c>
      <c r="D153" t="s">
        <v>14</v>
      </c>
      <c r="E153" t="s">
        <v>30</v>
      </c>
      <c r="F153">
        <v>4214</v>
      </c>
      <c r="G153">
        <v>286</v>
      </c>
      <c r="H153">
        <v>127</v>
      </c>
      <c r="I153">
        <v>47293</v>
      </c>
      <c r="J153">
        <v>27184</v>
      </c>
      <c r="K153" s="46">
        <v>232</v>
      </c>
      <c r="L153" t="s">
        <v>16</v>
      </c>
      <c r="M153">
        <v>9.7836889180216949E-2</v>
      </c>
      <c r="N153" t="s">
        <v>34</v>
      </c>
    </row>
    <row r="154" spans="1:14">
      <c r="A154" t="s">
        <v>241</v>
      </c>
      <c r="B154" t="s">
        <v>22</v>
      </c>
      <c r="C154" s="1">
        <v>45396</v>
      </c>
      <c r="D154" t="s">
        <v>23</v>
      </c>
      <c r="E154" t="s">
        <v>15</v>
      </c>
      <c r="F154">
        <v>1295</v>
      </c>
      <c r="G154">
        <v>153</v>
      </c>
      <c r="H154">
        <v>81</v>
      </c>
      <c r="I154">
        <v>48350</v>
      </c>
      <c r="J154">
        <v>61033</v>
      </c>
      <c r="K154" s="46">
        <v>232</v>
      </c>
      <c r="L154" t="s">
        <v>16</v>
      </c>
      <c r="M154">
        <v>3.1623578076525334E-2</v>
      </c>
      <c r="N154" t="s">
        <v>19</v>
      </c>
    </row>
    <row r="155" spans="1:14">
      <c r="A155" t="s">
        <v>241</v>
      </c>
      <c r="B155" t="s">
        <v>22</v>
      </c>
      <c r="C155" s="1">
        <v>45396</v>
      </c>
      <c r="D155" t="s">
        <v>23</v>
      </c>
      <c r="E155" t="s">
        <v>15</v>
      </c>
      <c r="F155">
        <v>1295</v>
      </c>
      <c r="G155">
        <v>153</v>
      </c>
      <c r="H155">
        <v>81</v>
      </c>
      <c r="I155">
        <v>48350</v>
      </c>
      <c r="J155">
        <v>61033</v>
      </c>
      <c r="K155" s="46">
        <v>232</v>
      </c>
      <c r="L155" t="s">
        <v>16</v>
      </c>
      <c r="M155">
        <v>3.1623578076525334E-2</v>
      </c>
      <c r="N155" t="s">
        <v>364</v>
      </c>
    </row>
    <row r="156" spans="1:14">
      <c r="A156" t="s">
        <v>51</v>
      </c>
      <c r="B156" t="s">
        <v>13</v>
      </c>
      <c r="C156" s="1">
        <v>45603</v>
      </c>
      <c r="D156" t="s">
        <v>23</v>
      </c>
      <c r="E156" t="s">
        <v>360</v>
      </c>
      <c r="F156">
        <v>1678</v>
      </c>
      <c r="G156">
        <v>423</v>
      </c>
      <c r="H156">
        <v>323</v>
      </c>
      <c r="I156">
        <v>55668</v>
      </c>
      <c r="J156">
        <v>37945</v>
      </c>
      <c r="K156" s="46">
        <v>230</v>
      </c>
      <c r="L156" t="s">
        <v>46</v>
      </c>
      <c r="M156">
        <v>4.3543867212761371E-2</v>
      </c>
      <c r="N156" t="s">
        <v>34</v>
      </c>
    </row>
    <row r="157" spans="1:14">
      <c r="A157" t="s">
        <v>152</v>
      </c>
      <c r="B157" t="s">
        <v>22</v>
      </c>
      <c r="C157" s="1">
        <v>45346</v>
      </c>
      <c r="D157" t="s">
        <v>23</v>
      </c>
      <c r="E157" t="s">
        <v>361</v>
      </c>
      <c r="F157">
        <v>1022</v>
      </c>
      <c r="G157">
        <v>463</v>
      </c>
      <c r="H157">
        <v>360</v>
      </c>
      <c r="I157">
        <v>51468</v>
      </c>
      <c r="J157">
        <v>24279</v>
      </c>
      <c r="K157" s="46">
        <v>230</v>
      </c>
      <c r="L157" t="s">
        <v>16</v>
      </c>
      <c r="M157">
        <v>3.5847516903707161E-2</v>
      </c>
      <c r="N157" t="s">
        <v>19</v>
      </c>
    </row>
    <row r="158" spans="1:14">
      <c r="A158" t="s">
        <v>152</v>
      </c>
      <c r="B158" t="s">
        <v>22</v>
      </c>
      <c r="C158" s="1">
        <v>45346</v>
      </c>
      <c r="D158" t="s">
        <v>23</v>
      </c>
      <c r="E158" t="s">
        <v>361</v>
      </c>
      <c r="F158">
        <v>1022</v>
      </c>
      <c r="G158">
        <v>463</v>
      </c>
      <c r="H158">
        <v>360</v>
      </c>
      <c r="I158">
        <v>51468</v>
      </c>
      <c r="J158">
        <v>24279</v>
      </c>
      <c r="K158" s="46">
        <v>230</v>
      </c>
      <c r="L158" t="s">
        <v>16</v>
      </c>
      <c r="M158">
        <v>3.5847516903707161E-2</v>
      </c>
      <c r="N158" t="s">
        <v>364</v>
      </c>
    </row>
    <row r="159" spans="1:14">
      <c r="A159" t="s">
        <v>186</v>
      </c>
      <c r="B159" t="s">
        <v>27</v>
      </c>
      <c r="C159" s="1">
        <v>45538</v>
      </c>
      <c r="D159" t="s">
        <v>48</v>
      </c>
      <c r="E159" t="s">
        <v>362</v>
      </c>
      <c r="F159">
        <v>1437</v>
      </c>
      <c r="G159">
        <v>494</v>
      </c>
      <c r="H159">
        <v>129</v>
      </c>
      <c r="I159">
        <v>53048</v>
      </c>
      <c r="J159">
        <v>44090</v>
      </c>
      <c r="K159" s="46">
        <v>230</v>
      </c>
      <c r="L159" t="s">
        <v>49</v>
      </c>
      <c r="M159">
        <v>3.8832755240536872E-2</v>
      </c>
      <c r="N159" t="s">
        <v>19</v>
      </c>
    </row>
    <row r="160" spans="1:14">
      <c r="A160" t="s">
        <v>186</v>
      </c>
      <c r="B160" t="s">
        <v>27</v>
      </c>
      <c r="C160" s="1">
        <v>45538</v>
      </c>
      <c r="D160" t="s">
        <v>48</v>
      </c>
      <c r="E160" t="s">
        <v>362</v>
      </c>
      <c r="F160">
        <v>1437</v>
      </c>
      <c r="G160">
        <v>494</v>
      </c>
      <c r="H160">
        <v>129</v>
      </c>
      <c r="I160">
        <v>53048</v>
      </c>
      <c r="J160">
        <v>44090</v>
      </c>
      <c r="K160" s="46">
        <v>230</v>
      </c>
      <c r="L160" t="s">
        <v>49</v>
      </c>
      <c r="M160">
        <v>3.8832755240536872E-2</v>
      </c>
      <c r="N160" t="s">
        <v>37</v>
      </c>
    </row>
    <row r="161" spans="1:14">
      <c r="A161" t="s">
        <v>203</v>
      </c>
      <c r="B161" t="s">
        <v>13</v>
      </c>
      <c r="C161" s="1">
        <v>45447</v>
      </c>
      <c r="D161" t="s">
        <v>14</v>
      </c>
      <c r="E161" t="s">
        <v>30</v>
      </c>
      <c r="F161">
        <v>3948</v>
      </c>
      <c r="G161">
        <v>151</v>
      </c>
      <c r="H161">
        <v>249</v>
      </c>
      <c r="I161">
        <v>43147</v>
      </c>
      <c r="J161">
        <v>63136</v>
      </c>
      <c r="K161" s="46">
        <v>230</v>
      </c>
      <c r="L161" t="s">
        <v>20</v>
      </c>
      <c r="M161">
        <v>0.10077178019329269</v>
      </c>
      <c r="N161" t="s">
        <v>19</v>
      </c>
    </row>
    <row r="162" spans="1:14">
      <c r="A162" t="s">
        <v>315</v>
      </c>
      <c r="B162" t="s">
        <v>27</v>
      </c>
      <c r="C162" s="1">
        <v>45686</v>
      </c>
      <c r="D162" t="s">
        <v>14</v>
      </c>
      <c r="E162" t="s">
        <v>24</v>
      </c>
      <c r="F162">
        <v>1334</v>
      </c>
      <c r="G162">
        <v>357</v>
      </c>
      <c r="H162">
        <v>257</v>
      </c>
      <c r="I162">
        <v>56910</v>
      </c>
      <c r="J162">
        <v>70606</v>
      </c>
      <c r="K162" s="46">
        <v>228</v>
      </c>
      <c r="L162" t="s">
        <v>20</v>
      </c>
      <c r="M162">
        <v>3.4229485151994379E-2</v>
      </c>
      <c r="N162" t="s">
        <v>19</v>
      </c>
    </row>
    <row r="163" spans="1:14">
      <c r="A163" t="s">
        <v>315</v>
      </c>
      <c r="B163" t="s">
        <v>27</v>
      </c>
      <c r="C163" s="1">
        <v>45686</v>
      </c>
      <c r="D163" t="s">
        <v>14</v>
      </c>
      <c r="E163" t="s">
        <v>24</v>
      </c>
      <c r="F163">
        <v>1334</v>
      </c>
      <c r="G163">
        <v>357</v>
      </c>
      <c r="H163">
        <v>257</v>
      </c>
      <c r="I163">
        <v>56910</v>
      </c>
      <c r="J163">
        <v>70606</v>
      </c>
      <c r="K163" s="46">
        <v>228</v>
      </c>
      <c r="L163" t="s">
        <v>20</v>
      </c>
      <c r="M163">
        <v>3.4229485151994379E-2</v>
      </c>
      <c r="N163" t="s">
        <v>365</v>
      </c>
    </row>
    <row r="164" spans="1:14">
      <c r="A164" t="s">
        <v>96</v>
      </c>
      <c r="B164" t="s">
        <v>13</v>
      </c>
      <c r="C164" s="1">
        <v>45763</v>
      </c>
      <c r="D164" t="s">
        <v>14</v>
      </c>
      <c r="E164" t="s">
        <v>360</v>
      </c>
      <c r="F164">
        <v>4836</v>
      </c>
      <c r="G164">
        <v>331</v>
      </c>
      <c r="H164">
        <v>140</v>
      </c>
      <c r="I164">
        <v>58792</v>
      </c>
      <c r="J164">
        <v>47711</v>
      </c>
      <c r="K164" s="46">
        <v>227</v>
      </c>
      <c r="L164" t="s">
        <v>16</v>
      </c>
      <c r="M164">
        <v>9.0267383317458164E-2</v>
      </c>
      <c r="N164" t="s">
        <v>37</v>
      </c>
    </row>
    <row r="165" spans="1:14">
      <c r="A165" t="s">
        <v>96</v>
      </c>
      <c r="B165" t="s">
        <v>13</v>
      </c>
      <c r="C165" s="1">
        <v>45763</v>
      </c>
      <c r="D165" t="s">
        <v>14</v>
      </c>
      <c r="E165" t="s">
        <v>360</v>
      </c>
      <c r="F165">
        <v>4836</v>
      </c>
      <c r="G165">
        <v>331</v>
      </c>
      <c r="H165">
        <v>140</v>
      </c>
      <c r="I165">
        <v>58792</v>
      </c>
      <c r="J165">
        <v>47711</v>
      </c>
      <c r="K165" s="46">
        <v>227</v>
      </c>
      <c r="L165" t="s">
        <v>16</v>
      </c>
      <c r="M165">
        <v>9.0267383317458164E-2</v>
      </c>
      <c r="N165" t="s">
        <v>34</v>
      </c>
    </row>
    <row r="166" spans="1:14">
      <c r="A166" t="s">
        <v>99</v>
      </c>
      <c r="B166" t="s">
        <v>22</v>
      </c>
      <c r="C166" s="1">
        <v>45643</v>
      </c>
      <c r="D166" t="s">
        <v>23</v>
      </c>
      <c r="E166" t="s">
        <v>361</v>
      </c>
      <c r="F166">
        <v>1316</v>
      </c>
      <c r="G166">
        <v>472</v>
      </c>
      <c r="H166">
        <v>286</v>
      </c>
      <c r="I166">
        <v>44692</v>
      </c>
      <c r="J166">
        <v>53343</v>
      </c>
      <c r="K166" s="46">
        <v>227</v>
      </c>
      <c r="L166" t="s">
        <v>16</v>
      </c>
      <c r="M166">
        <v>4.6406515707509172E-2</v>
      </c>
      <c r="N166" t="s">
        <v>19</v>
      </c>
    </row>
    <row r="167" spans="1:14">
      <c r="A167" t="s">
        <v>99</v>
      </c>
      <c r="B167" t="s">
        <v>22</v>
      </c>
      <c r="C167" s="1">
        <v>45643</v>
      </c>
      <c r="D167" t="s">
        <v>23</v>
      </c>
      <c r="E167" t="s">
        <v>361</v>
      </c>
      <c r="F167">
        <v>1316</v>
      </c>
      <c r="G167">
        <v>472</v>
      </c>
      <c r="H167">
        <v>286</v>
      </c>
      <c r="I167">
        <v>44692</v>
      </c>
      <c r="J167">
        <v>53343</v>
      </c>
      <c r="K167" s="46">
        <v>227</v>
      </c>
      <c r="L167" t="s">
        <v>16</v>
      </c>
      <c r="M167">
        <v>4.6406515707509172E-2</v>
      </c>
      <c r="N167" t="s">
        <v>364</v>
      </c>
    </row>
    <row r="168" spans="1:14">
      <c r="A168" t="s">
        <v>278</v>
      </c>
      <c r="B168" t="s">
        <v>27</v>
      </c>
      <c r="C168" s="1">
        <v>45457</v>
      </c>
      <c r="D168" t="s">
        <v>48</v>
      </c>
      <c r="E168" t="s">
        <v>360</v>
      </c>
      <c r="F168">
        <v>4722</v>
      </c>
      <c r="G168">
        <v>310</v>
      </c>
      <c r="H168">
        <v>344</v>
      </c>
      <c r="I168">
        <v>27911</v>
      </c>
      <c r="J168">
        <v>19000</v>
      </c>
      <c r="K168" s="46">
        <v>225</v>
      </c>
      <c r="L168" t="s">
        <v>49</v>
      </c>
      <c r="M168">
        <v>0.19261223173659131</v>
      </c>
      <c r="N168" t="s">
        <v>19</v>
      </c>
    </row>
    <row r="169" spans="1:14">
      <c r="A169" t="s">
        <v>278</v>
      </c>
      <c r="B169" t="s">
        <v>27</v>
      </c>
      <c r="C169" s="1">
        <v>45457</v>
      </c>
      <c r="D169" t="s">
        <v>48</v>
      </c>
      <c r="E169" t="s">
        <v>360</v>
      </c>
      <c r="F169">
        <v>4722</v>
      </c>
      <c r="G169">
        <v>310</v>
      </c>
      <c r="H169">
        <v>344</v>
      </c>
      <c r="I169">
        <v>27911</v>
      </c>
      <c r="J169">
        <v>19000</v>
      </c>
      <c r="K169" s="46">
        <v>225</v>
      </c>
      <c r="L169" t="s">
        <v>49</v>
      </c>
      <c r="M169">
        <v>0.19261223173659131</v>
      </c>
      <c r="N169" t="s">
        <v>37</v>
      </c>
    </row>
    <row r="170" spans="1:14">
      <c r="A170" t="s">
        <v>159</v>
      </c>
      <c r="B170" t="s">
        <v>22</v>
      </c>
      <c r="C170" s="1">
        <v>45839</v>
      </c>
      <c r="D170" t="s">
        <v>23</v>
      </c>
      <c r="E170" t="s">
        <v>18</v>
      </c>
      <c r="F170">
        <v>3219</v>
      </c>
      <c r="G170">
        <v>424</v>
      </c>
      <c r="H170">
        <v>267</v>
      </c>
      <c r="I170">
        <v>48879</v>
      </c>
      <c r="J170">
        <v>37691</v>
      </c>
      <c r="K170" s="46">
        <v>224</v>
      </c>
      <c r="L170" t="s">
        <v>16</v>
      </c>
      <c r="M170">
        <v>7.9993453221219743E-2</v>
      </c>
      <c r="N170" t="s">
        <v>19</v>
      </c>
    </row>
    <row r="171" spans="1:14">
      <c r="A171" t="s">
        <v>159</v>
      </c>
      <c r="B171" t="s">
        <v>22</v>
      </c>
      <c r="C171" s="1">
        <v>45839</v>
      </c>
      <c r="D171" t="s">
        <v>23</v>
      </c>
      <c r="E171" t="s">
        <v>18</v>
      </c>
      <c r="F171">
        <v>3219</v>
      </c>
      <c r="G171">
        <v>424</v>
      </c>
      <c r="H171">
        <v>267</v>
      </c>
      <c r="I171">
        <v>48879</v>
      </c>
      <c r="J171">
        <v>37691</v>
      </c>
      <c r="K171" s="46">
        <v>224</v>
      </c>
      <c r="L171" t="s">
        <v>16</v>
      </c>
      <c r="M171">
        <v>7.9993453221219743E-2</v>
      </c>
      <c r="N171" t="s">
        <v>364</v>
      </c>
    </row>
    <row r="172" spans="1:14">
      <c r="A172" t="s">
        <v>228</v>
      </c>
      <c r="B172" t="s">
        <v>22</v>
      </c>
      <c r="C172" s="1">
        <v>45689</v>
      </c>
      <c r="D172" t="s">
        <v>23</v>
      </c>
      <c r="E172" t="s">
        <v>33</v>
      </c>
      <c r="F172">
        <v>1079</v>
      </c>
      <c r="G172">
        <v>265</v>
      </c>
      <c r="H172">
        <v>190</v>
      </c>
      <c r="I172">
        <v>43786</v>
      </c>
      <c r="J172">
        <v>72428</v>
      </c>
      <c r="K172" s="46">
        <v>222</v>
      </c>
      <c r="L172" t="s">
        <v>16</v>
      </c>
      <c r="M172">
        <v>3.5034029141734799E-2</v>
      </c>
      <c r="N172" t="s">
        <v>37</v>
      </c>
    </row>
    <row r="173" spans="1:14">
      <c r="A173" t="s">
        <v>228</v>
      </c>
      <c r="B173" t="s">
        <v>22</v>
      </c>
      <c r="C173" s="1">
        <v>45689</v>
      </c>
      <c r="D173" t="s">
        <v>23</v>
      </c>
      <c r="E173" t="s">
        <v>33</v>
      </c>
      <c r="F173">
        <v>1079</v>
      </c>
      <c r="G173">
        <v>265</v>
      </c>
      <c r="H173">
        <v>190</v>
      </c>
      <c r="I173">
        <v>43786</v>
      </c>
      <c r="J173">
        <v>72428</v>
      </c>
      <c r="K173" s="46">
        <v>222</v>
      </c>
      <c r="L173" t="s">
        <v>16</v>
      </c>
      <c r="M173">
        <v>3.5034029141734799E-2</v>
      </c>
      <c r="N173" t="s">
        <v>34</v>
      </c>
    </row>
    <row r="174" spans="1:14">
      <c r="A174" t="s">
        <v>236</v>
      </c>
      <c r="B174" t="s">
        <v>22</v>
      </c>
      <c r="C174" s="1">
        <v>45525</v>
      </c>
      <c r="D174" t="s">
        <v>23</v>
      </c>
      <c r="E174" t="s">
        <v>18</v>
      </c>
      <c r="F174">
        <v>3989</v>
      </c>
      <c r="G174">
        <v>476</v>
      </c>
      <c r="H174">
        <v>128</v>
      </c>
      <c r="I174">
        <v>57569</v>
      </c>
      <c r="J174">
        <v>40193</v>
      </c>
      <c r="K174" s="46">
        <v>222</v>
      </c>
      <c r="L174" t="s">
        <v>16</v>
      </c>
      <c r="M174">
        <v>7.9782521843353188E-2</v>
      </c>
      <c r="N174" t="s">
        <v>19</v>
      </c>
    </row>
    <row r="175" spans="1:14">
      <c r="A175" t="s">
        <v>236</v>
      </c>
      <c r="B175" t="s">
        <v>22</v>
      </c>
      <c r="C175" s="1">
        <v>45525</v>
      </c>
      <c r="D175" t="s">
        <v>23</v>
      </c>
      <c r="E175" t="s">
        <v>18</v>
      </c>
      <c r="F175">
        <v>3989</v>
      </c>
      <c r="G175">
        <v>476</v>
      </c>
      <c r="H175">
        <v>128</v>
      </c>
      <c r="I175">
        <v>57569</v>
      </c>
      <c r="J175">
        <v>40193</v>
      </c>
      <c r="K175" s="46">
        <v>222</v>
      </c>
      <c r="L175" t="s">
        <v>16</v>
      </c>
      <c r="M175">
        <v>7.9782521843353188E-2</v>
      </c>
      <c r="N175" t="s">
        <v>364</v>
      </c>
    </row>
    <row r="176" spans="1:14">
      <c r="A176" t="s">
        <v>98</v>
      </c>
      <c r="B176" t="s">
        <v>22</v>
      </c>
      <c r="C176" s="1">
        <v>45379</v>
      </c>
      <c r="D176" t="s">
        <v>14</v>
      </c>
      <c r="E176" t="s">
        <v>361</v>
      </c>
      <c r="F176">
        <v>3276</v>
      </c>
      <c r="G176">
        <v>421</v>
      </c>
      <c r="H176">
        <v>114</v>
      </c>
      <c r="I176">
        <v>20580</v>
      </c>
      <c r="J176">
        <v>30324</v>
      </c>
      <c r="K176" s="46">
        <v>221</v>
      </c>
      <c r="L176" t="s">
        <v>20</v>
      </c>
      <c r="M176">
        <v>0.18517978620019437</v>
      </c>
      <c r="N176" t="s">
        <v>37</v>
      </c>
    </row>
    <row r="177" spans="1:14">
      <c r="A177" t="s">
        <v>295</v>
      </c>
      <c r="B177" t="s">
        <v>22</v>
      </c>
      <c r="C177" s="1">
        <v>45825</v>
      </c>
      <c r="D177" t="s">
        <v>23</v>
      </c>
      <c r="E177" t="s">
        <v>18</v>
      </c>
      <c r="F177">
        <v>4341</v>
      </c>
      <c r="G177">
        <v>141</v>
      </c>
      <c r="H177">
        <v>63</v>
      </c>
      <c r="I177">
        <v>50081</v>
      </c>
      <c r="J177">
        <v>27507</v>
      </c>
      <c r="K177" s="46">
        <v>221</v>
      </c>
      <c r="L177" t="s">
        <v>16</v>
      </c>
      <c r="M177">
        <v>9.0752980172121162E-2</v>
      </c>
      <c r="N177" t="s">
        <v>19</v>
      </c>
    </row>
    <row r="178" spans="1:14">
      <c r="A178" t="s">
        <v>295</v>
      </c>
      <c r="B178" t="s">
        <v>22</v>
      </c>
      <c r="C178" s="1">
        <v>45825</v>
      </c>
      <c r="D178" t="s">
        <v>23</v>
      </c>
      <c r="E178" t="s">
        <v>18</v>
      </c>
      <c r="F178">
        <v>4341</v>
      </c>
      <c r="G178">
        <v>141</v>
      </c>
      <c r="H178">
        <v>63</v>
      </c>
      <c r="I178">
        <v>50081</v>
      </c>
      <c r="J178">
        <v>27507</v>
      </c>
      <c r="K178" s="46">
        <v>221</v>
      </c>
      <c r="L178" t="s">
        <v>16</v>
      </c>
      <c r="M178">
        <v>9.0752980172121162E-2</v>
      </c>
      <c r="N178" t="s">
        <v>364</v>
      </c>
    </row>
    <row r="179" spans="1:14">
      <c r="A179" t="s">
        <v>89</v>
      </c>
      <c r="B179" t="s">
        <v>27</v>
      </c>
      <c r="C179" s="1">
        <v>45514</v>
      </c>
      <c r="D179" t="s">
        <v>14</v>
      </c>
      <c r="E179" t="s">
        <v>363</v>
      </c>
      <c r="F179">
        <v>1105</v>
      </c>
      <c r="G179">
        <v>181</v>
      </c>
      <c r="H179">
        <v>55</v>
      </c>
      <c r="I179">
        <v>53581</v>
      </c>
      <c r="J179">
        <v>74048</v>
      </c>
      <c r="K179" s="46">
        <v>220</v>
      </c>
      <c r="L179" t="s">
        <v>20</v>
      </c>
      <c r="M179">
        <v>2.50275284149232E-2</v>
      </c>
      <c r="N179" t="s">
        <v>19</v>
      </c>
    </row>
    <row r="180" spans="1:14">
      <c r="A180" t="s">
        <v>89</v>
      </c>
      <c r="B180" t="s">
        <v>27</v>
      </c>
      <c r="C180" s="1">
        <v>45514</v>
      </c>
      <c r="D180" t="s">
        <v>14</v>
      </c>
      <c r="E180" t="s">
        <v>363</v>
      </c>
      <c r="F180">
        <v>1105</v>
      </c>
      <c r="G180">
        <v>181</v>
      </c>
      <c r="H180">
        <v>55</v>
      </c>
      <c r="I180">
        <v>53581</v>
      </c>
      <c r="J180">
        <v>74048</v>
      </c>
      <c r="K180" s="46">
        <v>220</v>
      </c>
      <c r="L180" t="s">
        <v>20</v>
      </c>
      <c r="M180">
        <v>2.50275284149232E-2</v>
      </c>
      <c r="N180" t="s">
        <v>365</v>
      </c>
    </row>
    <row r="181" spans="1:14">
      <c r="A181" t="s">
        <v>181</v>
      </c>
      <c r="B181" t="s">
        <v>13</v>
      </c>
      <c r="C181" s="1">
        <v>45516</v>
      </c>
      <c r="D181" t="s">
        <v>23</v>
      </c>
      <c r="E181" t="s">
        <v>15</v>
      </c>
      <c r="F181">
        <v>2962</v>
      </c>
      <c r="G181">
        <v>400</v>
      </c>
      <c r="H181">
        <v>280</v>
      </c>
      <c r="I181">
        <v>52508</v>
      </c>
      <c r="J181">
        <v>58329</v>
      </c>
      <c r="K181" s="46">
        <v>219</v>
      </c>
      <c r="L181" t="s">
        <v>46</v>
      </c>
      <c r="M181">
        <v>6.9360859297630834E-2</v>
      </c>
      <c r="N181" t="s">
        <v>34</v>
      </c>
    </row>
    <row r="182" spans="1:14">
      <c r="A182" t="s">
        <v>189</v>
      </c>
      <c r="B182" t="s">
        <v>13</v>
      </c>
      <c r="C182" s="1">
        <v>45394</v>
      </c>
      <c r="D182" t="s">
        <v>23</v>
      </c>
      <c r="E182" t="s">
        <v>30</v>
      </c>
      <c r="F182">
        <v>1558</v>
      </c>
      <c r="G182">
        <v>352</v>
      </c>
      <c r="H182">
        <v>202</v>
      </c>
      <c r="I182">
        <v>25405</v>
      </c>
      <c r="J182">
        <v>69941</v>
      </c>
      <c r="K182" s="46">
        <v>219</v>
      </c>
      <c r="L182" t="s">
        <v>46</v>
      </c>
      <c r="M182">
        <v>8.3133241487896081E-2</v>
      </c>
      <c r="N182" t="s">
        <v>34</v>
      </c>
    </row>
    <row r="183" spans="1:14">
      <c r="A183" t="s">
        <v>215</v>
      </c>
      <c r="B183" t="s">
        <v>27</v>
      </c>
      <c r="C183" s="1">
        <v>45769</v>
      </c>
      <c r="D183" t="s">
        <v>48</v>
      </c>
      <c r="E183" t="s">
        <v>24</v>
      </c>
      <c r="F183">
        <v>2733</v>
      </c>
      <c r="G183">
        <v>297</v>
      </c>
      <c r="H183">
        <v>235</v>
      </c>
      <c r="I183">
        <v>37980</v>
      </c>
      <c r="J183">
        <v>33058</v>
      </c>
      <c r="K183" s="46">
        <v>219</v>
      </c>
      <c r="L183" t="s">
        <v>49</v>
      </c>
      <c r="M183">
        <v>8.5966298051606105E-2</v>
      </c>
      <c r="N183" t="s">
        <v>19</v>
      </c>
    </row>
    <row r="184" spans="1:14">
      <c r="A184" t="s">
        <v>215</v>
      </c>
      <c r="B184" t="s">
        <v>27</v>
      </c>
      <c r="C184" s="1">
        <v>45769</v>
      </c>
      <c r="D184" t="s">
        <v>48</v>
      </c>
      <c r="E184" t="s">
        <v>24</v>
      </c>
      <c r="F184">
        <v>2733</v>
      </c>
      <c r="G184">
        <v>297</v>
      </c>
      <c r="H184">
        <v>235</v>
      </c>
      <c r="I184">
        <v>37980</v>
      </c>
      <c r="J184">
        <v>33058</v>
      </c>
      <c r="K184" s="46">
        <v>219</v>
      </c>
      <c r="L184" t="s">
        <v>49</v>
      </c>
      <c r="M184">
        <v>8.5966298051606105E-2</v>
      </c>
      <c r="N184" t="s">
        <v>37</v>
      </c>
    </row>
    <row r="185" spans="1:14">
      <c r="A185" t="s">
        <v>131</v>
      </c>
      <c r="B185" t="s">
        <v>22</v>
      </c>
      <c r="C185" s="1">
        <v>45577</v>
      </c>
      <c r="D185" t="s">
        <v>14</v>
      </c>
      <c r="E185" t="s">
        <v>30</v>
      </c>
      <c r="F185">
        <v>3169</v>
      </c>
      <c r="G185">
        <v>386</v>
      </c>
      <c r="H185">
        <v>175</v>
      </c>
      <c r="I185">
        <v>45012</v>
      </c>
      <c r="J185">
        <v>38508</v>
      </c>
      <c r="K185" s="46">
        <v>218</v>
      </c>
      <c r="L185" t="s">
        <v>16</v>
      </c>
      <c r="M185">
        <v>8.2866791077934779E-2</v>
      </c>
      <c r="N185" t="s">
        <v>34</v>
      </c>
    </row>
    <row r="186" spans="1:14">
      <c r="A186" t="s">
        <v>188</v>
      </c>
      <c r="B186" t="s">
        <v>22</v>
      </c>
      <c r="C186" s="1">
        <v>45737</v>
      </c>
      <c r="D186" t="s">
        <v>23</v>
      </c>
      <c r="E186" t="s">
        <v>24</v>
      </c>
      <c r="F186">
        <v>4609</v>
      </c>
      <c r="G186">
        <v>427</v>
      </c>
      <c r="H186">
        <v>395</v>
      </c>
      <c r="I186">
        <v>33698</v>
      </c>
      <c r="J186">
        <v>29259</v>
      </c>
      <c r="K186" s="46">
        <v>216</v>
      </c>
      <c r="L186" t="s">
        <v>16</v>
      </c>
      <c r="M186">
        <v>0.16116683482699271</v>
      </c>
      <c r="N186" t="s">
        <v>19</v>
      </c>
    </row>
    <row r="187" spans="1:14">
      <c r="A187" t="s">
        <v>188</v>
      </c>
      <c r="B187" t="s">
        <v>22</v>
      </c>
      <c r="C187" s="1">
        <v>45737</v>
      </c>
      <c r="D187" t="s">
        <v>23</v>
      </c>
      <c r="E187" t="s">
        <v>24</v>
      </c>
      <c r="F187">
        <v>4609</v>
      </c>
      <c r="G187">
        <v>427</v>
      </c>
      <c r="H187">
        <v>395</v>
      </c>
      <c r="I187">
        <v>33698</v>
      </c>
      <c r="J187">
        <v>29259</v>
      </c>
      <c r="K187" s="46">
        <v>216</v>
      </c>
      <c r="L187" t="s">
        <v>16</v>
      </c>
      <c r="M187">
        <v>0.16116683482699271</v>
      </c>
      <c r="N187" t="s">
        <v>364</v>
      </c>
    </row>
    <row r="188" spans="1:14">
      <c r="A188" t="s">
        <v>219</v>
      </c>
      <c r="B188" t="s">
        <v>27</v>
      </c>
      <c r="C188" s="1">
        <v>45708</v>
      </c>
      <c r="D188" t="s">
        <v>48</v>
      </c>
      <c r="E188" t="s">
        <v>30</v>
      </c>
      <c r="F188">
        <v>4957</v>
      </c>
      <c r="G188">
        <v>262</v>
      </c>
      <c r="H188">
        <v>365</v>
      </c>
      <c r="I188">
        <v>49199</v>
      </c>
      <c r="J188">
        <v>40314</v>
      </c>
      <c r="K188" s="46">
        <v>216</v>
      </c>
      <c r="L188" t="s">
        <v>49</v>
      </c>
      <c r="M188">
        <v>0.11349824183418362</v>
      </c>
      <c r="N188" t="s">
        <v>19</v>
      </c>
    </row>
    <row r="189" spans="1:14">
      <c r="A189" t="s">
        <v>219</v>
      </c>
      <c r="B189" t="s">
        <v>27</v>
      </c>
      <c r="C189" s="1">
        <v>45708</v>
      </c>
      <c r="D189" t="s">
        <v>48</v>
      </c>
      <c r="E189" t="s">
        <v>30</v>
      </c>
      <c r="F189">
        <v>4957</v>
      </c>
      <c r="G189">
        <v>262</v>
      </c>
      <c r="H189">
        <v>365</v>
      </c>
      <c r="I189">
        <v>49199</v>
      </c>
      <c r="J189">
        <v>40314</v>
      </c>
      <c r="K189" s="46">
        <v>216</v>
      </c>
      <c r="L189" t="s">
        <v>49</v>
      </c>
      <c r="M189">
        <v>0.11349824183418362</v>
      </c>
      <c r="N189" t="s">
        <v>37</v>
      </c>
    </row>
    <row r="190" spans="1:14">
      <c r="A190" t="s">
        <v>81</v>
      </c>
      <c r="B190" t="s">
        <v>27</v>
      </c>
      <c r="C190" s="1">
        <v>45425</v>
      </c>
      <c r="D190" t="s">
        <v>48</v>
      </c>
      <c r="E190" t="s">
        <v>18</v>
      </c>
      <c r="F190">
        <v>4161</v>
      </c>
      <c r="G190">
        <v>481</v>
      </c>
      <c r="H190">
        <v>61</v>
      </c>
      <c r="I190">
        <v>45884</v>
      </c>
      <c r="J190">
        <v>48955</v>
      </c>
      <c r="K190" s="46">
        <v>215</v>
      </c>
      <c r="L190" t="s">
        <v>49</v>
      </c>
      <c r="M190">
        <v>0.10249760265016128</v>
      </c>
      <c r="N190" t="s">
        <v>19</v>
      </c>
    </row>
    <row r="191" spans="1:14">
      <c r="A191" t="s">
        <v>81</v>
      </c>
      <c r="B191" t="s">
        <v>27</v>
      </c>
      <c r="C191" s="1">
        <v>45425</v>
      </c>
      <c r="D191" t="s">
        <v>48</v>
      </c>
      <c r="E191" t="s">
        <v>18</v>
      </c>
      <c r="F191">
        <v>4161</v>
      </c>
      <c r="G191">
        <v>481</v>
      </c>
      <c r="H191">
        <v>61</v>
      </c>
      <c r="I191">
        <v>45884</v>
      </c>
      <c r="J191">
        <v>48955</v>
      </c>
      <c r="K191" s="46">
        <v>215</v>
      </c>
      <c r="L191" t="s">
        <v>49</v>
      </c>
      <c r="M191">
        <v>0.10249760265016128</v>
      </c>
      <c r="N191" t="s">
        <v>37</v>
      </c>
    </row>
    <row r="192" spans="1:14">
      <c r="A192" t="s">
        <v>268</v>
      </c>
      <c r="B192" t="s">
        <v>13</v>
      </c>
      <c r="C192" s="1">
        <v>45823</v>
      </c>
      <c r="D192" t="s">
        <v>14</v>
      </c>
      <c r="E192" t="s">
        <v>18</v>
      </c>
      <c r="F192">
        <v>2478</v>
      </c>
      <c r="G192">
        <v>427</v>
      </c>
      <c r="H192">
        <v>242</v>
      </c>
      <c r="I192">
        <v>59272</v>
      </c>
      <c r="J192">
        <v>37833</v>
      </c>
      <c r="K192" s="46">
        <v>214</v>
      </c>
      <c r="L192" t="s">
        <v>16</v>
      </c>
      <c r="M192">
        <v>5.3094209744904843E-2</v>
      </c>
      <c r="N192" t="s">
        <v>37</v>
      </c>
    </row>
    <row r="193" spans="1:14">
      <c r="A193" t="s">
        <v>268</v>
      </c>
      <c r="B193" t="s">
        <v>13</v>
      </c>
      <c r="C193" s="1">
        <v>45823</v>
      </c>
      <c r="D193" t="s">
        <v>14</v>
      </c>
      <c r="E193" t="s">
        <v>18</v>
      </c>
      <c r="F193">
        <v>2478</v>
      </c>
      <c r="G193">
        <v>427</v>
      </c>
      <c r="H193">
        <v>242</v>
      </c>
      <c r="I193">
        <v>59272</v>
      </c>
      <c r="J193">
        <v>37833</v>
      </c>
      <c r="K193" s="46">
        <v>214</v>
      </c>
      <c r="L193" t="s">
        <v>16</v>
      </c>
      <c r="M193">
        <v>5.3094209744904843E-2</v>
      </c>
      <c r="N193" t="s">
        <v>34</v>
      </c>
    </row>
    <row r="194" spans="1:14">
      <c r="A194" t="s">
        <v>39</v>
      </c>
      <c r="B194" t="s">
        <v>22</v>
      </c>
      <c r="C194" s="1">
        <v>45826</v>
      </c>
      <c r="D194" t="s">
        <v>23</v>
      </c>
      <c r="E194" t="s">
        <v>15</v>
      </c>
      <c r="F194">
        <v>3956</v>
      </c>
      <c r="G194">
        <v>319</v>
      </c>
      <c r="H194">
        <v>61</v>
      </c>
      <c r="I194">
        <v>58162</v>
      </c>
      <c r="J194">
        <v>28720</v>
      </c>
      <c r="K194" s="46">
        <v>213</v>
      </c>
      <c r="L194" t="s">
        <v>16</v>
      </c>
      <c r="M194">
        <v>7.4550393727863554E-2</v>
      </c>
      <c r="N194" t="s">
        <v>364</v>
      </c>
    </row>
    <row r="195" spans="1:14">
      <c r="A195" t="s">
        <v>39</v>
      </c>
      <c r="B195" t="s">
        <v>22</v>
      </c>
      <c r="C195" s="1">
        <v>45826</v>
      </c>
      <c r="D195" t="s">
        <v>23</v>
      </c>
      <c r="E195" t="s">
        <v>15</v>
      </c>
      <c r="F195">
        <v>3956</v>
      </c>
      <c r="G195">
        <v>319</v>
      </c>
      <c r="H195">
        <v>61</v>
      </c>
      <c r="I195">
        <v>58162</v>
      </c>
      <c r="J195">
        <v>28720</v>
      </c>
      <c r="K195" s="46">
        <v>213</v>
      </c>
      <c r="L195" t="s">
        <v>16</v>
      </c>
      <c r="M195">
        <v>7.4550393727863554E-2</v>
      </c>
      <c r="N195" t="s">
        <v>34</v>
      </c>
    </row>
    <row r="196" spans="1:14">
      <c r="A196" t="s">
        <v>78</v>
      </c>
      <c r="B196" t="s">
        <v>13</v>
      </c>
      <c r="C196" s="1">
        <v>45693</v>
      </c>
      <c r="D196" t="s">
        <v>23</v>
      </c>
      <c r="E196" t="s">
        <v>361</v>
      </c>
      <c r="F196">
        <v>3074</v>
      </c>
      <c r="G196">
        <v>371</v>
      </c>
      <c r="H196">
        <v>348</v>
      </c>
      <c r="I196">
        <v>24104</v>
      </c>
      <c r="J196">
        <v>57803</v>
      </c>
      <c r="K196" s="46">
        <v>213</v>
      </c>
      <c r="L196" t="s">
        <v>46</v>
      </c>
      <c r="M196">
        <v>0.15735977431131762</v>
      </c>
      <c r="N196" t="s">
        <v>34</v>
      </c>
    </row>
    <row r="197" spans="1:14">
      <c r="A197" t="s">
        <v>225</v>
      </c>
      <c r="B197" t="s">
        <v>27</v>
      </c>
      <c r="C197" s="1">
        <v>45305</v>
      </c>
      <c r="D197" t="s">
        <v>14</v>
      </c>
      <c r="E197" t="s">
        <v>24</v>
      </c>
      <c r="F197">
        <v>3634</v>
      </c>
      <c r="G197">
        <v>280</v>
      </c>
      <c r="H197">
        <v>399</v>
      </c>
      <c r="I197">
        <v>40256</v>
      </c>
      <c r="J197">
        <v>52605</v>
      </c>
      <c r="K197" s="46">
        <v>213</v>
      </c>
      <c r="L197" t="s">
        <v>20</v>
      </c>
      <c r="M197">
        <v>0.10713930842607314</v>
      </c>
      <c r="N197" t="s">
        <v>19</v>
      </c>
    </row>
    <row r="198" spans="1:14">
      <c r="A198" t="s">
        <v>225</v>
      </c>
      <c r="B198" t="s">
        <v>27</v>
      </c>
      <c r="C198" s="1">
        <v>45305</v>
      </c>
      <c r="D198" t="s">
        <v>14</v>
      </c>
      <c r="E198" t="s">
        <v>24</v>
      </c>
      <c r="F198">
        <v>3634</v>
      </c>
      <c r="G198">
        <v>280</v>
      </c>
      <c r="H198">
        <v>399</v>
      </c>
      <c r="I198">
        <v>40256</v>
      </c>
      <c r="J198">
        <v>52605</v>
      </c>
      <c r="K198" s="46">
        <v>213</v>
      </c>
      <c r="L198" t="s">
        <v>20</v>
      </c>
      <c r="M198">
        <v>0.10713930842607314</v>
      </c>
      <c r="N198" t="s">
        <v>365</v>
      </c>
    </row>
    <row r="199" spans="1:14">
      <c r="A199" t="s">
        <v>261</v>
      </c>
      <c r="B199" t="s">
        <v>13</v>
      </c>
      <c r="C199" s="1">
        <v>45379</v>
      </c>
      <c r="D199" t="s">
        <v>14</v>
      </c>
      <c r="E199" t="s">
        <v>362</v>
      </c>
      <c r="F199">
        <v>1673</v>
      </c>
      <c r="G199">
        <v>280</v>
      </c>
      <c r="H199">
        <v>67</v>
      </c>
      <c r="I199">
        <v>29847</v>
      </c>
      <c r="J199">
        <v>48016</v>
      </c>
      <c r="K199" s="46">
        <v>213</v>
      </c>
      <c r="L199" t="s">
        <v>16</v>
      </c>
      <c r="M199">
        <v>6.76784936509532E-2</v>
      </c>
      <c r="N199" t="s">
        <v>37</v>
      </c>
    </row>
    <row r="200" spans="1:14">
      <c r="A200" t="s">
        <v>261</v>
      </c>
      <c r="B200" t="s">
        <v>13</v>
      </c>
      <c r="C200" s="1">
        <v>45379</v>
      </c>
      <c r="D200" t="s">
        <v>14</v>
      </c>
      <c r="E200" t="s">
        <v>362</v>
      </c>
      <c r="F200">
        <v>1673</v>
      </c>
      <c r="G200">
        <v>280</v>
      </c>
      <c r="H200">
        <v>67</v>
      </c>
      <c r="I200">
        <v>29847</v>
      </c>
      <c r="J200">
        <v>48016</v>
      </c>
      <c r="K200" s="46">
        <v>213</v>
      </c>
      <c r="L200" t="s">
        <v>16</v>
      </c>
      <c r="M200">
        <v>6.76784936509532E-2</v>
      </c>
      <c r="N200" t="s">
        <v>34</v>
      </c>
    </row>
    <row r="201" spans="1:14">
      <c r="A201" t="s">
        <v>29</v>
      </c>
      <c r="B201" t="s">
        <v>22</v>
      </c>
      <c r="C201" s="1">
        <v>45645</v>
      </c>
      <c r="D201" t="s">
        <v>23</v>
      </c>
      <c r="E201" t="s">
        <v>30</v>
      </c>
      <c r="F201">
        <v>4674</v>
      </c>
      <c r="G201">
        <v>409</v>
      </c>
      <c r="H201">
        <v>327</v>
      </c>
      <c r="I201">
        <v>20756</v>
      </c>
      <c r="J201">
        <v>63599</v>
      </c>
      <c r="K201" s="46">
        <v>212</v>
      </c>
      <c r="L201" t="s">
        <v>16</v>
      </c>
      <c r="M201">
        <v>0.26064752360763155</v>
      </c>
      <c r="N201" t="s">
        <v>37</v>
      </c>
    </row>
    <row r="202" spans="1:14">
      <c r="A202" t="s">
        <v>29</v>
      </c>
      <c r="B202" t="s">
        <v>22</v>
      </c>
      <c r="C202" s="1">
        <v>45645</v>
      </c>
      <c r="D202" t="s">
        <v>23</v>
      </c>
      <c r="E202" t="s">
        <v>30</v>
      </c>
      <c r="F202">
        <v>4674</v>
      </c>
      <c r="G202">
        <v>409</v>
      </c>
      <c r="H202">
        <v>327</v>
      </c>
      <c r="I202">
        <v>20756</v>
      </c>
      <c r="J202">
        <v>63599</v>
      </c>
      <c r="K202" s="46">
        <v>212</v>
      </c>
      <c r="L202" t="s">
        <v>16</v>
      </c>
      <c r="M202">
        <v>0.26064752360763155</v>
      </c>
      <c r="N202" t="s">
        <v>34</v>
      </c>
    </row>
    <row r="203" spans="1:14">
      <c r="A203" t="s">
        <v>309</v>
      </c>
      <c r="B203" t="s">
        <v>22</v>
      </c>
      <c r="C203" s="1">
        <v>45676</v>
      </c>
      <c r="D203" t="s">
        <v>23</v>
      </c>
      <c r="E203" t="s">
        <v>24</v>
      </c>
      <c r="F203">
        <v>3507</v>
      </c>
      <c r="G203">
        <v>295</v>
      </c>
      <c r="H203">
        <v>371</v>
      </c>
      <c r="I203">
        <v>20410</v>
      </c>
      <c r="J203">
        <v>53965</v>
      </c>
      <c r="K203" s="46">
        <v>212</v>
      </c>
      <c r="L203" t="s">
        <v>16</v>
      </c>
      <c r="M203">
        <v>0.20445859872611466</v>
      </c>
      <c r="N203" t="s">
        <v>37</v>
      </c>
    </row>
    <row r="204" spans="1:14">
      <c r="A204" t="s">
        <v>309</v>
      </c>
      <c r="B204" t="s">
        <v>22</v>
      </c>
      <c r="C204" s="1">
        <v>45676</v>
      </c>
      <c r="D204" t="s">
        <v>23</v>
      </c>
      <c r="E204" t="s">
        <v>24</v>
      </c>
      <c r="F204">
        <v>3507</v>
      </c>
      <c r="G204">
        <v>295</v>
      </c>
      <c r="H204">
        <v>371</v>
      </c>
      <c r="I204">
        <v>20410</v>
      </c>
      <c r="J204">
        <v>53965</v>
      </c>
      <c r="K204" s="46">
        <v>212</v>
      </c>
      <c r="L204" t="s">
        <v>16</v>
      </c>
      <c r="M204">
        <v>0.20445859872611466</v>
      </c>
      <c r="N204" t="s">
        <v>34</v>
      </c>
    </row>
    <row r="205" spans="1:14">
      <c r="A205" t="s">
        <v>72</v>
      </c>
      <c r="B205" t="s">
        <v>13</v>
      </c>
      <c r="C205" s="1">
        <v>45683</v>
      </c>
      <c r="D205" t="s">
        <v>23</v>
      </c>
      <c r="E205" t="s">
        <v>362</v>
      </c>
      <c r="F205">
        <v>3451</v>
      </c>
      <c r="G205">
        <v>363</v>
      </c>
      <c r="H205">
        <v>393</v>
      </c>
      <c r="I205">
        <v>44853</v>
      </c>
      <c r="J205">
        <v>69032</v>
      </c>
      <c r="K205" s="46">
        <v>211</v>
      </c>
      <c r="L205" t="s">
        <v>46</v>
      </c>
      <c r="M205">
        <v>9.379528682585335E-2</v>
      </c>
      <c r="N205" t="s">
        <v>34</v>
      </c>
    </row>
    <row r="206" spans="1:14">
      <c r="A206" t="s">
        <v>147</v>
      </c>
      <c r="B206" t="s">
        <v>13</v>
      </c>
      <c r="C206" s="1">
        <v>45340</v>
      </c>
      <c r="D206" t="s">
        <v>23</v>
      </c>
      <c r="E206" t="s">
        <v>363</v>
      </c>
      <c r="F206">
        <v>1516</v>
      </c>
      <c r="G206">
        <v>215</v>
      </c>
      <c r="H206">
        <v>332</v>
      </c>
      <c r="I206">
        <v>58981</v>
      </c>
      <c r="J206">
        <v>36118</v>
      </c>
      <c r="K206" s="46">
        <v>211</v>
      </c>
      <c r="L206" t="s">
        <v>46</v>
      </c>
      <c r="M206">
        <v>3.4977365592309385E-2</v>
      </c>
      <c r="N206" t="s">
        <v>34</v>
      </c>
    </row>
    <row r="207" spans="1:14">
      <c r="A207" t="s">
        <v>301</v>
      </c>
      <c r="B207" t="s">
        <v>22</v>
      </c>
      <c r="C207" s="1">
        <v>45693</v>
      </c>
      <c r="D207" t="s">
        <v>23</v>
      </c>
      <c r="E207" t="s">
        <v>15</v>
      </c>
      <c r="F207">
        <v>3029</v>
      </c>
      <c r="G207">
        <v>440</v>
      </c>
      <c r="H207">
        <v>66</v>
      </c>
      <c r="I207">
        <v>23815</v>
      </c>
      <c r="J207">
        <v>47895</v>
      </c>
      <c r="K207" s="46">
        <v>210</v>
      </c>
      <c r="L207" t="s">
        <v>16</v>
      </c>
      <c r="M207">
        <v>0.14843585975225698</v>
      </c>
      <c r="N207" t="s">
        <v>19</v>
      </c>
    </row>
    <row r="208" spans="1:14">
      <c r="A208" t="s">
        <v>301</v>
      </c>
      <c r="B208" t="s">
        <v>22</v>
      </c>
      <c r="C208" s="1">
        <v>45693</v>
      </c>
      <c r="D208" t="s">
        <v>23</v>
      </c>
      <c r="E208" t="s">
        <v>15</v>
      </c>
      <c r="F208">
        <v>3029</v>
      </c>
      <c r="G208">
        <v>440</v>
      </c>
      <c r="H208">
        <v>66</v>
      </c>
      <c r="I208">
        <v>23815</v>
      </c>
      <c r="J208">
        <v>47895</v>
      </c>
      <c r="K208" s="46">
        <v>210</v>
      </c>
      <c r="L208" t="s">
        <v>16</v>
      </c>
      <c r="M208">
        <v>0.14843585975225698</v>
      </c>
      <c r="N208" t="s">
        <v>364</v>
      </c>
    </row>
    <row r="209" spans="1:14">
      <c r="A209" t="s">
        <v>177</v>
      </c>
      <c r="B209" t="s">
        <v>22</v>
      </c>
      <c r="C209" s="1">
        <v>45312</v>
      </c>
      <c r="D209" t="s">
        <v>23</v>
      </c>
      <c r="E209" t="s">
        <v>15</v>
      </c>
      <c r="F209">
        <v>2383</v>
      </c>
      <c r="G209">
        <v>136</v>
      </c>
      <c r="H209">
        <v>302</v>
      </c>
      <c r="I209">
        <v>39187</v>
      </c>
      <c r="J209">
        <v>22133</v>
      </c>
      <c r="K209" s="46">
        <v>208</v>
      </c>
      <c r="L209" t="s">
        <v>16</v>
      </c>
      <c r="M209">
        <v>7.1988159338556151E-2</v>
      </c>
      <c r="N209" t="s">
        <v>364</v>
      </c>
    </row>
    <row r="210" spans="1:14">
      <c r="A210" t="s">
        <v>177</v>
      </c>
      <c r="B210" t="s">
        <v>22</v>
      </c>
      <c r="C210" s="1">
        <v>45312</v>
      </c>
      <c r="D210" t="s">
        <v>23</v>
      </c>
      <c r="E210" t="s">
        <v>15</v>
      </c>
      <c r="F210">
        <v>2383</v>
      </c>
      <c r="G210">
        <v>136</v>
      </c>
      <c r="H210">
        <v>302</v>
      </c>
      <c r="I210">
        <v>39187</v>
      </c>
      <c r="J210">
        <v>22133</v>
      </c>
      <c r="K210" s="46">
        <v>208</v>
      </c>
      <c r="L210" t="s">
        <v>16</v>
      </c>
      <c r="M210">
        <v>7.1988159338556151E-2</v>
      </c>
      <c r="N210" t="s">
        <v>34</v>
      </c>
    </row>
    <row r="211" spans="1:14">
      <c r="A211" t="s">
        <v>209</v>
      </c>
      <c r="B211" t="s">
        <v>22</v>
      </c>
      <c r="C211" s="1">
        <v>45615</v>
      </c>
      <c r="D211" t="s">
        <v>14</v>
      </c>
      <c r="E211" t="s">
        <v>18</v>
      </c>
      <c r="F211">
        <v>2387</v>
      </c>
      <c r="G211">
        <v>353</v>
      </c>
      <c r="H211">
        <v>78</v>
      </c>
      <c r="I211">
        <v>39745</v>
      </c>
      <c r="J211">
        <v>69226</v>
      </c>
      <c r="K211" s="46">
        <v>208</v>
      </c>
      <c r="L211" t="s">
        <v>20</v>
      </c>
      <c r="M211">
        <v>7.090200025160398E-2</v>
      </c>
      <c r="N211" t="s">
        <v>37</v>
      </c>
    </row>
    <row r="212" spans="1:14">
      <c r="A212" t="s">
        <v>106</v>
      </c>
      <c r="B212" t="s">
        <v>13</v>
      </c>
      <c r="C212" s="1">
        <v>45487</v>
      </c>
      <c r="D212" t="s">
        <v>14</v>
      </c>
      <c r="E212" t="s">
        <v>360</v>
      </c>
      <c r="F212">
        <v>2464</v>
      </c>
      <c r="G212">
        <v>401</v>
      </c>
      <c r="H212">
        <v>78</v>
      </c>
      <c r="I212">
        <v>38665</v>
      </c>
      <c r="J212">
        <v>73593</v>
      </c>
      <c r="K212" s="46">
        <v>207</v>
      </c>
      <c r="L212" t="s">
        <v>20</v>
      </c>
      <c r="M212">
        <v>7.611534979956032E-2</v>
      </c>
      <c r="N212" t="s">
        <v>19</v>
      </c>
    </row>
    <row r="213" spans="1:14">
      <c r="A213" t="s">
        <v>58</v>
      </c>
      <c r="B213" t="s">
        <v>27</v>
      </c>
      <c r="C213" s="1">
        <v>45356</v>
      </c>
      <c r="D213" t="s">
        <v>48</v>
      </c>
      <c r="E213" t="s">
        <v>18</v>
      </c>
      <c r="F213">
        <v>3558</v>
      </c>
      <c r="G213">
        <v>314</v>
      </c>
      <c r="H213">
        <v>199</v>
      </c>
      <c r="I213">
        <v>49612</v>
      </c>
      <c r="J213">
        <v>53929</v>
      </c>
      <c r="K213" s="46">
        <v>206</v>
      </c>
      <c r="L213" t="s">
        <v>49</v>
      </c>
      <c r="M213">
        <v>8.205676046117874E-2</v>
      </c>
      <c r="N213" t="s">
        <v>19</v>
      </c>
    </row>
    <row r="214" spans="1:14">
      <c r="A214" t="s">
        <v>58</v>
      </c>
      <c r="B214" t="s">
        <v>27</v>
      </c>
      <c r="C214" s="1">
        <v>45356</v>
      </c>
      <c r="D214" t="s">
        <v>48</v>
      </c>
      <c r="E214" t="s">
        <v>18</v>
      </c>
      <c r="F214">
        <v>3558</v>
      </c>
      <c r="G214">
        <v>314</v>
      </c>
      <c r="H214">
        <v>199</v>
      </c>
      <c r="I214">
        <v>49612</v>
      </c>
      <c r="J214">
        <v>53929</v>
      </c>
      <c r="K214" s="46">
        <v>206</v>
      </c>
      <c r="L214" t="s">
        <v>49</v>
      </c>
      <c r="M214">
        <v>8.205676046117874E-2</v>
      </c>
      <c r="N214" t="s">
        <v>37</v>
      </c>
    </row>
    <row r="215" spans="1:14">
      <c r="A215" t="s">
        <v>94</v>
      </c>
      <c r="B215" t="s">
        <v>22</v>
      </c>
      <c r="C215" s="1">
        <v>45679</v>
      </c>
      <c r="D215" t="s">
        <v>23</v>
      </c>
      <c r="E215" t="s">
        <v>24</v>
      </c>
      <c r="F215">
        <v>4478</v>
      </c>
      <c r="G215">
        <v>101</v>
      </c>
      <c r="H215">
        <v>121</v>
      </c>
      <c r="I215">
        <v>51035</v>
      </c>
      <c r="J215">
        <v>58207</v>
      </c>
      <c r="K215" s="46">
        <v>205</v>
      </c>
      <c r="L215" t="s">
        <v>16</v>
      </c>
      <c r="M215">
        <v>9.2093661212893113E-2</v>
      </c>
      <c r="N215" t="s">
        <v>364</v>
      </c>
    </row>
    <row r="216" spans="1:14">
      <c r="A216" t="s">
        <v>94</v>
      </c>
      <c r="B216" t="s">
        <v>22</v>
      </c>
      <c r="C216" s="1">
        <v>45679</v>
      </c>
      <c r="D216" t="s">
        <v>23</v>
      </c>
      <c r="E216" t="s">
        <v>24</v>
      </c>
      <c r="F216">
        <v>4478</v>
      </c>
      <c r="G216">
        <v>101</v>
      </c>
      <c r="H216">
        <v>121</v>
      </c>
      <c r="I216">
        <v>51035</v>
      </c>
      <c r="J216">
        <v>58207</v>
      </c>
      <c r="K216" s="46">
        <v>205</v>
      </c>
      <c r="L216" t="s">
        <v>16</v>
      </c>
      <c r="M216">
        <v>9.2093661212893113E-2</v>
      </c>
      <c r="N216" t="s">
        <v>34</v>
      </c>
    </row>
    <row r="217" spans="1:14">
      <c r="A217" t="s">
        <v>160</v>
      </c>
      <c r="B217" t="s">
        <v>27</v>
      </c>
      <c r="C217" s="1">
        <v>45301</v>
      </c>
      <c r="D217" t="s">
        <v>14</v>
      </c>
      <c r="E217" t="s">
        <v>18</v>
      </c>
      <c r="F217">
        <v>1261</v>
      </c>
      <c r="G217">
        <v>190</v>
      </c>
      <c r="H217">
        <v>233</v>
      </c>
      <c r="I217">
        <v>59888</v>
      </c>
      <c r="J217">
        <v>51449</v>
      </c>
      <c r="K217" s="46">
        <v>205</v>
      </c>
      <c r="L217" t="s">
        <v>20</v>
      </c>
      <c r="M217">
        <v>2.811915575741384E-2</v>
      </c>
      <c r="N217" t="s">
        <v>19</v>
      </c>
    </row>
    <row r="218" spans="1:14">
      <c r="A218" t="s">
        <v>160</v>
      </c>
      <c r="B218" t="s">
        <v>27</v>
      </c>
      <c r="C218" s="1">
        <v>45301</v>
      </c>
      <c r="D218" t="s">
        <v>14</v>
      </c>
      <c r="E218" t="s">
        <v>18</v>
      </c>
      <c r="F218">
        <v>1261</v>
      </c>
      <c r="G218">
        <v>190</v>
      </c>
      <c r="H218">
        <v>233</v>
      </c>
      <c r="I218">
        <v>59888</v>
      </c>
      <c r="J218">
        <v>51449</v>
      </c>
      <c r="K218" s="46">
        <v>205</v>
      </c>
      <c r="L218" t="s">
        <v>20</v>
      </c>
      <c r="M218">
        <v>2.811915575741384E-2</v>
      </c>
      <c r="N218" t="s">
        <v>365</v>
      </c>
    </row>
    <row r="219" spans="1:14">
      <c r="A219" t="s">
        <v>161</v>
      </c>
      <c r="B219" t="s">
        <v>22</v>
      </c>
      <c r="C219" s="1">
        <v>45736</v>
      </c>
      <c r="D219" t="s">
        <v>14</v>
      </c>
      <c r="E219" t="s">
        <v>42</v>
      </c>
      <c r="F219">
        <v>1564</v>
      </c>
      <c r="G219">
        <v>362</v>
      </c>
      <c r="H219">
        <v>371</v>
      </c>
      <c r="I219">
        <v>42075</v>
      </c>
      <c r="J219">
        <v>66659</v>
      </c>
      <c r="K219" s="46">
        <v>205</v>
      </c>
      <c r="L219" t="s">
        <v>20</v>
      </c>
      <c r="M219">
        <v>5.4592988710635768E-2</v>
      </c>
      <c r="N219" t="s">
        <v>37</v>
      </c>
    </row>
    <row r="220" spans="1:14">
      <c r="A220" t="s">
        <v>299</v>
      </c>
      <c r="B220" t="s">
        <v>27</v>
      </c>
      <c r="C220" s="1">
        <v>45464</v>
      </c>
      <c r="D220" t="s">
        <v>48</v>
      </c>
      <c r="E220" t="s">
        <v>361</v>
      </c>
      <c r="F220">
        <v>4621</v>
      </c>
      <c r="G220">
        <v>374</v>
      </c>
      <c r="H220">
        <v>298</v>
      </c>
      <c r="I220">
        <v>56979</v>
      </c>
      <c r="J220">
        <v>24098</v>
      </c>
      <c r="K220" s="46">
        <v>205</v>
      </c>
      <c r="L220" t="s">
        <v>49</v>
      </c>
      <c r="M220">
        <v>9.2893873181347508E-2</v>
      </c>
      <c r="N220" t="s">
        <v>19</v>
      </c>
    </row>
    <row r="221" spans="1:14">
      <c r="A221" t="s">
        <v>299</v>
      </c>
      <c r="B221" t="s">
        <v>27</v>
      </c>
      <c r="C221" s="1">
        <v>45464</v>
      </c>
      <c r="D221" t="s">
        <v>48</v>
      </c>
      <c r="E221" t="s">
        <v>361</v>
      </c>
      <c r="F221">
        <v>4621</v>
      </c>
      <c r="G221">
        <v>374</v>
      </c>
      <c r="H221">
        <v>298</v>
      </c>
      <c r="I221">
        <v>56979</v>
      </c>
      <c r="J221">
        <v>24098</v>
      </c>
      <c r="K221" s="46">
        <v>205</v>
      </c>
      <c r="L221" t="s">
        <v>49</v>
      </c>
      <c r="M221">
        <v>9.2893873181347508E-2</v>
      </c>
      <c r="N221" t="s">
        <v>37</v>
      </c>
    </row>
    <row r="222" spans="1:14">
      <c r="A222" t="s">
        <v>217</v>
      </c>
      <c r="B222" t="s">
        <v>27</v>
      </c>
      <c r="C222" s="1">
        <v>45795</v>
      </c>
      <c r="D222" t="s">
        <v>48</v>
      </c>
      <c r="E222" t="s">
        <v>360</v>
      </c>
      <c r="F222">
        <v>4210</v>
      </c>
      <c r="G222">
        <v>319</v>
      </c>
      <c r="H222">
        <v>350</v>
      </c>
      <c r="I222">
        <v>37762</v>
      </c>
      <c r="J222">
        <v>55162</v>
      </c>
      <c r="K222" s="46">
        <v>204</v>
      </c>
      <c r="L222" t="s">
        <v>49</v>
      </c>
      <c r="M222">
        <v>0.12920396165457337</v>
      </c>
      <c r="N222" t="s">
        <v>19</v>
      </c>
    </row>
    <row r="223" spans="1:14">
      <c r="A223" t="s">
        <v>217</v>
      </c>
      <c r="B223" t="s">
        <v>27</v>
      </c>
      <c r="C223" s="1">
        <v>45795</v>
      </c>
      <c r="D223" t="s">
        <v>48</v>
      </c>
      <c r="E223" t="s">
        <v>360</v>
      </c>
      <c r="F223">
        <v>4210</v>
      </c>
      <c r="G223">
        <v>319</v>
      </c>
      <c r="H223">
        <v>350</v>
      </c>
      <c r="I223">
        <v>37762</v>
      </c>
      <c r="J223">
        <v>55162</v>
      </c>
      <c r="K223" s="46">
        <v>204</v>
      </c>
      <c r="L223" t="s">
        <v>49</v>
      </c>
      <c r="M223">
        <v>0.12920396165457337</v>
      </c>
      <c r="N223" t="s">
        <v>37</v>
      </c>
    </row>
    <row r="224" spans="1:14">
      <c r="A224" t="s">
        <v>59</v>
      </c>
      <c r="B224" t="s">
        <v>22</v>
      </c>
      <c r="C224" s="1">
        <v>45734</v>
      </c>
      <c r="D224" t="s">
        <v>23</v>
      </c>
      <c r="E224" t="s">
        <v>18</v>
      </c>
      <c r="F224">
        <v>3418</v>
      </c>
      <c r="G224">
        <v>188</v>
      </c>
      <c r="H224">
        <v>387</v>
      </c>
      <c r="I224">
        <v>57431</v>
      </c>
      <c r="J224">
        <v>36933</v>
      </c>
      <c r="K224" s="46">
        <v>202</v>
      </c>
      <c r="L224" t="s">
        <v>16</v>
      </c>
      <c r="M224">
        <v>6.9526910553533799E-2</v>
      </c>
      <c r="N224" t="s">
        <v>364</v>
      </c>
    </row>
    <row r="225" spans="1:14">
      <c r="A225" t="s">
        <v>59</v>
      </c>
      <c r="B225" t="s">
        <v>22</v>
      </c>
      <c r="C225" s="1">
        <v>45734</v>
      </c>
      <c r="D225" t="s">
        <v>23</v>
      </c>
      <c r="E225" t="s">
        <v>18</v>
      </c>
      <c r="F225">
        <v>3418</v>
      </c>
      <c r="G225">
        <v>188</v>
      </c>
      <c r="H225">
        <v>387</v>
      </c>
      <c r="I225">
        <v>57431</v>
      </c>
      <c r="J225">
        <v>36933</v>
      </c>
      <c r="K225" s="46">
        <v>202</v>
      </c>
      <c r="L225" t="s">
        <v>16</v>
      </c>
      <c r="M225">
        <v>6.9526910553533799E-2</v>
      </c>
      <c r="N225" t="s">
        <v>34</v>
      </c>
    </row>
    <row r="226" spans="1:14">
      <c r="A226" t="s">
        <v>75</v>
      </c>
      <c r="B226" t="s">
        <v>27</v>
      </c>
      <c r="C226" s="1">
        <v>45487</v>
      </c>
      <c r="D226" t="s">
        <v>14</v>
      </c>
      <c r="E226" t="s">
        <v>42</v>
      </c>
      <c r="F226">
        <v>3806</v>
      </c>
      <c r="G226">
        <v>114</v>
      </c>
      <c r="H226">
        <v>278</v>
      </c>
      <c r="I226">
        <v>36148</v>
      </c>
      <c r="J226">
        <v>24209</v>
      </c>
      <c r="K226" s="46">
        <v>201</v>
      </c>
      <c r="L226" t="s">
        <v>20</v>
      </c>
      <c r="M226">
        <v>0.11613367267898639</v>
      </c>
      <c r="N226" t="s">
        <v>19</v>
      </c>
    </row>
    <row r="227" spans="1:14">
      <c r="A227" t="s">
        <v>75</v>
      </c>
      <c r="B227" t="s">
        <v>27</v>
      </c>
      <c r="C227" s="1">
        <v>45487</v>
      </c>
      <c r="D227" t="s">
        <v>14</v>
      </c>
      <c r="E227" t="s">
        <v>42</v>
      </c>
      <c r="F227">
        <v>3806</v>
      </c>
      <c r="G227">
        <v>114</v>
      </c>
      <c r="H227">
        <v>278</v>
      </c>
      <c r="I227">
        <v>36148</v>
      </c>
      <c r="J227">
        <v>24209</v>
      </c>
      <c r="K227" s="46">
        <v>201</v>
      </c>
      <c r="L227" t="s">
        <v>20</v>
      </c>
      <c r="M227">
        <v>0.11613367267898639</v>
      </c>
      <c r="N227" t="s">
        <v>365</v>
      </c>
    </row>
    <row r="228" spans="1:14">
      <c r="A228" t="s">
        <v>26</v>
      </c>
      <c r="B228" t="s">
        <v>27</v>
      </c>
      <c r="C228" s="1">
        <v>45388</v>
      </c>
      <c r="D228" t="s">
        <v>14</v>
      </c>
      <c r="E228" t="s">
        <v>361</v>
      </c>
      <c r="F228">
        <v>2748</v>
      </c>
      <c r="G228">
        <v>145</v>
      </c>
      <c r="H228">
        <v>315</v>
      </c>
      <c r="I228">
        <v>24401</v>
      </c>
      <c r="J228">
        <v>61182</v>
      </c>
      <c r="K228" s="46">
        <v>200</v>
      </c>
      <c r="L228" t="s">
        <v>20</v>
      </c>
      <c r="M228">
        <v>0.1314700217204213</v>
      </c>
      <c r="N228" t="s">
        <v>19</v>
      </c>
    </row>
    <row r="229" spans="1:14">
      <c r="A229" t="s">
        <v>26</v>
      </c>
      <c r="B229" t="s">
        <v>27</v>
      </c>
      <c r="C229" s="1">
        <v>45388</v>
      </c>
      <c r="D229" t="s">
        <v>14</v>
      </c>
      <c r="E229" t="s">
        <v>361</v>
      </c>
      <c r="F229">
        <v>2748</v>
      </c>
      <c r="G229">
        <v>145</v>
      </c>
      <c r="H229">
        <v>315</v>
      </c>
      <c r="I229">
        <v>24401</v>
      </c>
      <c r="J229">
        <v>61182</v>
      </c>
      <c r="K229" s="46">
        <v>200</v>
      </c>
      <c r="L229" t="s">
        <v>20</v>
      </c>
      <c r="M229">
        <v>0.1314700217204213</v>
      </c>
      <c r="N229" t="s">
        <v>365</v>
      </c>
    </row>
    <row r="230" spans="1:14">
      <c r="A230" t="s">
        <v>151</v>
      </c>
      <c r="B230" t="s">
        <v>13</v>
      </c>
      <c r="C230" s="1">
        <v>45777</v>
      </c>
      <c r="D230" t="s">
        <v>23</v>
      </c>
      <c r="E230" t="s">
        <v>24</v>
      </c>
      <c r="F230">
        <v>3916</v>
      </c>
      <c r="G230">
        <v>459</v>
      </c>
      <c r="H230">
        <v>229</v>
      </c>
      <c r="I230">
        <v>48989</v>
      </c>
      <c r="J230">
        <v>39768</v>
      </c>
      <c r="K230" s="46">
        <v>200</v>
      </c>
      <c r="L230" t="s">
        <v>46</v>
      </c>
      <c r="M230">
        <v>9.3980281287635997E-2</v>
      </c>
      <c r="N230" t="s">
        <v>34</v>
      </c>
    </row>
    <row r="231" spans="1:14">
      <c r="A231" t="s">
        <v>166</v>
      </c>
      <c r="B231" t="s">
        <v>22</v>
      </c>
      <c r="C231" s="1">
        <v>45615</v>
      </c>
      <c r="D231" t="s">
        <v>14</v>
      </c>
      <c r="E231" t="s">
        <v>33</v>
      </c>
      <c r="F231">
        <v>3728</v>
      </c>
      <c r="G231">
        <v>271</v>
      </c>
      <c r="H231">
        <v>275</v>
      </c>
      <c r="I231">
        <v>22827</v>
      </c>
      <c r="J231">
        <v>37034</v>
      </c>
      <c r="K231" s="46">
        <v>199</v>
      </c>
      <c r="L231" t="s">
        <v>16</v>
      </c>
      <c r="M231">
        <v>0.18723441538528934</v>
      </c>
      <c r="N231" t="s">
        <v>34</v>
      </c>
    </row>
    <row r="232" spans="1:14">
      <c r="A232" t="s">
        <v>316</v>
      </c>
      <c r="B232" t="s">
        <v>13</v>
      </c>
      <c r="C232" s="1">
        <v>45413</v>
      </c>
      <c r="D232" t="s">
        <v>14</v>
      </c>
      <c r="E232" t="s">
        <v>30</v>
      </c>
      <c r="F232">
        <v>3359</v>
      </c>
      <c r="G232">
        <v>137</v>
      </c>
      <c r="H232">
        <v>387</v>
      </c>
      <c r="I232">
        <v>33861</v>
      </c>
      <c r="J232">
        <v>47257</v>
      </c>
      <c r="K232" s="46">
        <v>198</v>
      </c>
      <c r="L232" t="s">
        <v>20</v>
      </c>
      <c r="M232">
        <v>0.11467469950680724</v>
      </c>
      <c r="N232" t="s">
        <v>19</v>
      </c>
    </row>
    <row r="233" spans="1:14">
      <c r="A233" t="s">
        <v>60</v>
      </c>
      <c r="B233" t="s">
        <v>22</v>
      </c>
      <c r="C233" s="1">
        <v>45773</v>
      </c>
      <c r="D233" t="s">
        <v>14</v>
      </c>
      <c r="E233" t="s">
        <v>15</v>
      </c>
      <c r="F233">
        <v>2411</v>
      </c>
      <c r="G233">
        <v>194</v>
      </c>
      <c r="H233">
        <v>168</v>
      </c>
      <c r="I233">
        <v>26665</v>
      </c>
      <c r="J233">
        <v>71699</v>
      </c>
      <c r="K233" s="46">
        <v>197</v>
      </c>
      <c r="L233" t="s">
        <v>16</v>
      </c>
      <c r="M233">
        <v>0.10399399962497656</v>
      </c>
      <c r="N233" t="s">
        <v>34</v>
      </c>
    </row>
    <row r="234" spans="1:14">
      <c r="A234" t="s">
        <v>216</v>
      </c>
      <c r="B234" t="s">
        <v>22</v>
      </c>
      <c r="C234" s="1">
        <v>45459</v>
      </c>
      <c r="D234" t="s">
        <v>23</v>
      </c>
      <c r="E234" t="s">
        <v>18</v>
      </c>
      <c r="F234">
        <v>4618</v>
      </c>
      <c r="G234">
        <v>312</v>
      </c>
      <c r="H234">
        <v>254</v>
      </c>
      <c r="I234">
        <v>22571</v>
      </c>
      <c r="J234">
        <v>29453</v>
      </c>
      <c r="K234" s="46">
        <v>197</v>
      </c>
      <c r="L234" t="s">
        <v>16</v>
      </c>
      <c r="M234">
        <v>0.22967524699836073</v>
      </c>
      <c r="N234" t="s">
        <v>364</v>
      </c>
    </row>
    <row r="235" spans="1:14">
      <c r="A235" t="s">
        <v>216</v>
      </c>
      <c r="B235" t="s">
        <v>22</v>
      </c>
      <c r="C235" s="1">
        <v>45459</v>
      </c>
      <c r="D235" t="s">
        <v>23</v>
      </c>
      <c r="E235" t="s">
        <v>18</v>
      </c>
      <c r="F235">
        <v>4618</v>
      </c>
      <c r="G235">
        <v>312</v>
      </c>
      <c r="H235">
        <v>254</v>
      </c>
      <c r="I235">
        <v>22571</v>
      </c>
      <c r="J235">
        <v>29453</v>
      </c>
      <c r="K235" s="46">
        <v>197</v>
      </c>
      <c r="L235" t="s">
        <v>16</v>
      </c>
      <c r="M235">
        <v>0.22967524699836073</v>
      </c>
      <c r="N235" t="s">
        <v>34</v>
      </c>
    </row>
    <row r="236" spans="1:14">
      <c r="A236" t="s">
        <v>255</v>
      </c>
      <c r="B236" t="s">
        <v>27</v>
      </c>
      <c r="C236" s="1">
        <v>45323</v>
      </c>
      <c r="D236" t="s">
        <v>14</v>
      </c>
      <c r="E236" t="s">
        <v>360</v>
      </c>
      <c r="F236">
        <v>1432</v>
      </c>
      <c r="G236">
        <v>437</v>
      </c>
      <c r="H236">
        <v>267</v>
      </c>
      <c r="I236">
        <v>40634</v>
      </c>
      <c r="J236">
        <v>54511</v>
      </c>
      <c r="K236" s="46">
        <v>197</v>
      </c>
      <c r="L236" t="s">
        <v>20</v>
      </c>
      <c r="M236">
        <v>5.2566815966924252E-2</v>
      </c>
      <c r="N236" t="s">
        <v>19</v>
      </c>
    </row>
    <row r="237" spans="1:14">
      <c r="A237" t="s">
        <v>255</v>
      </c>
      <c r="B237" t="s">
        <v>27</v>
      </c>
      <c r="C237" s="1">
        <v>45323</v>
      </c>
      <c r="D237" t="s">
        <v>14</v>
      </c>
      <c r="E237" t="s">
        <v>360</v>
      </c>
      <c r="F237">
        <v>1432</v>
      </c>
      <c r="G237">
        <v>437</v>
      </c>
      <c r="H237">
        <v>267</v>
      </c>
      <c r="I237">
        <v>40634</v>
      </c>
      <c r="J237">
        <v>54511</v>
      </c>
      <c r="K237" s="46">
        <v>197</v>
      </c>
      <c r="L237" t="s">
        <v>20</v>
      </c>
      <c r="M237">
        <v>5.2566815966924252E-2</v>
      </c>
      <c r="N237" t="s">
        <v>365</v>
      </c>
    </row>
    <row r="238" spans="1:14">
      <c r="A238" t="s">
        <v>164</v>
      </c>
      <c r="B238" t="s">
        <v>22</v>
      </c>
      <c r="C238" s="1">
        <v>45792</v>
      </c>
      <c r="D238" t="s">
        <v>14</v>
      </c>
      <c r="E238" t="s">
        <v>24</v>
      </c>
      <c r="F238">
        <v>1583</v>
      </c>
      <c r="G238">
        <v>433</v>
      </c>
      <c r="H238">
        <v>249</v>
      </c>
      <c r="I238">
        <v>30256</v>
      </c>
      <c r="J238">
        <v>47066</v>
      </c>
      <c r="K238" s="46">
        <v>196</v>
      </c>
      <c r="L238" t="s">
        <v>16</v>
      </c>
      <c r="M238">
        <v>7.4861184558434685E-2</v>
      </c>
      <c r="N238" t="s">
        <v>34</v>
      </c>
    </row>
    <row r="239" spans="1:14">
      <c r="A239" t="s">
        <v>230</v>
      </c>
      <c r="B239" t="s">
        <v>22</v>
      </c>
      <c r="C239" s="1">
        <v>45369</v>
      </c>
      <c r="D239" t="s">
        <v>14</v>
      </c>
      <c r="E239" t="s">
        <v>24</v>
      </c>
      <c r="F239">
        <v>2033</v>
      </c>
      <c r="G239">
        <v>420</v>
      </c>
      <c r="H239">
        <v>94</v>
      </c>
      <c r="I239">
        <v>56290</v>
      </c>
      <c r="J239">
        <v>57391</v>
      </c>
      <c r="K239" s="46">
        <v>196</v>
      </c>
      <c r="L239" t="s">
        <v>16</v>
      </c>
      <c r="M239">
        <v>4.5247823769763724E-2</v>
      </c>
      <c r="N239" t="s">
        <v>34</v>
      </c>
    </row>
    <row r="240" spans="1:14">
      <c r="A240" t="s">
        <v>68</v>
      </c>
      <c r="B240" t="s">
        <v>13</v>
      </c>
      <c r="C240" s="1">
        <v>45545</v>
      </c>
      <c r="D240" t="s">
        <v>23</v>
      </c>
      <c r="E240" t="s">
        <v>24</v>
      </c>
      <c r="F240">
        <v>1230</v>
      </c>
      <c r="G240">
        <v>309</v>
      </c>
      <c r="H240">
        <v>207</v>
      </c>
      <c r="I240">
        <v>44629</v>
      </c>
      <c r="J240">
        <v>40699</v>
      </c>
      <c r="K240" s="46">
        <v>195</v>
      </c>
      <c r="L240" t="s">
        <v>46</v>
      </c>
      <c r="M240">
        <v>3.9122543637545096E-2</v>
      </c>
      <c r="N240" t="s">
        <v>34</v>
      </c>
    </row>
    <row r="241" spans="1:14">
      <c r="A241" t="s">
        <v>148</v>
      </c>
      <c r="B241" t="s">
        <v>22</v>
      </c>
      <c r="C241" s="1">
        <v>45428</v>
      </c>
      <c r="D241" t="s">
        <v>23</v>
      </c>
      <c r="E241" t="s">
        <v>361</v>
      </c>
      <c r="F241">
        <v>2023</v>
      </c>
      <c r="G241">
        <v>124</v>
      </c>
      <c r="H241">
        <v>99</v>
      </c>
      <c r="I241">
        <v>54524</v>
      </c>
      <c r="J241">
        <v>34790</v>
      </c>
      <c r="K241" s="46">
        <v>195</v>
      </c>
      <c r="L241" t="s">
        <v>16</v>
      </c>
      <c r="M241">
        <v>4.1192869195216787E-2</v>
      </c>
      <c r="N241" t="s">
        <v>19</v>
      </c>
    </row>
    <row r="242" spans="1:14">
      <c r="A242" t="s">
        <v>148</v>
      </c>
      <c r="B242" t="s">
        <v>22</v>
      </c>
      <c r="C242" s="1">
        <v>45428</v>
      </c>
      <c r="D242" t="s">
        <v>23</v>
      </c>
      <c r="E242" t="s">
        <v>361</v>
      </c>
      <c r="F242">
        <v>2023</v>
      </c>
      <c r="G242">
        <v>124</v>
      </c>
      <c r="H242">
        <v>99</v>
      </c>
      <c r="I242">
        <v>54524</v>
      </c>
      <c r="J242">
        <v>34790</v>
      </c>
      <c r="K242" s="46">
        <v>195</v>
      </c>
      <c r="L242" t="s">
        <v>16</v>
      </c>
      <c r="M242">
        <v>4.1192869195216787E-2</v>
      </c>
      <c r="N242" t="s">
        <v>364</v>
      </c>
    </row>
    <row r="243" spans="1:14">
      <c r="A243" t="s">
        <v>304</v>
      </c>
      <c r="B243" t="s">
        <v>13</v>
      </c>
      <c r="C243" s="1">
        <v>45573</v>
      </c>
      <c r="D243" t="s">
        <v>14</v>
      </c>
      <c r="E243" t="s">
        <v>18</v>
      </c>
      <c r="F243">
        <v>2110</v>
      </c>
      <c r="G243">
        <v>384</v>
      </c>
      <c r="H243">
        <v>236</v>
      </c>
      <c r="I243">
        <v>49965</v>
      </c>
      <c r="J243">
        <v>61555</v>
      </c>
      <c r="K243" s="46">
        <v>195</v>
      </c>
      <c r="L243" t="s">
        <v>20</v>
      </c>
      <c r="M243">
        <v>5.4638246772740921E-2</v>
      </c>
      <c r="N243" t="s">
        <v>19</v>
      </c>
    </row>
    <row r="244" spans="1:14">
      <c r="A244" t="s">
        <v>141</v>
      </c>
      <c r="B244" t="s">
        <v>27</v>
      </c>
      <c r="C244" s="1">
        <v>45493</v>
      </c>
      <c r="D244" t="s">
        <v>48</v>
      </c>
      <c r="E244" t="s">
        <v>361</v>
      </c>
      <c r="F244">
        <v>4955</v>
      </c>
      <c r="G244">
        <v>299</v>
      </c>
      <c r="H244">
        <v>345</v>
      </c>
      <c r="I244">
        <v>33644</v>
      </c>
      <c r="J244">
        <v>43547</v>
      </c>
      <c r="K244" s="46">
        <v>194</v>
      </c>
      <c r="L244" t="s">
        <v>49</v>
      </c>
      <c r="M244">
        <v>0.16641897515158721</v>
      </c>
      <c r="N244" t="s">
        <v>19</v>
      </c>
    </row>
    <row r="245" spans="1:14">
      <c r="A245" t="s">
        <v>141</v>
      </c>
      <c r="B245" t="s">
        <v>27</v>
      </c>
      <c r="C245" s="1">
        <v>45493</v>
      </c>
      <c r="D245" t="s">
        <v>48</v>
      </c>
      <c r="E245" t="s">
        <v>361</v>
      </c>
      <c r="F245">
        <v>4955</v>
      </c>
      <c r="G245">
        <v>299</v>
      </c>
      <c r="H245">
        <v>345</v>
      </c>
      <c r="I245">
        <v>33644</v>
      </c>
      <c r="J245">
        <v>43547</v>
      </c>
      <c r="K245" s="46">
        <v>194</v>
      </c>
      <c r="L245" t="s">
        <v>49</v>
      </c>
      <c r="M245">
        <v>0.16641897515158721</v>
      </c>
      <c r="N245" t="s">
        <v>37</v>
      </c>
    </row>
    <row r="246" spans="1:14">
      <c r="A246" t="s">
        <v>102</v>
      </c>
      <c r="B246" t="s">
        <v>13</v>
      </c>
      <c r="C246" s="1">
        <v>45576</v>
      </c>
      <c r="D246" t="s">
        <v>14</v>
      </c>
      <c r="E246" t="s">
        <v>363</v>
      </c>
      <c r="F246">
        <v>1360</v>
      </c>
      <c r="G246">
        <v>249</v>
      </c>
      <c r="H246">
        <v>52</v>
      </c>
      <c r="I246">
        <v>20368</v>
      </c>
      <c r="J246">
        <v>42152</v>
      </c>
      <c r="K246" s="46">
        <v>193</v>
      </c>
      <c r="L246" t="s">
        <v>20</v>
      </c>
      <c r="M246">
        <v>8.1549489395129612E-2</v>
      </c>
      <c r="N246" t="s">
        <v>19</v>
      </c>
    </row>
    <row r="247" spans="1:14">
      <c r="A247" t="s">
        <v>79</v>
      </c>
      <c r="B247" t="s">
        <v>22</v>
      </c>
      <c r="C247" s="1">
        <v>45533</v>
      </c>
      <c r="D247" t="s">
        <v>23</v>
      </c>
      <c r="E247" t="s">
        <v>30</v>
      </c>
      <c r="F247">
        <v>4276</v>
      </c>
      <c r="G247">
        <v>227</v>
      </c>
      <c r="H247">
        <v>223</v>
      </c>
      <c r="I247">
        <v>43443</v>
      </c>
      <c r="J247">
        <v>41005</v>
      </c>
      <c r="K247" s="46">
        <v>191</v>
      </c>
      <c r="L247" t="s">
        <v>16</v>
      </c>
      <c r="M247">
        <v>0.1087862256289851</v>
      </c>
      <c r="N247" t="s">
        <v>19</v>
      </c>
    </row>
    <row r="248" spans="1:14">
      <c r="A248" t="s">
        <v>79</v>
      </c>
      <c r="B248" t="s">
        <v>22</v>
      </c>
      <c r="C248" s="1">
        <v>45533</v>
      </c>
      <c r="D248" t="s">
        <v>23</v>
      </c>
      <c r="E248" t="s">
        <v>30</v>
      </c>
      <c r="F248">
        <v>4276</v>
      </c>
      <c r="G248">
        <v>227</v>
      </c>
      <c r="H248">
        <v>223</v>
      </c>
      <c r="I248">
        <v>43443</v>
      </c>
      <c r="J248">
        <v>41005</v>
      </c>
      <c r="K248" s="46">
        <v>191</v>
      </c>
      <c r="L248" t="s">
        <v>16</v>
      </c>
      <c r="M248">
        <v>0.1087862256289851</v>
      </c>
      <c r="N248" t="s">
        <v>364</v>
      </c>
    </row>
    <row r="249" spans="1:14">
      <c r="A249" t="s">
        <v>127</v>
      </c>
      <c r="B249" t="s">
        <v>13</v>
      </c>
      <c r="C249" s="1">
        <v>45317</v>
      </c>
      <c r="D249" t="s">
        <v>14</v>
      </c>
      <c r="E249" t="s">
        <v>362</v>
      </c>
      <c r="F249">
        <v>3878</v>
      </c>
      <c r="G249">
        <v>431</v>
      </c>
      <c r="H249">
        <v>97</v>
      </c>
      <c r="I249">
        <v>41763</v>
      </c>
      <c r="J249">
        <v>29729</v>
      </c>
      <c r="K249" s="46">
        <v>191</v>
      </c>
      <c r="L249" t="s">
        <v>20</v>
      </c>
      <c r="M249">
        <v>0.10550008380623997</v>
      </c>
      <c r="N249" t="s">
        <v>19</v>
      </c>
    </row>
    <row r="250" spans="1:14">
      <c r="A250" t="s">
        <v>85</v>
      </c>
      <c r="B250" t="s">
        <v>22</v>
      </c>
      <c r="C250" s="1">
        <v>45420</v>
      </c>
      <c r="D250" t="s">
        <v>14</v>
      </c>
      <c r="E250" t="s">
        <v>18</v>
      </c>
      <c r="F250">
        <v>1828</v>
      </c>
      <c r="G250">
        <v>450</v>
      </c>
      <c r="H250">
        <v>214</v>
      </c>
      <c r="I250">
        <v>52115</v>
      </c>
      <c r="J250">
        <v>19166</v>
      </c>
      <c r="K250" s="46">
        <v>190</v>
      </c>
      <c r="L250" t="s">
        <v>16</v>
      </c>
      <c r="M250">
        <v>4.781732706514439E-2</v>
      </c>
      <c r="N250" t="s">
        <v>34</v>
      </c>
    </row>
    <row r="251" spans="1:14">
      <c r="A251" t="s">
        <v>291</v>
      </c>
      <c r="B251" t="s">
        <v>22</v>
      </c>
      <c r="C251" s="1">
        <v>45612</v>
      </c>
      <c r="D251" t="s">
        <v>14</v>
      </c>
      <c r="E251" t="s">
        <v>363</v>
      </c>
      <c r="F251">
        <v>2972</v>
      </c>
      <c r="G251">
        <v>263</v>
      </c>
      <c r="H251">
        <v>308</v>
      </c>
      <c r="I251">
        <v>51740</v>
      </c>
      <c r="J251">
        <v>28214</v>
      </c>
      <c r="K251" s="46">
        <v>190</v>
      </c>
      <c r="L251" t="s">
        <v>20</v>
      </c>
      <c r="M251">
        <v>6.8477000386548123E-2</v>
      </c>
      <c r="N251" t="s">
        <v>37</v>
      </c>
    </row>
    <row r="252" spans="1:14">
      <c r="A252" t="s">
        <v>245</v>
      </c>
      <c r="B252" t="s">
        <v>27</v>
      </c>
      <c r="C252" s="1">
        <v>45672</v>
      </c>
      <c r="D252" t="s">
        <v>14</v>
      </c>
      <c r="E252" t="s">
        <v>42</v>
      </c>
      <c r="F252">
        <v>2599</v>
      </c>
      <c r="G252">
        <v>324</v>
      </c>
      <c r="H252">
        <v>182</v>
      </c>
      <c r="I252">
        <v>37525</v>
      </c>
      <c r="J252">
        <v>37216</v>
      </c>
      <c r="K252" s="46">
        <v>186</v>
      </c>
      <c r="L252" t="s">
        <v>20</v>
      </c>
      <c r="M252">
        <v>8.2744836775483013E-2</v>
      </c>
      <c r="N252" t="s">
        <v>19</v>
      </c>
    </row>
    <row r="253" spans="1:14">
      <c r="A253" t="s">
        <v>245</v>
      </c>
      <c r="B253" t="s">
        <v>27</v>
      </c>
      <c r="C253" s="1">
        <v>45672</v>
      </c>
      <c r="D253" t="s">
        <v>14</v>
      </c>
      <c r="E253" t="s">
        <v>42</v>
      </c>
      <c r="F253">
        <v>2599</v>
      </c>
      <c r="G253">
        <v>324</v>
      </c>
      <c r="H253">
        <v>182</v>
      </c>
      <c r="I253">
        <v>37525</v>
      </c>
      <c r="J253">
        <v>37216</v>
      </c>
      <c r="K253" s="46">
        <v>186</v>
      </c>
      <c r="L253" t="s">
        <v>20</v>
      </c>
      <c r="M253">
        <v>8.2744836775483013E-2</v>
      </c>
      <c r="N253" t="s">
        <v>365</v>
      </c>
    </row>
    <row r="254" spans="1:14">
      <c r="A254" t="s">
        <v>294</v>
      </c>
      <c r="B254" t="s">
        <v>27</v>
      </c>
      <c r="C254" s="1">
        <v>45808</v>
      </c>
      <c r="D254" t="s">
        <v>48</v>
      </c>
      <c r="E254" t="s">
        <v>30</v>
      </c>
      <c r="F254">
        <v>2162</v>
      </c>
      <c r="G254">
        <v>318</v>
      </c>
      <c r="H254">
        <v>83</v>
      </c>
      <c r="I254">
        <v>46719</v>
      </c>
      <c r="J254">
        <v>20482</v>
      </c>
      <c r="K254" s="46">
        <v>185</v>
      </c>
      <c r="L254" t="s">
        <v>49</v>
      </c>
      <c r="M254">
        <v>5.4859907104176028E-2</v>
      </c>
      <c r="N254" t="s">
        <v>19</v>
      </c>
    </row>
    <row r="255" spans="1:14">
      <c r="A255" t="s">
        <v>294</v>
      </c>
      <c r="B255" t="s">
        <v>27</v>
      </c>
      <c r="C255" s="1">
        <v>45808</v>
      </c>
      <c r="D255" t="s">
        <v>48</v>
      </c>
      <c r="E255" t="s">
        <v>30</v>
      </c>
      <c r="F255">
        <v>2162</v>
      </c>
      <c r="G255">
        <v>318</v>
      </c>
      <c r="H255">
        <v>83</v>
      </c>
      <c r="I255">
        <v>46719</v>
      </c>
      <c r="J255">
        <v>20482</v>
      </c>
      <c r="K255" s="46">
        <v>185</v>
      </c>
      <c r="L255" t="s">
        <v>49</v>
      </c>
      <c r="M255">
        <v>5.4859907104176028E-2</v>
      </c>
      <c r="N255" t="s">
        <v>37</v>
      </c>
    </row>
    <row r="256" spans="1:14">
      <c r="A256" t="s">
        <v>111</v>
      </c>
      <c r="B256" t="s">
        <v>22</v>
      </c>
      <c r="C256" s="1">
        <v>45723</v>
      </c>
      <c r="D256" t="s">
        <v>14</v>
      </c>
      <c r="E256" t="s">
        <v>30</v>
      </c>
      <c r="F256">
        <v>4234</v>
      </c>
      <c r="G256">
        <v>486</v>
      </c>
      <c r="H256">
        <v>276</v>
      </c>
      <c r="I256">
        <v>56623</v>
      </c>
      <c r="J256">
        <v>41343</v>
      </c>
      <c r="K256" s="46">
        <v>184</v>
      </c>
      <c r="L256" t="s">
        <v>20</v>
      </c>
      <c r="M256">
        <v>8.8232696960599044E-2</v>
      </c>
      <c r="N256" t="s">
        <v>37</v>
      </c>
    </row>
    <row r="257" spans="1:14">
      <c r="A257" t="s">
        <v>307</v>
      </c>
      <c r="B257" t="s">
        <v>13</v>
      </c>
      <c r="C257" s="1">
        <v>45691</v>
      </c>
      <c r="D257" t="s">
        <v>23</v>
      </c>
      <c r="E257" t="s">
        <v>24</v>
      </c>
      <c r="F257">
        <v>1205</v>
      </c>
      <c r="G257">
        <v>486</v>
      </c>
      <c r="H257">
        <v>269</v>
      </c>
      <c r="I257">
        <v>23341</v>
      </c>
      <c r="J257">
        <v>42411</v>
      </c>
      <c r="K257" s="46">
        <v>184</v>
      </c>
      <c r="L257" t="s">
        <v>46</v>
      </c>
      <c r="M257">
        <v>8.3972409065592737E-2</v>
      </c>
      <c r="N257" t="s">
        <v>34</v>
      </c>
    </row>
    <row r="258" spans="1:14">
      <c r="A258" t="s">
        <v>310</v>
      </c>
      <c r="B258" t="s">
        <v>22</v>
      </c>
      <c r="C258" s="1">
        <v>45563</v>
      </c>
      <c r="D258" t="s">
        <v>23</v>
      </c>
      <c r="E258" t="s">
        <v>360</v>
      </c>
      <c r="F258">
        <v>4471</v>
      </c>
      <c r="G258">
        <v>317</v>
      </c>
      <c r="H258">
        <v>249</v>
      </c>
      <c r="I258">
        <v>44862</v>
      </c>
      <c r="J258">
        <v>33365</v>
      </c>
      <c r="K258" s="46">
        <v>184</v>
      </c>
      <c r="L258" t="s">
        <v>16</v>
      </c>
      <c r="M258">
        <v>0.1122776514644911</v>
      </c>
      <c r="N258" t="s">
        <v>19</v>
      </c>
    </row>
    <row r="259" spans="1:14">
      <c r="A259" t="s">
        <v>310</v>
      </c>
      <c r="B259" t="s">
        <v>22</v>
      </c>
      <c r="C259" s="1">
        <v>45563</v>
      </c>
      <c r="D259" t="s">
        <v>23</v>
      </c>
      <c r="E259" t="s">
        <v>360</v>
      </c>
      <c r="F259">
        <v>4471</v>
      </c>
      <c r="G259">
        <v>317</v>
      </c>
      <c r="H259">
        <v>249</v>
      </c>
      <c r="I259">
        <v>44862</v>
      </c>
      <c r="J259">
        <v>33365</v>
      </c>
      <c r="K259" s="46">
        <v>184</v>
      </c>
      <c r="L259" t="s">
        <v>16</v>
      </c>
      <c r="M259">
        <v>0.1122776514644911</v>
      </c>
      <c r="N259" t="s">
        <v>364</v>
      </c>
    </row>
    <row r="260" spans="1:14">
      <c r="A260" t="s">
        <v>92</v>
      </c>
      <c r="B260" t="s">
        <v>22</v>
      </c>
      <c r="C260" s="1">
        <v>45599</v>
      </c>
      <c r="D260" t="s">
        <v>23</v>
      </c>
      <c r="E260" t="s">
        <v>360</v>
      </c>
      <c r="F260">
        <v>1959</v>
      </c>
      <c r="G260">
        <v>316</v>
      </c>
      <c r="H260">
        <v>82</v>
      </c>
      <c r="I260">
        <v>54036</v>
      </c>
      <c r="J260">
        <v>69015</v>
      </c>
      <c r="K260" s="46">
        <v>182</v>
      </c>
      <c r="L260" t="s">
        <v>16</v>
      </c>
      <c r="M260">
        <v>4.3619068768968837E-2</v>
      </c>
      <c r="N260" t="s">
        <v>364</v>
      </c>
    </row>
    <row r="261" spans="1:14">
      <c r="A261" t="s">
        <v>92</v>
      </c>
      <c r="B261" t="s">
        <v>22</v>
      </c>
      <c r="C261" s="1">
        <v>45599</v>
      </c>
      <c r="D261" t="s">
        <v>23</v>
      </c>
      <c r="E261" t="s">
        <v>360</v>
      </c>
      <c r="F261">
        <v>1959</v>
      </c>
      <c r="G261">
        <v>316</v>
      </c>
      <c r="H261">
        <v>82</v>
      </c>
      <c r="I261">
        <v>54036</v>
      </c>
      <c r="J261">
        <v>69015</v>
      </c>
      <c r="K261" s="46">
        <v>182</v>
      </c>
      <c r="L261" t="s">
        <v>16</v>
      </c>
      <c r="M261">
        <v>4.3619068768968837E-2</v>
      </c>
      <c r="N261" t="s">
        <v>34</v>
      </c>
    </row>
    <row r="262" spans="1:14">
      <c r="A262" t="s">
        <v>112</v>
      </c>
      <c r="B262" t="s">
        <v>13</v>
      </c>
      <c r="C262" s="1">
        <v>45530</v>
      </c>
      <c r="D262" t="s">
        <v>14</v>
      </c>
      <c r="E262" t="s">
        <v>42</v>
      </c>
      <c r="F262">
        <v>2102</v>
      </c>
      <c r="G262">
        <v>181</v>
      </c>
      <c r="H262">
        <v>306</v>
      </c>
      <c r="I262">
        <v>43650</v>
      </c>
      <c r="J262">
        <v>50079</v>
      </c>
      <c r="K262" s="46">
        <v>182</v>
      </c>
      <c r="L262" t="s">
        <v>20</v>
      </c>
      <c r="M262">
        <v>5.9312714776632303E-2</v>
      </c>
      <c r="N262" t="s">
        <v>19</v>
      </c>
    </row>
    <row r="263" spans="1:14">
      <c r="A263" t="s">
        <v>130</v>
      </c>
      <c r="B263" t="s">
        <v>13</v>
      </c>
      <c r="C263" s="1">
        <v>45494</v>
      </c>
      <c r="D263" t="s">
        <v>14</v>
      </c>
      <c r="E263" t="s">
        <v>15</v>
      </c>
      <c r="F263">
        <v>3004</v>
      </c>
      <c r="G263">
        <v>415</v>
      </c>
      <c r="H263">
        <v>218</v>
      </c>
      <c r="I263">
        <v>36090</v>
      </c>
      <c r="J263">
        <v>37073</v>
      </c>
      <c r="K263" s="46">
        <v>181</v>
      </c>
      <c r="L263" t="s">
        <v>20</v>
      </c>
      <c r="M263">
        <v>0.10077583818232197</v>
      </c>
      <c r="N263" t="s">
        <v>19</v>
      </c>
    </row>
    <row r="264" spans="1:14">
      <c r="A264" t="s">
        <v>113</v>
      </c>
      <c r="B264" t="s">
        <v>22</v>
      </c>
      <c r="C264" s="1">
        <v>45660</v>
      </c>
      <c r="D264" t="s">
        <v>23</v>
      </c>
      <c r="E264" t="s">
        <v>30</v>
      </c>
      <c r="F264">
        <v>4845</v>
      </c>
      <c r="G264">
        <v>158</v>
      </c>
      <c r="H264">
        <v>84</v>
      </c>
      <c r="I264">
        <v>34578</v>
      </c>
      <c r="J264">
        <v>51480</v>
      </c>
      <c r="K264" s="46">
        <v>180</v>
      </c>
      <c r="L264" t="s">
        <v>16</v>
      </c>
      <c r="M264">
        <v>0.1471166637746544</v>
      </c>
      <c r="N264" t="s">
        <v>37</v>
      </c>
    </row>
    <row r="265" spans="1:14">
      <c r="A265" t="s">
        <v>113</v>
      </c>
      <c r="B265" t="s">
        <v>22</v>
      </c>
      <c r="C265" s="1">
        <v>45660</v>
      </c>
      <c r="D265" t="s">
        <v>23</v>
      </c>
      <c r="E265" t="s">
        <v>30</v>
      </c>
      <c r="F265">
        <v>4845</v>
      </c>
      <c r="G265">
        <v>158</v>
      </c>
      <c r="H265">
        <v>84</v>
      </c>
      <c r="I265">
        <v>34578</v>
      </c>
      <c r="J265">
        <v>51480</v>
      </c>
      <c r="K265" s="46">
        <v>180</v>
      </c>
      <c r="L265" t="s">
        <v>16</v>
      </c>
      <c r="M265">
        <v>0.1471166637746544</v>
      </c>
      <c r="N265" t="s">
        <v>34</v>
      </c>
    </row>
    <row r="266" spans="1:14">
      <c r="A266" t="s">
        <v>41</v>
      </c>
      <c r="B266" t="s">
        <v>22</v>
      </c>
      <c r="C266" s="1">
        <v>45418</v>
      </c>
      <c r="D266" t="s">
        <v>14</v>
      </c>
      <c r="E266" t="s">
        <v>42</v>
      </c>
      <c r="F266">
        <v>3476</v>
      </c>
      <c r="G266">
        <v>355</v>
      </c>
      <c r="H266">
        <v>396</v>
      </c>
      <c r="I266">
        <v>37492</v>
      </c>
      <c r="J266">
        <v>27285</v>
      </c>
      <c r="K266" s="46">
        <v>179</v>
      </c>
      <c r="L266" t="s">
        <v>16</v>
      </c>
      <c r="M266">
        <v>0.11274405206444041</v>
      </c>
      <c r="N266" t="s">
        <v>34</v>
      </c>
    </row>
    <row r="267" spans="1:14">
      <c r="A267" t="s">
        <v>207</v>
      </c>
      <c r="B267" t="s">
        <v>22</v>
      </c>
      <c r="C267" s="1">
        <v>45606</v>
      </c>
      <c r="D267" t="s">
        <v>14</v>
      </c>
      <c r="E267" t="s">
        <v>18</v>
      </c>
      <c r="F267">
        <v>4823</v>
      </c>
      <c r="G267">
        <v>489</v>
      </c>
      <c r="H267">
        <v>302</v>
      </c>
      <c r="I267">
        <v>32470</v>
      </c>
      <c r="J267">
        <v>31861</v>
      </c>
      <c r="K267" s="46">
        <v>178</v>
      </c>
      <c r="L267" t="s">
        <v>20</v>
      </c>
      <c r="M267">
        <v>0.1728980597474592</v>
      </c>
      <c r="N267" t="s">
        <v>37</v>
      </c>
    </row>
    <row r="268" spans="1:14">
      <c r="A268" t="s">
        <v>252</v>
      </c>
      <c r="B268" t="s">
        <v>22</v>
      </c>
      <c r="C268" s="1">
        <v>45829</v>
      </c>
      <c r="D268" t="s">
        <v>14</v>
      </c>
      <c r="E268" t="s">
        <v>18</v>
      </c>
      <c r="F268">
        <v>3611</v>
      </c>
      <c r="G268">
        <v>127</v>
      </c>
      <c r="H268">
        <v>139</v>
      </c>
      <c r="I268">
        <v>44768</v>
      </c>
      <c r="J268">
        <v>29435</v>
      </c>
      <c r="K268" s="46">
        <v>178</v>
      </c>
      <c r="L268" t="s">
        <v>16</v>
      </c>
      <c r="M268">
        <v>8.6602037169406718E-2</v>
      </c>
      <c r="N268" t="s">
        <v>34</v>
      </c>
    </row>
    <row r="269" spans="1:14">
      <c r="A269" t="s">
        <v>321</v>
      </c>
      <c r="B269" t="s">
        <v>13</v>
      </c>
      <c r="C269" s="1">
        <v>45472</v>
      </c>
      <c r="D269" t="s">
        <v>14</v>
      </c>
      <c r="E269" t="s">
        <v>42</v>
      </c>
      <c r="F269">
        <v>2088</v>
      </c>
      <c r="G269">
        <v>490</v>
      </c>
      <c r="H269">
        <v>124</v>
      </c>
      <c r="I269">
        <v>46544</v>
      </c>
      <c r="J269">
        <v>69346</v>
      </c>
      <c r="K269" s="46">
        <v>178</v>
      </c>
      <c r="L269" t="s">
        <v>16</v>
      </c>
      <c r="M269">
        <v>5.8052595393606049E-2</v>
      </c>
      <c r="N269" t="s">
        <v>37</v>
      </c>
    </row>
    <row r="270" spans="1:14">
      <c r="A270" t="s">
        <v>321</v>
      </c>
      <c r="B270" t="s">
        <v>13</v>
      </c>
      <c r="C270" s="1">
        <v>45472</v>
      </c>
      <c r="D270" t="s">
        <v>14</v>
      </c>
      <c r="E270" t="s">
        <v>42</v>
      </c>
      <c r="F270">
        <v>2088</v>
      </c>
      <c r="G270">
        <v>490</v>
      </c>
      <c r="H270">
        <v>124</v>
      </c>
      <c r="I270">
        <v>46544</v>
      </c>
      <c r="J270">
        <v>69346</v>
      </c>
      <c r="K270" s="46">
        <v>178</v>
      </c>
      <c r="L270" t="s">
        <v>16</v>
      </c>
      <c r="M270">
        <v>5.8052595393606049E-2</v>
      </c>
      <c r="N270" t="s">
        <v>34</v>
      </c>
    </row>
    <row r="271" spans="1:14">
      <c r="A271" t="s">
        <v>88</v>
      </c>
      <c r="B271" t="s">
        <v>27</v>
      </c>
      <c r="C271" s="1">
        <v>45490</v>
      </c>
      <c r="D271" t="s">
        <v>14</v>
      </c>
      <c r="E271" t="s">
        <v>33</v>
      </c>
      <c r="F271">
        <v>3135</v>
      </c>
      <c r="G271">
        <v>110</v>
      </c>
      <c r="H271">
        <v>215</v>
      </c>
      <c r="I271">
        <v>39192</v>
      </c>
      <c r="J271">
        <v>24744</v>
      </c>
      <c r="K271" s="46">
        <v>177</v>
      </c>
      <c r="L271" t="s">
        <v>20</v>
      </c>
      <c r="M271">
        <v>8.8283323127168814E-2</v>
      </c>
      <c r="N271" t="s">
        <v>19</v>
      </c>
    </row>
    <row r="272" spans="1:14">
      <c r="A272" t="s">
        <v>88</v>
      </c>
      <c r="B272" t="s">
        <v>27</v>
      </c>
      <c r="C272" s="1">
        <v>45490</v>
      </c>
      <c r="D272" t="s">
        <v>14</v>
      </c>
      <c r="E272" t="s">
        <v>33</v>
      </c>
      <c r="F272">
        <v>3135</v>
      </c>
      <c r="G272">
        <v>110</v>
      </c>
      <c r="H272">
        <v>215</v>
      </c>
      <c r="I272">
        <v>39192</v>
      </c>
      <c r="J272">
        <v>24744</v>
      </c>
      <c r="K272" s="46">
        <v>177</v>
      </c>
      <c r="L272" t="s">
        <v>20</v>
      </c>
      <c r="M272">
        <v>8.8283323127168814E-2</v>
      </c>
      <c r="N272" t="s">
        <v>365</v>
      </c>
    </row>
    <row r="273" spans="1:14">
      <c r="A273" t="s">
        <v>149</v>
      </c>
      <c r="B273" t="s">
        <v>22</v>
      </c>
      <c r="C273" s="1">
        <v>45806</v>
      </c>
      <c r="D273" t="s">
        <v>23</v>
      </c>
      <c r="E273" t="s">
        <v>361</v>
      </c>
      <c r="F273">
        <v>2134</v>
      </c>
      <c r="G273">
        <v>322</v>
      </c>
      <c r="H273">
        <v>114</v>
      </c>
      <c r="I273">
        <v>44338</v>
      </c>
      <c r="J273">
        <v>52165</v>
      </c>
      <c r="K273" s="46">
        <v>176</v>
      </c>
      <c r="L273" t="s">
        <v>16</v>
      </c>
      <c r="M273">
        <v>5.7963823356939871E-2</v>
      </c>
      <c r="N273" t="s">
        <v>364</v>
      </c>
    </row>
    <row r="274" spans="1:14">
      <c r="A274" t="s">
        <v>149</v>
      </c>
      <c r="B274" t="s">
        <v>22</v>
      </c>
      <c r="C274" s="1">
        <v>45806</v>
      </c>
      <c r="D274" t="s">
        <v>23</v>
      </c>
      <c r="E274" t="s">
        <v>361</v>
      </c>
      <c r="F274">
        <v>2134</v>
      </c>
      <c r="G274">
        <v>322</v>
      </c>
      <c r="H274">
        <v>114</v>
      </c>
      <c r="I274">
        <v>44338</v>
      </c>
      <c r="J274">
        <v>52165</v>
      </c>
      <c r="K274" s="46">
        <v>176</v>
      </c>
      <c r="L274" t="s">
        <v>16</v>
      </c>
      <c r="M274">
        <v>5.7963823356939871E-2</v>
      </c>
      <c r="N274" t="s">
        <v>34</v>
      </c>
    </row>
    <row r="275" spans="1:14">
      <c r="A275" t="s">
        <v>158</v>
      </c>
      <c r="B275" t="s">
        <v>13</v>
      </c>
      <c r="C275" s="1">
        <v>45344</v>
      </c>
      <c r="D275" t="s">
        <v>14</v>
      </c>
      <c r="E275" t="s">
        <v>24</v>
      </c>
      <c r="F275">
        <v>1902</v>
      </c>
      <c r="G275">
        <v>394</v>
      </c>
      <c r="H275">
        <v>279</v>
      </c>
      <c r="I275">
        <v>24615</v>
      </c>
      <c r="J275">
        <v>51330</v>
      </c>
      <c r="K275" s="46">
        <v>176</v>
      </c>
      <c r="L275" t="s">
        <v>16</v>
      </c>
      <c r="M275">
        <v>0.10461100954702417</v>
      </c>
      <c r="N275" t="s">
        <v>37</v>
      </c>
    </row>
    <row r="276" spans="1:14">
      <c r="A276" t="s">
        <v>158</v>
      </c>
      <c r="B276" t="s">
        <v>13</v>
      </c>
      <c r="C276" s="1">
        <v>45344</v>
      </c>
      <c r="D276" t="s">
        <v>14</v>
      </c>
      <c r="E276" t="s">
        <v>24</v>
      </c>
      <c r="F276">
        <v>1902</v>
      </c>
      <c r="G276">
        <v>394</v>
      </c>
      <c r="H276">
        <v>279</v>
      </c>
      <c r="I276">
        <v>24615</v>
      </c>
      <c r="J276">
        <v>51330</v>
      </c>
      <c r="K276" s="46">
        <v>176</v>
      </c>
      <c r="L276" t="s">
        <v>16</v>
      </c>
      <c r="M276">
        <v>0.10461100954702417</v>
      </c>
      <c r="N276" t="s">
        <v>34</v>
      </c>
    </row>
    <row r="277" spans="1:14">
      <c r="A277" t="s">
        <v>249</v>
      </c>
      <c r="B277" t="s">
        <v>22</v>
      </c>
      <c r="C277" s="1">
        <v>45332</v>
      </c>
      <c r="D277" t="s">
        <v>14</v>
      </c>
      <c r="E277" t="s">
        <v>363</v>
      </c>
      <c r="F277">
        <v>1519</v>
      </c>
      <c r="G277">
        <v>456</v>
      </c>
      <c r="H277">
        <v>379</v>
      </c>
      <c r="I277">
        <v>51611</v>
      </c>
      <c r="J277">
        <v>45880</v>
      </c>
      <c r="K277" s="46">
        <v>176</v>
      </c>
      <c r="L277" t="s">
        <v>20</v>
      </c>
      <c r="M277">
        <v>4.5610431884675749E-2</v>
      </c>
      <c r="N277" t="s">
        <v>37</v>
      </c>
    </row>
    <row r="278" spans="1:14">
      <c r="A278" t="s">
        <v>199</v>
      </c>
      <c r="B278" t="s">
        <v>27</v>
      </c>
      <c r="C278" s="1">
        <v>45660</v>
      </c>
      <c r="D278" t="s">
        <v>14</v>
      </c>
      <c r="E278" t="s">
        <v>24</v>
      </c>
      <c r="F278">
        <v>3782</v>
      </c>
      <c r="G278">
        <v>484</v>
      </c>
      <c r="H278">
        <v>144</v>
      </c>
      <c r="I278">
        <v>52172</v>
      </c>
      <c r="J278">
        <v>59386</v>
      </c>
      <c r="K278" s="46">
        <v>175</v>
      </c>
      <c r="L278" t="s">
        <v>20</v>
      </c>
      <c r="M278">
        <v>8.4528099363643333E-2</v>
      </c>
      <c r="N278" t="s">
        <v>19</v>
      </c>
    </row>
    <row r="279" spans="1:14">
      <c r="A279" t="s">
        <v>199</v>
      </c>
      <c r="B279" t="s">
        <v>27</v>
      </c>
      <c r="C279" s="1">
        <v>45660</v>
      </c>
      <c r="D279" t="s">
        <v>14</v>
      </c>
      <c r="E279" t="s">
        <v>24</v>
      </c>
      <c r="F279">
        <v>3782</v>
      </c>
      <c r="G279">
        <v>484</v>
      </c>
      <c r="H279">
        <v>144</v>
      </c>
      <c r="I279">
        <v>52172</v>
      </c>
      <c r="J279">
        <v>59386</v>
      </c>
      <c r="K279" s="46">
        <v>175</v>
      </c>
      <c r="L279" t="s">
        <v>20</v>
      </c>
      <c r="M279">
        <v>8.4528099363643333E-2</v>
      </c>
      <c r="N279" t="s">
        <v>365</v>
      </c>
    </row>
    <row r="280" spans="1:14">
      <c r="A280" t="s">
        <v>54</v>
      </c>
      <c r="B280" t="s">
        <v>22</v>
      </c>
      <c r="C280" s="1">
        <v>45583</v>
      </c>
      <c r="D280" t="s">
        <v>14</v>
      </c>
      <c r="E280" t="s">
        <v>24</v>
      </c>
      <c r="F280">
        <v>2607</v>
      </c>
      <c r="G280">
        <v>379</v>
      </c>
      <c r="H280">
        <v>180</v>
      </c>
      <c r="I280">
        <v>28712</v>
      </c>
      <c r="J280">
        <v>61620</v>
      </c>
      <c r="K280" s="46">
        <v>174</v>
      </c>
      <c r="L280" t="s">
        <v>20</v>
      </c>
      <c r="M280">
        <v>0.11026748397882419</v>
      </c>
      <c r="N280" t="s">
        <v>37</v>
      </c>
    </row>
    <row r="281" spans="1:14">
      <c r="A281" t="s">
        <v>246</v>
      </c>
      <c r="B281" t="s">
        <v>22</v>
      </c>
      <c r="C281" s="1">
        <v>45669</v>
      </c>
      <c r="D281" t="s">
        <v>14</v>
      </c>
      <c r="E281" t="s">
        <v>361</v>
      </c>
      <c r="F281">
        <v>1765</v>
      </c>
      <c r="G281">
        <v>285</v>
      </c>
      <c r="H281">
        <v>100</v>
      </c>
      <c r="I281">
        <v>41313</v>
      </c>
      <c r="J281">
        <v>56575</v>
      </c>
      <c r="K281" s="46">
        <v>174</v>
      </c>
      <c r="L281" t="s">
        <v>20</v>
      </c>
      <c r="M281">
        <v>5.2041730205988429E-2</v>
      </c>
      <c r="N281" t="s">
        <v>37</v>
      </c>
    </row>
    <row r="282" spans="1:14">
      <c r="A282" t="s">
        <v>292</v>
      </c>
      <c r="B282" t="s">
        <v>22</v>
      </c>
      <c r="C282" s="1">
        <v>45626</v>
      </c>
      <c r="D282" t="s">
        <v>23</v>
      </c>
      <c r="E282" t="s">
        <v>18</v>
      </c>
      <c r="F282">
        <v>4963</v>
      </c>
      <c r="G282">
        <v>255</v>
      </c>
      <c r="H282">
        <v>193</v>
      </c>
      <c r="I282">
        <v>44386</v>
      </c>
      <c r="J282">
        <v>28415</v>
      </c>
      <c r="K282" s="46">
        <v>174</v>
      </c>
      <c r="L282" t="s">
        <v>16</v>
      </c>
      <c r="M282">
        <v>0.12190780876853062</v>
      </c>
      <c r="N282" t="s">
        <v>364</v>
      </c>
    </row>
    <row r="283" spans="1:14">
      <c r="A283" t="s">
        <v>292</v>
      </c>
      <c r="B283" t="s">
        <v>22</v>
      </c>
      <c r="C283" s="1">
        <v>45626</v>
      </c>
      <c r="D283" t="s">
        <v>23</v>
      </c>
      <c r="E283" t="s">
        <v>18</v>
      </c>
      <c r="F283">
        <v>4963</v>
      </c>
      <c r="G283">
        <v>255</v>
      </c>
      <c r="H283">
        <v>193</v>
      </c>
      <c r="I283">
        <v>44386</v>
      </c>
      <c r="J283">
        <v>28415</v>
      </c>
      <c r="K283" s="46">
        <v>174</v>
      </c>
      <c r="L283" t="s">
        <v>16</v>
      </c>
      <c r="M283">
        <v>0.12190780876853062</v>
      </c>
      <c r="N283" t="s">
        <v>34</v>
      </c>
    </row>
    <row r="284" spans="1:14">
      <c r="A284" t="s">
        <v>155</v>
      </c>
      <c r="B284" t="s">
        <v>22</v>
      </c>
      <c r="C284" s="1">
        <v>45602</v>
      </c>
      <c r="D284" t="s">
        <v>14</v>
      </c>
      <c r="E284" t="s">
        <v>363</v>
      </c>
      <c r="F284">
        <v>2956</v>
      </c>
      <c r="G284">
        <v>381</v>
      </c>
      <c r="H284">
        <v>345</v>
      </c>
      <c r="I284">
        <v>33347</v>
      </c>
      <c r="J284">
        <v>22558</v>
      </c>
      <c r="K284" s="46">
        <v>173</v>
      </c>
      <c r="L284" t="s">
        <v>16</v>
      </c>
      <c r="M284">
        <v>0.11041472996071611</v>
      </c>
      <c r="N284" t="s">
        <v>34</v>
      </c>
    </row>
    <row r="285" spans="1:14">
      <c r="A285" t="s">
        <v>222</v>
      </c>
      <c r="B285" t="s">
        <v>22</v>
      </c>
      <c r="C285" s="1">
        <v>45551</v>
      </c>
      <c r="D285" t="s">
        <v>23</v>
      </c>
      <c r="E285" t="s">
        <v>362</v>
      </c>
      <c r="F285">
        <v>4422</v>
      </c>
      <c r="G285">
        <v>434</v>
      </c>
      <c r="H285">
        <v>156</v>
      </c>
      <c r="I285">
        <v>56165</v>
      </c>
      <c r="J285">
        <v>52431</v>
      </c>
      <c r="K285" s="46">
        <v>173</v>
      </c>
      <c r="L285" t="s">
        <v>16</v>
      </c>
      <c r="M285">
        <v>8.9237069349238848E-2</v>
      </c>
      <c r="N285" t="s">
        <v>19</v>
      </c>
    </row>
    <row r="286" spans="1:14">
      <c r="A286" t="s">
        <v>222</v>
      </c>
      <c r="B286" t="s">
        <v>22</v>
      </c>
      <c r="C286" s="1">
        <v>45551</v>
      </c>
      <c r="D286" t="s">
        <v>23</v>
      </c>
      <c r="E286" t="s">
        <v>362</v>
      </c>
      <c r="F286">
        <v>4422</v>
      </c>
      <c r="G286">
        <v>434</v>
      </c>
      <c r="H286">
        <v>156</v>
      </c>
      <c r="I286">
        <v>56165</v>
      </c>
      <c r="J286">
        <v>52431</v>
      </c>
      <c r="K286" s="46">
        <v>173</v>
      </c>
      <c r="L286" t="s">
        <v>16</v>
      </c>
      <c r="M286">
        <v>8.9237069349238848E-2</v>
      </c>
      <c r="N286" t="s">
        <v>364</v>
      </c>
    </row>
    <row r="287" spans="1:14">
      <c r="A287" t="s">
        <v>293</v>
      </c>
      <c r="B287" t="s">
        <v>27</v>
      </c>
      <c r="C287" s="1">
        <v>45378</v>
      </c>
      <c r="D287" t="s">
        <v>14</v>
      </c>
      <c r="E287" t="s">
        <v>361</v>
      </c>
      <c r="F287">
        <v>2399</v>
      </c>
      <c r="G287">
        <v>191</v>
      </c>
      <c r="H287">
        <v>221</v>
      </c>
      <c r="I287">
        <v>51603</v>
      </c>
      <c r="J287">
        <v>40033</v>
      </c>
      <c r="K287" s="46">
        <v>173</v>
      </c>
      <c r="L287" t="s">
        <v>20</v>
      </c>
      <c r="M287">
        <v>5.4473577117609438E-2</v>
      </c>
      <c r="N287" t="s">
        <v>19</v>
      </c>
    </row>
    <row r="288" spans="1:14">
      <c r="A288" t="s">
        <v>293</v>
      </c>
      <c r="B288" t="s">
        <v>27</v>
      </c>
      <c r="C288" s="1">
        <v>45378</v>
      </c>
      <c r="D288" t="s">
        <v>14</v>
      </c>
      <c r="E288" t="s">
        <v>361</v>
      </c>
      <c r="F288">
        <v>2399</v>
      </c>
      <c r="G288">
        <v>191</v>
      </c>
      <c r="H288">
        <v>221</v>
      </c>
      <c r="I288">
        <v>51603</v>
      </c>
      <c r="J288">
        <v>40033</v>
      </c>
      <c r="K288" s="46">
        <v>173</v>
      </c>
      <c r="L288" t="s">
        <v>20</v>
      </c>
      <c r="M288">
        <v>5.4473577117609438E-2</v>
      </c>
      <c r="N288" t="s">
        <v>365</v>
      </c>
    </row>
    <row r="289" spans="1:14">
      <c r="A289" t="s">
        <v>43</v>
      </c>
      <c r="B289" t="s">
        <v>22</v>
      </c>
      <c r="C289" s="1">
        <v>45655</v>
      </c>
      <c r="D289" t="s">
        <v>23</v>
      </c>
      <c r="E289" t="s">
        <v>24</v>
      </c>
      <c r="F289">
        <v>4049</v>
      </c>
      <c r="G289">
        <v>377</v>
      </c>
      <c r="H289">
        <v>94</v>
      </c>
      <c r="I289">
        <v>48182</v>
      </c>
      <c r="J289">
        <v>42875</v>
      </c>
      <c r="K289" s="46">
        <v>172</v>
      </c>
      <c r="L289" t="s">
        <v>16</v>
      </c>
      <c r="M289">
        <v>9.3810966751068869E-2</v>
      </c>
      <c r="N289" t="s">
        <v>364</v>
      </c>
    </row>
    <row r="290" spans="1:14">
      <c r="A290" t="s">
        <v>43</v>
      </c>
      <c r="B290" t="s">
        <v>22</v>
      </c>
      <c r="C290" s="1">
        <v>45655</v>
      </c>
      <c r="D290" t="s">
        <v>23</v>
      </c>
      <c r="E290" t="s">
        <v>24</v>
      </c>
      <c r="F290">
        <v>4049</v>
      </c>
      <c r="G290">
        <v>377</v>
      </c>
      <c r="H290">
        <v>94</v>
      </c>
      <c r="I290">
        <v>48182</v>
      </c>
      <c r="J290">
        <v>42875</v>
      </c>
      <c r="K290" s="46">
        <v>172</v>
      </c>
      <c r="L290" t="s">
        <v>16</v>
      </c>
      <c r="M290">
        <v>9.3810966751068869E-2</v>
      </c>
      <c r="N290" t="s">
        <v>34</v>
      </c>
    </row>
    <row r="291" spans="1:14">
      <c r="A291" t="s">
        <v>265</v>
      </c>
      <c r="B291" t="s">
        <v>27</v>
      </c>
      <c r="C291" s="1">
        <v>45542</v>
      </c>
      <c r="D291" t="s">
        <v>14</v>
      </c>
      <c r="E291" t="s">
        <v>42</v>
      </c>
      <c r="F291">
        <v>2101</v>
      </c>
      <c r="G291">
        <v>411</v>
      </c>
      <c r="H291">
        <v>190</v>
      </c>
      <c r="I291">
        <v>41791</v>
      </c>
      <c r="J291">
        <v>57090</v>
      </c>
      <c r="K291" s="46">
        <v>172</v>
      </c>
      <c r="L291" t="s">
        <v>20</v>
      </c>
      <c r="M291">
        <v>6.4655069273288512E-2</v>
      </c>
      <c r="N291" t="s">
        <v>19</v>
      </c>
    </row>
    <row r="292" spans="1:14">
      <c r="A292" t="s">
        <v>265</v>
      </c>
      <c r="B292" t="s">
        <v>27</v>
      </c>
      <c r="C292" s="1">
        <v>45542</v>
      </c>
      <c r="D292" t="s">
        <v>14</v>
      </c>
      <c r="E292" t="s">
        <v>42</v>
      </c>
      <c r="F292">
        <v>2101</v>
      </c>
      <c r="G292">
        <v>411</v>
      </c>
      <c r="H292">
        <v>190</v>
      </c>
      <c r="I292">
        <v>41791</v>
      </c>
      <c r="J292">
        <v>57090</v>
      </c>
      <c r="K292" s="46">
        <v>172</v>
      </c>
      <c r="L292" t="s">
        <v>20</v>
      </c>
      <c r="M292">
        <v>6.4655069273288512E-2</v>
      </c>
      <c r="N292" t="s">
        <v>365</v>
      </c>
    </row>
    <row r="293" spans="1:14">
      <c r="A293" t="s">
        <v>32</v>
      </c>
      <c r="B293" t="s">
        <v>22</v>
      </c>
      <c r="C293" s="1">
        <v>45823</v>
      </c>
      <c r="D293" t="s">
        <v>14</v>
      </c>
      <c r="E293" t="s">
        <v>33</v>
      </c>
      <c r="F293">
        <v>4432</v>
      </c>
      <c r="G293">
        <v>223</v>
      </c>
      <c r="H293">
        <v>299</v>
      </c>
      <c r="I293">
        <v>59016</v>
      </c>
      <c r="J293">
        <v>21742</v>
      </c>
      <c r="K293" s="46">
        <v>171</v>
      </c>
      <c r="L293" t="s">
        <v>16</v>
      </c>
      <c r="M293">
        <v>8.3943337400027115E-2</v>
      </c>
      <c r="N293" t="s">
        <v>34</v>
      </c>
    </row>
    <row r="294" spans="1:14">
      <c r="A294" t="s">
        <v>91</v>
      </c>
      <c r="B294" t="s">
        <v>27</v>
      </c>
      <c r="C294" s="1">
        <v>45292</v>
      </c>
      <c r="D294" t="s">
        <v>48</v>
      </c>
      <c r="E294" t="s">
        <v>18</v>
      </c>
      <c r="F294">
        <v>3437</v>
      </c>
      <c r="G294">
        <v>129</v>
      </c>
      <c r="H294">
        <v>359</v>
      </c>
      <c r="I294">
        <v>44558</v>
      </c>
      <c r="J294">
        <v>30854</v>
      </c>
      <c r="K294" s="46">
        <v>171</v>
      </c>
      <c r="L294" t="s">
        <v>49</v>
      </c>
      <c r="M294">
        <v>8.8087436599488311E-2</v>
      </c>
      <c r="N294" t="s">
        <v>19</v>
      </c>
    </row>
    <row r="295" spans="1:14">
      <c r="A295" t="s">
        <v>91</v>
      </c>
      <c r="B295" t="s">
        <v>27</v>
      </c>
      <c r="C295" s="1">
        <v>45292</v>
      </c>
      <c r="D295" t="s">
        <v>48</v>
      </c>
      <c r="E295" t="s">
        <v>18</v>
      </c>
      <c r="F295">
        <v>3437</v>
      </c>
      <c r="G295">
        <v>129</v>
      </c>
      <c r="H295">
        <v>359</v>
      </c>
      <c r="I295">
        <v>44558</v>
      </c>
      <c r="J295">
        <v>30854</v>
      </c>
      <c r="K295" s="46">
        <v>171</v>
      </c>
      <c r="L295" t="s">
        <v>49</v>
      </c>
      <c r="M295">
        <v>8.8087436599488311E-2</v>
      </c>
      <c r="N295" t="s">
        <v>37</v>
      </c>
    </row>
    <row r="296" spans="1:14">
      <c r="A296" t="s">
        <v>142</v>
      </c>
      <c r="B296" t="s">
        <v>13</v>
      </c>
      <c r="C296" s="1">
        <v>45704</v>
      </c>
      <c r="D296" t="s">
        <v>14</v>
      </c>
      <c r="E296" t="s">
        <v>42</v>
      </c>
      <c r="F296">
        <v>1333</v>
      </c>
      <c r="G296">
        <v>286</v>
      </c>
      <c r="H296">
        <v>298</v>
      </c>
      <c r="I296">
        <v>36174</v>
      </c>
      <c r="J296">
        <v>34517</v>
      </c>
      <c r="K296" s="46">
        <v>170</v>
      </c>
      <c r="L296" t="s">
        <v>16</v>
      </c>
      <c r="M296">
        <v>5.2993862995521647E-2</v>
      </c>
      <c r="N296" t="s">
        <v>37</v>
      </c>
    </row>
    <row r="297" spans="1:14">
      <c r="A297" t="s">
        <v>142</v>
      </c>
      <c r="B297" t="s">
        <v>13</v>
      </c>
      <c r="C297" s="1">
        <v>45704</v>
      </c>
      <c r="D297" t="s">
        <v>14</v>
      </c>
      <c r="E297" t="s">
        <v>42</v>
      </c>
      <c r="F297">
        <v>1333</v>
      </c>
      <c r="G297">
        <v>286</v>
      </c>
      <c r="H297">
        <v>298</v>
      </c>
      <c r="I297">
        <v>36174</v>
      </c>
      <c r="J297">
        <v>34517</v>
      </c>
      <c r="K297" s="46">
        <v>170</v>
      </c>
      <c r="L297" t="s">
        <v>16</v>
      </c>
      <c r="M297">
        <v>5.2993862995521647E-2</v>
      </c>
      <c r="N297" t="s">
        <v>34</v>
      </c>
    </row>
    <row r="298" spans="1:14">
      <c r="A298" t="s">
        <v>116</v>
      </c>
      <c r="B298" t="s">
        <v>22</v>
      </c>
      <c r="C298" s="1">
        <v>45791</v>
      </c>
      <c r="D298" t="s">
        <v>23</v>
      </c>
      <c r="E298" t="s">
        <v>360</v>
      </c>
      <c r="F298">
        <v>1371</v>
      </c>
      <c r="G298">
        <v>139</v>
      </c>
      <c r="H298">
        <v>96</v>
      </c>
      <c r="I298">
        <v>36140</v>
      </c>
      <c r="J298">
        <v>39395</v>
      </c>
      <c r="K298" s="46">
        <v>169</v>
      </c>
      <c r="L298" t="s">
        <v>16</v>
      </c>
      <c r="M298">
        <v>4.4438295517432211E-2</v>
      </c>
      <c r="N298" t="s">
        <v>37</v>
      </c>
    </row>
    <row r="299" spans="1:14">
      <c r="A299" t="s">
        <v>116</v>
      </c>
      <c r="B299" t="s">
        <v>22</v>
      </c>
      <c r="C299" s="1">
        <v>45791</v>
      </c>
      <c r="D299" t="s">
        <v>23</v>
      </c>
      <c r="E299" t="s">
        <v>360</v>
      </c>
      <c r="F299">
        <v>1371</v>
      </c>
      <c r="G299">
        <v>139</v>
      </c>
      <c r="H299">
        <v>96</v>
      </c>
      <c r="I299">
        <v>36140</v>
      </c>
      <c r="J299">
        <v>39395</v>
      </c>
      <c r="K299" s="46">
        <v>169</v>
      </c>
      <c r="L299" t="s">
        <v>16</v>
      </c>
      <c r="M299">
        <v>4.4438295517432211E-2</v>
      </c>
      <c r="N299" t="s">
        <v>34</v>
      </c>
    </row>
    <row r="300" spans="1:14">
      <c r="A300" t="s">
        <v>123</v>
      </c>
      <c r="B300" t="s">
        <v>13</v>
      </c>
      <c r="C300" s="1">
        <v>45351</v>
      </c>
      <c r="D300" t="s">
        <v>14</v>
      </c>
      <c r="E300" t="s">
        <v>363</v>
      </c>
      <c r="F300">
        <v>1100</v>
      </c>
      <c r="G300">
        <v>229</v>
      </c>
      <c r="H300">
        <v>312</v>
      </c>
      <c r="I300">
        <v>25641</v>
      </c>
      <c r="J300">
        <v>34601</v>
      </c>
      <c r="K300" s="46">
        <v>169</v>
      </c>
      <c r="L300" t="s">
        <v>20</v>
      </c>
      <c r="M300">
        <v>6.3999063999063993E-2</v>
      </c>
      <c r="N300" t="s">
        <v>19</v>
      </c>
    </row>
    <row r="301" spans="1:14">
      <c r="A301" t="s">
        <v>194</v>
      </c>
      <c r="B301" t="s">
        <v>13</v>
      </c>
      <c r="C301" s="1">
        <v>45835</v>
      </c>
      <c r="D301" t="s">
        <v>23</v>
      </c>
      <c r="E301" t="s">
        <v>362</v>
      </c>
      <c r="F301">
        <v>1342</v>
      </c>
      <c r="G301">
        <v>332</v>
      </c>
      <c r="H301">
        <v>163</v>
      </c>
      <c r="I301">
        <v>51712</v>
      </c>
      <c r="J301">
        <v>57922</v>
      </c>
      <c r="K301" s="46">
        <v>168</v>
      </c>
      <c r="L301" t="s">
        <v>46</v>
      </c>
      <c r="M301">
        <v>3.5523669554455448E-2</v>
      </c>
      <c r="N301" t="s">
        <v>34</v>
      </c>
    </row>
    <row r="302" spans="1:14">
      <c r="A302" t="s">
        <v>218</v>
      </c>
      <c r="B302" t="s">
        <v>13</v>
      </c>
      <c r="C302" s="1">
        <v>45814</v>
      </c>
      <c r="D302" t="s">
        <v>14</v>
      </c>
      <c r="E302" t="s">
        <v>360</v>
      </c>
      <c r="F302">
        <v>3987</v>
      </c>
      <c r="G302">
        <v>171</v>
      </c>
      <c r="H302">
        <v>274</v>
      </c>
      <c r="I302">
        <v>45122</v>
      </c>
      <c r="J302">
        <v>65431</v>
      </c>
      <c r="K302" s="46">
        <v>168</v>
      </c>
      <c r="L302" t="s">
        <v>20</v>
      </c>
      <c r="M302">
        <v>9.8222596516111871E-2</v>
      </c>
      <c r="N302" t="s">
        <v>19</v>
      </c>
    </row>
    <row r="303" spans="1:14">
      <c r="A303" t="s">
        <v>325</v>
      </c>
      <c r="B303" t="s">
        <v>13</v>
      </c>
      <c r="C303" s="1">
        <v>45724</v>
      </c>
      <c r="D303" t="s">
        <v>23</v>
      </c>
      <c r="E303" t="s">
        <v>33</v>
      </c>
      <c r="F303">
        <v>2244</v>
      </c>
      <c r="G303">
        <v>392</v>
      </c>
      <c r="H303">
        <v>231</v>
      </c>
      <c r="I303">
        <v>25834</v>
      </c>
      <c r="J303">
        <v>50906</v>
      </c>
      <c r="K303" s="46">
        <v>165</v>
      </c>
      <c r="L303" t="s">
        <v>46</v>
      </c>
      <c r="M303">
        <v>0.1109777812185492</v>
      </c>
      <c r="N303" t="s">
        <v>34</v>
      </c>
    </row>
    <row r="304" spans="1:14">
      <c r="A304" t="s">
        <v>326</v>
      </c>
      <c r="B304" t="s">
        <v>22</v>
      </c>
      <c r="C304" s="1">
        <v>45736</v>
      </c>
      <c r="D304" t="s">
        <v>23</v>
      </c>
      <c r="E304" t="s">
        <v>42</v>
      </c>
      <c r="F304">
        <v>3393</v>
      </c>
      <c r="G304">
        <v>104</v>
      </c>
      <c r="H304">
        <v>79</v>
      </c>
      <c r="I304">
        <v>30025</v>
      </c>
      <c r="J304">
        <v>21593</v>
      </c>
      <c r="K304" s="46">
        <v>165</v>
      </c>
      <c r="L304" t="s">
        <v>16</v>
      </c>
      <c r="M304">
        <v>0.1191007493755204</v>
      </c>
      <c r="N304" t="s">
        <v>364</v>
      </c>
    </row>
    <row r="305" spans="1:14">
      <c r="A305" t="s">
        <v>326</v>
      </c>
      <c r="B305" t="s">
        <v>22</v>
      </c>
      <c r="C305" s="1">
        <v>45736</v>
      </c>
      <c r="D305" t="s">
        <v>23</v>
      </c>
      <c r="E305" t="s">
        <v>42</v>
      </c>
      <c r="F305">
        <v>3393</v>
      </c>
      <c r="G305">
        <v>104</v>
      </c>
      <c r="H305">
        <v>79</v>
      </c>
      <c r="I305">
        <v>30025</v>
      </c>
      <c r="J305">
        <v>21593</v>
      </c>
      <c r="K305" s="46">
        <v>165</v>
      </c>
      <c r="L305" t="s">
        <v>16</v>
      </c>
      <c r="M305">
        <v>0.1191007493755204</v>
      </c>
      <c r="N305" t="s">
        <v>34</v>
      </c>
    </row>
    <row r="306" spans="1:14">
      <c r="A306" t="s">
        <v>139</v>
      </c>
      <c r="B306" t="s">
        <v>13</v>
      </c>
      <c r="C306" s="1">
        <v>45617</v>
      </c>
      <c r="D306" t="s">
        <v>14</v>
      </c>
      <c r="E306" t="s">
        <v>361</v>
      </c>
      <c r="F306">
        <v>4581</v>
      </c>
      <c r="G306">
        <v>181</v>
      </c>
      <c r="H306">
        <v>112</v>
      </c>
      <c r="I306">
        <v>35221</v>
      </c>
      <c r="J306">
        <v>28797</v>
      </c>
      <c r="K306" s="46">
        <v>164</v>
      </c>
      <c r="L306" t="s">
        <v>16</v>
      </c>
      <c r="M306">
        <v>0.13838335084182732</v>
      </c>
      <c r="N306" t="s">
        <v>37</v>
      </c>
    </row>
    <row r="307" spans="1:14">
      <c r="A307" t="s">
        <v>139</v>
      </c>
      <c r="B307" t="s">
        <v>13</v>
      </c>
      <c r="C307" s="1">
        <v>45617</v>
      </c>
      <c r="D307" t="s">
        <v>14</v>
      </c>
      <c r="E307" t="s">
        <v>361</v>
      </c>
      <c r="F307">
        <v>4581</v>
      </c>
      <c r="G307">
        <v>181</v>
      </c>
      <c r="H307">
        <v>112</v>
      </c>
      <c r="I307">
        <v>35221</v>
      </c>
      <c r="J307">
        <v>28797</v>
      </c>
      <c r="K307" s="46">
        <v>164</v>
      </c>
      <c r="L307" t="s">
        <v>16</v>
      </c>
      <c r="M307">
        <v>0.13838335084182732</v>
      </c>
      <c r="N307" t="s">
        <v>34</v>
      </c>
    </row>
    <row r="308" spans="1:14">
      <c r="A308" t="s">
        <v>277</v>
      </c>
      <c r="B308" t="s">
        <v>22</v>
      </c>
      <c r="C308" s="1">
        <v>45551</v>
      </c>
      <c r="D308" t="s">
        <v>23</v>
      </c>
      <c r="E308" t="s">
        <v>42</v>
      </c>
      <c r="F308">
        <v>3300</v>
      </c>
      <c r="G308">
        <v>354</v>
      </c>
      <c r="H308">
        <v>397</v>
      </c>
      <c r="I308">
        <v>56773</v>
      </c>
      <c r="J308">
        <v>72110</v>
      </c>
      <c r="K308" s="46">
        <v>163</v>
      </c>
      <c r="L308" t="s">
        <v>16</v>
      </c>
      <c r="M308">
        <v>7.1354340971940891E-2</v>
      </c>
      <c r="N308" t="s">
        <v>19</v>
      </c>
    </row>
    <row r="309" spans="1:14">
      <c r="A309" t="s">
        <v>277</v>
      </c>
      <c r="B309" t="s">
        <v>22</v>
      </c>
      <c r="C309" s="1">
        <v>45551</v>
      </c>
      <c r="D309" t="s">
        <v>23</v>
      </c>
      <c r="E309" t="s">
        <v>42</v>
      </c>
      <c r="F309">
        <v>3300</v>
      </c>
      <c r="G309">
        <v>354</v>
      </c>
      <c r="H309">
        <v>397</v>
      </c>
      <c r="I309">
        <v>56773</v>
      </c>
      <c r="J309">
        <v>72110</v>
      </c>
      <c r="K309" s="46">
        <v>163</v>
      </c>
      <c r="L309" t="s">
        <v>16</v>
      </c>
      <c r="M309">
        <v>7.1354340971940891E-2</v>
      </c>
      <c r="N309" t="s">
        <v>364</v>
      </c>
    </row>
    <row r="310" spans="1:14">
      <c r="A310" t="s">
        <v>308</v>
      </c>
      <c r="B310" t="s">
        <v>13</v>
      </c>
      <c r="C310" s="1">
        <v>45628</v>
      </c>
      <c r="D310" t="s">
        <v>14</v>
      </c>
      <c r="E310" t="s">
        <v>33</v>
      </c>
      <c r="F310">
        <v>3194</v>
      </c>
      <c r="G310">
        <v>292</v>
      </c>
      <c r="H310">
        <v>245</v>
      </c>
      <c r="I310">
        <v>56371</v>
      </c>
      <c r="J310">
        <v>65597</v>
      </c>
      <c r="K310" s="46">
        <v>163</v>
      </c>
      <c r="L310" t="s">
        <v>16</v>
      </c>
      <c r="M310">
        <v>6.6186514342481059E-2</v>
      </c>
      <c r="N310" t="s">
        <v>37</v>
      </c>
    </row>
    <row r="311" spans="1:14">
      <c r="A311" t="s">
        <v>308</v>
      </c>
      <c r="B311" t="s">
        <v>13</v>
      </c>
      <c r="C311" s="1">
        <v>45628</v>
      </c>
      <c r="D311" t="s">
        <v>14</v>
      </c>
      <c r="E311" t="s">
        <v>33</v>
      </c>
      <c r="F311">
        <v>3194</v>
      </c>
      <c r="G311">
        <v>292</v>
      </c>
      <c r="H311">
        <v>245</v>
      </c>
      <c r="I311">
        <v>56371</v>
      </c>
      <c r="J311">
        <v>65597</v>
      </c>
      <c r="K311" s="46">
        <v>163</v>
      </c>
      <c r="L311" t="s">
        <v>16</v>
      </c>
      <c r="M311">
        <v>6.6186514342481059E-2</v>
      </c>
      <c r="N311" t="s">
        <v>34</v>
      </c>
    </row>
    <row r="312" spans="1:14">
      <c r="A312" t="s">
        <v>312</v>
      </c>
      <c r="B312" t="s">
        <v>22</v>
      </c>
      <c r="C312" s="1">
        <v>45343</v>
      </c>
      <c r="D312" t="s">
        <v>23</v>
      </c>
      <c r="E312" t="s">
        <v>30</v>
      </c>
      <c r="F312">
        <v>2604</v>
      </c>
      <c r="G312">
        <v>439</v>
      </c>
      <c r="H312">
        <v>148</v>
      </c>
      <c r="I312">
        <v>58468</v>
      </c>
      <c r="J312">
        <v>39629</v>
      </c>
      <c r="K312" s="46">
        <v>163</v>
      </c>
      <c r="L312" t="s">
        <v>16</v>
      </c>
      <c r="M312">
        <v>5.4576862557296296E-2</v>
      </c>
      <c r="N312" t="s">
        <v>364</v>
      </c>
    </row>
    <row r="313" spans="1:14">
      <c r="A313" t="s">
        <v>312</v>
      </c>
      <c r="B313" t="s">
        <v>22</v>
      </c>
      <c r="C313" s="1">
        <v>45343</v>
      </c>
      <c r="D313" t="s">
        <v>23</v>
      </c>
      <c r="E313" t="s">
        <v>30</v>
      </c>
      <c r="F313">
        <v>2604</v>
      </c>
      <c r="G313">
        <v>439</v>
      </c>
      <c r="H313">
        <v>148</v>
      </c>
      <c r="I313">
        <v>58468</v>
      </c>
      <c r="J313">
        <v>39629</v>
      </c>
      <c r="K313" s="46">
        <v>163</v>
      </c>
      <c r="L313" t="s">
        <v>16</v>
      </c>
      <c r="M313">
        <v>5.4576862557296296E-2</v>
      </c>
      <c r="N313" t="s">
        <v>34</v>
      </c>
    </row>
    <row r="314" spans="1:14">
      <c r="A314" t="s">
        <v>208</v>
      </c>
      <c r="B314" t="s">
        <v>13</v>
      </c>
      <c r="C314" s="1">
        <v>45640</v>
      </c>
      <c r="D314" t="s">
        <v>23</v>
      </c>
      <c r="E314" t="s">
        <v>363</v>
      </c>
      <c r="F314">
        <v>3812</v>
      </c>
      <c r="G314">
        <v>321</v>
      </c>
      <c r="H314">
        <v>289</v>
      </c>
      <c r="I314">
        <v>59838</v>
      </c>
      <c r="J314">
        <v>36337</v>
      </c>
      <c r="K314" s="46">
        <v>161</v>
      </c>
      <c r="L314" t="s">
        <v>46</v>
      </c>
      <c r="M314">
        <v>7.3899528727564417E-2</v>
      </c>
      <c r="N314" t="s">
        <v>34</v>
      </c>
    </row>
    <row r="315" spans="1:14">
      <c r="A315" t="s">
        <v>117</v>
      </c>
      <c r="B315" t="s">
        <v>22</v>
      </c>
      <c r="C315" s="1">
        <v>45405</v>
      </c>
      <c r="D315" t="s">
        <v>23</v>
      </c>
      <c r="E315" t="s">
        <v>15</v>
      </c>
      <c r="F315">
        <v>2683</v>
      </c>
      <c r="G315">
        <v>496</v>
      </c>
      <c r="H315">
        <v>89</v>
      </c>
      <c r="I315">
        <v>53435</v>
      </c>
      <c r="J315">
        <v>30334</v>
      </c>
      <c r="K315" s="46">
        <v>160</v>
      </c>
      <c r="L315" t="s">
        <v>16</v>
      </c>
      <c r="M315">
        <v>6.1158416768035934E-2</v>
      </c>
      <c r="N315" t="s">
        <v>37</v>
      </c>
    </row>
    <row r="316" spans="1:14">
      <c r="A316" t="s">
        <v>117</v>
      </c>
      <c r="B316" t="s">
        <v>22</v>
      </c>
      <c r="C316" s="1">
        <v>45405</v>
      </c>
      <c r="D316" t="s">
        <v>23</v>
      </c>
      <c r="E316" t="s">
        <v>15</v>
      </c>
      <c r="F316">
        <v>2683</v>
      </c>
      <c r="G316">
        <v>496</v>
      </c>
      <c r="H316">
        <v>89</v>
      </c>
      <c r="I316">
        <v>53435</v>
      </c>
      <c r="J316">
        <v>30334</v>
      </c>
      <c r="K316" s="46">
        <v>160</v>
      </c>
      <c r="L316" t="s">
        <v>16</v>
      </c>
      <c r="M316">
        <v>6.1158416768035934E-2</v>
      </c>
      <c r="N316" t="s">
        <v>34</v>
      </c>
    </row>
    <row r="317" spans="1:14">
      <c r="A317" t="s">
        <v>120</v>
      </c>
      <c r="B317" t="s">
        <v>22</v>
      </c>
      <c r="C317" s="1">
        <v>45495</v>
      </c>
      <c r="D317" t="s">
        <v>23</v>
      </c>
      <c r="E317" t="s">
        <v>360</v>
      </c>
      <c r="F317">
        <v>3336</v>
      </c>
      <c r="G317">
        <v>229</v>
      </c>
      <c r="H317">
        <v>337</v>
      </c>
      <c r="I317">
        <v>22117</v>
      </c>
      <c r="J317">
        <v>26205</v>
      </c>
      <c r="K317" s="46">
        <v>160</v>
      </c>
      <c r="L317" t="s">
        <v>16</v>
      </c>
      <c r="M317">
        <v>0.17642537414658407</v>
      </c>
      <c r="N317" t="s">
        <v>364</v>
      </c>
    </row>
    <row r="318" spans="1:14">
      <c r="A318" t="s">
        <v>120</v>
      </c>
      <c r="B318" t="s">
        <v>22</v>
      </c>
      <c r="C318" s="1">
        <v>45495</v>
      </c>
      <c r="D318" t="s">
        <v>23</v>
      </c>
      <c r="E318" t="s">
        <v>360</v>
      </c>
      <c r="F318">
        <v>3336</v>
      </c>
      <c r="G318">
        <v>229</v>
      </c>
      <c r="H318">
        <v>337</v>
      </c>
      <c r="I318">
        <v>22117</v>
      </c>
      <c r="J318">
        <v>26205</v>
      </c>
      <c r="K318" s="46">
        <v>160</v>
      </c>
      <c r="L318" t="s">
        <v>16</v>
      </c>
      <c r="M318">
        <v>0.17642537414658407</v>
      </c>
      <c r="N318" t="s">
        <v>34</v>
      </c>
    </row>
    <row r="319" spans="1:14">
      <c r="A319" t="s">
        <v>269</v>
      </c>
      <c r="B319" t="s">
        <v>22</v>
      </c>
      <c r="C319" s="1">
        <v>45639</v>
      </c>
      <c r="D319" t="s">
        <v>23</v>
      </c>
      <c r="E319" t="s">
        <v>24</v>
      </c>
      <c r="F319">
        <v>4984</v>
      </c>
      <c r="G319">
        <v>300</v>
      </c>
      <c r="H319">
        <v>338</v>
      </c>
      <c r="I319">
        <v>32900</v>
      </c>
      <c r="J319">
        <v>31691</v>
      </c>
      <c r="K319" s="46">
        <v>160</v>
      </c>
      <c r="L319" t="s">
        <v>16</v>
      </c>
      <c r="M319">
        <v>0.17088145896656534</v>
      </c>
      <c r="N319" t="s">
        <v>364</v>
      </c>
    </row>
    <row r="320" spans="1:14">
      <c r="A320" t="s">
        <v>269</v>
      </c>
      <c r="B320" t="s">
        <v>22</v>
      </c>
      <c r="C320" s="1">
        <v>45639</v>
      </c>
      <c r="D320" t="s">
        <v>23</v>
      </c>
      <c r="E320" t="s">
        <v>24</v>
      </c>
      <c r="F320">
        <v>4984</v>
      </c>
      <c r="G320">
        <v>300</v>
      </c>
      <c r="H320">
        <v>338</v>
      </c>
      <c r="I320">
        <v>32900</v>
      </c>
      <c r="J320">
        <v>31691</v>
      </c>
      <c r="K320" s="46">
        <v>160</v>
      </c>
      <c r="L320" t="s">
        <v>16</v>
      </c>
      <c r="M320">
        <v>0.17088145896656534</v>
      </c>
      <c r="N320" t="s">
        <v>34</v>
      </c>
    </row>
    <row r="321" spans="1:14">
      <c r="A321" t="s">
        <v>283</v>
      </c>
      <c r="B321" t="s">
        <v>27</v>
      </c>
      <c r="C321" s="1">
        <v>45512</v>
      </c>
      <c r="D321" t="s">
        <v>14</v>
      </c>
      <c r="E321" t="s">
        <v>363</v>
      </c>
      <c r="F321">
        <v>1994</v>
      </c>
      <c r="G321">
        <v>197</v>
      </c>
      <c r="H321">
        <v>290</v>
      </c>
      <c r="I321">
        <v>49500</v>
      </c>
      <c r="J321">
        <v>23343</v>
      </c>
      <c r="K321" s="46">
        <v>160</v>
      </c>
      <c r="L321" t="s">
        <v>20</v>
      </c>
      <c r="M321">
        <v>5.0121212121212122E-2</v>
      </c>
      <c r="N321" t="s">
        <v>19</v>
      </c>
    </row>
    <row r="322" spans="1:14">
      <c r="A322" t="s">
        <v>283</v>
      </c>
      <c r="B322" t="s">
        <v>27</v>
      </c>
      <c r="C322" s="1">
        <v>45512</v>
      </c>
      <c r="D322" t="s">
        <v>14</v>
      </c>
      <c r="E322" t="s">
        <v>363</v>
      </c>
      <c r="F322">
        <v>1994</v>
      </c>
      <c r="G322">
        <v>197</v>
      </c>
      <c r="H322">
        <v>290</v>
      </c>
      <c r="I322">
        <v>49500</v>
      </c>
      <c r="J322">
        <v>23343</v>
      </c>
      <c r="K322" s="46">
        <v>160</v>
      </c>
      <c r="L322" t="s">
        <v>20</v>
      </c>
      <c r="M322">
        <v>5.0121212121212122E-2</v>
      </c>
      <c r="N322" t="s">
        <v>365</v>
      </c>
    </row>
    <row r="323" spans="1:14">
      <c r="A323" t="s">
        <v>327</v>
      </c>
      <c r="B323" t="s">
        <v>22</v>
      </c>
      <c r="C323" s="1">
        <v>45612</v>
      </c>
      <c r="D323" t="s">
        <v>14</v>
      </c>
      <c r="E323" t="s">
        <v>18</v>
      </c>
      <c r="F323">
        <v>2901</v>
      </c>
      <c r="G323">
        <v>108</v>
      </c>
      <c r="H323">
        <v>86</v>
      </c>
      <c r="I323">
        <v>51777</v>
      </c>
      <c r="J323">
        <v>23773</v>
      </c>
      <c r="K323" s="46">
        <v>160</v>
      </c>
      <c r="L323" t="s">
        <v>20</v>
      </c>
      <c r="M323">
        <v>5.9775576027966085E-2</v>
      </c>
      <c r="N323" t="s">
        <v>37</v>
      </c>
    </row>
    <row r="324" spans="1:14">
      <c r="A324" t="s">
        <v>274</v>
      </c>
      <c r="B324" t="s">
        <v>27</v>
      </c>
      <c r="C324" s="1">
        <v>45816</v>
      </c>
      <c r="D324" t="s">
        <v>14</v>
      </c>
      <c r="E324" t="s">
        <v>361</v>
      </c>
      <c r="F324">
        <v>4375</v>
      </c>
      <c r="G324">
        <v>303</v>
      </c>
      <c r="H324">
        <v>294</v>
      </c>
      <c r="I324">
        <v>57468</v>
      </c>
      <c r="J324">
        <v>53397</v>
      </c>
      <c r="K324" s="46">
        <v>159</v>
      </c>
      <c r="L324" t="s">
        <v>20</v>
      </c>
      <c r="M324">
        <v>8.6517714206166912E-2</v>
      </c>
      <c r="N324" t="s">
        <v>19</v>
      </c>
    </row>
    <row r="325" spans="1:14">
      <c r="A325" t="s">
        <v>274</v>
      </c>
      <c r="B325" t="s">
        <v>27</v>
      </c>
      <c r="C325" s="1">
        <v>45816</v>
      </c>
      <c r="D325" t="s">
        <v>14</v>
      </c>
      <c r="E325" t="s">
        <v>361</v>
      </c>
      <c r="F325">
        <v>4375</v>
      </c>
      <c r="G325">
        <v>303</v>
      </c>
      <c r="H325">
        <v>294</v>
      </c>
      <c r="I325">
        <v>57468</v>
      </c>
      <c r="J325">
        <v>53397</v>
      </c>
      <c r="K325" s="46">
        <v>159</v>
      </c>
      <c r="L325" t="s">
        <v>20</v>
      </c>
      <c r="M325">
        <v>8.6517714206166912E-2</v>
      </c>
      <c r="N325" t="s">
        <v>365</v>
      </c>
    </row>
    <row r="326" spans="1:14">
      <c r="A326" t="s">
        <v>187</v>
      </c>
      <c r="B326" t="s">
        <v>27</v>
      </c>
      <c r="C326" s="1">
        <v>45718</v>
      </c>
      <c r="D326" t="s">
        <v>14</v>
      </c>
      <c r="E326" t="s">
        <v>363</v>
      </c>
      <c r="F326">
        <v>4425</v>
      </c>
      <c r="G326">
        <v>185</v>
      </c>
      <c r="H326">
        <v>162</v>
      </c>
      <c r="I326">
        <v>24610</v>
      </c>
      <c r="J326">
        <v>21342</v>
      </c>
      <c r="K326" s="46">
        <v>158</v>
      </c>
      <c r="L326" t="s">
        <v>20</v>
      </c>
      <c r="M326">
        <v>0.19390491670052823</v>
      </c>
      <c r="N326" t="s">
        <v>19</v>
      </c>
    </row>
    <row r="327" spans="1:14">
      <c r="A327" t="s">
        <v>187</v>
      </c>
      <c r="B327" t="s">
        <v>27</v>
      </c>
      <c r="C327" s="1">
        <v>45718</v>
      </c>
      <c r="D327" t="s">
        <v>14</v>
      </c>
      <c r="E327" t="s">
        <v>363</v>
      </c>
      <c r="F327">
        <v>4425</v>
      </c>
      <c r="G327">
        <v>185</v>
      </c>
      <c r="H327">
        <v>162</v>
      </c>
      <c r="I327">
        <v>24610</v>
      </c>
      <c r="J327">
        <v>21342</v>
      </c>
      <c r="K327" s="46">
        <v>158</v>
      </c>
      <c r="L327" t="s">
        <v>20</v>
      </c>
      <c r="M327">
        <v>0.19390491670052823</v>
      </c>
      <c r="N327" t="s">
        <v>365</v>
      </c>
    </row>
    <row r="328" spans="1:14">
      <c r="A328" t="s">
        <v>110</v>
      </c>
      <c r="B328" t="s">
        <v>13</v>
      </c>
      <c r="C328" s="1">
        <v>45825</v>
      </c>
      <c r="D328" t="s">
        <v>14</v>
      </c>
      <c r="E328" t="s">
        <v>361</v>
      </c>
      <c r="F328">
        <v>2284</v>
      </c>
      <c r="G328">
        <v>187</v>
      </c>
      <c r="H328">
        <v>260</v>
      </c>
      <c r="I328">
        <v>37400</v>
      </c>
      <c r="J328">
        <v>65014</v>
      </c>
      <c r="K328" s="46">
        <v>157</v>
      </c>
      <c r="L328" t="s">
        <v>16</v>
      </c>
      <c r="M328">
        <v>7.3021390374331557E-2</v>
      </c>
      <c r="N328" t="s">
        <v>37</v>
      </c>
    </row>
    <row r="329" spans="1:14">
      <c r="A329" t="s">
        <v>110</v>
      </c>
      <c r="B329" t="s">
        <v>13</v>
      </c>
      <c r="C329" s="1">
        <v>45825</v>
      </c>
      <c r="D329" t="s">
        <v>14</v>
      </c>
      <c r="E329" t="s">
        <v>361</v>
      </c>
      <c r="F329">
        <v>2284</v>
      </c>
      <c r="G329">
        <v>187</v>
      </c>
      <c r="H329">
        <v>260</v>
      </c>
      <c r="I329">
        <v>37400</v>
      </c>
      <c r="J329">
        <v>65014</v>
      </c>
      <c r="K329" s="46">
        <v>157</v>
      </c>
      <c r="L329" t="s">
        <v>16</v>
      </c>
      <c r="M329">
        <v>7.3021390374331557E-2</v>
      </c>
      <c r="N329" t="s">
        <v>34</v>
      </c>
    </row>
    <row r="330" spans="1:14">
      <c r="A330" t="s">
        <v>128</v>
      </c>
      <c r="B330" t="s">
        <v>22</v>
      </c>
      <c r="C330" s="1">
        <v>45366</v>
      </c>
      <c r="D330" t="s">
        <v>23</v>
      </c>
      <c r="E330" t="s">
        <v>30</v>
      </c>
      <c r="F330">
        <v>4969</v>
      </c>
      <c r="G330">
        <v>433</v>
      </c>
      <c r="H330">
        <v>237</v>
      </c>
      <c r="I330">
        <v>59552</v>
      </c>
      <c r="J330">
        <v>23885</v>
      </c>
      <c r="K330" s="46">
        <v>157</v>
      </c>
      <c r="L330" t="s">
        <v>16</v>
      </c>
      <c r="M330">
        <v>9.4690354648038683E-2</v>
      </c>
      <c r="N330" t="s">
        <v>19</v>
      </c>
    </row>
    <row r="331" spans="1:14">
      <c r="A331" t="s">
        <v>128</v>
      </c>
      <c r="B331" t="s">
        <v>22</v>
      </c>
      <c r="C331" s="1">
        <v>45366</v>
      </c>
      <c r="D331" t="s">
        <v>23</v>
      </c>
      <c r="E331" t="s">
        <v>30</v>
      </c>
      <c r="F331">
        <v>4969</v>
      </c>
      <c r="G331">
        <v>433</v>
      </c>
      <c r="H331">
        <v>237</v>
      </c>
      <c r="I331">
        <v>59552</v>
      </c>
      <c r="J331">
        <v>23885</v>
      </c>
      <c r="K331" s="46">
        <v>157</v>
      </c>
      <c r="L331" t="s">
        <v>16</v>
      </c>
      <c r="M331">
        <v>9.4690354648038683E-2</v>
      </c>
      <c r="N331" t="s">
        <v>364</v>
      </c>
    </row>
    <row r="332" spans="1:14">
      <c r="A332" t="s">
        <v>232</v>
      </c>
      <c r="B332" t="s">
        <v>22</v>
      </c>
      <c r="C332" s="1">
        <v>45302</v>
      </c>
      <c r="D332" t="s">
        <v>23</v>
      </c>
      <c r="E332" t="s">
        <v>360</v>
      </c>
      <c r="F332">
        <v>2340</v>
      </c>
      <c r="G332">
        <v>141</v>
      </c>
      <c r="H332">
        <v>206</v>
      </c>
      <c r="I332">
        <v>24916</v>
      </c>
      <c r="J332">
        <v>30582</v>
      </c>
      <c r="K332" s="46">
        <v>157</v>
      </c>
      <c r="L332" t="s">
        <v>16</v>
      </c>
      <c r="M332">
        <v>0.10784235029699792</v>
      </c>
      <c r="N332" t="s">
        <v>37</v>
      </c>
    </row>
    <row r="333" spans="1:14">
      <c r="A333" t="s">
        <v>232</v>
      </c>
      <c r="B333" t="s">
        <v>22</v>
      </c>
      <c r="C333" s="1">
        <v>45302</v>
      </c>
      <c r="D333" t="s">
        <v>23</v>
      </c>
      <c r="E333" t="s">
        <v>360</v>
      </c>
      <c r="F333">
        <v>2340</v>
      </c>
      <c r="G333">
        <v>141</v>
      </c>
      <c r="H333">
        <v>206</v>
      </c>
      <c r="I333">
        <v>24916</v>
      </c>
      <c r="J333">
        <v>30582</v>
      </c>
      <c r="K333" s="46">
        <v>157</v>
      </c>
      <c r="L333" t="s">
        <v>16</v>
      </c>
      <c r="M333">
        <v>0.10784235029699792</v>
      </c>
      <c r="N333" t="s">
        <v>34</v>
      </c>
    </row>
    <row r="334" spans="1:14">
      <c r="A334" t="s">
        <v>317</v>
      </c>
      <c r="B334" t="s">
        <v>27</v>
      </c>
      <c r="C334" s="1">
        <v>45468</v>
      </c>
      <c r="D334" t="s">
        <v>14</v>
      </c>
      <c r="E334" t="s">
        <v>42</v>
      </c>
      <c r="F334">
        <v>2172</v>
      </c>
      <c r="G334">
        <v>338</v>
      </c>
      <c r="H334">
        <v>70</v>
      </c>
      <c r="I334">
        <v>30515</v>
      </c>
      <c r="J334">
        <v>57853</v>
      </c>
      <c r="K334" s="46">
        <v>156</v>
      </c>
      <c r="L334" t="s">
        <v>20</v>
      </c>
      <c r="M334">
        <v>8.4548582664263475E-2</v>
      </c>
      <c r="N334" t="s">
        <v>19</v>
      </c>
    </row>
    <row r="335" spans="1:14">
      <c r="A335" t="s">
        <v>317</v>
      </c>
      <c r="B335" t="s">
        <v>27</v>
      </c>
      <c r="C335" s="1">
        <v>45468</v>
      </c>
      <c r="D335" t="s">
        <v>14</v>
      </c>
      <c r="E335" t="s">
        <v>42</v>
      </c>
      <c r="F335">
        <v>2172</v>
      </c>
      <c r="G335">
        <v>338</v>
      </c>
      <c r="H335">
        <v>70</v>
      </c>
      <c r="I335">
        <v>30515</v>
      </c>
      <c r="J335">
        <v>57853</v>
      </c>
      <c r="K335" s="46">
        <v>156</v>
      </c>
      <c r="L335" t="s">
        <v>20</v>
      </c>
      <c r="M335">
        <v>8.4548582664263475E-2</v>
      </c>
      <c r="N335" t="s">
        <v>365</v>
      </c>
    </row>
    <row r="336" spans="1:14">
      <c r="A336" t="s">
        <v>237</v>
      </c>
      <c r="B336" t="s">
        <v>22</v>
      </c>
      <c r="C336" s="1">
        <v>45387</v>
      </c>
      <c r="D336" t="s">
        <v>23</v>
      </c>
      <c r="E336" t="s">
        <v>360</v>
      </c>
      <c r="F336">
        <v>2857</v>
      </c>
      <c r="G336">
        <v>443</v>
      </c>
      <c r="H336">
        <v>359</v>
      </c>
      <c r="I336">
        <v>51519</v>
      </c>
      <c r="J336">
        <v>28256</v>
      </c>
      <c r="K336" s="46">
        <v>155</v>
      </c>
      <c r="L336" t="s">
        <v>16</v>
      </c>
      <c r="M336">
        <v>7.1022341272152026E-2</v>
      </c>
      <c r="N336" t="s">
        <v>37</v>
      </c>
    </row>
    <row r="337" spans="1:14">
      <c r="A337" t="s">
        <v>237</v>
      </c>
      <c r="B337" t="s">
        <v>22</v>
      </c>
      <c r="C337" s="1">
        <v>45387</v>
      </c>
      <c r="D337" t="s">
        <v>23</v>
      </c>
      <c r="E337" t="s">
        <v>360</v>
      </c>
      <c r="F337">
        <v>2857</v>
      </c>
      <c r="G337">
        <v>443</v>
      </c>
      <c r="H337">
        <v>359</v>
      </c>
      <c r="I337">
        <v>51519</v>
      </c>
      <c r="J337">
        <v>28256</v>
      </c>
      <c r="K337" s="46">
        <v>155</v>
      </c>
      <c r="L337" t="s">
        <v>16</v>
      </c>
      <c r="M337">
        <v>7.1022341272152026E-2</v>
      </c>
      <c r="N337" t="s">
        <v>34</v>
      </c>
    </row>
    <row r="338" spans="1:14">
      <c r="A338" t="s">
        <v>320</v>
      </c>
      <c r="B338" t="s">
        <v>22</v>
      </c>
      <c r="C338" s="1">
        <v>45517</v>
      </c>
      <c r="D338" t="s">
        <v>14</v>
      </c>
      <c r="E338" t="s">
        <v>18</v>
      </c>
      <c r="F338">
        <v>3418</v>
      </c>
      <c r="G338">
        <v>107</v>
      </c>
      <c r="H338">
        <v>221</v>
      </c>
      <c r="I338">
        <v>23927</v>
      </c>
      <c r="J338">
        <v>26182</v>
      </c>
      <c r="K338" s="46">
        <v>155</v>
      </c>
      <c r="L338" t="s">
        <v>20</v>
      </c>
      <c r="M338">
        <v>0.1565595352530614</v>
      </c>
      <c r="N338" t="s">
        <v>37</v>
      </c>
    </row>
    <row r="339" spans="1:14">
      <c r="A339" t="s">
        <v>73</v>
      </c>
      <c r="B339" t="s">
        <v>13</v>
      </c>
      <c r="C339" s="1">
        <v>45702</v>
      </c>
      <c r="D339" t="s">
        <v>14</v>
      </c>
      <c r="E339" t="s">
        <v>33</v>
      </c>
      <c r="F339">
        <v>4891</v>
      </c>
      <c r="G339">
        <v>450</v>
      </c>
      <c r="H339">
        <v>387</v>
      </c>
      <c r="I339">
        <v>48746</v>
      </c>
      <c r="J339">
        <v>37312</v>
      </c>
      <c r="K339" s="46">
        <v>154</v>
      </c>
      <c r="L339" t="s">
        <v>16</v>
      </c>
      <c r="M339">
        <v>0.11750707750379519</v>
      </c>
      <c r="N339" t="s">
        <v>37</v>
      </c>
    </row>
    <row r="340" spans="1:14">
      <c r="A340" t="s">
        <v>73</v>
      </c>
      <c r="B340" t="s">
        <v>13</v>
      </c>
      <c r="C340" s="1">
        <v>45702</v>
      </c>
      <c r="D340" t="s">
        <v>14</v>
      </c>
      <c r="E340" t="s">
        <v>33</v>
      </c>
      <c r="F340">
        <v>4891</v>
      </c>
      <c r="G340">
        <v>450</v>
      </c>
      <c r="H340">
        <v>387</v>
      </c>
      <c r="I340">
        <v>48746</v>
      </c>
      <c r="J340">
        <v>37312</v>
      </c>
      <c r="K340" s="46">
        <v>154</v>
      </c>
      <c r="L340" t="s">
        <v>16</v>
      </c>
      <c r="M340">
        <v>0.11750707750379519</v>
      </c>
      <c r="N340" t="s">
        <v>34</v>
      </c>
    </row>
    <row r="341" spans="1:14">
      <c r="A341" t="s">
        <v>206</v>
      </c>
      <c r="B341" t="s">
        <v>13</v>
      </c>
      <c r="C341" s="1">
        <v>45475</v>
      </c>
      <c r="D341" t="s">
        <v>14</v>
      </c>
      <c r="E341" t="s">
        <v>33</v>
      </c>
      <c r="F341">
        <v>3469</v>
      </c>
      <c r="G341">
        <v>371</v>
      </c>
      <c r="H341">
        <v>76</v>
      </c>
      <c r="I341">
        <v>46493</v>
      </c>
      <c r="J341">
        <v>26906</v>
      </c>
      <c r="K341" s="46">
        <v>150</v>
      </c>
      <c r="L341" t="s">
        <v>16</v>
      </c>
      <c r="M341">
        <v>8.4227733207149463E-2</v>
      </c>
      <c r="N341" t="s">
        <v>37</v>
      </c>
    </row>
    <row r="342" spans="1:14">
      <c r="A342" t="s">
        <v>206</v>
      </c>
      <c r="B342" t="s">
        <v>13</v>
      </c>
      <c r="C342" s="1">
        <v>45475</v>
      </c>
      <c r="D342" t="s">
        <v>14</v>
      </c>
      <c r="E342" t="s">
        <v>33</v>
      </c>
      <c r="F342">
        <v>3469</v>
      </c>
      <c r="G342">
        <v>371</v>
      </c>
      <c r="H342">
        <v>76</v>
      </c>
      <c r="I342">
        <v>46493</v>
      </c>
      <c r="J342">
        <v>26906</v>
      </c>
      <c r="K342" s="46">
        <v>150</v>
      </c>
      <c r="L342" t="s">
        <v>16</v>
      </c>
      <c r="M342">
        <v>8.4227733207149463E-2</v>
      </c>
      <c r="N342" t="s">
        <v>34</v>
      </c>
    </row>
    <row r="343" spans="1:14">
      <c r="A343" t="s">
        <v>28</v>
      </c>
      <c r="B343" t="s">
        <v>27</v>
      </c>
      <c r="C343" s="1">
        <v>45456</v>
      </c>
      <c r="D343" t="s">
        <v>14</v>
      </c>
      <c r="E343" t="s">
        <v>362</v>
      </c>
      <c r="F343">
        <v>3882</v>
      </c>
      <c r="G343">
        <v>239</v>
      </c>
      <c r="H343">
        <v>275</v>
      </c>
      <c r="I343">
        <v>58748</v>
      </c>
      <c r="J343">
        <v>44646</v>
      </c>
      <c r="K343" s="46">
        <v>149</v>
      </c>
      <c r="L343" t="s">
        <v>20</v>
      </c>
      <c r="M343">
        <v>7.4828079253761837E-2</v>
      </c>
      <c r="N343" t="s">
        <v>19</v>
      </c>
    </row>
    <row r="344" spans="1:14">
      <c r="A344" t="s">
        <v>28</v>
      </c>
      <c r="B344" t="s">
        <v>27</v>
      </c>
      <c r="C344" s="1">
        <v>45456</v>
      </c>
      <c r="D344" t="s">
        <v>14</v>
      </c>
      <c r="E344" t="s">
        <v>362</v>
      </c>
      <c r="F344">
        <v>3882</v>
      </c>
      <c r="G344">
        <v>239</v>
      </c>
      <c r="H344">
        <v>275</v>
      </c>
      <c r="I344">
        <v>58748</v>
      </c>
      <c r="J344">
        <v>44646</v>
      </c>
      <c r="K344" s="46">
        <v>149</v>
      </c>
      <c r="L344" t="s">
        <v>20</v>
      </c>
      <c r="M344">
        <v>7.4828079253761837E-2</v>
      </c>
      <c r="N344" t="s">
        <v>365</v>
      </c>
    </row>
    <row r="345" spans="1:14">
      <c r="A345" t="s">
        <v>80</v>
      </c>
      <c r="B345" t="s">
        <v>22</v>
      </c>
      <c r="C345" s="1">
        <v>45769</v>
      </c>
      <c r="D345" t="s">
        <v>14</v>
      </c>
      <c r="E345" t="s">
        <v>15</v>
      </c>
      <c r="F345">
        <v>4401</v>
      </c>
      <c r="G345">
        <v>421</v>
      </c>
      <c r="H345">
        <v>216</v>
      </c>
      <c r="I345">
        <v>24890</v>
      </c>
      <c r="J345">
        <v>54361</v>
      </c>
      <c r="K345" s="46">
        <v>148</v>
      </c>
      <c r="L345" t="s">
        <v>16</v>
      </c>
      <c r="M345">
        <v>0.20241060666934513</v>
      </c>
      <c r="N345" t="s">
        <v>34</v>
      </c>
    </row>
    <row r="346" spans="1:14">
      <c r="A346" t="s">
        <v>162</v>
      </c>
      <c r="B346" t="s">
        <v>22</v>
      </c>
      <c r="C346" s="1">
        <v>45563</v>
      </c>
      <c r="D346" t="s">
        <v>14</v>
      </c>
      <c r="E346" t="s">
        <v>362</v>
      </c>
      <c r="F346">
        <v>4006</v>
      </c>
      <c r="G346">
        <v>420</v>
      </c>
      <c r="H346">
        <v>194</v>
      </c>
      <c r="I346">
        <v>49964</v>
      </c>
      <c r="J346">
        <v>20685</v>
      </c>
      <c r="K346" s="46">
        <v>148</v>
      </c>
      <c r="L346" t="s">
        <v>16</v>
      </c>
      <c r="M346">
        <v>9.2466575934672959E-2</v>
      </c>
      <c r="N346" t="s">
        <v>34</v>
      </c>
    </row>
    <row r="347" spans="1:14">
      <c r="A347" t="s">
        <v>56</v>
      </c>
      <c r="B347" t="s">
        <v>22</v>
      </c>
      <c r="C347" s="1">
        <v>45791</v>
      </c>
      <c r="D347" t="s">
        <v>23</v>
      </c>
      <c r="E347" t="s">
        <v>363</v>
      </c>
      <c r="F347">
        <v>2707</v>
      </c>
      <c r="G347">
        <v>103</v>
      </c>
      <c r="H347">
        <v>51</v>
      </c>
      <c r="I347">
        <v>55302</v>
      </c>
      <c r="J347">
        <v>18801</v>
      </c>
      <c r="K347" s="46">
        <v>147</v>
      </c>
      <c r="L347" t="s">
        <v>16</v>
      </c>
      <c r="M347">
        <v>5.173411449857148E-2</v>
      </c>
      <c r="N347" t="s">
        <v>19</v>
      </c>
    </row>
    <row r="348" spans="1:14">
      <c r="A348" t="s">
        <v>56</v>
      </c>
      <c r="B348" t="s">
        <v>22</v>
      </c>
      <c r="C348" s="1">
        <v>45791</v>
      </c>
      <c r="D348" t="s">
        <v>23</v>
      </c>
      <c r="E348" t="s">
        <v>363</v>
      </c>
      <c r="F348">
        <v>2707</v>
      </c>
      <c r="G348">
        <v>103</v>
      </c>
      <c r="H348">
        <v>51</v>
      </c>
      <c r="I348">
        <v>55302</v>
      </c>
      <c r="J348">
        <v>18801</v>
      </c>
      <c r="K348" s="46">
        <v>147</v>
      </c>
      <c r="L348" t="s">
        <v>16</v>
      </c>
      <c r="M348">
        <v>5.173411449857148E-2</v>
      </c>
      <c r="N348" t="s">
        <v>364</v>
      </c>
    </row>
    <row r="349" spans="1:14">
      <c r="A349" t="s">
        <v>243</v>
      </c>
      <c r="B349" t="s">
        <v>13</v>
      </c>
      <c r="C349" s="1">
        <v>45832</v>
      </c>
      <c r="D349" t="s">
        <v>23</v>
      </c>
      <c r="E349" t="s">
        <v>30</v>
      </c>
      <c r="F349">
        <v>4902</v>
      </c>
      <c r="G349">
        <v>422</v>
      </c>
      <c r="H349">
        <v>376</v>
      </c>
      <c r="I349">
        <v>31674</v>
      </c>
      <c r="J349">
        <v>53225</v>
      </c>
      <c r="K349" s="46">
        <v>147</v>
      </c>
      <c r="L349" t="s">
        <v>46</v>
      </c>
      <c r="M349">
        <v>0.17995832544042431</v>
      </c>
      <c r="N349" t="s">
        <v>34</v>
      </c>
    </row>
    <row r="350" spans="1:14">
      <c r="A350" t="s">
        <v>324</v>
      </c>
      <c r="B350" t="s">
        <v>13</v>
      </c>
      <c r="C350" s="1">
        <v>45653</v>
      </c>
      <c r="D350" t="s">
        <v>14</v>
      </c>
      <c r="E350" t="s">
        <v>363</v>
      </c>
      <c r="F350">
        <v>1436</v>
      </c>
      <c r="G350">
        <v>219</v>
      </c>
      <c r="H350">
        <v>229</v>
      </c>
      <c r="I350">
        <v>58488</v>
      </c>
      <c r="J350">
        <v>24314</v>
      </c>
      <c r="K350" s="46">
        <v>147</v>
      </c>
      <c r="L350" t="s">
        <v>20</v>
      </c>
      <c r="M350">
        <v>3.221173574066475E-2</v>
      </c>
      <c r="N350" t="s">
        <v>19</v>
      </c>
    </row>
    <row r="351" spans="1:14">
      <c r="A351" t="s">
        <v>286</v>
      </c>
      <c r="B351" t="s">
        <v>22</v>
      </c>
      <c r="C351" s="1">
        <v>45481</v>
      </c>
      <c r="D351" t="s">
        <v>23</v>
      </c>
      <c r="E351" t="s">
        <v>360</v>
      </c>
      <c r="F351">
        <v>2304</v>
      </c>
      <c r="G351">
        <v>289</v>
      </c>
      <c r="H351">
        <v>161</v>
      </c>
      <c r="I351">
        <v>52645</v>
      </c>
      <c r="J351">
        <v>66262</v>
      </c>
      <c r="K351" s="46">
        <v>146</v>
      </c>
      <c r="L351" t="s">
        <v>16</v>
      </c>
      <c r="M351">
        <v>5.2312660271630736E-2</v>
      </c>
      <c r="N351" t="s">
        <v>364</v>
      </c>
    </row>
    <row r="352" spans="1:14">
      <c r="A352" t="s">
        <v>286</v>
      </c>
      <c r="B352" t="s">
        <v>22</v>
      </c>
      <c r="C352" s="1">
        <v>45481</v>
      </c>
      <c r="D352" t="s">
        <v>23</v>
      </c>
      <c r="E352" t="s">
        <v>360</v>
      </c>
      <c r="F352">
        <v>2304</v>
      </c>
      <c r="G352">
        <v>289</v>
      </c>
      <c r="H352">
        <v>161</v>
      </c>
      <c r="I352">
        <v>52645</v>
      </c>
      <c r="J352">
        <v>66262</v>
      </c>
      <c r="K352" s="46">
        <v>146</v>
      </c>
      <c r="L352" t="s">
        <v>16</v>
      </c>
      <c r="M352">
        <v>5.2312660271630736E-2</v>
      </c>
      <c r="N352" t="s">
        <v>34</v>
      </c>
    </row>
    <row r="353" spans="1:14">
      <c r="A353" t="s">
        <v>157</v>
      </c>
      <c r="B353" t="s">
        <v>22</v>
      </c>
      <c r="C353" s="1">
        <v>45319</v>
      </c>
      <c r="D353" t="s">
        <v>14</v>
      </c>
      <c r="E353" t="s">
        <v>361</v>
      </c>
      <c r="F353">
        <v>1456</v>
      </c>
      <c r="G353">
        <v>265</v>
      </c>
      <c r="H353">
        <v>137</v>
      </c>
      <c r="I353">
        <v>53485</v>
      </c>
      <c r="J353">
        <v>59729</v>
      </c>
      <c r="K353" s="46">
        <v>145</v>
      </c>
      <c r="L353" t="s">
        <v>20</v>
      </c>
      <c r="M353">
        <v>3.4738711788351875E-2</v>
      </c>
      <c r="N353" t="s">
        <v>37</v>
      </c>
    </row>
    <row r="354" spans="1:14">
      <c r="A354" t="s">
        <v>266</v>
      </c>
      <c r="B354" t="s">
        <v>13</v>
      </c>
      <c r="C354" s="1">
        <v>45646</v>
      </c>
      <c r="D354" t="s">
        <v>14</v>
      </c>
      <c r="E354" t="s">
        <v>15</v>
      </c>
      <c r="F354">
        <v>2519</v>
      </c>
      <c r="G354">
        <v>202</v>
      </c>
      <c r="H354">
        <v>239</v>
      </c>
      <c r="I354">
        <v>36245</v>
      </c>
      <c r="J354">
        <v>48606</v>
      </c>
      <c r="K354" s="46">
        <v>145</v>
      </c>
      <c r="L354" t="s">
        <v>20</v>
      </c>
      <c r="M354">
        <v>8.1666436749896543E-2</v>
      </c>
      <c r="N354" t="s">
        <v>19</v>
      </c>
    </row>
    <row r="355" spans="1:14">
      <c r="A355" t="s">
        <v>280</v>
      </c>
      <c r="B355" t="s">
        <v>22</v>
      </c>
      <c r="C355" s="1">
        <v>45792</v>
      </c>
      <c r="D355" t="s">
        <v>14</v>
      </c>
      <c r="E355" t="s">
        <v>42</v>
      </c>
      <c r="F355">
        <v>4782</v>
      </c>
      <c r="G355">
        <v>210</v>
      </c>
      <c r="H355">
        <v>311</v>
      </c>
      <c r="I355">
        <v>29793</v>
      </c>
      <c r="J355">
        <v>37543</v>
      </c>
      <c r="K355" s="46">
        <v>145</v>
      </c>
      <c r="L355" t="s">
        <v>16</v>
      </c>
      <c r="M355">
        <v>0.17799483100057059</v>
      </c>
      <c r="N355" t="s">
        <v>34</v>
      </c>
    </row>
    <row r="356" spans="1:14">
      <c r="A356" t="s">
        <v>306</v>
      </c>
      <c r="B356" t="s">
        <v>22</v>
      </c>
      <c r="C356" s="1">
        <v>45720</v>
      </c>
      <c r="D356" t="s">
        <v>14</v>
      </c>
      <c r="E356" t="s">
        <v>15</v>
      </c>
      <c r="F356">
        <v>2177</v>
      </c>
      <c r="G356">
        <v>258</v>
      </c>
      <c r="H356">
        <v>292</v>
      </c>
      <c r="I356">
        <v>47276</v>
      </c>
      <c r="J356">
        <v>51324</v>
      </c>
      <c r="K356" s="46">
        <v>143</v>
      </c>
      <c r="L356" t="s">
        <v>16</v>
      </c>
      <c r="M356">
        <v>5.7682545054573146E-2</v>
      </c>
      <c r="N356" t="s">
        <v>34</v>
      </c>
    </row>
    <row r="357" spans="1:14">
      <c r="A357" t="s">
        <v>144</v>
      </c>
      <c r="B357" t="s">
        <v>22</v>
      </c>
      <c r="C357" s="1">
        <v>45489</v>
      </c>
      <c r="D357" t="s">
        <v>14</v>
      </c>
      <c r="E357" t="s">
        <v>33</v>
      </c>
      <c r="F357">
        <v>1803</v>
      </c>
      <c r="G357">
        <v>273</v>
      </c>
      <c r="H357">
        <v>287</v>
      </c>
      <c r="I357">
        <v>46176</v>
      </c>
      <c r="J357">
        <v>25488</v>
      </c>
      <c r="K357" s="46">
        <v>141</v>
      </c>
      <c r="L357" t="s">
        <v>16</v>
      </c>
      <c r="M357">
        <v>5.1173769923769923E-2</v>
      </c>
      <c r="N357" t="s">
        <v>34</v>
      </c>
    </row>
    <row r="358" spans="1:14">
      <c r="A358" t="s">
        <v>163</v>
      </c>
      <c r="B358" t="s">
        <v>27</v>
      </c>
      <c r="C358" s="1">
        <v>45318</v>
      </c>
      <c r="D358" t="s">
        <v>14</v>
      </c>
      <c r="E358" t="s">
        <v>42</v>
      </c>
      <c r="F358">
        <v>1976</v>
      </c>
      <c r="G358">
        <v>262</v>
      </c>
      <c r="H358">
        <v>218</v>
      </c>
      <c r="I358">
        <v>51696</v>
      </c>
      <c r="J358">
        <v>44846</v>
      </c>
      <c r="K358" s="46">
        <v>139</v>
      </c>
      <c r="L358" t="s">
        <v>20</v>
      </c>
      <c r="M358">
        <v>4.7508511296812134E-2</v>
      </c>
      <c r="N358" t="s">
        <v>19</v>
      </c>
    </row>
    <row r="359" spans="1:14">
      <c r="A359" t="s">
        <v>163</v>
      </c>
      <c r="B359" t="s">
        <v>27</v>
      </c>
      <c r="C359" s="1">
        <v>45318</v>
      </c>
      <c r="D359" t="s">
        <v>14</v>
      </c>
      <c r="E359" t="s">
        <v>42</v>
      </c>
      <c r="F359">
        <v>1976</v>
      </c>
      <c r="G359">
        <v>262</v>
      </c>
      <c r="H359">
        <v>218</v>
      </c>
      <c r="I359">
        <v>51696</v>
      </c>
      <c r="J359">
        <v>44846</v>
      </c>
      <c r="K359" s="46">
        <v>139</v>
      </c>
      <c r="L359" t="s">
        <v>20</v>
      </c>
      <c r="M359">
        <v>4.7508511296812134E-2</v>
      </c>
      <c r="N359" t="s">
        <v>365</v>
      </c>
    </row>
    <row r="360" spans="1:14">
      <c r="A360" t="s">
        <v>62</v>
      </c>
      <c r="B360" t="s">
        <v>22</v>
      </c>
      <c r="C360" s="1">
        <v>45419</v>
      </c>
      <c r="D360" t="s">
        <v>23</v>
      </c>
      <c r="E360" t="s">
        <v>18</v>
      </c>
      <c r="F360">
        <v>2776</v>
      </c>
      <c r="G360">
        <v>307</v>
      </c>
      <c r="H360">
        <v>178</v>
      </c>
      <c r="I360">
        <v>43365</v>
      </c>
      <c r="J360">
        <v>48408</v>
      </c>
      <c r="K360" s="46">
        <v>138</v>
      </c>
      <c r="L360" t="s">
        <v>16</v>
      </c>
      <c r="M360">
        <v>7.519889311656866E-2</v>
      </c>
      <c r="N360" t="s">
        <v>37</v>
      </c>
    </row>
    <row r="361" spans="1:14">
      <c r="A361" t="s">
        <v>62</v>
      </c>
      <c r="B361" t="s">
        <v>22</v>
      </c>
      <c r="C361" s="1">
        <v>45419</v>
      </c>
      <c r="D361" t="s">
        <v>23</v>
      </c>
      <c r="E361" t="s">
        <v>18</v>
      </c>
      <c r="F361">
        <v>2776</v>
      </c>
      <c r="G361">
        <v>307</v>
      </c>
      <c r="H361">
        <v>178</v>
      </c>
      <c r="I361">
        <v>43365</v>
      </c>
      <c r="J361">
        <v>48408</v>
      </c>
      <c r="K361" s="46">
        <v>138</v>
      </c>
      <c r="L361" t="s">
        <v>16</v>
      </c>
      <c r="M361">
        <v>7.519889311656866E-2</v>
      </c>
      <c r="N361" t="s">
        <v>34</v>
      </c>
    </row>
    <row r="362" spans="1:14">
      <c r="A362" t="s">
        <v>289</v>
      </c>
      <c r="B362" t="s">
        <v>22</v>
      </c>
      <c r="C362" s="1">
        <v>45676</v>
      </c>
      <c r="D362" t="s">
        <v>23</v>
      </c>
      <c r="E362" t="s">
        <v>361</v>
      </c>
      <c r="F362">
        <v>1651</v>
      </c>
      <c r="G362">
        <v>480</v>
      </c>
      <c r="H362">
        <v>282</v>
      </c>
      <c r="I362">
        <v>32140</v>
      </c>
      <c r="J362">
        <v>70560</v>
      </c>
      <c r="K362" s="46">
        <v>138</v>
      </c>
      <c r="L362" t="s">
        <v>16</v>
      </c>
      <c r="M362">
        <v>7.5077784691972627E-2</v>
      </c>
      <c r="N362" t="s">
        <v>37</v>
      </c>
    </row>
    <row r="363" spans="1:14">
      <c r="A363" t="s">
        <v>289</v>
      </c>
      <c r="B363" t="s">
        <v>22</v>
      </c>
      <c r="C363" s="1">
        <v>45676</v>
      </c>
      <c r="D363" t="s">
        <v>23</v>
      </c>
      <c r="E363" t="s">
        <v>361</v>
      </c>
      <c r="F363">
        <v>1651</v>
      </c>
      <c r="G363">
        <v>480</v>
      </c>
      <c r="H363">
        <v>282</v>
      </c>
      <c r="I363">
        <v>32140</v>
      </c>
      <c r="J363">
        <v>70560</v>
      </c>
      <c r="K363" s="46">
        <v>138</v>
      </c>
      <c r="L363" t="s">
        <v>16</v>
      </c>
      <c r="M363">
        <v>7.5077784691972627E-2</v>
      </c>
      <c r="N363" t="s">
        <v>34</v>
      </c>
    </row>
    <row r="364" spans="1:14">
      <c r="A364" t="s">
        <v>101</v>
      </c>
      <c r="B364" t="s">
        <v>22</v>
      </c>
      <c r="C364" s="1">
        <v>45302</v>
      </c>
      <c r="D364" t="s">
        <v>14</v>
      </c>
      <c r="E364" t="s">
        <v>362</v>
      </c>
      <c r="F364">
        <v>4218</v>
      </c>
      <c r="G364">
        <v>247</v>
      </c>
      <c r="H364">
        <v>183</v>
      </c>
      <c r="I364">
        <v>28914</v>
      </c>
      <c r="J364">
        <v>18310</v>
      </c>
      <c r="K364" s="46">
        <v>135</v>
      </c>
      <c r="L364" t="s">
        <v>20</v>
      </c>
      <c r="M364">
        <v>0.1607525766064882</v>
      </c>
      <c r="N364" t="s">
        <v>37</v>
      </c>
    </row>
    <row r="365" spans="1:14">
      <c r="A365" t="s">
        <v>201</v>
      </c>
      <c r="B365" t="s">
        <v>13</v>
      </c>
      <c r="C365" s="1">
        <v>45536</v>
      </c>
      <c r="D365" t="s">
        <v>23</v>
      </c>
      <c r="E365" t="s">
        <v>360</v>
      </c>
      <c r="F365">
        <v>2335</v>
      </c>
      <c r="G365">
        <v>150</v>
      </c>
      <c r="H365">
        <v>75</v>
      </c>
      <c r="I365">
        <v>26114</v>
      </c>
      <c r="J365">
        <v>57549</v>
      </c>
      <c r="K365" s="46">
        <v>135</v>
      </c>
      <c r="L365" t="s">
        <v>46</v>
      </c>
      <c r="M365">
        <v>9.8031707130274953E-2</v>
      </c>
      <c r="N365" t="s">
        <v>34</v>
      </c>
    </row>
    <row r="366" spans="1:14">
      <c r="A366" t="s">
        <v>12</v>
      </c>
      <c r="B366" t="s">
        <v>13</v>
      </c>
      <c r="C366" s="1">
        <v>45781</v>
      </c>
      <c r="D366" t="s">
        <v>14</v>
      </c>
      <c r="E366" t="s">
        <v>15</v>
      </c>
      <c r="F366">
        <v>2414</v>
      </c>
      <c r="G366">
        <v>245</v>
      </c>
      <c r="H366">
        <v>137</v>
      </c>
      <c r="I366">
        <v>21181</v>
      </c>
      <c r="J366">
        <v>45292</v>
      </c>
      <c r="K366" s="46">
        <v>133</v>
      </c>
      <c r="L366" t="s">
        <v>16</v>
      </c>
      <c r="M366">
        <v>0.13200509890939993</v>
      </c>
      <c r="N366" s="55" t="s">
        <v>37</v>
      </c>
    </row>
    <row r="367" spans="1:14">
      <c r="A367" t="s">
        <v>12</v>
      </c>
      <c r="B367" t="s">
        <v>13</v>
      </c>
      <c r="C367" s="1">
        <v>45781</v>
      </c>
      <c r="D367" t="s">
        <v>14</v>
      </c>
      <c r="E367" t="s">
        <v>15</v>
      </c>
      <c r="F367">
        <v>2414</v>
      </c>
      <c r="G367">
        <v>245</v>
      </c>
      <c r="H367">
        <v>137</v>
      </c>
      <c r="I367">
        <v>21181</v>
      </c>
      <c r="J367">
        <v>45292</v>
      </c>
      <c r="K367" s="46">
        <v>133</v>
      </c>
      <c r="L367" t="s">
        <v>16</v>
      </c>
      <c r="M367">
        <v>0.13200509890939993</v>
      </c>
      <c r="N367" t="s">
        <v>34</v>
      </c>
    </row>
    <row r="368" spans="1:14">
      <c r="A368" t="s">
        <v>69</v>
      </c>
      <c r="B368" t="s">
        <v>13</v>
      </c>
      <c r="C368" s="1">
        <v>45621</v>
      </c>
      <c r="D368" t="s">
        <v>14</v>
      </c>
      <c r="E368" t="s">
        <v>363</v>
      </c>
      <c r="F368">
        <v>1341</v>
      </c>
      <c r="G368">
        <v>472</v>
      </c>
      <c r="H368">
        <v>238</v>
      </c>
      <c r="I368">
        <v>51386</v>
      </c>
      <c r="J368">
        <v>51706</v>
      </c>
      <c r="K368" s="46">
        <v>133</v>
      </c>
      <c r="L368" t="s">
        <v>20</v>
      </c>
      <c r="M368">
        <v>3.9913595142645857E-2</v>
      </c>
      <c r="N368" t="s">
        <v>19</v>
      </c>
    </row>
    <row r="369" spans="1:14">
      <c r="A369" t="s">
        <v>135</v>
      </c>
      <c r="B369" t="s">
        <v>22</v>
      </c>
      <c r="C369" s="1">
        <v>45553</v>
      </c>
      <c r="D369" t="s">
        <v>14</v>
      </c>
      <c r="E369" t="s">
        <v>15</v>
      </c>
      <c r="F369">
        <v>2878</v>
      </c>
      <c r="G369">
        <v>265</v>
      </c>
      <c r="H369">
        <v>91</v>
      </c>
      <c r="I369">
        <v>52090</v>
      </c>
      <c r="J369">
        <v>28924</v>
      </c>
      <c r="K369" s="46">
        <v>133</v>
      </c>
      <c r="L369" t="s">
        <v>16</v>
      </c>
      <c r="M369">
        <v>6.2084853138798232E-2</v>
      </c>
      <c r="N369" t="s">
        <v>34</v>
      </c>
    </row>
    <row r="370" spans="1:14">
      <c r="A370" t="s">
        <v>247</v>
      </c>
      <c r="B370" t="s">
        <v>13</v>
      </c>
      <c r="C370" s="1">
        <v>45808</v>
      </c>
      <c r="D370" t="s">
        <v>14</v>
      </c>
      <c r="E370" t="s">
        <v>362</v>
      </c>
      <c r="F370">
        <v>2169</v>
      </c>
      <c r="G370">
        <v>240</v>
      </c>
      <c r="H370">
        <v>57</v>
      </c>
      <c r="I370">
        <v>26109</v>
      </c>
      <c r="J370">
        <v>46667</v>
      </c>
      <c r="K370" s="46">
        <v>133</v>
      </c>
      <c r="L370" t="s">
        <v>16</v>
      </c>
      <c r="M370">
        <v>9.4450189589796618E-2</v>
      </c>
      <c r="N370" t="s">
        <v>37</v>
      </c>
    </row>
    <row r="371" spans="1:14">
      <c r="A371" t="s">
        <v>247</v>
      </c>
      <c r="B371" t="s">
        <v>13</v>
      </c>
      <c r="C371" s="1">
        <v>45808</v>
      </c>
      <c r="D371" t="s">
        <v>14</v>
      </c>
      <c r="E371" t="s">
        <v>362</v>
      </c>
      <c r="F371">
        <v>2169</v>
      </c>
      <c r="G371">
        <v>240</v>
      </c>
      <c r="H371">
        <v>57</v>
      </c>
      <c r="I371">
        <v>26109</v>
      </c>
      <c r="J371">
        <v>46667</v>
      </c>
      <c r="K371" s="46">
        <v>133</v>
      </c>
      <c r="L371" t="s">
        <v>16</v>
      </c>
      <c r="M371">
        <v>9.4450189589796618E-2</v>
      </c>
      <c r="N371" t="s">
        <v>34</v>
      </c>
    </row>
    <row r="372" spans="1:14">
      <c r="A372" t="s">
        <v>272</v>
      </c>
      <c r="B372" t="s">
        <v>22</v>
      </c>
      <c r="C372" s="1">
        <v>45759</v>
      </c>
      <c r="D372" t="s">
        <v>23</v>
      </c>
      <c r="E372" t="s">
        <v>363</v>
      </c>
      <c r="F372">
        <v>4315</v>
      </c>
      <c r="G372">
        <v>208</v>
      </c>
      <c r="H372">
        <v>273</v>
      </c>
      <c r="I372">
        <v>35780</v>
      </c>
      <c r="J372">
        <v>44349</v>
      </c>
      <c r="K372" s="46">
        <v>133</v>
      </c>
      <c r="L372" t="s">
        <v>16</v>
      </c>
      <c r="M372">
        <v>0.13404136389044158</v>
      </c>
      <c r="N372" t="s">
        <v>19</v>
      </c>
    </row>
    <row r="373" spans="1:14">
      <c r="A373" t="s">
        <v>272</v>
      </c>
      <c r="B373" t="s">
        <v>22</v>
      </c>
      <c r="C373" s="1">
        <v>45759</v>
      </c>
      <c r="D373" t="s">
        <v>23</v>
      </c>
      <c r="E373" t="s">
        <v>363</v>
      </c>
      <c r="F373">
        <v>4315</v>
      </c>
      <c r="G373">
        <v>208</v>
      </c>
      <c r="H373">
        <v>273</v>
      </c>
      <c r="I373">
        <v>35780</v>
      </c>
      <c r="J373">
        <v>44349</v>
      </c>
      <c r="K373" s="46">
        <v>133</v>
      </c>
      <c r="L373" t="s">
        <v>16</v>
      </c>
      <c r="M373">
        <v>0.13404136389044158</v>
      </c>
      <c r="N373" t="s">
        <v>364</v>
      </c>
    </row>
    <row r="374" spans="1:14">
      <c r="A374" t="s">
        <v>134</v>
      </c>
      <c r="B374" t="s">
        <v>22</v>
      </c>
      <c r="C374" s="1">
        <v>45413</v>
      </c>
      <c r="D374" t="s">
        <v>23</v>
      </c>
      <c r="E374" t="s">
        <v>362</v>
      </c>
      <c r="F374">
        <v>2587</v>
      </c>
      <c r="G374">
        <v>447</v>
      </c>
      <c r="H374">
        <v>183</v>
      </c>
      <c r="I374">
        <v>36266</v>
      </c>
      <c r="J374">
        <v>32877</v>
      </c>
      <c r="K374" s="46">
        <v>132</v>
      </c>
      <c r="L374" t="s">
        <v>16</v>
      </c>
      <c r="M374">
        <v>8.8705674736667947E-2</v>
      </c>
      <c r="N374" t="s">
        <v>19</v>
      </c>
    </row>
    <row r="375" spans="1:14">
      <c r="A375" t="s">
        <v>134</v>
      </c>
      <c r="B375" t="s">
        <v>22</v>
      </c>
      <c r="C375" s="1">
        <v>45413</v>
      </c>
      <c r="D375" t="s">
        <v>23</v>
      </c>
      <c r="E375" t="s">
        <v>362</v>
      </c>
      <c r="F375">
        <v>2587</v>
      </c>
      <c r="G375">
        <v>447</v>
      </c>
      <c r="H375">
        <v>183</v>
      </c>
      <c r="I375">
        <v>36266</v>
      </c>
      <c r="J375">
        <v>32877</v>
      </c>
      <c r="K375" s="46">
        <v>132</v>
      </c>
      <c r="L375" t="s">
        <v>16</v>
      </c>
      <c r="M375">
        <v>8.8705674736667947E-2</v>
      </c>
      <c r="N375" t="s">
        <v>364</v>
      </c>
    </row>
    <row r="376" spans="1:14">
      <c r="A376" t="s">
        <v>140</v>
      </c>
      <c r="B376" t="s">
        <v>13</v>
      </c>
      <c r="C376" s="1">
        <v>45469</v>
      </c>
      <c r="D376" t="s">
        <v>14</v>
      </c>
      <c r="E376" t="s">
        <v>24</v>
      </c>
      <c r="F376">
        <v>3253</v>
      </c>
      <c r="G376">
        <v>483</v>
      </c>
      <c r="H376">
        <v>336</v>
      </c>
      <c r="I376">
        <v>25397</v>
      </c>
      <c r="J376">
        <v>51485</v>
      </c>
      <c r="K376" s="46">
        <v>131</v>
      </c>
      <c r="L376" t="s">
        <v>20</v>
      </c>
      <c r="M376">
        <v>0.16033389770445328</v>
      </c>
      <c r="N376" t="s">
        <v>19</v>
      </c>
    </row>
    <row r="377" spans="1:14">
      <c r="A377" t="s">
        <v>276</v>
      </c>
      <c r="B377" t="s">
        <v>22</v>
      </c>
      <c r="C377" s="1">
        <v>45481</v>
      </c>
      <c r="D377" t="s">
        <v>23</v>
      </c>
      <c r="E377" t="s">
        <v>33</v>
      </c>
      <c r="F377">
        <v>2981</v>
      </c>
      <c r="G377">
        <v>258</v>
      </c>
      <c r="H377">
        <v>168</v>
      </c>
      <c r="I377">
        <v>20677</v>
      </c>
      <c r="J377">
        <v>68290</v>
      </c>
      <c r="K377" s="46">
        <v>130</v>
      </c>
      <c r="L377" t="s">
        <v>16</v>
      </c>
      <c r="M377">
        <v>0.16477245248343569</v>
      </c>
      <c r="N377" t="s">
        <v>37</v>
      </c>
    </row>
    <row r="378" spans="1:14">
      <c r="A378" t="s">
        <v>276</v>
      </c>
      <c r="B378" t="s">
        <v>22</v>
      </c>
      <c r="C378" s="1">
        <v>45481</v>
      </c>
      <c r="D378" t="s">
        <v>23</v>
      </c>
      <c r="E378" t="s">
        <v>33</v>
      </c>
      <c r="F378">
        <v>2981</v>
      </c>
      <c r="G378">
        <v>258</v>
      </c>
      <c r="H378">
        <v>168</v>
      </c>
      <c r="I378">
        <v>20677</v>
      </c>
      <c r="J378">
        <v>68290</v>
      </c>
      <c r="K378" s="46">
        <v>130</v>
      </c>
      <c r="L378" t="s">
        <v>16</v>
      </c>
      <c r="M378">
        <v>0.16477245248343569</v>
      </c>
      <c r="N378" t="s">
        <v>34</v>
      </c>
    </row>
    <row r="379" spans="1:14">
      <c r="A379" t="s">
        <v>109</v>
      </c>
      <c r="B379" t="s">
        <v>27</v>
      </c>
      <c r="C379" s="1">
        <v>45304</v>
      </c>
      <c r="D379" t="s">
        <v>48</v>
      </c>
      <c r="E379" t="s">
        <v>24</v>
      </c>
      <c r="F379">
        <v>4781</v>
      </c>
      <c r="G379">
        <v>191</v>
      </c>
      <c r="H379">
        <v>122</v>
      </c>
      <c r="I379">
        <v>35535</v>
      </c>
      <c r="J379">
        <v>50777</v>
      </c>
      <c r="K379" s="46">
        <v>128</v>
      </c>
      <c r="L379" t="s">
        <v>49</v>
      </c>
      <c r="M379">
        <v>0.14335162515829464</v>
      </c>
      <c r="N379" t="s">
        <v>19</v>
      </c>
    </row>
    <row r="380" spans="1:14">
      <c r="A380" t="s">
        <v>109</v>
      </c>
      <c r="B380" t="s">
        <v>27</v>
      </c>
      <c r="C380" s="1">
        <v>45304</v>
      </c>
      <c r="D380" t="s">
        <v>48</v>
      </c>
      <c r="E380" t="s">
        <v>24</v>
      </c>
      <c r="F380">
        <v>4781</v>
      </c>
      <c r="G380">
        <v>191</v>
      </c>
      <c r="H380">
        <v>122</v>
      </c>
      <c r="I380">
        <v>35535</v>
      </c>
      <c r="J380">
        <v>50777</v>
      </c>
      <c r="K380" s="46">
        <v>128</v>
      </c>
      <c r="L380" t="s">
        <v>49</v>
      </c>
      <c r="M380">
        <v>0.14335162515829464</v>
      </c>
      <c r="N380" t="s">
        <v>37</v>
      </c>
    </row>
    <row r="381" spans="1:14">
      <c r="A381" t="s">
        <v>290</v>
      </c>
      <c r="B381" t="s">
        <v>22</v>
      </c>
      <c r="C381" s="1">
        <v>45662</v>
      </c>
      <c r="D381" t="s">
        <v>23</v>
      </c>
      <c r="E381" t="s">
        <v>18</v>
      </c>
      <c r="F381">
        <v>3341</v>
      </c>
      <c r="G381">
        <v>154</v>
      </c>
      <c r="H381">
        <v>123</v>
      </c>
      <c r="I381">
        <v>43369</v>
      </c>
      <c r="J381">
        <v>49035</v>
      </c>
      <c r="K381" s="46">
        <v>128</v>
      </c>
      <c r="L381" t="s">
        <v>16</v>
      </c>
      <c r="M381">
        <v>8.3423643616408028E-2</v>
      </c>
      <c r="N381" t="s">
        <v>364</v>
      </c>
    </row>
    <row r="382" spans="1:14">
      <c r="A382" t="s">
        <v>290</v>
      </c>
      <c r="B382" t="s">
        <v>22</v>
      </c>
      <c r="C382" s="1">
        <v>45662</v>
      </c>
      <c r="D382" t="s">
        <v>23</v>
      </c>
      <c r="E382" t="s">
        <v>18</v>
      </c>
      <c r="F382">
        <v>3341</v>
      </c>
      <c r="G382">
        <v>154</v>
      </c>
      <c r="H382">
        <v>123</v>
      </c>
      <c r="I382">
        <v>43369</v>
      </c>
      <c r="J382">
        <v>49035</v>
      </c>
      <c r="K382" s="46">
        <v>128</v>
      </c>
      <c r="L382" t="s">
        <v>16</v>
      </c>
      <c r="M382">
        <v>8.3423643616408028E-2</v>
      </c>
      <c r="N382" t="s">
        <v>34</v>
      </c>
    </row>
    <row r="383" spans="1:14">
      <c r="A383" t="s">
        <v>165</v>
      </c>
      <c r="B383" t="s">
        <v>22</v>
      </c>
      <c r="C383" s="1">
        <v>45569</v>
      </c>
      <c r="D383" t="s">
        <v>23</v>
      </c>
      <c r="E383" t="s">
        <v>18</v>
      </c>
      <c r="F383">
        <v>2870</v>
      </c>
      <c r="G383">
        <v>380</v>
      </c>
      <c r="H383">
        <v>393</v>
      </c>
      <c r="I383">
        <v>37621</v>
      </c>
      <c r="J383">
        <v>71794</v>
      </c>
      <c r="K383" s="46">
        <v>127</v>
      </c>
      <c r="L383" t="s">
        <v>16</v>
      </c>
      <c r="M383">
        <v>9.6834214933149046E-2</v>
      </c>
      <c r="N383" t="s">
        <v>364</v>
      </c>
    </row>
    <row r="384" spans="1:14">
      <c r="A384" t="s">
        <v>165</v>
      </c>
      <c r="B384" t="s">
        <v>22</v>
      </c>
      <c r="C384" s="1">
        <v>45569</v>
      </c>
      <c r="D384" t="s">
        <v>23</v>
      </c>
      <c r="E384" t="s">
        <v>18</v>
      </c>
      <c r="F384">
        <v>2870</v>
      </c>
      <c r="G384">
        <v>380</v>
      </c>
      <c r="H384">
        <v>393</v>
      </c>
      <c r="I384">
        <v>37621</v>
      </c>
      <c r="J384">
        <v>71794</v>
      </c>
      <c r="K384" s="46">
        <v>127</v>
      </c>
      <c r="L384" t="s">
        <v>16</v>
      </c>
      <c r="M384">
        <v>9.6834214933149046E-2</v>
      </c>
      <c r="N384" t="s">
        <v>34</v>
      </c>
    </row>
    <row r="385" spans="1:14">
      <c r="A385" t="s">
        <v>302</v>
      </c>
      <c r="B385" t="s">
        <v>22</v>
      </c>
      <c r="C385" s="1">
        <v>45603</v>
      </c>
      <c r="D385" t="s">
        <v>14</v>
      </c>
      <c r="E385" t="s">
        <v>18</v>
      </c>
      <c r="F385">
        <v>2229</v>
      </c>
      <c r="G385">
        <v>395</v>
      </c>
      <c r="H385">
        <v>328</v>
      </c>
      <c r="I385">
        <v>56921</v>
      </c>
      <c r="J385">
        <v>37176</v>
      </c>
      <c r="K385" s="46">
        <v>126</v>
      </c>
      <c r="L385" t="s">
        <v>20</v>
      </c>
      <c r="M385">
        <v>5.1861351697967357E-2</v>
      </c>
      <c r="N385" t="s">
        <v>37</v>
      </c>
    </row>
    <row r="386" spans="1:14">
      <c r="A386" t="s">
        <v>70</v>
      </c>
      <c r="B386" t="s">
        <v>22</v>
      </c>
      <c r="C386" s="1">
        <v>45818</v>
      </c>
      <c r="D386" t="s">
        <v>14</v>
      </c>
      <c r="E386" t="s">
        <v>18</v>
      </c>
      <c r="F386">
        <v>3615</v>
      </c>
      <c r="G386">
        <v>192</v>
      </c>
      <c r="H386">
        <v>162</v>
      </c>
      <c r="I386">
        <v>27492</v>
      </c>
      <c r="J386">
        <v>35341</v>
      </c>
      <c r="K386" s="46">
        <v>125</v>
      </c>
      <c r="L386" t="s">
        <v>16</v>
      </c>
      <c r="M386">
        <v>0.14436927106067218</v>
      </c>
      <c r="N386" t="s">
        <v>34</v>
      </c>
    </row>
    <row r="387" spans="1:14">
      <c r="A387" t="s">
        <v>114</v>
      </c>
      <c r="B387" t="s">
        <v>22</v>
      </c>
      <c r="C387" s="1">
        <v>45507</v>
      </c>
      <c r="D387" t="s">
        <v>14</v>
      </c>
      <c r="E387" t="s">
        <v>42</v>
      </c>
      <c r="F387">
        <v>4247</v>
      </c>
      <c r="G387">
        <v>390</v>
      </c>
      <c r="H387">
        <v>213</v>
      </c>
      <c r="I387">
        <v>29785</v>
      </c>
      <c r="J387">
        <v>57768</v>
      </c>
      <c r="K387" s="46">
        <v>122</v>
      </c>
      <c r="L387" t="s">
        <v>16</v>
      </c>
      <c r="M387">
        <v>0.16283364109451065</v>
      </c>
      <c r="N387" t="s">
        <v>34</v>
      </c>
    </row>
    <row r="388" spans="1:14">
      <c r="A388" t="s">
        <v>21</v>
      </c>
      <c r="B388" t="s">
        <v>22</v>
      </c>
      <c r="C388" s="1">
        <v>45629</v>
      </c>
      <c r="D388" t="s">
        <v>23</v>
      </c>
      <c r="E388" t="s">
        <v>24</v>
      </c>
      <c r="F388">
        <v>3092</v>
      </c>
      <c r="G388">
        <v>177</v>
      </c>
      <c r="H388">
        <v>81</v>
      </c>
      <c r="I388">
        <v>47533</v>
      </c>
      <c r="J388">
        <v>29220</v>
      </c>
      <c r="K388" s="46">
        <v>121</v>
      </c>
      <c r="L388" t="s">
        <v>16</v>
      </c>
      <c r="M388">
        <v>7.0477352576105018E-2</v>
      </c>
      <c r="N388" t="s">
        <v>364</v>
      </c>
    </row>
    <row r="389" spans="1:14">
      <c r="A389" t="s">
        <v>21</v>
      </c>
      <c r="B389" t="s">
        <v>22</v>
      </c>
      <c r="C389" s="1">
        <v>45629</v>
      </c>
      <c r="D389" t="s">
        <v>23</v>
      </c>
      <c r="E389" t="s">
        <v>24</v>
      </c>
      <c r="F389">
        <v>3092</v>
      </c>
      <c r="G389">
        <v>177</v>
      </c>
      <c r="H389">
        <v>81</v>
      </c>
      <c r="I389">
        <v>47533</v>
      </c>
      <c r="J389">
        <v>29220</v>
      </c>
      <c r="K389" s="46">
        <v>121</v>
      </c>
      <c r="L389" t="s">
        <v>16</v>
      </c>
      <c r="M389">
        <v>7.0477352576105018E-2</v>
      </c>
      <c r="N389" t="s">
        <v>34</v>
      </c>
    </row>
    <row r="390" spans="1:14">
      <c r="A390" t="s">
        <v>198</v>
      </c>
      <c r="B390" t="s">
        <v>13</v>
      </c>
      <c r="C390" s="1">
        <v>45385</v>
      </c>
      <c r="D390" t="s">
        <v>14</v>
      </c>
      <c r="E390" t="s">
        <v>33</v>
      </c>
      <c r="F390">
        <v>2762</v>
      </c>
      <c r="G390">
        <v>339</v>
      </c>
      <c r="H390">
        <v>323</v>
      </c>
      <c r="I390">
        <v>33757</v>
      </c>
      <c r="J390">
        <v>68511</v>
      </c>
      <c r="K390" s="46">
        <v>121</v>
      </c>
      <c r="L390" t="s">
        <v>16</v>
      </c>
      <c r="M390">
        <v>0.10143081434961637</v>
      </c>
      <c r="N390" t="s">
        <v>37</v>
      </c>
    </row>
    <row r="391" spans="1:14">
      <c r="A391" t="s">
        <v>198</v>
      </c>
      <c r="B391" t="s">
        <v>13</v>
      </c>
      <c r="C391" s="1">
        <v>45385</v>
      </c>
      <c r="D391" t="s">
        <v>14</v>
      </c>
      <c r="E391" t="s">
        <v>33</v>
      </c>
      <c r="F391">
        <v>2762</v>
      </c>
      <c r="G391">
        <v>339</v>
      </c>
      <c r="H391">
        <v>323</v>
      </c>
      <c r="I391">
        <v>33757</v>
      </c>
      <c r="J391">
        <v>68511</v>
      </c>
      <c r="K391" s="46">
        <v>121</v>
      </c>
      <c r="L391" t="s">
        <v>16</v>
      </c>
      <c r="M391">
        <v>0.10143081434961637</v>
      </c>
      <c r="N391" t="s">
        <v>34</v>
      </c>
    </row>
    <row r="392" spans="1:14">
      <c r="A392" t="s">
        <v>31</v>
      </c>
      <c r="B392" t="s">
        <v>22</v>
      </c>
      <c r="C392" s="1">
        <v>45421</v>
      </c>
      <c r="D392" t="s">
        <v>23</v>
      </c>
      <c r="E392" t="s">
        <v>360</v>
      </c>
      <c r="F392">
        <v>1428</v>
      </c>
      <c r="G392">
        <v>347</v>
      </c>
      <c r="H392">
        <v>67</v>
      </c>
      <c r="I392">
        <v>21148</v>
      </c>
      <c r="J392">
        <v>19712</v>
      </c>
      <c r="K392" s="46">
        <v>120</v>
      </c>
      <c r="L392" t="s">
        <v>16</v>
      </c>
      <c r="M392">
        <v>8.7100435029317191E-2</v>
      </c>
      <c r="N392" t="s">
        <v>19</v>
      </c>
    </row>
    <row r="393" spans="1:14">
      <c r="A393" t="s">
        <v>31</v>
      </c>
      <c r="B393" t="s">
        <v>22</v>
      </c>
      <c r="C393" s="1">
        <v>45421</v>
      </c>
      <c r="D393" t="s">
        <v>23</v>
      </c>
      <c r="E393" t="s">
        <v>360</v>
      </c>
      <c r="F393">
        <v>1428</v>
      </c>
      <c r="G393">
        <v>347</v>
      </c>
      <c r="H393">
        <v>67</v>
      </c>
      <c r="I393">
        <v>21148</v>
      </c>
      <c r="J393">
        <v>19712</v>
      </c>
      <c r="K393" s="46">
        <v>120</v>
      </c>
      <c r="L393" t="s">
        <v>16</v>
      </c>
      <c r="M393">
        <v>8.7100435029317191E-2</v>
      </c>
      <c r="N393" t="s">
        <v>364</v>
      </c>
    </row>
    <row r="394" spans="1:14">
      <c r="A394" t="s">
        <v>77</v>
      </c>
      <c r="B394" t="s">
        <v>27</v>
      </c>
      <c r="C394" s="1">
        <v>45365</v>
      </c>
      <c r="D394" t="s">
        <v>48</v>
      </c>
      <c r="E394" t="s">
        <v>363</v>
      </c>
      <c r="F394">
        <v>3361</v>
      </c>
      <c r="G394">
        <v>188</v>
      </c>
      <c r="H394">
        <v>358</v>
      </c>
      <c r="I394">
        <v>39838</v>
      </c>
      <c r="J394">
        <v>24536</v>
      </c>
      <c r="K394" s="46">
        <v>120</v>
      </c>
      <c r="L394" t="s">
        <v>49</v>
      </c>
      <c r="M394">
        <v>9.8072192379135503E-2</v>
      </c>
      <c r="N394" t="s">
        <v>19</v>
      </c>
    </row>
    <row r="395" spans="1:14">
      <c r="A395" t="s">
        <v>77</v>
      </c>
      <c r="B395" t="s">
        <v>27</v>
      </c>
      <c r="C395" s="1">
        <v>45365</v>
      </c>
      <c r="D395" t="s">
        <v>48</v>
      </c>
      <c r="E395" t="s">
        <v>363</v>
      </c>
      <c r="F395">
        <v>3361</v>
      </c>
      <c r="G395">
        <v>188</v>
      </c>
      <c r="H395">
        <v>358</v>
      </c>
      <c r="I395">
        <v>39838</v>
      </c>
      <c r="J395">
        <v>24536</v>
      </c>
      <c r="K395" s="46">
        <v>120</v>
      </c>
      <c r="L395" t="s">
        <v>49</v>
      </c>
      <c r="M395">
        <v>9.8072192379135503E-2</v>
      </c>
      <c r="N395" t="s">
        <v>37</v>
      </c>
    </row>
    <row r="396" spans="1:14">
      <c r="A396" t="s">
        <v>119</v>
      </c>
      <c r="B396" t="s">
        <v>13</v>
      </c>
      <c r="C396" s="1">
        <v>45630</v>
      </c>
      <c r="D396" t="s">
        <v>14</v>
      </c>
      <c r="E396" t="s">
        <v>360</v>
      </c>
      <c r="F396">
        <v>2601</v>
      </c>
      <c r="G396">
        <v>336</v>
      </c>
      <c r="H396">
        <v>260</v>
      </c>
      <c r="I396">
        <v>32368</v>
      </c>
      <c r="J396">
        <v>49028</v>
      </c>
      <c r="K396" s="46">
        <v>120</v>
      </c>
      <c r="L396" t="s">
        <v>16</v>
      </c>
      <c r="M396">
        <v>9.8770390509144837E-2</v>
      </c>
      <c r="N396" t="s">
        <v>37</v>
      </c>
    </row>
    <row r="397" spans="1:14">
      <c r="A397" t="s">
        <v>119</v>
      </c>
      <c r="B397" t="s">
        <v>13</v>
      </c>
      <c r="C397" s="1">
        <v>45630</v>
      </c>
      <c r="D397" t="s">
        <v>14</v>
      </c>
      <c r="E397" t="s">
        <v>360</v>
      </c>
      <c r="F397">
        <v>2601</v>
      </c>
      <c r="G397">
        <v>336</v>
      </c>
      <c r="H397">
        <v>260</v>
      </c>
      <c r="I397">
        <v>32368</v>
      </c>
      <c r="J397">
        <v>49028</v>
      </c>
      <c r="K397" s="46">
        <v>120</v>
      </c>
      <c r="L397" t="s">
        <v>16</v>
      </c>
      <c r="M397">
        <v>9.8770390509144837E-2</v>
      </c>
      <c r="N397" t="s">
        <v>34</v>
      </c>
    </row>
    <row r="398" spans="1:14">
      <c r="A398" t="s">
        <v>138</v>
      </c>
      <c r="B398" t="s">
        <v>27</v>
      </c>
      <c r="C398" s="1">
        <v>45542</v>
      </c>
      <c r="D398" t="s">
        <v>48</v>
      </c>
      <c r="E398" t="s">
        <v>361</v>
      </c>
      <c r="F398">
        <v>3882</v>
      </c>
      <c r="G398">
        <v>342</v>
      </c>
      <c r="H398">
        <v>374</v>
      </c>
      <c r="I398">
        <v>41991</v>
      </c>
      <c r="J398">
        <v>48554</v>
      </c>
      <c r="K398" s="46">
        <v>118</v>
      </c>
      <c r="L398" t="s">
        <v>49</v>
      </c>
      <c r="M398">
        <v>0.10949965468790931</v>
      </c>
      <c r="N398" t="s">
        <v>19</v>
      </c>
    </row>
    <row r="399" spans="1:14">
      <c r="A399" t="s">
        <v>138</v>
      </c>
      <c r="B399" t="s">
        <v>27</v>
      </c>
      <c r="C399" s="1">
        <v>45542</v>
      </c>
      <c r="D399" t="s">
        <v>48</v>
      </c>
      <c r="E399" t="s">
        <v>361</v>
      </c>
      <c r="F399">
        <v>3882</v>
      </c>
      <c r="G399">
        <v>342</v>
      </c>
      <c r="H399">
        <v>374</v>
      </c>
      <c r="I399">
        <v>41991</v>
      </c>
      <c r="J399">
        <v>48554</v>
      </c>
      <c r="K399" s="46">
        <v>118</v>
      </c>
      <c r="L399" t="s">
        <v>49</v>
      </c>
      <c r="M399">
        <v>0.10949965468790931</v>
      </c>
      <c r="N399" t="s">
        <v>37</v>
      </c>
    </row>
    <row r="400" spans="1:14">
      <c r="A400" t="s">
        <v>239</v>
      </c>
      <c r="B400" t="s">
        <v>22</v>
      </c>
      <c r="C400" s="1">
        <v>45492</v>
      </c>
      <c r="D400" t="s">
        <v>23</v>
      </c>
      <c r="E400" t="s">
        <v>362</v>
      </c>
      <c r="F400">
        <v>3071</v>
      </c>
      <c r="G400">
        <v>126</v>
      </c>
      <c r="H400">
        <v>200</v>
      </c>
      <c r="I400">
        <v>44013</v>
      </c>
      <c r="J400">
        <v>44679</v>
      </c>
      <c r="K400" s="46">
        <v>118</v>
      </c>
      <c r="L400" t="s">
        <v>16</v>
      </c>
      <c r="M400">
        <v>7.7181741758116915E-2</v>
      </c>
      <c r="N400" t="s">
        <v>19</v>
      </c>
    </row>
    <row r="401" spans="1:14">
      <c r="A401" t="s">
        <v>239</v>
      </c>
      <c r="B401" t="s">
        <v>22</v>
      </c>
      <c r="C401" s="1">
        <v>45492</v>
      </c>
      <c r="D401" t="s">
        <v>23</v>
      </c>
      <c r="E401" t="s">
        <v>362</v>
      </c>
      <c r="F401">
        <v>3071</v>
      </c>
      <c r="G401">
        <v>126</v>
      </c>
      <c r="H401">
        <v>200</v>
      </c>
      <c r="I401">
        <v>44013</v>
      </c>
      <c r="J401">
        <v>44679</v>
      </c>
      <c r="K401" s="46">
        <v>118</v>
      </c>
      <c r="L401" t="s">
        <v>16</v>
      </c>
      <c r="M401">
        <v>7.7181741758116915E-2</v>
      </c>
      <c r="N401" t="s">
        <v>364</v>
      </c>
    </row>
    <row r="402" spans="1:14">
      <c r="A402" t="s">
        <v>235</v>
      </c>
      <c r="B402" t="s">
        <v>22</v>
      </c>
      <c r="C402" s="1">
        <v>45763</v>
      </c>
      <c r="D402" t="s">
        <v>14</v>
      </c>
      <c r="E402" t="s">
        <v>360</v>
      </c>
      <c r="F402">
        <v>3792</v>
      </c>
      <c r="G402">
        <v>315</v>
      </c>
      <c r="H402">
        <v>120</v>
      </c>
      <c r="I402">
        <v>54592</v>
      </c>
      <c r="J402">
        <v>67886</v>
      </c>
      <c r="K402" s="46">
        <v>117</v>
      </c>
      <c r="L402" t="s">
        <v>20</v>
      </c>
      <c r="M402">
        <v>7.7428927315357568E-2</v>
      </c>
      <c r="N402" t="s">
        <v>37</v>
      </c>
    </row>
    <row r="403" spans="1:14">
      <c r="A403" t="s">
        <v>90</v>
      </c>
      <c r="B403" t="s">
        <v>27</v>
      </c>
      <c r="C403" s="1">
        <v>45398</v>
      </c>
      <c r="D403" t="s">
        <v>14</v>
      </c>
      <c r="E403" t="s">
        <v>15</v>
      </c>
      <c r="F403">
        <v>4674</v>
      </c>
      <c r="G403">
        <v>326</v>
      </c>
      <c r="H403">
        <v>62</v>
      </c>
      <c r="I403">
        <v>45503</v>
      </c>
      <c r="J403">
        <v>46814</v>
      </c>
      <c r="K403" s="46">
        <v>116</v>
      </c>
      <c r="L403" t="s">
        <v>20</v>
      </c>
      <c r="M403">
        <v>0.11124541239039185</v>
      </c>
      <c r="N403" t="s">
        <v>19</v>
      </c>
    </row>
    <row r="404" spans="1:14">
      <c r="A404" t="s">
        <v>90</v>
      </c>
      <c r="B404" t="s">
        <v>27</v>
      </c>
      <c r="C404" s="1">
        <v>45398</v>
      </c>
      <c r="D404" t="s">
        <v>14</v>
      </c>
      <c r="E404" t="s">
        <v>15</v>
      </c>
      <c r="F404">
        <v>4674</v>
      </c>
      <c r="G404">
        <v>326</v>
      </c>
      <c r="H404">
        <v>62</v>
      </c>
      <c r="I404">
        <v>45503</v>
      </c>
      <c r="J404">
        <v>46814</v>
      </c>
      <c r="K404" s="46">
        <v>116</v>
      </c>
      <c r="L404" t="s">
        <v>20</v>
      </c>
      <c r="M404">
        <v>0.11124541239039185</v>
      </c>
      <c r="N404" t="s">
        <v>365</v>
      </c>
    </row>
    <row r="405" spans="1:14">
      <c r="A405" t="s">
        <v>126</v>
      </c>
      <c r="B405" t="s">
        <v>22</v>
      </c>
      <c r="C405" s="1">
        <v>45367</v>
      </c>
      <c r="D405" t="s">
        <v>23</v>
      </c>
      <c r="E405" t="s">
        <v>360</v>
      </c>
      <c r="F405">
        <v>2895</v>
      </c>
      <c r="G405">
        <v>292</v>
      </c>
      <c r="H405">
        <v>90</v>
      </c>
      <c r="I405">
        <v>24223</v>
      </c>
      <c r="J405">
        <v>54626</v>
      </c>
      <c r="K405" s="46">
        <v>114</v>
      </c>
      <c r="L405" t="s">
        <v>16</v>
      </c>
      <c r="M405">
        <v>0.13528464682326713</v>
      </c>
      <c r="N405" t="s">
        <v>37</v>
      </c>
    </row>
    <row r="406" spans="1:14">
      <c r="A406" t="s">
        <v>126</v>
      </c>
      <c r="B406" t="s">
        <v>22</v>
      </c>
      <c r="C406" s="1">
        <v>45367</v>
      </c>
      <c r="D406" t="s">
        <v>23</v>
      </c>
      <c r="E406" t="s">
        <v>360</v>
      </c>
      <c r="F406">
        <v>2895</v>
      </c>
      <c r="G406">
        <v>292</v>
      </c>
      <c r="H406">
        <v>90</v>
      </c>
      <c r="I406">
        <v>24223</v>
      </c>
      <c r="J406">
        <v>54626</v>
      </c>
      <c r="K406" s="46">
        <v>114</v>
      </c>
      <c r="L406" t="s">
        <v>16</v>
      </c>
      <c r="M406">
        <v>0.13528464682326713</v>
      </c>
      <c r="N406" t="s">
        <v>34</v>
      </c>
    </row>
    <row r="407" spans="1:14">
      <c r="A407" t="s">
        <v>231</v>
      </c>
      <c r="B407" t="s">
        <v>22</v>
      </c>
      <c r="C407" s="1">
        <v>45547</v>
      </c>
      <c r="D407" t="s">
        <v>23</v>
      </c>
      <c r="E407" t="s">
        <v>360</v>
      </c>
      <c r="F407">
        <v>1839</v>
      </c>
      <c r="G407">
        <v>223</v>
      </c>
      <c r="H407">
        <v>171</v>
      </c>
      <c r="I407">
        <v>35459</v>
      </c>
      <c r="J407">
        <v>69988</v>
      </c>
      <c r="K407" s="46">
        <v>114</v>
      </c>
      <c r="L407" t="s">
        <v>16</v>
      </c>
      <c r="M407">
        <v>6.2974139146620034E-2</v>
      </c>
      <c r="N407" t="s">
        <v>364</v>
      </c>
    </row>
    <row r="408" spans="1:14">
      <c r="A408" t="s">
        <v>231</v>
      </c>
      <c r="B408" t="s">
        <v>22</v>
      </c>
      <c r="C408" s="1">
        <v>45547</v>
      </c>
      <c r="D408" t="s">
        <v>23</v>
      </c>
      <c r="E408" t="s">
        <v>360</v>
      </c>
      <c r="F408">
        <v>1839</v>
      </c>
      <c r="G408">
        <v>223</v>
      </c>
      <c r="H408">
        <v>171</v>
      </c>
      <c r="I408">
        <v>35459</v>
      </c>
      <c r="J408">
        <v>69988</v>
      </c>
      <c r="K408" s="46">
        <v>114</v>
      </c>
      <c r="L408" t="s">
        <v>16</v>
      </c>
      <c r="M408">
        <v>6.2974139146620034E-2</v>
      </c>
      <c r="N408" t="s">
        <v>34</v>
      </c>
    </row>
    <row r="409" spans="1:14">
      <c r="A409" t="s">
        <v>318</v>
      </c>
      <c r="B409" t="s">
        <v>22</v>
      </c>
      <c r="C409" s="1">
        <v>45513</v>
      </c>
      <c r="D409" t="s">
        <v>23</v>
      </c>
      <c r="E409" t="s">
        <v>363</v>
      </c>
      <c r="F409">
        <v>4877</v>
      </c>
      <c r="G409">
        <v>442</v>
      </c>
      <c r="H409">
        <v>236</v>
      </c>
      <c r="I409">
        <v>52673</v>
      </c>
      <c r="J409">
        <v>48241</v>
      </c>
      <c r="K409" s="46">
        <v>114</v>
      </c>
      <c r="L409" t="s">
        <v>16</v>
      </c>
      <c r="M409">
        <v>0.10546200140489435</v>
      </c>
      <c r="N409" t="s">
        <v>19</v>
      </c>
    </row>
    <row r="410" spans="1:14">
      <c r="A410" t="s">
        <v>318</v>
      </c>
      <c r="B410" t="s">
        <v>22</v>
      </c>
      <c r="C410" s="1">
        <v>45513</v>
      </c>
      <c r="D410" t="s">
        <v>23</v>
      </c>
      <c r="E410" t="s">
        <v>363</v>
      </c>
      <c r="F410">
        <v>4877</v>
      </c>
      <c r="G410">
        <v>442</v>
      </c>
      <c r="H410">
        <v>236</v>
      </c>
      <c r="I410">
        <v>52673</v>
      </c>
      <c r="J410">
        <v>48241</v>
      </c>
      <c r="K410" s="46">
        <v>114</v>
      </c>
      <c r="L410" t="s">
        <v>16</v>
      </c>
      <c r="M410">
        <v>0.10546200140489435</v>
      </c>
      <c r="N410" t="s">
        <v>364</v>
      </c>
    </row>
    <row r="411" spans="1:14">
      <c r="A411" t="s">
        <v>156</v>
      </c>
      <c r="B411" t="s">
        <v>22</v>
      </c>
      <c r="C411" s="1">
        <v>45295</v>
      </c>
      <c r="D411" t="s">
        <v>23</v>
      </c>
      <c r="E411" t="s">
        <v>362</v>
      </c>
      <c r="F411">
        <v>3208</v>
      </c>
      <c r="G411">
        <v>476</v>
      </c>
      <c r="H411">
        <v>277</v>
      </c>
      <c r="I411">
        <v>56072</v>
      </c>
      <c r="J411">
        <v>21061</v>
      </c>
      <c r="K411" s="46">
        <v>113</v>
      </c>
      <c r="L411" t="s">
        <v>16</v>
      </c>
      <c r="M411">
        <v>7.064131830503638E-2</v>
      </c>
      <c r="N411" t="s">
        <v>364</v>
      </c>
    </row>
    <row r="412" spans="1:14">
      <c r="A412" t="s">
        <v>156</v>
      </c>
      <c r="B412" t="s">
        <v>22</v>
      </c>
      <c r="C412" s="1">
        <v>45295</v>
      </c>
      <c r="D412" t="s">
        <v>23</v>
      </c>
      <c r="E412" t="s">
        <v>362</v>
      </c>
      <c r="F412">
        <v>3208</v>
      </c>
      <c r="G412">
        <v>476</v>
      </c>
      <c r="H412">
        <v>277</v>
      </c>
      <c r="I412">
        <v>56072</v>
      </c>
      <c r="J412">
        <v>21061</v>
      </c>
      <c r="K412" s="46">
        <v>113</v>
      </c>
      <c r="L412" t="s">
        <v>16</v>
      </c>
      <c r="M412">
        <v>7.064131830503638E-2</v>
      </c>
      <c r="N412" t="s">
        <v>34</v>
      </c>
    </row>
    <row r="413" spans="1:14">
      <c r="A413" t="s">
        <v>212</v>
      </c>
      <c r="B413" t="s">
        <v>13</v>
      </c>
      <c r="C413" s="1">
        <v>45370</v>
      </c>
      <c r="D413" t="s">
        <v>14</v>
      </c>
      <c r="E413" t="s">
        <v>363</v>
      </c>
      <c r="F413">
        <v>2878</v>
      </c>
      <c r="G413">
        <v>278</v>
      </c>
      <c r="H413">
        <v>255</v>
      </c>
      <c r="I413">
        <v>47235</v>
      </c>
      <c r="J413">
        <v>57922</v>
      </c>
      <c r="K413" s="46">
        <v>112</v>
      </c>
      <c r="L413" t="s">
        <v>16</v>
      </c>
      <c r="M413">
        <v>7.2213401079707848E-2</v>
      </c>
      <c r="N413" t="s">
        <v>37</v>
      </c>
    </row>
    <row r="414" spans="1:14">
      <c r="A414" t="s">
        <v>212</v>
      </c>
      <c r="B414" t="s">
        <v>13</v>
      </c>
      <c r="C414" s="1">
        <v>45370</v>
      </c>
      <c r="D414" t="s">
        <v>14</v>
      </c>
      <c r="E414" t="s">
        <v>363</v>
      </c>
      <c r="F414">
        <v>2878</v>
      </c>
      <c r="G414">
        <v>278</v>
      </c>
      <c r="H414">
        <v>255</v>
      </c>
      <c r="I414">
        <v>47235</v>
      </c>
      <c r="J414">
        <v>57922</v>
      </c>
      <c r="K414" s="46">
        <v>112</v>
      </c>
      <c r="L414" t="s">
        <v>16</v>
      </c>
      <c r="M414">
        <v>7.2213401079707848E-2</v>
      </c>
      <c r="N414" t="s">
        <v>34</v>
      </c>
    </row>
    <row r="415" spans="1:14">
      <c r="A415" t="s">
        <v>322</v>
      </c>
      <c r="B415" t="s">
        <v>22</v>
      </c>
      <c r="C415" s="1">
        <v>45599</v>
      </c>
      <c r="D415" t="s">
        <v>23</v>
      </c>
      <c r="E415" t="s">
        <v>18</v>
      </c>
      <c r="F415">
        <v>3061</v>
      </c>
      <c r="G415">
        <v>320</v>
      </c>
      <c r="H415">
        <v>76</v>
      </c>
      <c r="I415">
        <v>26640</v>
      </c>
      <c r="J415">
        <v>24306</v>
      </c>
      <c r="K415" s="46">
        <v>112</v>
      </c>
      <c r="L415" t="s">
        <v>16</v>
      </c>
      <c r="M415">
        <v>0.12976726726726726</v>
      </c>
      <c r="N415" t="s">
        <v>364</v>
      </c>
    </row>
    <row r="416" spans="1:14">
      <c r="A416" t="s">
        <v>322</v>
      </c>
      <c r="B416" t="s">
        <v>22</v>
      </c>
      <c r="C416" s="1">
        <v>45599</v>
      </c>
      <c r="D416" t="s">
        <v>23</v>
      </c>
      <c r="E416" t="s">
        <v>18</v>
      </c>
      <c r="F416">
        <v>3061</v>
      </c>
      <c r="G416">
        <v>320</v>
      </c>
      <c r="H416">
        <v>76</v>
      </c>
      <c r="I416">
        <v>26640</v>
      </c>
      <c r="J416">
        <v>24306</v>
      </c>
      <c r="K416" s="46">
        <v>112</v>
      </c>
      <c r="L416" t="s">
        <v>16</v>
      </c>
      <c r="M416">
        <v>0.12976726726726726</v>
      </c>
      <c r="N416" t="s">
        <v>34</v>
      </c>
    </row>
    <row r="417" spans="1:14">
      <c r="A417" t="s">
        <v>121</v>
      </c>
      <c r="B417" t="s">
        <v>22</v>
      </c>
      <c r="C417" s="1">
        <v>45774</v>
      </c>
      <c r="D417" t="s">
        <v>14</v>
      </c>
      <c r="E417" t="s">
        <v>18</v>
      </c>
      <c r="F417">
        <v>1165</v>
      </c>
      <c r="G417">
        <v>294</v>
      </c>
      <c r="H417">
        <v>163</v>
      </c>
      <c r="I417">
        <v>20659</v>
      </c>
      <c r="J417">
        <v>45926</v>
      </c>
      <c r="K417" s="46">
        <v>111</v>
      </c>
      <c r="L417" t="s">
        <v>20</v>
      </c>
      <c r="M417">
        <v>7.8512996756861422E-2</v>
      </c>
      <c r="N417" t="s">
        <v>37</v>
      </c>
    </row>
    <row r="418" spans="1:14">
      <c r="A418" t="s">
        <v>233</v>
      </c>
      <c r="B418" t="s">
        <v>13</v>
      </c>
      <c r="C418" s="1">
        <v>45571</v>
      </c>
      <c r="D418" t="s">
        <v>14</v>
      </c>
      <c r="E418" t="s">
        <v>33</v>
      </c>
      <c r="F418">
        <v>2080</v>
      </c>
      <c r="G418">
        <v>389</v>
      </c>
      <c r="H418">
        <v>92</v>
      </c>
      <c r="I418">
        <v>30971</v>
      </c>
      <c r="J418">
        <v>25347</v>
      </c>
      <c r="K418" s="46">
        <v>111</v>
      </c>
      <c r="L418" t="s">
        <v>20</v>
      </c>
      <c r="M418">
        <v>8.2690258629040073E-2</v>
      </c>
      <c r="N418" t="s">
        <v>19</v>
      </c>
    </row>
    <row r="419" spans="1:14">
      <c r="A419" t="s">
        <v>297</v>
      </c>
      <c r="B419" t="s">
        <v>27</v>
      </c>
      <c r="C419" s="1">
        <v>45604</v>
      </c>
      <c r="D419" t="s">
        <v>14</v>
      </c>
      <c r="E419" t="s">
        <v>33</v>
      </c>
      <c r="F419">
        <v>2471</v>
      </c>
      <c r="G419">
        <v>166</v>
      </c>
      <c r="H419">
        <v>320</v>
      </c>
      <c r="I419">
        <v>48254</v>
      </c>
      <c r="J419">
        <v>46900</v>
      </c>
      <c r="K419" s="46">
        <v>111</v>
      </c>
      <c r="L419" t="s">
        <v>20</v>
      </c>
      <c r="M419">
        <v>6.1279893894806647E-2</v>
      </c>
      <c r="N419" t="s">
        <v>19</v>
      </c>
    </row>
    <row r="420" spans="1:14">
      <c r="A420" t="s">
        <v>297</v>
      </c>
      <c r="B420" t="s">
        <v>27</v>
      </c>
      <c r="C420" s="1">
        <v>45604</v>
      </c>
      <c r="D420" t="s">
        <v>14</v>
      </c>
      <c r="E420" t="s">
        <v>33</v>
      </c>
      <c r="F420">
        <v>2471</v>
      </c>
      <c r="G420">
        <v>166</v>
      </c>
      <c r="H420">
        <v>320</v>
      </c>
      <c r="I420">
        <v>48254</v>
      </c>
      <c r="J420">
        <v>46900</v>
      </c>
      <c r="K420" s="46">
        <v>111</v>
      </c>
      <c r="L420" t="s">
        <v>20</v>
      </c>
      <c r="M420">
        <v>6.1279893894806647E-2</v>
      </c>
      <c r="N420" t="s">
        <v>365</v>
      </c>
    </row>
    <row r="421" spans="1:14">
      <c r="A421" t="s">
        <v>314</v>
      </c>
      <c r="B421" t="s">
        <v>13</v>
      </c>
      <c r="C421" s="1">
        <v>45589</v>
      </c>
      <c r="D421" t="s">
        <v>23</v>
      </c>
      <c r="E421" t="s">
        <v>33</v>
      </c>
      <c r="F421">
        <v>1914</v>
      </c>
      <c r="G421">
        <v>255</v>
      </c>
      <c r="H421">
        <v>156</v>
      </c>
      <c r="I421">
        <v>27660</v>
      </c>
      <c r="J421">
        <v>47776</v>
      </c>
      <c r="K421" s="46">
        <v>111</v>
      </c>
      <c r="L421" t="s">
        <v>46</v>
      </c>
      <c r="M421">
        <v>8.4056399132321047E-2</v>
      </c>
      <c r="N421" t="s">
        <v>34</v>
      </c>
    </row>
    <row r="422" spans="1:14">
      <c r="A422" t="s">
        <v>95</v>
      </c>
      <c r="B422" t="s">
        <v>27</v>
      </c>
      <c r="C422" s="1">
        <v>45438</v>
      </c>
      <c r="D422" t="s">
        <v>14</v>
      </c>
      <c r="E422" t="s">
        <v>363</v>
      </c>
      <c r="F422">
        <v>1488</v>
      </c>
      <c r="G422">
        <v>327</v>
      </c>
      <c r="H422">
        <v>110</v>
      </c>
      <c r="I422">
        <v>53805</v>
      </c>
      <c r="J422">
        <v>30239</v>
      </c>
      <c r="K422" s="46">
        <v>109</v>
      </c>
      <c r="L422" t="s">
        <v>20</v>
      </c>
      <c r="M422">
        <v>3.5777344113000653E-2</v>
      </c>
      <c r="N422" t="s">
        <v>19</v>
      </c>
    </row>
    <row r="423" spans="1:14">
      <c r="A423" t="s">
        <v>95</v>
      </c>
      <c r="B423" t="s">
        <v>27</v>
      </c>
      <c r="C423" s="1">
        <v>45438</v>
      </c>
      <c r="D423" t="s">
        <v>14</v>
      </c>
      <c r="E423" t="s">
        <v>363</v>
      </c>
      <c r="F423">
        <v>1488</v>
      </c>
      <c r="G423">
        <v>327</v>
      </c>
      <c r="H423">
        <v>110</v>
      </c>
      <c r="I423">
        <v>53805</v>
      </c>
      <c r="J423">
        <v>30239</v>
      </c>
      <c r="K423" s="46">
        <v>109</v>
      </c>
      <c r="L423" t="s">
        <v>20</v>
      </c>
      <c r="M423">
        <v>3.5777344113000653E-2</v>
      </c>
      <c r="N423" t="s">
        <v>365</v>
      </c>
    </row>
    <row r="424" spans="1:14">
      <c r="A424" t="s">
        <v>108</v>
      </c>
      <c r="B424" t="s">
        <v>22</v>
      </c>
      <c r="C424" s="1">
        <v>45678</v>
      </c>
      <c r="D424" t="s">
        <v>23</v>
      </c>
      <c r="E424" t="s">
        <v>15</v>
      </c>
      <c r="F424">
        <v>2494</v>
      </c>
      <c r="G424">
        <v>494</v>
      </c>
      <c r="H424">
        <v>55</v>
      </c>
      <c r="I424">
        <v>22580</v>
      </c>
      <c r="J424">
        <v>22214</v>
      </c>
      <c r="K424" s="46">
        <v>109</v>
      </c>
      <c r="L424" t="s">
        <v>16</v>
      </c>
      <c r="M424">
        <v>0.13476527900797167</v>
      </c>
      <c r="N424" t="s">
        <v>364</v>
      </c>
    </row>
    <row r="425" spans="1:14">
      <c r="A425" t="s">
        <v>108</v>
      </c>
      <c r="B425" t="s">
        <v>22</v>
      </c>
      <c r="C425" s="1">
        <v>45678</v>
      </c>
      <c r="D425" t="s">
        <v>23</v>
      </c>
      <c r="E425" t="s">
        <v>15</v>
      </c>
      <c r="F425">
        <v>2494</v>
      </c>
      <c r="G425">
        <v>494</v>
      </c>
      <c r="H425">
        <v>55</v>
      </c>
      <c r="I425">
        <v>22580</v>
      </c>
      <c r="J425">
        <v>22214</v>
      </c>
      <c r="K425" s="46">
        <v>109</v>
      </c>
      <c r="L425" t="s">
        <v>16</v>
      </c>
      <c r="M425">
        <v>0.13476527900797167</v>
      </c>
      <c r="N425" t="s">
        <v>34</v>
      </c>
    </row>
    <row r="426" spans="1:14">
      <c r="A426" t="s">
        <v>100</v>
      </c>
      <c r="B426" t="s">
        <v>22</v>
      </c>
      <c r="C426" s="1">
        <v>45662</v>
      </c>
      <c r="D426" t="s">
        <v>14</v>
      </c>
      <c r="E426" t="s">
        <v>360</v>
      </c>
      <c r="F426">
        <v>4811</v>
      </c>
      <c r="G426">
        <v>473</v>
      </c>
      <c r="H426">
        <v>254</v>
      </c>
      <c r="I426">
        <v>51964</v>
      </c>
      <c r="J426">
        <v>68795</v>
      </c>
      <c r="K426" s="46">
        <v>107</v>
      </c>
      <c r="L426" t="s">
        <v>16</v>
      </c>
      <c r="M426">
        <v>0.10657378184897237</v>
      </c>
      <c r="N426" t="s">
        <v>34</v>
      </c>
    </row>
    <row r="427" spans="1:14">
      <c r="A427" t="s">
        <v>323</v>
      </c>
      <c r="B427" t="s">
        <v>27</v>
      </c>
      <c r="C427" s="1">
        <v>45765</v>
      </c>
      <c r="D427" t="s">
        <v>48</v>
      </c>
      <c r="E427" t="s">
        <v>42</v>
      </c>
      <c r="F427">
        <v>1265</v>
      </c>
      <c r="G427">
        <v>230</v>
      </c>
      <c r="H427">
        <v>364</v>
      </c>
      <c r="I427">
        <v>41312</v>
      </c>
      <c r="J427">
        <v>50382</v>
      </c>
      <c r="K427" s="46">
        <v>106</v>
      </c>
      <c r="L427" t="s">
        <v>49</v>
      </c>
      <c r="M427">
        <v>4.4999031758326875E-2</v>
      </c>
      <c r="N427" t="s">
        <v>19</v>
      </c>
    </row>
    <row r="428" spans="1:14">
      <c r="A428" t="s">
        <v>323</v>
      </c>
      <c r="B428" t="s">
        <v>27</v>
      </c>
      <c r="C428" s="1">
        <v>45765</v>
      </c>
      <c r="D428" t="s">
        <v>48</v>
      </c>
      <c r="E428" t="s">
        <v>42</v>
      </c>
      <c r="F428">
        <v>1265</v>
      </c>
      <c r="G428">
        <v>230</v>
      </c>
      <c r="H428">
        <v>364</v>
      </c>
      <c r="I428">
        <v>41312</v>
      </c>
      <c r="J428">
        <v>50382</v>
      </c>
      <c r="K428" s="46">
        <v>106</v>
      </c>
      <c r="L428" t="s">
        <v>49</v>
      </c>
      <c r="M428">
        <v>4.4999031758326875E-2</v>
      </c>
      <c r="N428" t="s">
        <v>37</v>
      </c>
    </row>
    <row r="429" spans="1:14">
      <c r="A429" t="s">
        <v>173</v>
      </c>
      <c r="B429" t="s">
        <v>13</v>
      </c>
      <c r="C429" s="1">
        <v>45460</v>
      </c>
      <c r="D429" t="s">
        <v>14</v>
      </c>
      <c r="E429" t="s">
        <v>15</v>
      </c>
      <c r="F429">
        <v>4283</v>
      </c>
      <c r="G429">
        <v>471</v>
      </c>
      <c r="H429">
        <v>156</v>
      </c>
      <c r="I429">
        <v>53004</v>
      </c>
      <c r="J429">
        <v>25678</v>
      </c>
      <c r="K429" s="46">
        <v>105</v>
      </c>
      <c r="L429" t="s">
        <v>20</v>
      </c>
      <c r="M429">
        <v>9.2634518149573616E-2</v>
      </c>
      <c r="N429" t="s">
        <v>19</v>
      </c>
    </row>
    <row r="430" spans="1:14">
      <c r="A430" t="s">
        <v>271</v>
      </c>
      <c r="B430" t="s">
        <v>22</v>
      </c>
      <c r="C430" s="1">
        <v>45550</v>
      </c>
      <c r="D430" t="s">
        <v>14</v>
      </c>
      <c r="E430" t="s">
        <v>30</v>
      </c>
      <c r="F430">
        <v>2145</v>
      </c>
      <c r="G430">
        <v>340</v>
      </c>
      <c r="H430">
        <v>85</v>
      </c>
      <c r="I430">
        <v>53323</v>
      </c>
      <c r="J430">
        <v>49938</v>
      </c>
      <c r="K430" s="46">
        <v>104</v>
      </c>
      <c r="L430" t="s">
        <v>16</v>
      </c>
      <c r="M430">
        <v>4.819683813738912E-2</v>
      </c>
      <c r="N430" t="s">
        <v>34</v>
      </c>
    </row>
    <row r="431" spans="1:14">
      <c r="A431" t="s">
        <v>275</v>
      </c>
      <c r="B431" t="s">
        <v>22</v>
      </c>
      <c r="C431" s="1">
        <v>45666</v>
      </c>
      <c r="D431" t="s">
        <v>23</v>
      </c>
      <c r="E431" t="s">
        <v>42</v>
      </c>
      <c r="F431">
        <v>3817</v>
      </c>
      <c r="G431">
        <v>284</v>
      </c>
      <c r="H431">
        <v>204</v>
      </c>
      <c r="I431">
        <v>46434</v>
      </c>
      <c r="J431">
        <v>53396</v>
      </c>
      <c r="K431" s="46">
        <v>104</v>
      </c>
      <c r="L431" t="s">
        <v>16</v>
      </c>
      <c r="M431">
        <v>9.2712236723090841E-2</v>
      </c>
      <c r="N431" t="s">
        <v>364</v>
      </c>
    </row>
    <row r="432" spans="1:14">
      <c r="A432" t="s">
        <v>275</v>
      </c>
      <c r="B432" t="s">
        <v>22</v>
      </c>
      <c r="C432" s="1">
        <v>45666</v>
      </c>
      <c r="D432" t="s">
        <v>23</v>
      </c>
      <c r="E432" t="s">
        <v>42</v>
      </c>
      <c r="F432">
        <v>3817</v>
      </c>
      <c r="G432">
        <v>284</v>
      </c>
      <c r="H432">
        <v>204</v>
      </c>
      <c r="I432">
        <v>46434</v>
      </c>
      <c r="J432">
        <v>53396</v>
      </c>
      <c r="K432" s="46">
        <v>104</v>
      </c>
      <c r="L432" t="s">
        <v>16</v>
      </c>
      <c r="M432">
        <v>9.2712236723090841E-2</v>
      </c>
      <c r="N432" t="s">
        <v>34</v>
      </c>
    </row>
    <row r="433" spans="1:14">
      <c r="A433" t="s">
        <v>53</v>
      </c>
      <c r="B433" t="s">
        <v>27</v>
      </c>
      <c r="C433" s="1">
        <v>45452</v>
      </c>
      <c r="D433" t="s">
        <v>48</v>
      </c>
      <c r="E433" t="s">
        <v>363</v>
      </c>
      <c r="F433">
        <v>2786</v>
      </c>
      <c r="G433">
        <v>368</v>
      </c>
      <c r="H433">
        <v>208</v>
      </c>
      <c r="I433">
        <v>42000</v>
      </c>
      <c r="J433">
        <v>39967</v>
      </c>
      <c r="K433" s="46">
        <v>103</v>
      </c>
      <c r="L433" t="s">
        <v>49</v>
      </c>
      <c r="M433">
        <v>8.0047619047619048E-2</v>
      </c>
      <c r="N433" t="s">
        <v>19</v>
      </c>
    </row>
    <row r="434" spans="1:14">
      <c r="A434" t="s">
        <v>53</v>
      </c>
      <c r="B434" t="s">
        <v>27</v>
      </c>
      <c r="C434" s="1">
        <v>45452</v>
      </c>
      <c r="D434" t="s">
        <v>48</v>
      </c>
      <c r="E434" t="s">
        <v>363</v>
      </c>
      <c r="F434">
        <v>2786</v>
      </c>
      <c r="G434">
        <v>368</v>
      </c>
      <c r="H434">
        <v>208</v>
      </c>
      <c r="I434">
        <v>42000</v>
      </c>
      <c r="J434">
        <v>39967</v>
      </c>
      <c r="K434" s="46">
        <v>103</v>
      </c>
      <c r="L434" t="s">
        <v>49</v>
      </c>
      <c r="M434">
        <v>8.0047619047619048E-2</v>
      </c>
      <c r="N434" t="s">
        <v>37</v>
      </c>
    </row>
    <row r="435" spans="1:14">
      <c r="A435" t="s">
        <v>254</v>
      </c>
      <c r="B435" t="s">
        <v>22</v>
      </c>
      <c r="C435" s="1">
        <v>45636</v>
      </c>
      <c r="D435" t="s">
        <v>14</v>
      </c>
      <c r="E435" t="s">
        <v>363</v>
      </c>
      <c r="F435">
        <v>4673</v>
      </c>
      <c r="G435">
        <v>270</v>
      </c>
      <c r="H435">
        <v>93</v>
      </c>
      <c r="I435">
        <v>45260</v>
      </c>
      <c r="J435">
        <v>57513</v>
      </c>
      <c r="K435" s="46">
        <v>103</v>
      </c>
      <c r="L435" t="s">
        <v>16</v>
      </c>
      <c r="M435">
        <v>0.11126822801590809</v>
      </c>
      <c r="N435" t="s">
        <v>34</v>
      </c>
    </row>
    <row r="436" spans="1:14">
      <c r="A436" t="s">
        <v>137</v>
      </c>
      <c r="B436" t="s">
        <v>22</v>
      </c>
      <c r="C436" s="1">
        <v>45670</v>
      </c>
      <c r="D436" t="s">
        <v>14</v>
      </c>
      <c r="E436" t="s">
        <v>361</v>
      </c>
      <c r="F436">
        <v>4090</v>
      </c>
      <c r="G436">
        <v>209</v>
      </c>
      <c r="H436">
        <v>278</v>
      </c>
      <c r="I436">
        <v>52853</v>
      </c>
      <c r="J436">
        <v>57084</v>
      </c>
      <c r="K436" s="46">
        <v>102</v>
      </c>
      <c r="L436" t="s">
        <v>20</v>
      </c>
      <c r="M436">
        <v>8.6598679355949518E-2</v>
      </c>
      <c r="N436" t="s">
        <v>37</v>
      </c>
    </row>
    <row r="437" spans="1:14">
      <c r="A437" t="s">
        <v>105</v>
      </c>
      <c r="B437" t="s">
        <v>22</v>
      </c>
      <c r="C437" s="1">
        <v>45313</v>
      </c>
      <c r="D437" t="s">
        <v>23</v>
      </c>
      <c r="E437" t="s">
        <v>363</v>
      </c>
      <c r="F437">
        <v>1554</v>
      </c>
      <c r="G437">
        <v>455</v>
      </c>
      <c r="H437">
        <v>158</v>
      </c>
      <c r="I437">
        <v>41947</v>
      </c>
      <c r="J437">
        <v>48578</v>
      </c>
      <c r="K437" s="46">
        <v>101</v>
      </c>
      <c r="L437" t="s">
        <v>16</v>
      </c>
      <c r="M437">
        <v>5.1660428636136076E-2</v>
      </c>
      <c r="N437" t="s">
        <v>37</v>
      </c>
    </row>
    <row r="438" spans="1:14">
      <c r="A438" t="s">
        <v>105</v>
      </c>
      <c r="B438" t="s">
        <v>22</v>
      </c>
      <c r="C438" s="1">
        <v>45313</v>
      </c>
      <c r="D438" t="s">
        <v>23</v>
      </c>
      <c r="E438" t="s">
        <v>363</v>
      </c>
      <c r="F438">
        <v>1554</v>
      </c>
      <c r="G438">
        <v>455</v>
      </c>
      <c r="H438">
        <v>158</v>
      </c>
      <c r="I438">
        <v>41947</v>
      </c>
      <c r="J438">
        <v>48578</v>
      </c>
      <c r="K438" s="46">
        <v>101</v>
      </c>
      <c r="L438" t="s">
        <v>16</v>
      </c>
      <c r="M438">
        <v>5.1660428636136076E-2</v>
      </c>
      <c r="N438" t="s">
        <v>34</v>
      </c>
    </row>
    <row r="439" spans="1:14">
      <c r="A439" t="s">
        <v>258</v>
      </c>
      <c r="B439" t="s">
        <v>27</v>
      </c>
      <c r="C439" s="1">
        <v>45442</v>
      </c>
      <c r="D439" t="s">
        <v>48</v>
      </c>
      <c r="E439" t="s">
        <v>362</v>
      </c>
      <c r="F439">
        <v>1060</v>
      </c>
      <c r="G439">
        <v>442</v>
      </c>
      <c r="H439">
        <v>319</v>
      </c>
      <c r="I439">
        <v>57194</v>
      </c>
      <c r="J439">
        <v>24258</v>
      </c>
      <c r="K439" s="46">
        <v>101</v>
      </c>
      <c r="L439" t="s">
        <v>49</v>
      </c>
      <c r="M439">
        <v>3.1839004091338254E-2</v>
      </c>
      <c r="N439" t="s">
        <v>19</v>
      </c>
    </row>
    <row r="440" spans="1:14">
      <c r="A440" t="s">
        <v>258</v>
      </c>
      <c r="B440" t="s">
        <v>27</v>
      </c>
      <c r="C440" s="1">
        <v>45442</v>
      </c>
      <c r="D440" t="s">
        <v>48</v>
      </c>
      <c r="E440" t="s">
        <v>362</v>
      </c>
      <c r="F440">
        <v>1060</v>
      </c>
      <c r="G440">
        <v>442</v>
      </c>
      <c r="H440">
        <v>319</v>
      </c>
      <c r="I440">
        <v>57194</v>
      </c>
      <c r="J440">
        <v>24258</v>
      </c>
      <c r="K440" s="46">
        <v>101</v>
      </c>
      <c r="L440" t="s">
        <v>49</v>
      </c>
      <c r="M440">
        <v>3.1839004091338254E-2</v>
      </c>
      <c r="N440" t="s">
        <v>37</v>
      </c>
    </row>
    <row r="441" spans="1:14">
      <c r="A441" t="s">
        <v>192</v>
      </c>
      <c r="B441" t="s">
        <v>13</v>
      </c>
      <c r="C441" s="1">
        <v>45610</v>
      </c>
      <c r="D441" t="s">
        <v>14</v>
      </c>
      <c r="E441" t="s">
        <v>361</v>
      </c>
      <c r="F441">
        <v>2422</v>
      </c>
      <c r="G441">
        <v>318</v>
      </c>
      <c r="H441">
        <v>118</v>
      </c>
      <c r="I441">
        <v>25386</v>
      </c>
      <c r="J441">
        <v>20873</v>
      </c>
      <c r="K441" s="46">
        <v>100</v>
      </c>
      <c r="L441" t="s">
        <v>16</v>
      </c>
      <c r="M441">
        <v>0.11258173796580792</v>
      </c>
      <c r="N441" t="s">
        <v>37</v>
      </c>
    </row>
    <row r="442" spans="1:14">
      <c r="A442" t="s">
        <v>192</v>
      </c>
      <c r="B442" t="s">
        <v>13</v>
      </c>
      <c r="C442" s="1">
        <v>45610</v>
      </c>
      <c r="D442" t="s">
        <v>14</v>
      </c>
      <c r="E442" t="s">
        <v>361</v>
      </c>
      <c r="F442">
        <v>2422</v>
      </c>
      <c r="G442">
        <v>318</v>
      </c>
      <c r="H442">
        <v>118</v>
      </c>
      <c r="I442">
        <v>25386</v>
      </c>
      <c r="J442">
        <v>20873</v>
      </c>
      <c r="K442" s="46">
        <v>100</v>
      </c>
      <c r="L442" t="s">
        <v>16</v>
      </c>
      <c r="M442">
        <v>0.11258173796580792</v>
      </c>
      <c r="N442" t="s">
        <v>34</v>
      </c>
    </row>
    <row r="443" spans="1:14">
      <c r="A443" t="s">
        <v>124</v>
      </c>
      <c r="B443" t="s">
        <v>22</v>
      </c>
      <c r="C443" s="1">
        <v>45609</v>
      </c>
      <c r="D443" t="s">
        <v>23</v>
      </c>
      <c r="E443" t="s">
        <v>33</v>
      </c>
      <c r="F443">
        <v>4628</v>
      </c>
      <c r="G443">
        <v>257</v>
      </c>
      <c r="H443">
        <v>397</v>
      </c>
      <c r="I443">
        <v>36686</v>
      </c>
      <c r="J443">
        <v>54683</v>
      </c>
      <c r="K443" s="46">
        <v>98</v>
      </c>
      <c r="L443" t="s">
        <v>16</v>
      </c>
      <c r="M443">
        <v>0.1439786294499264</v>
      </c>
      <c r="N443" t="s">
        <v>37</v>
      </c>
    </row>
    <row r="444" spans="1:14">
      <c r="A444" t="s">
        <v>124</v>
      </c>
      <c r="B444" t="s">
        <v>22</v>
      </c>
      <c r="C444" s="1">
        <v>45609</v>
      </c>
      <c r="D444" t="s">
        <v>23</v>
      </c>
      <c r="E444" t="s">
        <v>33</v>
      </c>
      <c r="F444">
        <v>4628</v>
      </c>
      <c r="G444">
        <v>257</v>
      </c>
      <c r="H444">
        <v>397</v>
      </c>
      <c r="I444">
        <v>36686</v>
      </c>
      <c r="J444">
        <v>54683</v>
      </c>
      <c r="K444" s="46">
        <v>98</v>
      </c>
      <c r="L444" t="s">
        <v>16</v>
      </c>
      <c r="M444">
        <v>0.1439786294499264</v>
      </c>
      <c r="N444" t="s">
        <v>34</v>
      </c>
    </row>
    <row r="445" spans="1:14">
      <c r="A445" t="s">
        <v>205</v>
      </c>
      <c r="B445" t="s">
        <v>22</v>
      </c>
      <c r="C445" s="1">
        <v>45748</v>
      </c>
      <c r="D445" t="s">
        <v>23</v>
      </c>
      <c r="E445" t="s">
        <v>361</v>
      </c>
      <c r="F445">
        <v>2665</v>
      </c>
      <c r="G445">
        <v>143</v>
      </c>
      <c r="H445">
        <v>315</v>
      </c>
      <c r="I445">
        <v>54808</v>
      </c>
      <c r="J445">
        <v>29818</v>
      </c>
      <c r="K445" s="46">
        <v>98</v>
      </c>
      <c r="L445" t="s">
        <v>16</v>
      </c>
      <c r="M445">
        <v>5.6980732739746021E-2</v>
      </c>
      <c r="N445" t="s">
        <v>19</v>
      </c>
    </row>
    <row r="446" spans="1:14">
      <c r="A446" t="s">
        <v>205</v>
      </c>
      <c r="B446" t="s">
        <v>22</v>
      </c>
      <c r="C446" s="1">
        <v>45748</v>
      </c>
      <c r="D446" t="s">
        <v>23</v>
      </c>
      <c r="E446" t="s">
        <v>361</v>
      </c>
      <c r="F446">
        <v>2665</v>
      </c>
      <c r="G446">
        <v>143</v>
      </c>
      <c r="H446">
        <v>315</v>
      </c>
      <c r="I446">
        <v>54808</v>
      </c>
      <c r="J446">
        <v>29818</v>
      </c>
      <c r="K446" s="46">
        <v>98</v>
      </c>
      <c r="L446" t="s">
        <v>16</v>
      </c>
      <c r="M446">
        <v>5.6980732739746021E-2</v>
      </c>
      <c r="N446" t="s">
        <v>364</v>
      </c>
    </row>
    <row r="447" spans="1:14">
      <c r="A447" t="s">
        <v>279</v>
      </c>
      <c r="B447" t="s">
        <v>13</v>
      </c>
      <c r="C447" s="1">
        <v>45357</v>
      </c>
      <c r="D447" t="s">
        <v>14</v>
      </c>
      <c r="E447" t="s">
        <v>362</v>
      </c>
      <c r="F447">
        <v>3529</v>
      </c>
      <c r="G447">
        <v>263</v>
      </c>
      <c r="H447">
        <v>107</v>
      </c>
      <c r="I447">
        <v>26570</v>
      </c>
      <c r="J447">
        <v>19367</v>
      </c>
      <c r="K447" s="46">
        <v>96</v>
      </c>
      <c r="L447" t="s">
        <v>20</v>
      </c>
      <c r="M447">
        <v>0.14674444862627023</v>
      </c>
      <c r="N447" t="s">
        <v>19</v>
      </c>
    </row>
    <row r="448" spans="1:14">
      <c r="A448" t="s">
        <v>47</v>
      </c>
      <c r="B448" t="s">
        <v>27</v>
      </c>
      <c r="C448" s="1">
        <v>45458</v>
      </c>
      <c r="D448" t="s">
        <v>48</v>
      </c>
      <c r="E448" t="s">
        <v>30</v>
      </c>
      <c r="F448">
        <v>1751</v>
      </c>
      <c r="G448">
        <v>143</v>
      </c>
      <c r="H448">
        <v>151</v>
      </c>
      <c r="I448">
        <v>31826</v>
      </c>
      <c r="J448">
        <v>47729</v>
      </c>
      <c r="K448" s="46">
        <v>95</v>
      </c>
      <c r="L448" t="s">
        <v>49</v>
      </c>
      <c r="M448">
        <v>6.4255640042732362E-2</v>
      </c>
      <c r="N448" t="s">
        <v>19</v>
      </c>
    </row>
    <row r="449" spans="1:14">
      <c r="A449" t="s">
        <v>47</v>
      </c>
      <c r="B449" t="s">
        <v>27</v>
      </c>
      <c r="C449" s="1">
        <v>45458</v>
      </c>
      <c r="D449" t="s">
        <v>48</v>
      </c>
      <c r="E449" t="s">
        <v>30</v>
      </c>
      <c r="F449">
        <v>1751</v>
      </c>
      <c r="G449">
        <v>143</v>
      </c>
      <c r="H449">
        <v>151</v>
      </c>
      <c r="I449">
        <v>31826</v>
      </c>
      <c r="J449">
        <v>47729</v>
      </c>
      <c r="K449" s="46">
        <v>95</v>
      </c>
      <c r="L449" t="s">
        <v>49</v>
      </c>
      <c r="M449">
        <v>6.4255640042732362E-2</v>
      </c>
      <c r="N449" t="s">
        <v>37</v>
      </c>
    </row>
    <row r="450" spans="1:14">
      <c r="A450" t="s">
        <v>76</v>
      </c>
      <c r="B450" t="s">
        <v>13</v>
      </c>
      <c r="C450" s="1">
        <v>45334</v>
      </c>
      <c r="D450" t="s">
        <v>14</v>
      </c>
      <c r="E450" t="s">
        <v>18</v>
      </c>
      <c r="F450">
        <v>2923</v>
      </c>
      <c r="G450">
        <v>330</v>
      </c>
      <c r="H450">
        <v>250</v>
      </c>
      <c r="I450">
        <v>23993</v>
      </c>
      <c r="J450">
        <v>74590</v>
      </c>
      <c r="K450" s="46">
        <v>92</v>
      </c>
      <c r="L450" t="s">
        <v>20</v>
      </c>
      <c r="M450">
        <v>0.14600091693410577</v>
      </c>
      <c r="N450" t="s">
        <v>19</v>
      </c>
    </row>
    <row r="451" spans="1:14">
      <c r="A451" t="s">
        <v>172</v>
      </c>
      <c r="B451" t="s">
        <v>13</v>
      </c>
      <c r="C451" s="1">
        <v>45647</v>
      </c>
      <c r="D451" t="s">
        <v>23</v>
      </c>
      <c r="E451" t="s">
        <v>24</v>
      </c>
      <c r="F451">
        <v>4563</v>
      </c>
      <c r="G451">
        <v>398</v>
      </c>
      <c r="H451">
        <v>163</v>
      </c>
      <c r="I451">
        <v>43679</v>
      </c>
      <c r="J451">
        <v>48760</v>
      </c>
      <c r="K451" s="46">
        <v>92</v>
      </c>
      <c r="L451" t="s">
        <v>46</v>
      </c>
      <c r="M451">
        <v>0.11731037798484398</v>
      </c>
      <c r="N451" t="s">
        <v>34</v>
      </c>
    </row>
    <row r="452" spans="1:14">
      <c r="A452" t="s">
        <v>184</v>
      </c>
      <c r="B452" t="s">
        <v>13</v>
      </c>
      <c r="C452" s="1">
        <v>45615</v>
      </c>
      <c r="D452" t="s">
        <v>14</v>
      </c>
      <c r="E452" t="s">
        <v>362</v>
      </c>
      <c r="F452">
        <v>2525</v>
      </c>
      <c r="G452">
        <v>272</v>
      </c>
      <c r="H452">
        <v>294</v>
      </c>
      <c r="I452">
        <v>51875</v>
      </c>
      <c r="J452">
        <v>24732</v>
      </c>
      <c r="K452" s="46">
        <v>92</v>
      </c>
      <c r="L452" t="s">
        <v>20</v>
      </c>
      <c r="M452">
        <v>5.9585542168674697E-2</v>
      </c>
      <c r="N452" t="s">
        <v>19</v>
      </c>
    </row>
    <row r="453" spans="1:14">
      <c r="A453" t="s">
        <v>136</v>
      </c>
      <c r="B453" t="s">
        <v>22</v>
      </c>
      <c r="C453" s="1">
        <v>45677</v>
      </c>
      <c r="D453" t="s">
        <v>23</v>
      </c>
      <c r="E453" t="s">
        <v>24</v>
      </c>
      <c r="F453">
        <v>4619</v>
      </c>
      <c r="G453">
        <v>272</v>
      </c>
      <c r="H453">
        <v>57</v>
      </c>
      <c r="I453">
        <v>21334</v>
      </c>
      <c r="J453">
        <v>46292</v>
      </c>
      <c r="K453" s="46">
        <v>91</v>
      </c>
      <c r="L453" t="s">
        <v>16</v>
      </c>
      <c r="M453">
        <v>0.23193025217961938</v>
      </c>
      <c r="N453" t="s">
        <v>37</v>
      </c>
    </row>
    <row r="454" spans="1:14">
      <c r="A454" t="s">
        <v>136</v>
      </c>
      <c r="B454" t="s">
        <v>22</v>
      </c>
      <c r="C454" s="1">
        <v>45677</v>
      </c>
      <c r="D454" t="s">
        <v>23</v>
      </c>
      <c r="E454" t="s">
        <v>24</v>
      </c>
      <c r="F454">
        <v>4619</v>
      </c>
      <c r="G454">
        <v>272</v>
      </c>
      <c r="H454">
        <v>57</v>
      </c>
      <c r="I454">
        <v>21334</v>
      </c>
      <c r="J454">
        <v>46292</v>
      </c>
      <c r="K454" s="46">
        <v>91</v>
      </c>
      <c r="L454" t="s">
        <v>16</v>
      </c>
      <c r="M454">
        <v>0.23193025217961938</v>
      </c>
      <c r="N454" t="s">
        <v>34</v>
      </c>
    </row>
    <row r="455" spans="1:14">
      <c r="A455" t="s">
        <v>50</v>
      </c>
      <c r="B455" t="s">
        <v>13</v>
      </c>
      <c r="C455" s="1">
        <v>45478</v>
      </c>
      <c r="D455" t="s">
        <v>14</v>
      </c>
      <c r="E455" t="s">
        <v>42</v>
      </c>
      <c r="F455">
        <v>3753</v>
      </c>
      <c r="G455">
        <v>411</v>
      </c>
      <c r="H455">
        <v>308</v>
      </c>
      <c r="I455">
        <v>29138</v>
      </c>
      <c r="J455">
        <v>27678</v>
      </c>
      <c r="K455" s="46">
        <v>90</v>
      </c>
      <c r="L455" t="s">
        <v>20</v>
      </c>
      <c r="M455">
        <v>0.15347655981879332</v>
      </c>
      <c r="N455" t="s">
        <v>19</v>
      </c>
    </row>
    <row r="456" spans="1:14">
      <c r="A456" t="s">
        <v>285</v>
      </c>
      <c r="B456" t="s">
        <v>22</v>
      </c>
      <c r="C456" s="1">
        <v>45385</v>
      </c>
      <c r="D456" t="s">
        <v>23</v>
      </c>
      <c r="E456" t="s">
        <v>33</v>
      </c>
      <c r="F456">
        <v>2291</v>
      </c>
      <c r="G456">
        <v>146</v>
      </c>
      <c r="H456">
        <v>399</v>
      </c>
      <c r="I456">
        <v>49319</v>
      </c>
      <c r="J456">
        <v>28056</v>
      </c>
      <c r="K456" s="46">
        <v>90</v>
      </c>
      <c r="L456" t="s">
        <v>16</v>
      </c>
      <c r="M456">
        <v>5.7503193495407452E-2</v>
      </c>
      <c r="N456" t="s">
        <v>19</v>
      </c>
    </row>
    <row r="457" spans="1:14">
      <c r="A457" t="s">
        <v>285</v>
      </c>
      <c r="B457" t="s">
        <v>22</v>
      </c>
      <c r="C457" s="1">
        <v>45385</v>
      </c>
      <c r="D457" t="s">
        <v>23</v>
      </c>
      <c r="E457" t="s">
        <v>33</v>
      </c>
      <c r="F457">
        <v>2291</v>
      </c>
      <c r="G457">
        <v>146</v>
      </c>
      <c r="H457">
        <v>399</v>
      </c>
      <c r="I457">
        <v>49319</v>
      </c>
      <c r="J457">
        <v>28056</v>
      </c>
      <c r="K457" s="46">
        <v>90</v>
      </c>
      <c r="L457" t="s">
        <v>16</v>
      </c>
      <c r="M457">
        <v>5.7503193495407452E-2</v>
      </c>
      <c r="N457" t="s">
        <v>364</v>
      </c>
    </row>
    <row r="458" spans="1:14">
      <c r="A458" t="s">
        <v>36</v>
      </c>
      <c r="B458" t="s">
        <v>22</v>
      </c>
      <c r="C458" s="1">
        <v>45357</v>
      </c>
      <c r="D458" t="s">
        <v>14</v>
      </c>
      <c r="E458" t="s">
        <v>15</v>
      </c>
      <c r="F458">
        <v>1971</v>
      </c>
      <c r="G458">
        <v>370</v>
      </c>
      <c r="H458">
        <v>306</v>
      </c>
      <c r="I458">
        <v>31316</v>
      </c>
      <c r="J458">
        <v>27897</v>
      </c>
      <c r="K458" s="46">
        <v>88</v>
      </c>
      <c r="L458" t="s">
        <v>20</v>
      </c>
      <c r="M458">
        <v>8.4525482181632389E-2</v>
      </c>
      <c r="N458" t="s">
        <v>37</v>
      </c>
    </row>
    <row r="459" spans="1:14">
      <c r="A459" t="s">
        <v>104</v>
      </c>
      <c r="B459" t="s">
        <v>22</v>
      </c>
      <c r="C459" s="1">
        <v>45431</v>
      </c>
      <c r="D459" t="s">
        <v>23</v>
      </c>
      <c r="E459" t="s">
        <v>30</v>
      </c>
      <c r="F459">
        <v>1763</v>
      </c>
      <c r="G459">
        <v>206</v>
      </c>
      <c r="H459">
        <v>187</v>
      </c>
      <c r="I459">
        <v>53342</v>
      </c>
      <c r="J459">
        <v>25095</v>
      </c>
      <c r="K459" s="46">
        <v>88</v>
      </c>
      <c r="L459" t="s">
        <v>16</v>
      </c>
      <c r="M459">
        <v>4.0418432004799221E-2</v>
      </c>
      <c r="N459" t="s">
        <v>19</v>
      </c>
    </row>
    <row r="460" spans="1:14">
      <c r="A460" t="s">
        <v>104</v>
      </c>
      <c r="B460" t="s">
        <v>22</v>
      </c>
      <c r="C460" s="1">
        <v>45431</v>
      </c>
      <c r="D460" t="s">
        <v>23</v>
      </c>
      <c r="E460" t="s">
        <v>30</v>
      </c>
      <c r="F460">
        <v>1763</v>
      </c>
      <c r="G460">
        <v>206</v>
      </c>
      <c r="H460">
        <v>187</v>
      </c>
      <c r="I460">
        <v>53342</v>
      </c>
      <c r="J460">
        <v>25095</v>
      </c>
      <c r="K460" s="46">
        <v>88</v>
      </c>
      <c r="L460" t="s">
        <v>16</v>
      </c>
      <c r="M460">
        <v>4.0418432004799221E-2</v>
      </c>
      <c r="N460" t="s">
        <v>364</v>
      </c>
    </row>
    <row r="461" spans="1:14">
      <c r="A461" t="s">
        <v>107</v>
      </c>
      <c r="B461" t="s">
        <v>22</v>
      </c>
      <c r="C461" s="1">
        <v>45805</v>
      </c>
      <c r="D461" t="s">
        <v>14</v>
      </c>
      <c r="E461" t="s">
        <v>363</v>
      </c>
      <c r="F461">
        <v>2418</v>
      </c>
      <c r="G461">
        <v>161</v>
      </c>
      <c r="H461">
        <v>360</v>
      </c>
      <c r="I461">
        <v>30589</v>
      </c>
      <c r="J461">
        <v>41383</v>
      </c>
      <c r="K461" s="46">
        <v>88</v>
      </c>
      <c r="L461" t="s">
        <v>16</v>
      </c>
      <c r="M461">
        <v>9.6080290300434801E-2</v>
      </c>
      <c r="N461" t="s">
        <v>34</v>
      </c>
    </row>
    <row r="462" spans="1:14">
      <c r="A462" t="s">
        <v>180</v>
      </c>
      <c r="B462" t="s">
        <v>22</v>
      </c>
      <c r="C462" s="1">
        <v>45442</v>
      </c>
      <c r="D462" t="s">
        <v>23</v>
      </c>
      <c r="E462" t="s">
        <v>42</v>
      </c>
      <c r="F462">
        <v>2311</v>
      </c>
      <c r="G462">
        <v>207</v>
      </c>
      <c r="H462">
        <v>363</v>
      </c>
      <c r="I462">
        <v>30349</v>
      </c>
      <c r="J462">
        <v>32925</v>
      </c>
      <c r="K462" s="46">
        <v>88</v>
      </c>
      <c r="L462" t="s">
        <v>16</v>
      </c>
      <c r="M462">
        <v>9.4928992718046723E-2</v>
      </c>
      <c r="N462" t="s">
        <v>364</v>
      </c>
    </row>
    <row r="463" spans="1:14">
      <c r="A463" t="s">
        <v>180</v>
      </c>
      <c r="B463" t="s">
        <v>22</v>
      </c>
      <c r="C463" s="1">
        <v>45442</v>
      </c>
      <c r="D463" t="s">
        <v>23</v>
      </c>
      <c r="E463" t="s">
        <v>42</v>
      </c>
      <c r="F463">
        <v>2311</v>
      </c>
      <c r="G463">
        <v>207</v>
      </c>
      <c r="H463">
        <v>363</v>
      </c>
      <c r="I463">
        <v>30349</v>
      </c>
      <c r="J463">
        <v>32925</v>
      </c>
      <c r="K463" s="46">
        <v>88</v>
      </c>
      <c r="L463" t="s">
        <v>16</v>
      </c>
      <c r="M463">
        <v>9.4928992718046723E-2</v>
      </c>
      <c r="N463" t="s">
        <v>34</v>
      </c>
    </row>
    <row r="464" spans="1:14">
      <c r="A464" t="s">
        <v>83</v>
      </c>
      <c r="B464" t="s">
        <v>22</v>
      </c>
      <c r="C464" s="1">
        <v>45516</v>
      </c>
      <c r="D464" t="s">
        <v>23</v>
      </c>
      <c r="E464" t="s">
        <v>362</v>
      </c>
      <c r="F464">
        <v>2842</v>
      </c>
      <c r="G464">
        <v>213</v>
      </c>
      <c r="H464">
        <v>331</v>
      </c>
      <c r="I464">
        <v>57660</v>
      </c>
      <c r="J464">
        <v>68606</v>
      </c>
      <c r="K464" s="46">
        <v>87</v>
      </c>
      <c r="L464" t="s">
        <v>16</v>
      </c>
      <c r="M464">
        <v>5.8723551855705859E-2</v>
      </c>
      <c r="N464" t="s">
        <v>364</v>
      </c>
    </row>
    <row r="465" spans="1:14">
      <c r="A465" t="s">
        <v>83</v>
      </c>
      <c r="B465" t="s">
        <v>22</v>
      </c>
      <c r="C465" s="1">
        <v>45516</v>
      </c>
      <c r="D465" t="s">
        <v>23</v>
      </c>
      <c r="E465" t="s">
        <v>362</v>
      </c>
      <c r="F465">
        <v>2842</v>
      </c>
      <c r="G465">
        <v>213</v>
      </c>
      <c r="H465">
        <v>331</v>
      </c>
      <c r="I465">
        <v>57660</v>
      </c>
      <c r="J465">
        <v>68606</v>
      </c>
      <c r="K465" s="46">
        <v>87</v>
      </c>
      <c r="L465" t="s">
        <v>16</v>
      </c>
      <c r="M465">
        <v>5.8723551855705859E-2</v>
      </c>
      <c r="N465" t="s">
        <v>34</v>
      </c>
    </row>
    <row r="466" spans="1:14">
      <c r="A466" t="s">
        <v>183</v>
      </c>
      <c r="B466" t="s">
        <v>22</v>
      </c>
      <c r="C466" s="1">
        <v>45819</v>
      </c>
      <c r="D466" t="s">
        <v>23</v>
      </c>
      <c r="E466" t="s">
        <v>18</v>
      </c>
      <c r="F466">
        <v>3805</v>
      </c>
      <c r="G466">
        <v>453</v>
      </c>
      <c r="H466">
        <v>63</v>
      </c>
      <c r="I466">
        <v>52395</v>
      </c>
      <c r="J466">
        <v>72934</v>
      </c>
      <c r="K466" s="46">
        <v>87</v>
      </c>
      <c r="L466" t="s">
        <v>16</v>
      </c>
      <c r="M466">
        <v>8.2469701307376658E-2</v>
      </c>
      <c r="N466" t="s">
        <v>19</v>
      </c>
    </row>
    <row r="467" spans="1:14">
      <c r="A467" t="s">
        <v>183</v>
      </c>
      <c r="B467" t="s">
        <v>22</v>
      </c>
      <c r="C467" s="1">
        <v>45819</v>
      </c>
      <c r="D467" t="s">
        <v>23</v>
      </c>
      <c r="E467" t="s">
        <v>18</v>
      </c>
      <c r="F467">
        <v>3805</v>
      </c>
      <c r="G467">
        <v>453</v>
      </c>
      <c r="H467">
        <v>63</v>
      </c>
      <c r="I467">
        <v>52395</v>
      </c>
      <c r="J467">
        <v>72934</v>
      </c>
      <c r="K467" s="46">
        <v>87</v>
      </c>
      <c r="L467" t="s">
        <v>16</v>
      </c>
      <c r="M467">
        <v>8.2469701307376658E-2</v>
      </c>
      <c r="N467" t="s">
        <v>364</v>
      </c>
    </row>
    <row r="468" spans="1:14">
      <c r="A468" t="s">
        <v>38</v>
      </c>
      <c r="B468" t="s">
        <v>13</v>
      </c>
      <c r="C468" s="1">
        <v>45426</v>
      </c>
      <c r="D468" t="s">
        <v>14</v>
      </c>
      <c r="E468" t="s">
        <v>15</v>
      </c>
      <c r="F468">
        <v>1485</v>
      </c>
      <c r="G468">
        <v>353</v>
      </c>
      <c r="H468">
        <v>244</v>
      </c>
      <c r="I468">
        <v>38419</v>
      </c>
      <c r="J468">
        <v>38556</v>
      </c>
      <c r="K468" s="46">
        <v>86</v>
      </c>
      <c r="L468" t="s">
        <v>16</v>
      </c>
      <c r="M468">
        <v>5.4191936281527367E-2</v>
      </c>
      <c r="N468" t="s">
        <v>37</v>
      </c>
    </row>
    <row r="469" spans="1:14">
      <c r="A469" t="s">
        <v>38</v>
      </c>
      <c r="B469" t="s">
        <v>13</v>
      </c>
      <c r="C469" s="1">
        <v>45426</v>
      </c>
      <c r="D469" t="s">
        <v>14</v>
      </c>
      <c r="E469" t="s">
        <v>15</v>
      </c>
      <c r="F469">
        <v>1485</v>
      </c>
      <c r="G469">
        <v>353</v>
      </c>
      <c r="H469">
        <v>244</v>
      </c>
      <c r="I469">
        <v>38419</v>
      </c>
      <c r="J469">
        <v>38556</v>
      </c>
      <c r="K469" s="46">
        <v>86</v>
      </c>
      <c r="L469" t="s">
        <v>16</v>
      </c>
      <c r="M469">
        <v>5.4191936281527367E-2</v>
      </c>
      <c r="N469" t="s">
        <v>34</v>
      </c>
    </row>
    <row r="470" spans="1:14">
      <c r="A470" t="s">
        <v>210</v>
      </c>
      <c r="B470" t="s">
        <v>22</v>
      </c>
      <c r="C470" s="1">
        <v>45777</v>
      </c>
      <c r="D470" t="s">
        <v>23</v>
      </c>
      <c r="E470" t="s">
        <v>360</v>
      </c>
      <c r="F470">
        <v>3929</v>
      </c>
      <c r="G470">
        <v>275</v>
      </c>
      <c r="H470">
        <v>330</v>
      </c>
      <c r="I470">
        <v>58329</v>
      </c>
      <c r="J470">
        <v>33196</v>
      </c>
      <c r="K470" s="46">
        <v>85</v>
      </c>
      <c r="L470" t="s">
        <v>16</v>
      </c>
      <c r="M470">
        <v>7.7731488624869283E-2</v>
      </c>
      <c r="N470" t="s">
        <v>364</v>
      </c>
    </row>
    <row r="471" spans="1:14">
      <c r="A471" t="s">
        <v>210</v>
      </c>
      <c r="B471" t="s">
        <v>22</v>
      </c>
      <c r="C471" s="1">
        <v>45777</v>
      </c>
      <c r="D471" t="s">
        <v>23</v>
      </c>
      <c r="E471" t="s">
        <v>360</v>
      </c>
      <c r="F471">
        <v>3929</v>
      </c>
      <c r="G471">
        <v>275</v>
      </c>
      <c r="H471">
        <v>330</v>
      </c>
      <c r="I471">
        <v>58329</v>
      </c>
      <c r="J471">
        <v>33196</v>
      </c>
      <c r="K471" s="46">
        <v>85</v>
      </c>
      <c r="L471" t="s">
        <v>16</v>
      </c>
      <c r="M471">
        <v>7.7731488624869283E-2</v>
      </c>
      <c r="N471" t="s">
        <v>34</v>
      </c>
    </row>
    <row r="472" spans="1:14">
      <c r="A472" t="s">
        <v>298</v>
      </c>
      <c r="B472" t="s">
        <v>27</v>
      </c>
      <c r="C472" s="1">
        <v>45368</v>
      </c>
      <c r="D472" t="s">
        <v>48</v>
      </c>
      <c r="E472" t="s">
        <v>18</v>
      </c>
      <c r="F472">
        <v>2692</v>
      </c>
      <c r="G472">
        <v>446</v>
      </c>
      <c r="H472">
        <v>216</v>
      </c>
      <c r="I472">
        <v>45818</v>
      </c>
      <c r="J472">
        <v>62723</v>
      </c>
      <c r="K472" s="46">
        <v>85</v>
      </c>
      <c r="L472" t="s">
        <v>49</v>
      </c>
      <c r="M472">
        <v>7.3202671439172376E-2</v>
      </c>
      <c r="N472" t="s">
        <v>19</v>
      </c>
    </row>
    <row r="473" spans="1:14">
      <c r="A473" t="s">
        <v>298</v>
      </c>
      <c r="B473" t="s">
        <v>27</v>
      </c>
      <c r="C473" s="1">
        <v>45368</v>
      </c>
      <c r="D473" t="s">
        <v>48</v>
      </c>
      <c r="E473" t="s">
        <v>18</v>
      </c>
      <c r="F473">
        <v>2692</v>
      </c>
      <c r="G473">
        <v>446</v>
      </c>
      <c r="H473">
        <v>216</v>
      </c>
      <c r="I473">
        <v>45818</v>
      </c>
      <c r="J473">
        <v>62723</v>
      </c>
      <c r="K473" s="46">
        <v>85</v>
      </c>
      <c r="L473" t="s">
        <v>49</v>
      </c>
      <c r="M473">
        <v>7.3202671439172376E-2</v>
      </c>
      <c r="N473" t="s">
        <v>37</v>
      </c>
    </row>
    <row r="474" spans="1:14">
      <c r="A474" t="s">
        <v>52</v>
      </c>
      <c r="B474" t="s">
        <v>13</v>
      </c>
      <c r="C474" s="1">
        <v>45823</v>
      </c>
      <c r="D474" t="s">
        <v>14</v>
      </c>
      <c r="E474" t="s">
        <v>362</v>
      </c>
      <c r="F474">
        <v>4896</v>
      </c>
      <c r="G474">
        <v>466</v>
      </c>
      <c r="H474">
        <v>233</v>
      </c>
      <c r="I474">
        <v>28621</v>
      </c>
      <c r="J474">
        <v>34270</v>
      </c>
      <c r="K474" s="46">
        <v>84</v>
      </c>
      <c r="L474" t="s">
        <v>16</v>
      </c>
      <c r="M474">
        <v>0.19548583208133888</v>
      </c>
      <c r="N474" t="s">
        <v>37</v>
      </c>
    </row>
    <row r="475" spans="1:14">
      <c r="A475" t="s">
        <v>52</v>
      </c>
      <c r="B475" t="s">
        <v>13</v>
      </c>
      <c r="C475" s="1">
        <v>45823</v>
      </c>
      <c r="D475" t="s">
        <v>14</v>
      </c>
      <c r="E475" t="s">
        <v>362</v>
      </c>
      <c r="F475">
        <v>4896</v>
      </c>
      <c r="G475">
        <v>466</v>
      </c>
      <c r="H475">
        <v>233</v>
      </c>
      <c r="I475">
        <v>28621</v>
      </c>
      <c r="J475">
        <v>34270</v>
      </c>
      <c r="K475" s="46">
        <v>84</v>
      </c>
      <c r="L475" t="s">
        <v>16</v>
      </c>
      <c r="M475">
        <v>0.19548583208133888</v>
      </c>
      <c r="N475" t="s">
        <v>34</v>
      </c>
    </row>
    <row r="476" spans="1:14">
      <c r="A476" t="s">
        <v>44</v>
      </c>
      <c r="B476" t="s">
        <v>22</v>
      </c>
      <c r="C476" s="1">
        <v>45453</v>
      </c>
      <c r="D476" t="s">
        <v>14</v>
      </c>
      <c r="E476" t="s">
        <v>362</v>
      </c>
      <c r="F476">
        <v>1514</v>
      </c>
      <c r="G476">
        <v>164</v>
      </c>
      <c r="H476">
        <v>275</v>
      </c>
      <c r="I476">
        <v>41364</v>
      </c>
      <c r="J476">
        <v>44389</v>
      </c>
      <c r="K476" s="46">
        <v>83</v>
      </c>
      <c r="L476" t="s">
        <v>16</v>
      </c>
      <c r="M476">
        <v>4.7214969538729328E-2</v>
      </c>
      <c r="N476" t="s">
        <v>34</v>
      </c>
    </row>
    <row r="477" spans="1:14">
      <c r="A477" t="s">
        <v>328</v>
      </c>
      <c r="B477" t="s">
        <v>22</v>
      </c>
      <c r="C477" s="1">
        <v>45838</v>
      </c>
      <c r="D477" t="s">
        <v>14</v>
      </c>
      <c r="E477" t="s">
        <v>362</v>
      </c>
      <c r="F477">
        <v>2275</v>
      </c>
      <c r="G477">
        <v>285</v>
      </c>
      <c r="H477">
        <v>125</v>
      </c>
      <c r="I477">
        <v>43970</v>
      </c>
      <c r="J477">
        <v>74761</v>
      </c>
      <c r="K477" s="46">
        <v>83</v>
      </c>
      <c r="L477" t="s">
        <v>16</v>
      </c>
      <c r="M477">
        <v>6.1064362065044349E-2</v>
      </c>
      <c r="N477" t="s">
        <v>34</v>
      </c>
    </row>
    <row r="478" spans="1:14">
      <c r="A478" t="s">
        <v>122</v>
      </c>
      <c r="B478" t="s">
        <v>27</v>
      </c>
      <c r="C478" s="1">
        <v>45376</v>
      </c>
      <c r="D478" t="s">
        <v>48</v>
      </c>
      <c r="E478" t="s">
        <v>18</v>
      </c>
      <c r="F478">
        <v>1948</v>
      </c>
      <c r="G478">
        <v>155</v>
      </c>
      <c r="H478">
        <v>315</v>
      </c>
      <c r="I478">
        <v>30321</v>
      </c>
      <c r="J478">
        <v>57121</v>
      </c>
      <c r="K478" s="46">
        <v>82</v>
      </c>
      <c r="L478" t="s">
        <v>49</v>
      </c>
      <c r="M478">
        <v>7.974671020085089E-2</v>
      </c>
      <c r="N478" t="s">
        <v>19</v>
      </c>
    </row>
    <row r="479" spans="1:14">
      <c r="A479" t="s">
        <v>122</v>
      </c>
      <c r="B479" t="s">
        <v>27</v>
      </c>
      <c r="C479" s="1">
        <v>45376</v>
      </c>
      <c r="D479" t="s">
        <v>48</v>
      </c>
      <c r="E479" t="s">
        <v>18</v>
      </c>
      <c r="F479">
        <v>1948</v>
      </c>
      <c r="G479">
        <v>155</v>
      </c>
      <c r="H479">
        <v>315</v>
      </c>
      <c r="I479">
        <v>30321</v>
      </c>
      <c r="J479">
        <v>57121</v>
      </c>
      <c r="K479" s="46">
        <v>82</v>
      </c>
      <c r="L479" t="s">
        <v>49</v>
      </c>
      <c r="M479">
        <v>7.974671020085089E-2</v>
      </c>
      <c r="N479" t="s">
        <v>37</v>
      </c>
    </row>
    <row r="480" spans="1:14">
      <c r="A480" t="s">
        <v>174</v>
      </c>
      <c r="B480" t="s">
        <v>13</v>
      </c>
      <c r="C480" s="1">
        <v>45702</v>
      </c>
      <c r="D480" t="s">
        <v>14</v>
      </c>
      <c r="E480" t="s">
        <v>15</v>
      </c>
      <c r="F480">
        <v>2329</v>
      </c>
      <c r="G480">
        <v>373</v>
      </c>
      <c r="H480">
        <v>291</v>
      </c>
      <c r="I480">
        <v>49577</v>
      </c>
      <c r="J480">
        <v>28002</v>
      </c>
      <c r="K480" s="46">
        <v>82</v>
      </c>
      <c r="L480" t="s">
        <v>16</v>
      </c>
      <c r="M480">
        <v>6.0370736430199488E-2</v>
      </c>
      <c r="N480" t="s">
        <v>37</v>
      </c>
    </row>
    <row r="481" spans="1:14">
      <c r="A481" t="s">
        <v>174</v>
      </c>
      <c r="B481" t="s">
        <v>13</v>
      </c>
      <c r="C481" s="1">
        <v>45702</v>
      </c>
      <c r="D481" t="s">
        <v>14</v>
      </c>
      <c r="E481" t="s">
        <v>15</v>
      </c>
      <c r="F481">
        <v>2329</v>
      </c>
      <c r="G481">
        <v>373</v>
      </c>
      <c r="H481">
        <v>291</v>
      </c>
      <c r="I481">
        <v>49577</v>
      </c>
      <c r="J481">
        <v>28002</v>
      </c>
      <c r="K481" s="46">
        <v>82</v>
      </c>
      <c r="L481" t="s">
        <v>16</v>
      </c>
      <c r="M481">
        <v>6.0370736430199488E-2</v>
      </c>
      <c r="N481" t="s">
        <v>34</v>
      </c>
    </row>
    <row r="482" spans="1:14">
      <c r="A482" t="s">
        <v>66</v>
      </c>
      <c r="B482" t="s">
        <v>13</v>
      </c>
      <c r="C482" s="1">
        <v>45416</v>
      </c>
      <c r="D482" t="s">
        <v>14</v>
      </c>
      <c r="E482" t="s">
        <v>360</v>
      </c>
      <c r="F482">
        <v>2274</v>
      </c>
      <c r="G482">
        <v>243</v>
      </c>
      <c r="H482">
        <v>222</v>
      </c>
      <c r="I482">
        <v>43066</v>
      </c>
      <c r="J482">
        <v>59174</v>
      </c>
      <c r="K482" s="46">
        <v>80</v>
      </c>
      <c r="L482" t="s">
        <v>20</v>
      </c>
      <c r="M482">
        <v>6.3600055728416843E-2</v>
      </c>
      <c r="N482" t="s">
        <v>19</v>
      </c>
    </row>
    <row r="483" spans="1:14">
      <c r="A483" t="s">
        <v>67</v>
      </c>
      <c r="B483" t="s">
        <v>22</v>
      </c>
      <c r="C483" s="1">
        <v>45804</v>
      </c>
      <c r="D483" t="s">
        <v>23</v>
      </c>
      <c r="E483" t="s">
        <v>18</v>
      </c>
      <c r="F483">
        <v>4095</v>
      </c>
      <c r="G483">
        <v>385</v>
      </c>
      <c r="H483">
        <v>400</v>
      </c>
      <c r="I483">
        <v>45300</v>
      </c>
      <c r="J483">
        <v>31795</v>
      </c>
      <c r="K483" s="46">
        <v>80</v>
      </c>
      <c r="L483" t="s">
        <v>16</v>
      </c>
      <c r="M483">
        <v>0.10772626931567329</v>
      </c>
      <c r="N483" t="s">
        <v>364</v>
      </c>
    </row>
    <row r="484" spans="1:14">
      <c r="A484" t="s">
        <v>67</v>
      </c>
      <c r="B484" t="s">
        <v>22</v>
      </c>
      <c r="C484" s="1">
        <v>45804</v>
      </c>
      <c r="D484" t="s">
        <v>23</v>
      </c>
      <c r="E484" t="s">
        <v>18</v>
      </c>
      <c r="F484">
        <v>4095</v>
      </c>
      <c r="G484">
        <v>385</v>
      </c>
      <c r="H484">
        <v>400</v>
      </c>
      <c r="I484">
        <v>45300</v>
      </c>
      <c r="J484">
        <v>31795</v>
      </c>
      <c r="K484" s="46">
        <v>80</v>
      </c>
      <c r="L484" t="s">
        <v>16</v>
      </c>
      <c r="M484">
        <v>0.10772626931567329</v>
      </c>
      <c r="N484" t="s">
        <v>34</v>
      </c>
    </row>
  </sheetData>
  <mergeCells count="2">
    <mergeCell ref="P12:T12"/>
    <mergeCell ref="P11:T11"/>
  </mergeCells>
  <conditionalFormatting sqref="K1:N1048576">
    <cfRule type="aboveAverage" dxfId="0" priority="1"/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J16" sqref="J16"/>
    </sheetView>
  </sheetViews>
  <sheetFormatPr defaultColWidth="14.42578125" defaultRowHeight="15" customHeight="1"/>
  <cols>
    <col min="1" max="1" width="23.28515625" style="7" bestFit="1" customWidth="1"/>
    <col min="2" max="2" width="14" style="3" bestFit="1" customWidth="1"/>
    <col min="3" max="3" width="21.140625" style="11" bestFit="1" customWidth="1"/>
    <col min="4" max="4" width="15.5703125" style="11" bestFit="1" customWidth="1"/>
    <col min="5" max="5" width="22" style="11" bestFit="1" customWidth="1"/>
    <col min="6" max="6" width="24.42578125" style="9" bestFit="1" customWidth="1"/>
    <col min="7" max="7" width="15.85546875" style="11" bestFit="1" customWidth="1"/>
    <col min="8" max="9" width="8.7109375" style="3" customWidth="1"/>
    <col min="10" max="10" width="11.85546875" style="3" customWidth="1"/>
    <col min="11" max="26" width="8.7109375" style="3" customWidth="1"/>
    <col min="27" max="16384" width="14.42578125" style="3"/>
  </cols>
  <sheetData>
    <row r="1" spans="1:10">
      <c r="A1" s="6" t="s">
        <v>331</v>
      </c>
      <c r="B1" s="2" t="s">
        <v>1</v>
      </c>
      <c r="C1" s="10" t="s">
        <v>332</v>
      </c>
      <c r="D1" s="10" t="s">
        <v>333</v>
      </c>
      <c r="E1" s="10" t="s">
        <v>334</v>
      </c>
      <c r="F1" s="8" t="s">
        <v>335</v>
      </c>
      <c r="G1" s="10" t="s">
        <v>336</v>
      </c>
    </row>
    <row r="2" spans="1:10">
      <c r="A2" s="6">
        <v>45446</v>
      </c>
      <c r="B2" s="2" t="s">
        <v>13</v>
      </c>
      <c r="C2" s="10">
        <v>1402</v>
      </c>
      <c r="D2" s="10">
        <v>68</v>
      </c>
      <c r="E2" s="10">
        <v>124562</v>
      </c>
      <c r="F2" s="8">
        <v>9.92</v>
      </c>
      <c r="G2" s="10">
        <v>23125</v>
      </c>
      <c r="I2" s="79"/>
      <c r="J2" s="79"/>
    </row>
    <row r="3" spans="1:10">
      <c r="A3" s="6">
        <v>45446</v>
      </c>
      <c r="B3" s="2" t="s">
        <v>22</v>
      </c>
      <c r="C3" s="10">
        <v>995</v>
      </c>
      <c r="D3" s="10">
        <v>86</v>
      </c>
      <c r="E3" s="10">
        <v>227958</v>
      </c>
      <c r="F3" s="8">
        <v>8.0500000000000007</v>
      </c>
      <c r="G3" s="10">
        <v>22788</v>
      </c>
      <c r="I3" s="79"/>
      <c r="J3" s="79"/>
    </row>
    <row r="4" spans="1:10">
      <c r="A4" s="6">
        <v>45446</v>
      </c>
      <c r="B4" s="2" t="s">
        <v>27</v>
      </c>
      <c r="C4" s="10">
        <v>1472</v>
      </c>
      <c r="D4" s="10">
        <v>296</v>
      </c>
      <c r="E4" s="10">
        <v>370242</v>
      </c>
      <c r="F4" s="8">
        <v>7.72</v>
      </c>
      <c r="G4" s="10">
        <v>7810</v>
      </c>
      <c r="I4" s="79"/>
      <c r="J4" s="79"/>
    </row>
    <row r="5" spans="1:10">
      <c r="A5" s="6">
        <v>45453</v>
      </c>
      <c r="B5" s="2" t="s">
        <v>13</v>
      </c>
      <c r="C5" s="10">
        <v>1018</v>
      </c>
      <c r="D5" s="10">
        <v>90</v>
      </c>
      <c r="E5" s="10">
        <v>92474</v>
      </c>
      <c r="F5" s="8">
        <v>9.4</v>
      </c>
      <c r="G5" s="10">
        <v>11966</v>
      </c>
    </row>
    <row r="6" spans="1:10">
      <c r="A6" s="6">
        <v>45453</v>
      </c>
      <c r="B6" s="2" t="s">
        <v>22</v>
      </c>
      <c r="C6" s="10">
        <v>1461</v>
      </c>
      <c r="D6" s="10">
        <v>64</v>
      </c>
      <c r="E6" s="10">
        <v>328902</v>
      </c>
      <c r="F6" s="8">
        <v>9.02</v>
      </c>
      <c r="G6" s="10">
        <v>26298</v>
      </c>
    </row>
    <row r="7" spans="1:10">
      <c r="A7" s="6">
        <v>45453</v>
      </c>
      <c r="B7" s="2" t="s">
        <v>27</v>
      </c>
      <c r="C7" s="10">
        <v>545</v>
      </c>
      <c r="D7" s="10">
        <v>93</v>
      </c>
      <c r="E7" s="10">
        <v>391621</v>
      </c>
      <c r="F7" s="8">
        <v>9.9600000000000009</v>
      </c>
      <c r="G7" s="10">
        <v>22029</v>
      </c>
    </row>
    <row r="8" spans="1:10">
      <c r="A8" s="6">
        <v>45460</v>
      </c>
      <c r="B8" s="2" t="s">
        <v>13</v>
      </c>
      <c r="C8" s="10">
        <v>881</v>
      </c>
      <c r="D8" s="10">
        <v>291</v>
      </c>
      <c r="E8" s="10">
        <v>95885</v>
      </c>
      <c r="F8" s="8">
        <v>5.29</v>
      </c>
      <c r="G8" s="10">
        <v>12391</v>
      </c>
    </row>
    <row r="9" spans="1:10">
      <c r="A9" s="6">
        <v>45460</v>
      </c>
      <c r="B9" s="2" t="s">
        <v>22</v>
      </c>
      <c r="C9" s="10">
        <v>1414</v>
      </c>
      <c r="D9" s="10">
        <v>131</v>
      </c>
      <c r="E9" s="10">
        <v>245947</v>
      </c>
      <c r="F9" s="8">
        <v>8.3000000000000007</v>
      </c>
      <c r="G9" s="10">
        <v>14477</v>
      </c>
    </row>
    <row r="10" spans="1:10">
      <c r="A10" s="6">
        <v>45460</v>
      </c>
      <c r="B10" s="2" t="s">
        <v>27</v>
      </c>
      <c r="C10" s="10">
        <v>1472</v>
      </c>
      <c r="D10" s="10">
        <v>170</v>
      </c>
      <c r="E10" s="10">
        <v>250428</v>
      </c>
      <c r="F10" s="8">
        <v>4.66</v>
      </c>
      <c r="G10" s="10">
        <v>25040</v>
      </c>
    </row>
    <row r="11" spans="1:10">
      <c r="A11" s="6">
        <v>45467</v>
      </c>
      <c r="B11" s="2" t="s">
        <v>13</v>
      </c>
      <c r="C11" s="10">
        <v>809</v>
      </c>
      <c r="D11" s="10">
        <v>197</v>
      </c>
      <c r="E11" s="10">
        <v>87186</v>
      </c>
      <c r="F11" s="8">
        <v>9.48</v>
      </c>
      <c r="G11" s="10">
        <v>22619</v>
      </c>
    </row>
    <row r="12" spans="1:10">
      <c r="A12" s="6">
        <v>45467</v>
      </c>
      <c r="B12" s="2" t="s">
        <v>22</v>
      </c>
      <c r="C12" s="10">
        <v>1371</v>
      </c>
      <c r="D12" s="10">
        <v>250</v>
      </c>
      <c r="E12" s="10">
        <v>128620</v>
      </c>
      <c r="F12" s="8">
        <v>7.11</v>
      </c>
      <c r="G12" s="10">
        <v>12399</v>
      </c>
    </row>
    <row r="13" spans="1:10">
      <c r="A13" s="6">
        <v>45467</v>
      </c>
      <c r="B13" s="2" t="s">
        <v>27</v>
      </c>
      <c r="C13" s="10">
        <v>844</v>
      </c>
      <c r="D13" s="10">
        <v>144</v>
      </c>
      <c r="E13" s="10">
        <v>126015</v>
      </c>
      <c r="F13" s="8">
        <v>9.65</v>
      </c>
      <c r="G13" s="10">
        <v>22456</v>
      </c>
    </row>
    <row r="14" spans="1:10">
      <c r="A14" s="6">
        <v>45474</v>
      </c>
      <c r="B14" s="2" t="s">
        <v>13</v>
      </c>
      <c r="C14" s="10">
        <v>786</v>
      </c>
      <c r="D14" s="10">
        <v>72</v>
      </c>
      <c r="E14" s="10">
        <v>178615</v>
      </c>
      <c r="F14" s="8">
        <v>5.43</v>
      </c>
      <c r="G14" s="10">
        <v>19328</v>
      </c>
    </row>
    <row r="15" spans="1:10">
      <c r="A15" s="6">
        <v>45474</v>
      </c>
      <c r="B15" s="2" t="s">
        <v>22</v>
      </c>
      <c r="C15" s="10">
        <v>845</v>
      </c>
      <c r="D15" s="10">
        <v>250</v>
      </c>
      <c r="E15" s="10">
        <v>218228</v>
      </c>
      <c r="F15" s="8">
        <v>4.5199999999999996</v>
      </c>
      <c r="G15" s="10">
        <v>21107</v>
      </c>
    </row>
    <row r="16" spans="1:10">
      <c r="A16" s="6">
        <v>45474</v>
      </c>
      <c r="B16" s="2" t="s">
        <v>27</v>
      </c>
      <c r="C16" s="10">
        <v>1218</v>
      </c>
      <c r="D16" s="10">
        <v>101</v>
      </c>
      <c r="E16" s="10">
        <v>300397</v>
      </c>
      <c r="F16" s="8">
        <v>4.33</v>
      </c>
      <c r="G16" s="10">
        <v>12277</v>
      </c>
    </row>
    <row r="17" spans="1:7">
      <c r="A17" s="6">
        <v>45481</v>
      </c>
      <c r="B17" s="2" t="s">
        <v>13</v>
      </c>
      <c r="C17" s="10">
        <v>797</v>
      </c>
      <c r="D17" s="10">
        <v>130</v>
      </c>
      <c r="E17" s="10">
        <v>340121</v>
      </c>
      <c r="F17" s="8">
        <v>8.52</v>
      </c>
      <c r="G17" s="10">
        <v>11684</v>
      </c>
    </row>
    <row r="18" spans="1:7">
      <c r="A18" s="6">
        <v>45481</v>
      </c>
      <c r="B18" s="2" t="s">
        <v>22</v>
      </c>
      <c r="C18" s="10">
        <v>1471</v>
      </c>
      <c r="D18" s="10">
        <v>100</v>
      </c>
      <c r="E18" s="10">
        <v>76866</v>
      </c>
      <c r="F18" s="8">
        <v>8.5500000000000007</v>
      </c>
      <c r="G18" s="10">
        <v>14412</v>
      </c>
    </row>
    <row r="19" spans="1:7">
      <c r="A19" s="6">
        <v>45481</v>
      </c>
      <c r="B19" s="2" t="s">
        <v>27</v>
      </c>
      <c r="C19" s="10">
        <v>1253</v>
      </c>
      <c r="D19" s="10">
        <v>136</v>
      </c>
      <c r="E19" s="10">
        <v>193131</v>
      </c>
      <c r="F19" s="8">
        <v>7.99</v>
      </c>
      <c r="G19" s="10">
        <v>15924</v>
      </c>
    </row>
    <row r="20" spans="1:7">
      <c r="A20" s="6">
        <v>45488</v>
      </c>
      <c r="B20" s="2" t="s">
        <v>13</v>
      </c>
      <c r="C20" s="10">
        <v>616</v>
      </c>
      <c r="D20" s="10">
        <v>257</v>
      </c>
      <c r="E20" s="10">
        <v>169665</v>
      </c>
      <c r="F20" s="8">
        <v>6.31</v>
      </c>
      <c r="G20" s="10">
        <v>12390</v>
      </c>
    </row>
    <row r="21" spans="1:7" ht="15.75" customHeight="1">
      <c r="A21" s="6">
        <v>45488</v>
      </c>
      <c r="B21" s="2" t="s">
        <v>22</v>
      </c>
      <c r="C21" s="10">
        <v>1308</v>
      </c>
      <c r="D21" s="10">
        <v>210</v>
      </c>
      <c r="E21" s="10">
        <v>263729</v>
      </c>
      <c r="F21" s="8">
        <v>8.5299999999999994</v>
      </c>
      <c r="G21" s="10">
        <v>25742</v>
      </c>
    </row>
    <row r="22" spans="1:7" ht="15.75" customHeight="1">
      <c r="A22" s="6">
        <v>45488</v>
      </c>
      <c r="B22" s="2" t="s">
        <v>27</v>
      </c>
      <c r="C22" s="10">
        <v>981</v>
      </c>
      <c r="D22" s="10">
        <v>69</v>
      </c>
      <c r="E22" s="10">
        <v>206921</v>
      </c>
      <c r="F22" s="8">
        <v>8.42</v>
      </c>
      <c r="G22" s="10">
        <v>10495</v>
      </c>
    </row>
    <row r="23" spans="1:7" ht="15.75" customHeight="1">
      <c r="A23" s="6">
        <v>45495</v>
      </c>
      <c r="B23" s="2" t="s">
        <v>13</v>
      </c>
      <c r="C23" s="10">
        <v>866</v>
      </c>
      <c r="D23" s="10">
        <v>74</v>
      </c>
      <c r="E23" s="10">
        <v>204121</v>
      </c>
      <c r="F23" s="8">
        <v>9.34</v>
      </c>
      <c r="G23" s="10">
        <v>7797</v>
      </c>
    </row>
    <row r="24" spans="1:7" ht="15.75" customHeight="1">
      <c r="A24" s="6">
        <v>45495</v>
      </c>
      <c r="B24" s="2" t="s">
        <v>22</v>
      </c>
      <c r="C24" s="10">
        <v>547</v>
      </c>
      <c r="D24" s="10">
        <v>183</v>
      </c>
      <c r="E24" s="10">
        <v>266350</v>
      </c>
      <c r="F24" s="8">
        <v>5.65</v>
      </c>
      <c r="G24" s="10">
        <v>15595</v>
      </c>
    </row>
    <row r="25" spans="1:7" ht="15.75" customHeight="1">
      <c r="A25" s="6">
        <v>45495</v>
      </c>
      <c r="B25" s="2" t="s">
        <v>27</v>
      </c>
      <c r="C25" s="10">
        <v>1241</v>
      </c>
      <c r="D25" s="10">
        <v>116</v>
      </c>
      <c r="E25" s="10">
        <v>380606</v>
      </c>
      <c r="F25" s="8">
        <v>4.2</v>
      </c>
      <c r="G25" s="10">
        <v>24617</v>
      </c>
    </row>
    <row r="26" spans="1:7" ht="15.75" customHeight="1">
      <c r="A26" s="6">
        <v>45502</v>
      </c>
      <c r="B26" s="2" t="s">
        <v>13</v>
      </c>
      <c r="C26" s="10">
        <v>973</v>
      </c>
      <c r="D26" s="10">
        <v>104</v>
      </c>
      <c r="E26" s="10">
        <v>376358</v>
      </c>
      <c r="F26" s="8">
        <v>3.87</v>
      </c>
      <c r="G26" s="10">
        <v>9847</v>
      </c>
    </row>
    <row r="27" spans="1:7" ht="15.75" customHeight="1">
      <c r="A27" s="6">
        <v>45502</v>
      </c>
      <c r="B27" s="2" t="s">
        <v>22</v>
      </c>
      <c r="C27" s="10">
        <v>611</v>
      </c>
      <c r="D27" s="10">
        <v>197</v>
      </c>
      <c r="E27" s="10">
        <v>79423</v>
      </c>
      <c r="F27" s="8">
        <v>5.82</v>
      </c>
      <c r="G27" s="10">
        <v>13644</v>
      </c>
    </row>
    <row r="28" spans="1:7" ht="15.75" customHeight="1">
      <c r="A28" s="6">
        <v>45502</v>
      </c>
      <c r="B28" s="2" t="s">
        <v>27</v>
      </c>
      <c r="C28" s="10">
        <v>983</v>
      </c>
      <c r="D28" s="10">
        <v>134</v>
      </c>
      <c r="E28" s="10">
        <v>352178</v>
      </c>
      <c r="F28" s="8">
        <v>3.55</v>
      </c>
      <c r="G28" s="10">
        <v>11421</v>
      </c>
    </row>
    <row r="29" spans="1:7" ht="15.75" customHeight="1">
      <c r="A29" s="6">
        <v>45509</v>
      </c>
      <c r="B29" s="2" t="s">
        <v>13</v>
      </c>
      <c r="C29" s="10">
        <v>1449</v>
      </c>
      <c r="D29" s="10">
        <v>96</v>
      </c>
      <c r="E29" s="10">
        <v>200636</v>
      </c>
      <c r="F29" s="8">
        <v>9.92</v>
      </c>
      <c r="G29" s="10">
        <v>15613</v>
      </c>
    </row>
    <row r="30" spans="1:7" ht="15.75" customHeight="1">
      <c r="A30" s="6">
        <v>45509</v>
      </c>
      <c r="B30" s="2" t="s">
        <v>22</v>
      </c>
      <c r="C30" s="10">
        <v>752</v>
      </c>
      <c r="D30" s="10">
        <v>170</v>
      </c>
      <c r="E30" s="10">
        <v>132756</v>
      </c>
      <c r="F30" s="8">
        <v>8.17</v>
      </c>
      <c r="G30" s="10">
        <v>23900</v>
      </c>
    </row>
    <row r="31" spans="1:7" ht="15.75" customHeight="1">
      <c r="A31" s="6">
        <v>45509</v>
      </c>
      <c r="B31" s="2" t="s">
        <v>27</v>
      </c>
      <c r="C31" s="10">
        <v>937</v>
      </c>
      <c r="D31" s="10">
        <v>179</v>
      </c>
      <c r="E31" s="10">
        <v>318098</v>
      </c>
      <c r="F31" s="8">
        <v>5.3</v>
      </c>
      <c r="G31" s="10">
        <v>5836</v>
      </c>
    </row>
    <row r="32" spans="1:7" ht="15.75" customHeight="1">
      <c r="A32" s="6">
        <v>45516</v>
      </c>
      <c r="B32" s="2" t="s">
        <v>13</v>
      </c>
      <c r="C32" s="10">
        <v>1060</v>
      </c>
      <c r="D32" s="10">
        <v>83</v>
      </c>
      <c r="E32" s="10">
        <v>68724</v>
      </c>
      <c r="F32" s="8">
        <v>5.98</v>
      </c>
      <c r="G32" s="10">
        <v>5624</v>
      </c>
    </row>
    <row r="33" spans="1:7" ht="15.75" customHeight="1">
      <c r="A33" s="6">
        <v>45516</v>
      </c>
      <c r="B33" s="2" t="s">
        <v>22</v>
      </c>
      <c r="C33" s="10">
        <v>1456</v>
      </c>
      <c r="D33" s="10">
        <v>265</v>
      </c>
      <c r="E33" s="10">
        <v>115505</v>
      </c>
      <c r="F33" s="8">
        <v>7.49</v>
      </c>
      <c r="G33" s="10">
        <v>10311</v>
      </c>
    </row>
    <row r="34" spans="1:7" ht="15.75" customHeight="1">
      <c r="A34" s="6">
        <v>45516</v>
      </c>
      <c r="B34" s="2" t="s">
        <v>27</v>
      </c>
      <c r="C34" s="10">
        <v>1109</v>
      </c>
      <c r="D34" s="10">
        <v>205</v>
      </c>
      <c r="E34" s="10">
        <v>276722</v>
      </c>
      <c r="F34" s="8">
        <v>9.3800000000000008</v>
      </c>
      <c r="G34" s="10">
        <v>8274</v>
      </c>
    </row>
    <row r="35" spans="1:7" ht="15.75" customHeight="1">
      <c r="A35" s="6">
        <v>45523</v>
      </c>
      <c r="B35" s="2" t="s">
        <v>13</v>
      </c>
      <c r="C35" s="10">
        <v>1002</v>
      </c>
      <c r="D35" s="10">
        <v>93</v>
      </c>
      <c r="E35" s="10">
        <v>353538</v>
      </c>
      <c r="F35" s="8">
        <v>5.84</v>
      </c>
      <c r="G35" s="10">
        <v>6031</v>
      </c>
    </row>
    <row r="36" spans="1:7" ht="15.75" customHeight="1">
      <c r="A36" s="6">
        <v>45523</v>
      </c>
      <c r="B36" s="2" t="s">
        <v>22</v>
      </c>
      <c r="C36" s="10">
        <v>571</v>
      </c>
      <c r="D36" s="10">
        <v>189</v>
      </c>
      <c r="E36" s="10">
        <v>61445</v>
      </c>
      <c r="F36" s="8">
        <v>5.41</v>
      </c>
      <c r="G36" s="10">
        <v>27829</v>
      </c>
    </row>
    <row r="37" spans="1:7" ht="15.75" customHeight="1">
      <c r="A37" s="6">
        <v>45523</v>
      </c>
      <c r="B37" s="2" t="s">
        <v>27</v>
      </c>
      <c r="C37" s="10">
        <v>1240</v>
      </c>
      <c r="D37" s="10">
        <v>231</v>
      </c>
      <c r="E37" s="10">
        <v>165035</v>
      </c>
      <c r="F37" s="8">
        <v>6.05</v>
      </c>
      <c r="G37" s="10">
        <v>18267</v>
      </c>
    </row>
    <row r="38" spans="1:7" ht="15.75" customHeight="1">
      <c r="A38" s="6">
        <v>45530</v>
      </c>
      <c r="B38" s="2" t="s">
        <v>13</v>
      </c>
      <c r="C38" s="10">
        <v>1154</v>
      </c>
      <c r="D38" s="10">
        <v>132</v>
      </c>
      <c r="E38" s="10">
        <v>194595</v>
      </c>
      <c r="F38" s="8">
        <v>7.54</v>
      </c>
      <c r="G38" s="10">
        <v>26624</v>
      </c>
    </row>
    <row r="39" spans="1:7" ht="15.75" customHeight="1">
      <c r="A39" s="6">
        <v>45530</v>
      </c>
      <c r="B39" s="2" t="s">
        <v>22</v>
      </c>
      <c r="C39" s="10">
        <v>537</v>
      </c>
      <c r="D39" s="10">
        <v>275</v>
      </c>
      <c r="E39" s="10">
        <v>236238</v>
      </c>
      <c r="F39" s="8">
        <v>5.87</v>
      </c>
      <c r="G39" s="10">
        <v>26644</v>
      </c>
    </row>
    <row r="40" spans="1:7" ht="15.75" customHeight="1">
      <c r="A40" s="6">
        <v>45530</v>
      </c>
      <c r="B40" s="2" t="s">
        <v>27</v>
      </c>
      <c r="C40" s="10">
        <v>1456</v>
      </c>
      <c r="D40" s="10">
        <v>290</v>
      </c>
      <c r="E40" s="10">
        <v>271044</v>
      </c>
      <c r="F40" s="8">
        <v>7.17</v>
      </c>
      <c r="G40" s="10">
        <v>13051</v>
      </c>
    </row>
    <row r="41" spans="1:7" ht="15.75" customHeight="1">
      <c r="A41" s="6">
        <v>45537</v>
      </c>
      <c r="B41" s="2" t="s">
        <v>13</v>
      </c>
      <c r="C41" s="10">
        <v>721</v>
      </c>
      <c r="D41" s="10">
        <v>206</v>
      </c>
      <c r="E41" s="10">
        <v>334887</v>
      </c>
      <c r="F41" s="8">
        <v>6.05</v>
      </c>
      <c r="G41" s="10">
        <v>14217</v>
      </c>
    </row>
    <row r="42" spans="1:7" ht="15.75" customHeight="1">
      <c r="A42" s="6">
        <v>45537</v>
      </c>
      <c r="B42" s="2" t="s">
        <v>22</v>
      </c>
      <c r="C42" s="10">
        <v>1098</v>
      </c>
      <c r="D42" s="10">
        <v>142</v>
      </c>
      <c r="E42" s="10">
        <v>359150</v>
      </c>
      <c r="F42" s="8">
        <v>7.51</v>
      </c>
      <c r="G42" s="10">
        <v>16385</v>
      </c>
    </row>
    <row r="43" spans="1:7" ht="15.75" customHeight="1">
      <c r="A43" s="6">
        <v>45537</v>
      </c>
      <c r="B43" s="2" t="s">
        <v>27</v>
      </c>
      <c r="C43" s="10">
        <v>1096</v>
      </c>
      <c r="D43" s="10">
        <v>65</v>
      </c>
      <c r="E43" s="10">
        <v>358295</v>
      </c>
      <c r="F43" s="8">
        <v>7.66</v>
      </c>
      <c r="G43" s="10">
        <v>24548</v>
      </c>
    </row>
    <row r="44" spans="1:7" ht="15.75" customHeight="1">
      <c r="A44" s="6">
        <v>45544</v>
      </c>
      <c r="B44" s="2" t="s">
        <v>13</v>
      </c>
      <c r="C44" s="10">
        <v>912</v>
      </c>
      <c r="D44" s="10">
        <v>275</v>
      </c>
      <c r="E44" s="10">
        <v>368454</v>
      </c>
      <c r="F44" s="8">
        <v>6.03</v>
      </c>
      <c r="G44" s="10">
        <v>9195</v>
      </c>
    </row>
    <row r="45" spans="1:7" ht="15.75" customHeight="1">
      <c r="A45" s="6">
        <v>45544</v>
      </c>
      <c r="B45" s="2" t="s">
        <v>22</v>
      </c>
      <c r="C45" s="10">
        <v>1430</v>
      </c>
      <c r="D45" s="10">
        <v>162</v>
      </c>
      <c r="E45" s="10">
        <v>269082</v>
      </c>
      <c r="F45" s="8">
        <v>3.4</v>
      </c>
      <c r="G45" s="10">
        <v>18071</v>
      </c>
    </row>
    <row r="46" spans="1:7" ht="15.75" customHeight="1">
      <c r="A46" s="6">
        <v>45544</v>
      </c>
      <c r="B46" s="2" t="s">
        <v>27</v>
      </c>
      <c r="C46" s="10">
        <v>854</v>
      </c>
      <c r="D46" s="10">
        <v>129</v>
      </c>
      <c r="E46" s="10">
        <v>310903</v>
      </c>
      <c r="F46" s="8">
        <v>7.83</v>
      </c>
      <c r="G46" s="10">
        <v>16875</v>
      </c>
    </row>
    <row r="47" spans="1:7" ht="15.75" customHeight="1">
      <c r="A47" s="6">
        <v>45551</v>
      </c>
      <c r="B47" s="2" t="s">
        <v>13</v>
      </c>
      <c r="C47" s="10">
        <v>681</v>
      </c>
      <c r="D47" s="10">
        <v>210</v>
      </c>
      <c r="E47" s="10">
        <v>248581</v>
      </c>
      <c r="F47" s="8">
        <v>8.76</v>
      </c>
      <c r="G47" s="10">
        <v>9567</v>
      </c>
    </row>
    <row r="48" spans="1:7" ht="15.75" customHeight="1">
      <c r="A48" s="6">
        <v>45551</v>
      </c>
      <c r="B48" s="2" t="s">
        <v>22</v>
      </c>
      <c r="C48" s="10">
        <v>1373</v>
      </c>
      <c r="D48" s="10">
        <v>82</v>
      </c>
      <c r="E48" s="10">
        <v>371015</v>
      </c>
      <c r="F48" s="8">
        <v>9.52</v>
      </c>
      <c r="G48" s="10">
        <v>20306</v>
      </c>
    </row>
    <row r="49" spans="1:7" ht="15.75" customHeight="1">
      <c r="A49" s="6">
        <v>45551</v>
      </c>
      <c r="B49" s="2" t="s">
        <v>27</v>
      </c>
      <c r="C49" s="10">
        <v>685</v>
      </c>
      <c r="D49" s="10">
        <v>285</v>
      </c>
      <c r="E49" s="10">
        <v>177452</v>
      </c>
      <c r="F49" s="8">
        <v>3.36</v>
      </c>
      <c r="G49" s="10">
        <v>21134</v>
      </c>
    </row>
    <row r="50" spans="1:7" ht="15.75" customHeight="1">
      <c r="A50" s="6">
        <v>45558</v>
      </c>
      <c r="B50" s="2" t="s">
        <v>13</v>
      </c>
      <c r="C50" s="10">
        <v>1290</v>
      </c>
      <c r="D50" s="10">
        <v>177</v>
      </c>
      <c r="E50" s="10">
        <v>80745</v>
      </c>
      <c r="F50" s="8">
        <v>9.2200000000000006</v>
      </c>
      <c r="G50" s="10">
        <v>26872</v>
      </c>
    </row>
    <row r="51" spans="1:7" ht="15.75" customHeight="1">
      <c r="A51" s="6">
        <v>45558</v>
      </c>
      <c r="B51" s="2" t="s">
        <v>22</v>
      </c>
      <c r="C51" s="10">
        <v>1437</v>
      </c>
      <c r="D51" s="10">
        <v>239</v>
      </c>
      <c r="E51" s="10">
        <v>362441</v>
      </c>
      <c r="F51" s="8">
        <v>5.57</v>
      </c>
      <c r="G51" s="10">
        <v>10253</v>
      </c>
    </row>
    <row r="52" spans="1:7" ht="15.75" customHeight="1">
      <c r="A52" s="6">
        <v>45558</v>
      </c>
      <c r="B52" s="2" t="s">
        <v>27</v>
      </c>
      <c r="C52" s="10">
        <v>769</v>
      </c>
      <c r="D52" s="10">
        <v>295</v>
      </c>
      <c r="E52" s="10">
        <v>344771</v>
      </c>
      <c r="F52" s="8">
        <v>8.06</v>
      </c>
      <c r="G52" s="10">
        <v>23963</v>
      </c>
    </row>
    <row r="53" spans="1:7" ht="15.75" customHeight="1">
      <c r="A53" s="6">
        <v>45565</v>
      </c>
      <c r="B53" s="2" t="s">
        <v>13</v>
      </c>
      <c r="C53" s="10">
        <v>1416</v>
      </c>
      <c r="D53" s="10">
        <v>284</v>
      </c>
      <c r="E53" s="10">
        <v>374952</v>
      </c>
      <c r="F53" s="8">
        <v>3.45</v>
      </c>
      <c r="G53" s="10">
        <v>11335</v>
      </c>
    </row>
    <row r="54" spans="1:7" ht="15.75" customHeight="1">
      <c r="A54" s="6">
        <v>45565</v>
      </c>
      <c r="B54" s="2" t="s">
        <v>22</v>
      </c>
      <c r="C54" s="10">
        <v>998</v>
      </c>
      <c r="D54" s="10">
        <v>154</v>
      </c>
      <c r="E54" s="10">
        <v>179781</v>
      </c>
      <c r="F54" s="8">
        <v>9.58</v>
      </c>
      <c r="G54" s="10">
        <v>12115</v>
      </c>
    </row>
    <row r="55" spans="1:7" ht="15.75" customHeight="1">
      <c r="A55" s="6">
        <v>45565</v>
      </c>
      <c r="B55" s="2" t="s">
        <v>27</v>
      </c>
      <c r="C55" s="10">
        <v>1421</v>
      </c>
      <c r="D55" s="10">
        <v>246</v>
      </c>
      <c r="E55" s="10">
        <v>358581</v>
      </c>
      <c r="F55" s="8">
        <v>8.8800000000000008</v>
      </c>
      <c r="G55" s="10">
        <v>24358</v>
      </c>
    </row>
    <row r="56" spans="1:7" ht="15.75" customHeight="1">
      <c r="A56" s="6">
        <v>45572</v>
      </c>
      <c r="B56" s="2" t="s">
        <v>13</v>
      </c>
      <c r="C56" s="10">
        <v>764</v>
      </c>
      <c r="D56" s="10">
        <v>205</v>
      </c>
      <c r="E56" s="10">
        <v>319294</v>
      </c>
      <c r="F56" s="8">
        <v>6.23</v>
      </c>
      <c r="G56" s="10">
        <v>12181</v>
      </c>
    </row>
    <row r="57" spans="1:7" ht="15.75" customHeight="1">
      <c r="A57" s="6">
        <v>45572</v>
      </c>
      <c r="B57" s="2" t="s">
        <v>22</v>
      </c>
      <c r="C57" s="10">
        <v>678</v>
      </c>
      <c r="D57" s="10">
        <v>124</v>
      </c>
      <c r="E57" s="10">
        <v>192022</v>
      </c>
      <c r="F57" s="8">
        <v>8.4499999999999993</v>
      </c>
      <c r="G57" s="10">
        <v>17729</v>
      </c>
    </row>
    <row r="58" spans="1:7" ht="15.75" customHeight="1">
      <c r="A58" s="6">
        <v>45572</v>
      </c>
      <c r="B58" s="2" t="s">
        <v>27</v>
      </c>
      <c r="C58" s="10">
        <v>1328</v>
      </c>
      <c r="D58" s="10">
        <v>103</v>
      </c>
      <c r="E58" s="10">
        <v>151462</v>
      </c>
      <c r="F58" s="8">
        <v>8.4</v>
      </c>
      <c r="G58" s="10">
        <v>10881</v>
      </c>
    </row>
    <row r="59" spans="1:7" ht="15.75" customHeight="1">
      <c r="A59" s="6">
        <v>45579</v>
      </c>
      <c r="B59" s="2" t="s">
        <v>13</v>
      </c>
      <c r="C59" s="10">
        <v>1161</v>
      </c>
      <c r="D59" s="10">
        <v>269</v>
      </c>
      <c r="E59" s="10">
        <v>188193</v>
      </c>
      <c r="F59" s="8">
        <v>7.34</v>
      </c>
      <c r="G59" s="10">
        <v>18576</v>
      </c>
    </row>
    <row r="60" spans="1:7" ht="15.75" customHeight="1">
      <c r="A60" s="6">
        <v>45579</v>
      </c>
      <c r="B60" s="2" t="s">
        <v>22</v>
      </c>
      <c r="C60" s="10">
        <v>588</v>
      </c>
      <c r="D60" s="10">
        <v>52</v>
      </c>
      <c r="E60" s="10">
        <v>292040</v>
      </c>
      <c r="F60" s="8">
        <v>8.14</v>
      </c>
      <c r="G60" s="10">
        <v>9383</v>
      </c>
    </row>
    <row r="61" spans="1:7" ht="15.75" customHeight="1">
      <c r="A61" s="6">
        <v>45579</v>
      </c>
      <c r="B61" s="2" t="s">
        <v>27</v>
      </c>
      <c r="C61" s="10">
        <v>1457</v>
      </c>
      <c r="D61" s="10">
        <v>215</v>
      </c>
      <c r="E61" s="10">
        <v>325325</v>
      </c>
      <c r="F61" s="8">
        <v>9.58</v>
      </c>
      <c r="G61" s="10">
        <v>14178</v>
      </c>
    </row>
    <row r="62" spans="1:7" ht="15.75" customHeight="1">
      <c r="A62" s="6">
        <v>45586</v>
      </c>
      <c r="B62" s="2" t="s">
        <v>13</v>
      </c>
      <c r="C62" s="10">
        <v>1190</v>
      </c>
      <c r="D62" s="10">
        <v>242</v>
      </c>
      <c r="E62" s="10">
        <v>86849</v>
      </c>
      <c r="F62" s="8">
        <v>8.06</v>
      </c>
      <c r="G62" s="10">
        <v>21254</v>
      </c>
    </row>
    <row r="63" spans="1:7" ht="15.75" customHeight="1">
      <c r="A63" s="6">
        <v>45586</v>
      </c>
      <c r="B63" s="2" t="s">
        <v>22</v>
      </c>
      <c r="C63" s="10">
        <v>886</v>
      </c>
      <c r="D63" s="10">
        <v>124</v>
      </c>
      <c r="E63" s="10">
        <v>141161</v>
      </c>
      <c r="F63" s="8">
        <v>8.19</v>
      </c>
      <c r="G63" s="10">
        <v>14215</v>
      </c>
    </row>
    <row r="64" spans="1:7" ht="15.75" customHeight="1">
      <c r="A64" s="6">
        <v>45586</v>
      </c>
      <c r="B64" s="2" t="s">
        <v>27</v>
      </c>
      <c r="C64" s="10">
        <v>1237</v>
      </c>
      <c r="D64" s="10">
        <v>155</v>
      </c>
      <c r="E64" s="10">
        <v>149916</v>
      </c>
      <c r="F64" s="8">
        <v>4.4800000000000004</v>
      </c>
      <c r="G64" s="10">
        <v>16921</v>
      </c>
    </row>
    <row r="65" spans="1:7" ht="15.75" customHeight="1">
      <c r="A65" s="6">
        <v>45593</v>
      </c>
      <c r="B65" s="2" t="s">
        <v>13</v>
      </c>
      <c r="C65" s="10">
        <v>1435</v>
      </c>
      <c r="D65" s="10">
        <v>261</v>
      </c>
      <c r="E65" s="10">
        <v>308533</v>
      </c>
      <c r="F65" s="8">
        <v>4.5199999999999996</v>
      </c>
      <c r="G65" s="10">
        <v>25130</v>
      </c>
    </row>
    <row r="66" spans="1:7" ht="15.75" customHeight="1">
      <c r="A66" s="6">
        <v>45593</v>
      </c>
      <c r="B66" s="2" t="s">
        <v>22</v>
      </c>
      <c r="C66" s="10">
        <v>746</v>
      </c>
      <c r="D66" s="10">
        <v>282</v>
      </c>
      <c r="E66" s="10">
        <v>293894</v>
      </c>
      <c r="F66" s="8">
        <v>5.42</v>
      </c>
      <c r="G66" s="10">
        <v>25537</v>
      </c>
    </row>
    <row r="67" spans="1:7" ht="15.75" customHeight="1">
      <c r="A67" s="6">
        <v>45593</v>
      </c>
      <c r="B67" s="2" t="s">
        <v>27</v>
      </c>
      <c r="C67" s="10">
        <v>759</v>
      </c>
      <c r="D67" s="10">
        <v>216</v>
      </c>
      <c r="E67" s="10">
        <v>147656</v>
      </c>
      <c r="F67" s="8">
        <v>4.08</v>
      </c>
      <c r="G67" s="10">
        <v>24943</v>
      </c>
    </row>
    <row r="68" spans="1:7" ht="15.75" customHeight="1">
      <c r="A68" s="6">
        <v>45600</v>
      </c>
      <c r="B68" s="2" t="s">
        <v>13</v>
      </c>
      <c r="C68" s="10">
        <v>1437</v>
      </c>
      <c r="D68" s="10">
        <v>235</v>
      </c>
      <c r="E68" s="10">
        <v>326791</v>
      </c>
      <c r="F68" s="8">
        <v>4.0599999999999996</v>
      </c>
      <c r="G68" s="10">
        <v>14563</v>
      </c>
    </row>
    <row r="69" spans="1:7" ht="15.75" customHeight="1">
      <c r="A69" s="6">
        <v>45600</v>
      </c>
      <c r="B69" s="2" t="s">
        <v>22</v>
      </c>
      <c r="C69" s="10">
        <v>1463</v>
      </c>
      <c r="D69" s="10">
        <v>73</v>
      </c>
      <c r="E69" s="10">
        <v>348877</v>
      </c>
      <c r="F69" s="8">
        <v>9.91</v>
      </c>
      <c r="G69" s="10">
        <v>26273</v>
      </c>
    </row>
    <row r="70" spans="1:7" ht="15.75" customHeight="1">
      <c r="A70" s="6">
        <v>45600</v>
      </c>
      <c r="B70" s="2" t="s">
        <v>27</v>
      </c>
      <c r="C70" s="10">
        <v>1208</v>
      </c>
      <c r="D70" s="10">
        <v>224</v>
      </c>
      <c r="E70" s="10">
        <v>122730</v>
      </c>
      <c r="F70" s="8">
        <v>8.7200000000000006</v>
      </c>
      <c r="G70" s="10">
        <v>10858</v>
      </c>
    </row>
    <row r="71" spans="1:7" ht="15.75" customHeight="1">
      <c r="A71" s="6">
        <v>45607</v>
      </c>
      <c r="B71" s="2" t="s">
        <v>13</v>
      </c>
      <c r="C71" s="10">
        <v>1391</v>
      </c>
      <c r="D71" s="10">
        <v>187</v>
      </c>
      <c r="E71" s="10">
        <v>306508</v>
      </c>
      <c r="F71" s="8">
        <v>8.3800000000000008</v>
      </c>
      <c r="G71" s="10">
        <v>25038</v>
      </c>
    </row>
    <row r="72" spans="1:7" ht="15.75" customHeight="1">
      <c r="A72" s="6">
        <v>45607</v>
      </c>
      <c r="B72" s="2" t="s">
        <v>22</v>
      </c>
      <c r="C72" s="10">
        <v>655</v>
      </c>
      <c r="D72" s="10">
        <v>123</v>
      </c>
      <c r="E72" s="10">
        <v>202472</v>
      </c>
      <c r="F72" s="8">
        <v>7.56</v>
      </c>
      <c r="G72" s="10">
        <v>9092</v>
      </c>
    </row>
    <row r="73" spans="1:7" ht="15.75" customHeight="1">
      <c r="A73" s="6">
        <v>45607</v>
      </c>
      <c r="B73" s="2" t="s">
        <v>27</v>
      </c>
      <c r="C73" s="10">
        <v>1148</v>
      </c>
      <c r="D73" s="10">
        <v>90</v>
      </c>
      <c r="E73" s="10">
        <v>227249</v>
      </c>
      <c r="F73" s="8">
        <v>7.24</v>
      </c>
      <c r="G73" s="10">
        <v>17662</v>
      </c>
    </row>
    <row r="74" spans="1:7" ht="15.75" customHeight="1">
      <c r="A74" s="6">
        <v>45614</v>
      </c>
      <c r="B74" s="2" t="s">
        <v>13</v>
      </c>
      <c r="C74" s="10">
        <v>946</v>
      </c>
      <c r="D74" s="10">
        <v>270</v>
      </c>
      <c r="E74" s="10">
        <v>246567</v>
      </c>
      <c r="F74" s="8">
        <v>4.53</v>
      </c>
      <c r="G74" s="10">
        <v>5924</v>
      </c>
    </row>
    <row r="75" spans="1:7" ht="15.75" customHeight="1">
      <c r="A75" s="6">
        <v>45614</v>
      </c>
      <c r="B75" s="2" t="s">
        <v>22</v>
      </c>
      <c r="C75" s="10">
        <v>791</v>
      </c>
      <c r="D75" s="10">
        <v>214</v>
      </c>
      <c r="E75" s="10">
        <v>114738</v>
      </c>
      <c r="F75" s="8">
        <v>6.62</v>
      </c>
      <c r="G75" s="10">
        <v>25347</v>
      </c>
    </row>
    <row r="76" spans="1:7" ht="15.75" customHeight="1">
      <c r="A76" s="6">
        <v>45614</v>
      </c>
      <c r="B76" s="2" t="s">
        <v>27</v>
      </c>
      <c r="C76" s="10">
        <v>793</v>
      </c>
      <c r="D76" s="10">
        <v>111</v>
      </c>
      <c r="E76" s="10">
        <v>333500</v>
      </c>
      <c r="F76" s="8">
        <v>6.36</v>
      </c>
      <c r="G76" s="10">
        <v>8910</v>
      </c>
    </row>
    <row r="77" spans="1:7" ht="15.75" customHeight="1">
      <c r="A77" s="6">
        <v>45621</v>
      </c>
      <c r="B77" s="2" t="s">
        <v>13</v>
      </c>
      <c r="C77" s="10">
        <v>663</v>
      </c>
      <c r="D77" s="10">
        <v>213</v>
      </c>
      <c r="E77" s="10">
        <v>352677</v>
      </c>
      <c r="F77" s="8">
        <v>9</v>
      </c>
      <c r="G77" s="10">
        <v>20438</v>
      </c>
    </row>
    <row r="78" spans="1:7" ht="15.75" customHeight="1">
      <c r="A78" s="6">
        <v>45621</v>
      </c>
      <c r="B78" s="2" t="s">
        <v>22</v>
      </c>
      <c r="C78" s="10">
        <v>954</v>
      </c>
      <c r="D78" s="10">
        <v>271</v>
      </c>
      <c r="E78" s="10">
        <v>160936</v>
      </c>
      <c r="F78" s="8">
        <v>8.83</v>
      </c>
      <c r="G78" s="10">
        <v>8760</v>
      </c>
    </row>
    <row r="79" spans="1:7" ht="15.75" customHeight="1">
      <c r="A79" s="6">
        <v>45621</v>
      </c>
      <c r="B79" s="2" t="s">
        <v>27</v>
      </c>
      <c r="C79" s="10">
        <v>1313</v>
      </c>
      <c r="D79" s="10">
        <v>159</v>
      </c>
      <c r="E79" s="10">
        <v>197183</v>
      </c>
      <c r="F79" s="8">
        <v>9.7100000000000009</v>
      </c>
      <c r="G79" s="10">
        <v>6625</v>
      </c>
    </row>
    <row r="80" spans="1:7" ht="15.75" customHeight="1">
      <c r="A80" s="6">
        <v>45628</v>
      </c>
      <c r="B80" s="2" t="s">
        <v>13</v>
      </c>
      <c r="C80" s="10">
        <v>895</v>
      </c>
      <c r="D80" s="10">
        <v>87</v>
      </c>
      <c r="E80" s="10">
        <v>171271</v>
      </c>
      <c r="F80" s="8">
        <v>6.68</v>
      </c>
      <c r="G80" s="10">
        <v>23329</v>
      </c>
    </row>
    <row r="81" spans="1:7" ht="15.75" customHeight="1">
      <c r="A81" s="6">
        <v>45628</v>
      </c>
      <c r="B81" s="2" t="s">
        <v>22</v>
      </c>
      <c r="C81" s="10">
        <v>1027</v>
      </c>
      <c r="D81" s="10">
        <v>156</v>
      </c>
      <c r="E81" s="10">
        <v>111293</v>
      </c>
      <c r="F81" s="8">
        <v>5.51</v>
      </c>
      <c r="G81" s="10">
        <v>7299</v>
      </c>
    </row>
    <row r="82" spans="1:7" ht="15.75" customHeight="1">
      <c r="A82" s="6">
        <v>45628</v>
      </c>
      <c r="B82" s="2" t="s">
        <v>27</v>
      </c>
      <c r="C82" s="10">
        <v>990</v>
      </c>
      <c r="D82" s="10">
        <v>286</v>
      </c>
      <c r="E82" s="10">
        <v>351493</v>
      </c>
      <c r="F82" s="8">
        <v>7.97</v>
      </c>
      <c r="G82" s="10">
        <v>14496</v>
      </c>
    </row>
    <row r="83" spans="1:7" ht="15.75" customHeight="1">
      <c r="A83" s="6">
        <v>45635</v>
      </c>
      <c r="B83" s="2" t="s">
        <v>13</v>
      </c>
      <c r="C83" s="10">
        <v>875</v>
      </c>
      <c r="D83" s="10">
        <v>264</v>
      </c>
      <c r="E83" s="10">
        <v>345631</v>
      </c>
      <c r="F83" s="8">
        <v>9.18</v>
      </c>
      <c r="G83" s="10">
        <v>25703</v>
      </c>
    </row>
    <row r="84" spans="1:7" ht="15.75" customHeight="1">
      <c r="A84" s="6">
        <v>45635</v>
      </c>
      <c r="B84" s="2" t="s">
        <v>22</v>
      </c>
      <c r="C84" s="10">
        <v>599</v>
      </c>
      <c r="D84" s="10">
        <v>194</v>
      </c>
      <c r="E84" s="10">
        <v>105622</v>
      </c>
      <c r="F84" s="8">
        <v>6.44</v>
      </c>
      <c r="G84" s="10">
        <v>15108</v>
      </c>
    </row>
    <row r="85" spans="1:7" ht="15.75" customHeight="1">
      <c r="A85" s="6">
        <v>45635</v>
      </c>
      <c r="B85" s="2" t="s">
        <v>27</v>
      </c>
      <c r="C85" s="10">
        <v>630</v>
      </c>
      <c r="D85" s="10">
        <v>248</v>
      </c>
      <c r="E85" s="10">
        <v>119054</v>
      </c>
      <c r="F85" s="8">
        <v>5.0199999999999996</v>
      </c>
      <c r="G85" s="10">
        <v>18867</v>
      </c>
    </row>
    <row r="86" spans="1:7" ht="15.75" customHeight="1">
      <c r="A86" s="6">
        <v>45642</v>
      </c>
      <c r="B86" s="2" t="s">
        <v>13</v>
      </c>
      <c r="C86" s="10">
        <v>1350</v>
      </c>
      <c r="D86" s="10">
        <v>233</v>
      </c>
      <c r="E86" s="10">
        <v>171670</v>
      </c>
      <c r="F86" s="8">
        <v>4.53</v>
      </c>
      <c r="G86" s="10">
        <v>17574</v>
      </c>
    </row>
    <row r="87" spans="1:7" ht="15.75" customHeight="1">
      <c r="A87" s="6">
        <v>45642</v>
      </c>
      <c r="B87" s="2" t="s">
        <v>22</v>
      </c>
      <c r="C87" s="10">
        <v>632</v>
      </c>
      <c r="D87" s="10">
        <v>155</v>
      </c>
      <c r="E87" s="10">
        <v>170432</v>
      </c>
      <c r="F87" s="8">
        <v>9.17</v>
      </c>
      <c r="G87" s="10">
        <v>12840</v>
      </c>
    </row>
    <row r="88" spans="1:7" ht="15.75" customHeight="1">
      <c r="A88" s="6">
        <v>45642</v>
      </c>
      <c r="B88" s="2" t="s">
        <v>27</v>
      </c>
      <c r="C88" s="10">
        <v>1182</v>
      </c>
      <c r="D88" s="10">
        <v>83</v>
      </c>
      <c r="E88" s="10">
        <v>140300</v>
      </c>
      <c r="F88" s="8">
        <v>3.27</v>
      </c>
      <c r="G88" s="10">
        <v>21079</v>
      </c>
    </row>
    <row r="89" spans="1:7" ht="15.75" customHeight="1">
      <c r="A89" s="6">
        <v>45649</v>
      </c>
      <c r="B89" s="2" t="s">
        <v>13</v>
      </c>
      <c r="C89" s="10">
        <v>661</v>
      </c>
      <c r="D89" s="10">
        <v>94</v>
      </c>
      <c r="E89" s="10">
        <v>116538</v>
      </c>
      <c r="F89" s="8">
        <v>5.31</v>
      </c>
      <c r="G89" s="10">
        <v>23486</v>
      </c>
    </row>
    <row r="90" spans="1:7" ht="15.75" customHeight="1">
      <c r="A90" s="6">
        <v>45649</v>
      </c>
      <c r="B90" s="2" t="s">
        <v>22</v>
      </c>
      <c r="C90" s="10">
        <v>1360</v>
      </c>
      <c r="D90" s="10">
        <v>227</v>
      </c>
      <c r="E90" s="10">
        <v>176902</v>
      </c>
      <c r="F90" s="8">
        <v>6.03</v>
      </c>
      <c r="G90" s="10">
        <v>5960</v>
      </c>
    </row>
    <row r="91" spans="1:7" ht="15.75" customHeight="1">
      <c r="A91" s="6">
        <v>45649</v>
      </c>
      <c r="B91" s="2" t="s">
        <v>27</v>
      </c>
      <c r="C91" s="10">
        <v>935</v>
      </c>
      <c r="D91" s="10">
        <v>85</v>
      </c>
      <c r="E91" s="10">
        <v>326821</v>
      </c>
      <c r="F91" s="8">
        <v>8.89</v>
      </c>
      <c r="G91" s="10">
        <v>13301</v>
      </c>
    </row>
    <row r="92" spans="1:7" ht="15.75" customHeight="1">
      <c r="A92" s="6">
        <v>45656</v>
      </c>
      <c r="B92" s="2" t="s">
        <v>13</v>
      </c>
      <c r="C92" s="10">
        <v>664</v>
      </c>
      <c r="D92" s="10">
        <v>251</v>
      </c>
      <c r="E92" s="10">
        <v>240598</v>
      </c>
      <c r="F92" s="8">
        <v>4.79</v>
      </c>
      <c r="G92" s="10">
        <v>10563</v>
      </c>
    </row>
    <row r="93" spans="1:7" ht="15.75" customHeight="1">
      <c r="A93" s="6">
        <v>45656</v>
      </c>
      <c r="B93" s="2" t="s">
        <v>22</v>
      </c>
      <c r="C93" s="10">
        <v>1490</v>
      </c>
      <c r="D93" s="10">
        <v>103</v>
      </c>
      <c r="E93" s="10">
        <v>373274</v>
      </c>
      <c r="F93" s="8">
        <v>4.8</v>
      </c>
      <c r="G93" s="10">
        <v>19949</v>
      </c>
    </row>
    <row r="94" spans="1:7" ht="15.75" customHeight="1">
      <c r="A94" s="6">
        <v>45656</v>
      </c>
      <c r="B94" s="2" t="s">
        <v>27</v>
      </c>
      <c r="C94" s="10">
        <v>601</v>
      </c>
      <c r="D94" s="10">
        <v>64</v>
      </c>
      <c r="E94" s="10">
        <v>123272</v>
      </c>
      <c r="F94" s="8">
        <v>4.07</v>
      </c>
      <c r="G94" s="10">
        <v>14273</v>
      </c>
    </row>
    <row r="95" spans="1:7" ht="15.75" customHeight="1">
      <c r="A95" s="6">
        <v>45663</v>
      </c>
      <c r="B95" s="2" t="s">
        <v>13</v>
      </c>
      <c r="C95" s="10">
        <v>613</v>
      </c>
      <c r="D95" s="10">
        <v>170</v>
      </c>
      <c r="E95" s="10">
        <v>139266</v>
      </c>
      <c r="F95" s="8">
        <v>6.06</v>
      </c>
      <c r="G95" s="10">
        <v>9247</v>
      </c>
    </row>
    <row r="96" spans="1:7" ht="15.75" customHeight="1">
      <c r="A96" s="6">
        <v>45663</v>
      </c>
      <c r="B96" s="2" t="s">
        <v>22</v>
      </c>
      <c r="C96" s="10">
        <v>1340</v>
      </c>
      <c r="D96" s="10">
        <v>57</v>
      </c>
      <c r="E96" s="10">
        <v>155927</v>
      </c>
      <c r="F96" s="8">
        <v>7.79</v>
      </c>
      <c r="G96" s="10">
        <v>11972</v>
      </c>
    </row>
    <row r="97" spans="1:7" ht="15.75" customHeight="1">
      <c r="A97" s="6">
        <v>45663</v>
      </c>
      <c r="B97" s="2" t="s">
        <v>27</v>
      </c>
      <c r="C97" s="10">
        <v>953</v>
      </c>
      <c r="D97" s="10">
        <v>228</v>
      </c>
      <c r="E97" s="10">
        <v>258398</v>
      </c>
      <c r="F97" s="8">
        <v>9.0500000000000007</v>
      </c>
      <c r="G97" s="10">
        <v>13314</v>
      </c>
    </row>
    <row r="98" spans="1:7" ht="15.75" customHeight="1">
      <c r="A98" s="6">
        <v>45670</v>
      </c>
      <c r="B98" s="2" t="s">
        <v>13</v>
      </c>
      <c r="C98" s="10">
        <v>532</v>
      </c>
      <c r="D98" s="10">
        <v>65</v>
      </c>
      <c r="E98" s="10">
        <v>338561</v>
      </c>
      <c r="F98" s="8">
        <v>3.5</v>
      </c>
      <c r="G98" s="10">
        <v>14749</v>
      </c>
    </row>
    <row r="99" spans="1:7" ht="15.75" customHeight="1">
      <c r="A99" s="6">
        <v>45670</v>
      </c>
      <c r="B99" s="2" t="s">
        <v>22</v>
      </c>
      <c r="C99" s="10">
        <v>1414</v>
      </c>
      <c r="D99" s="10">
        <v>60</v>
      </c>
      <c r="E99" s="10">
        <v>341856</v>
      </c>
      <c r="F99" s="8">
        <v>8.76</v>
      </c>
      <c r="G99" s="10">
        <v>6868</v>
      </c>
    </row>
    <row r="100" spans="1:7" ht="15.75" customHeight="1">
      <c r="A100" s="6">
        <v>45670</v>
      </c>
      <c r="B100" s="2" t="s">
        <v>27</v>
      </c>
      <c r="C100" s="10">
        <v>685</v>
      </c>
      <c r="D100" s="10">
        <v>165</v>
      </c>
      <c r="E100" s="10">
        <v>175860</v>
      </c>
      <c r="F100" s="8">
        <v>6.26</v>
      </c>
      <c r="G100" s="10">
        <v>6027</v>
      </c>
    </row>
    <row r="101" spans="1:7" ht="15.75" customHeight="1">
      <c r="A101" s="6">
        <v>45677</v>
      </c>
      <c r="B101" s="2" t="s">
        <v>13</v>
      </c>
      <c r="C101" s="10">
        <v>601</v>
      </c>
      <c r="D101" s="10">
        <v>159</v>
      </c>
      <c r="E101" s="10">
        <v>327722</v>
      </c>
      <c r="F101" s="8">
        <v>3.33</v>
      </c>
      <c r="G101" s="10">
        <v>25267</v>
      </c>
    </row>
    <row r="102" spans="1:7" ht="15.75" customHeight="1">
      <c r="A102" s="6">
        <v>45677</v>
      </c>
      <c r="B102" s="2" t="s">
        <v>22</v>
      </c>
      <c r="C102" s="10">
        <v>841</v>
      </c>
      <c r="D102" s="10">
        <v>295</v>
      </c>
      <c r="E102" s="10">
        <v>271638</v>
      </c>
      <c r="F102" s="8">
        <v>9.15</v>
      </c>
      <c r="G102" s="10">
        <v>5900</v>
      </c>
    </row>
    <row r="103" spans="1:7" ht="15.75" customHeight="1">
      <c r="A103" s="6">
        <v>45677</v>
      </c>
      <c r="B103" s="2" t="s">
        <v>27</v>
      </c>
      <c r="C103" s="10">
        <v>1105</v>
      </c>
      <c r="D103" s="10">
        <v>261</v>
      </c>
      <c r="E103" s="10">
        <v>333851</v>
      </c>
      <c r="F103" s="8">
        <v>6.03</v>
      </c>
      <c r="G103" s="10">
        <v>11181</v>
      </c>
    </row>
    <row r="104" spans="1:7" ht="15.75" customHeight="1">
      <c r="A104" s="6">
        <v>45684</v>
      </c>
      <c r="B104" s="2" t="s">
        <v>13</v>
      </c>
      <c r="C104" s="10">
        <v>566</v>
      </c>
      <c r="D104" s="10">
        <v>225</v>
      </c>
      <c r="E104" s="10">
        <v>368984</v>
      </c>
      <c r="F104" s="8">
        <v>9.82</v>
      </c>
      <c r="G104" s="10">
        <v>9592</v>
      </c>
    </row>
    <row r="105" spans="1:7" ht="15.75" customHeight="1">
      <c r="A105" s="6">
        <v>45684</v>
      </c>
      <c r="B105" s="2" t="s">
        <v>22</v>
      </c>
      <c r="C105" s="10">
        <v>1149</v>
      </c>
      <c r="D105" s="10">
        <v>280</v>
      </c>
      <c r="E105" s="10">
        <v>167310</v>
      </c>
      <c r="F105" s="8">
        <v>3.7</v>
      </c>
      <c r="G105" s="10">
        <v>5291</v>
      </c>
    </row>
    <row r="106" spans="1:7" ht="15.75" customHeight="1">
      <c r="A106" s="6">
        <v>45684</v>
      </c>
      <c r="B106" s="2" t="s">
        <v>27</v>
      </c>
      <c r="C106" s="10">
        <v>819</v>
      </c>
      <c r="D106" s="10">
        <v>101</v>
      </c>
      <c r="E106" s="10">
        <v>194811</v>
      </c>
      <c r="F106" s="8">
        <v>3.35</v>
      </c>
      <c r="G106" s="10">
        <v>22244</v>
      </c>
    </row>
    <row r="107" spans="1:7" ht="15.75" customHeight="1">
      <c r="A107" s="6">
        <v>45691</v>
      </c>
      <c r="B107" s="2" t="s">
        <v>13</v>
      </c>
      <c r="C107" s="10">
        <v>795</v>
      </c>
      <c r="D107" s="10">
        <v>60</v>
      </c>
      <c r="E107" s="10">
        <v>314982</v>
      </c>
      <c r="F107" s="8">
        <v>7.31</v>
      </c>
      <c r="G107" s="10">
        <v>6824</v>
      </c>
    </row>
    <row r="108" spans="1:7" ht="15.75" customHeight="1">
      <c r="A108" s="6">
        <v>45691</v>
      </c>
      <c r="B108" s="2" t="s">
        <v>22</v>
      </c>
      <c r="C108" s="10">
        <v>681</v>
      </c>
      <c r="D108" s="10">
        <v>158</v>
      </c>
      <c r="E108" s="10">
        <v>75960</v>
      </c>
      <c r="F108" s="8">
        <v>3.13</v>
      </c>
      <c r="G108" s="10">
        <v>24112</v>
      </c>
    </row>
    <row r="109" spans="1:7" ht="15.75" customHeight="1">
      <c r="A109" s="6">
        <v>45691</v>
      </c>
      <c r="B109" s="2" t="s">
        <v>27</v>
      </c>
      <c r="C109" s="10">
        <v>534</v>
      </c>
      <c r="D109" s="10">
        <v>112</v>
      </c>
      <c r="E109" s="10">
        <v>360759</v>
      </c>
      <c r="F109" s="8">
        <v>4.8899999999999997</v>
      </c>
      <c r="G109" s="10">
        <v>25478</v>
      </c>
    </row>
    <row r="110" spans="1:7" ht="15.75" customHeight="1">
      <c r="A110" s="6">
        <v>45698</v>
      </c>
      <c r="B110" s="2" t="s">
        <v>13</v>
      </c>
      <c r="C110" s="10">
        <v>1066</v>
      </c>
      <c r="D110" s="10">
        <v>151</v>
      </c>
      <c r="E110" s="10">
        <v>297090</v>
      </c>
      <c r="F110" s="8">
        <v>8.6300000000000008</v>
      </c>
      <c r="G110" s="10">
        <v>11235</v>
      </c>
    </row>
    <row r="111" spans="1:7" ht="15.75" customHeight="1">
      <c r="A111" s="6">
        <v>45698</v>
      </c>
      <c r="B111" s="2" t="s">
        <v>22</v>
      </c>
      <c r="C111" s="10">
        <v>1270</v>
      </c>
      <c r="D111" s="10">
        <v>162</v>
      </c>
      <c r="E111" s="10">
        <v>92040</v>
      </c>
      <c r="F111" s="8">
        <v>8.0299999999999994</v>
      </c>
      <c r="G111" s="10">
        <v>6120</v>
      </c>
    </row>
    <row r="112" spans="1:7" ht="15.75" customHeight="1">
      <c r="A112" s="6">
        <v>45698</v>
      </c>
      <c r="B112" s="2" t="s">
        <v>27</v>
      </c>
      <c r="C112" s="10">
        <v>536</v>
      </c>
      <c r="D112" s="10">
        <v>198</v>
      </c>
      <c r="E112" s="10">
        <v>174610</v>
      </c>
      <c r="F112" s="8">
        <v>7.85</v>
      </c>
      <c r="G112" s="10">
        <v>20572</v>
      </c>
    </row>
    <row r="113" spans="1:7" ht="15.75" customHeight="1">
      <c r="A113" s="6">
        <v>45705</v>
      </c>
      <c r="B113" s="2" t="s">
        <v>13</v>
      </c>
      <c r="C113" s="10">
        <v>819</v>
      </c>
      <c r="D113" s="10">
        <v>95</v>
      </c>
      <c r="E113" s="10">
        <v>177376</v>
      </c>
      <c r="F113" s="8">
        <v>6.12</v>
      </c>
      <c r="G113" s="10">
        <v>14975</v>
      </c>
    </row>
    <row r="114" spans="1:7" ht="15.75" customHeight="1">
      <c r="A114" s="6">
        <v>45705</v>
      </c>
      <c r="B114" s="2" t="s">
        <v>22</v>
      </c>
      <c r="C114" s="10">
        <v>681</v>
      </c>
      <c r="D114" s="10">
        <v>218</v>
      </c>
      <c r="E114" s="10">
        <v>198882</v>
      </c>
      <c r="F114" s="8">
        <v>7.16</v>
      </c>
      <c r="G114" s="10">
        <v>22234</v>
      </c>
    </row>
    <row r="115" spans="1:7" ht="15.75" customHeight="1">
      <c r="A115" s="6">
        <v>45705</v>
      </c>
      <c r="B115" s="2" t="s">
        <v>27</v>
      </c>
      <c r="C115" s="10">
        <v>646</v>
      </c>
      <c r="D115" s="10">
        <v>290</v>
      </c>
      <c r="E115" s="10">
        <v>336383</v>
      </c>
      <c r="F115" s="8">
        <v>7.04</v>
      </c>
      <c r="G115" s="10">
        <v>6532</v>
      </c>
    </row>
    <row r="116" spans="1:7" ht="15.75" customHeight="1">
      <c r="A116" s="6">
        <v>45712</v>
      </c>
      <c r="B116" s="2" t="s">
        <v>13</v>
      </c>
      <c r="C116" s="10">
        <v>645</v>
      </c>
      <c r="D116" s="10">
        <v>267</v>
      </c>
      <c r="E116" s="10">
        <v>346890</v>
      </c>
      <c r="F116" s="8">
        <v>3.71</v>
      </c>
      <c r="G116" s="10">
        <v>24858</v>
      </c>
    </row>
    <row r="117" spans="1:7" ht="15.75" customHeight="1">
      <c r="A117" s="6">
        <v>45712</v>
      </c>
      <c r="B117" s="2" t="s">
        <v>22</v>
      </c>
      <c r="C117" s="10">
        <v>886</v>
      </c>
      <c r="D117" s="10">
        <v>250</v>
      </c>
      <c r="E117" s="10">
        <v>168170</v>
      </c>
      <c r="F117" s="8">
        <v>4.12</v>
      </c>
      <c r="G117" s="10">
        <v>13883</v>
      </c>
    </row>
    <row r="118" spans="1:7" ht="15.75" customHeight="1">
      <c r="A118" s="6">
        <v>45712</v>
      </c>
      <c r="B118" s="2" t="s">
        <v>27</v>
      </c>
      <c r="C118" s="10">
        <v>978</v>
      </c>
      <c r="D118" s="10">
        <v>279</v>
      </c>
      <c r="E118" s="10">
        <v>368872</v>
      </c>
      <c r="F118" s="8">
        <v>6.82</v>
      </c>
      <c r="G118" s="10">
        <v>18654</v>
      </c>
    </row>
    <row r="119" spans="1:7" ht="15.75" customHeight="1">
      <c r="A119" s="6">
        <v>45719</v>
      </c>
      <c r="B119" s="2" t="s">
        <v>13</v>
      </c>
      <c r="C119" s="10">
        <v>1444</v>
      </c>
      <c r="D119" s="10">
        <v>165</v>
      </c>
      <c r="E119" s="10">
        <v>116436</v>
      </c>
      <c r="F119" s="8">
        <v>8.2200000000000006</v>
      </c>
      <c r="G119" s="10">
        <v>25234</v>
      </c>
    </row>
    <row r="120" spans="1:7" ht="15.75" customHeight="1">
      <c r="A120" s="6">
        <v>45719</v>
      </c>
      <c r="B120" s="2" t="s">
        <v>22</v>
      </c>
      <c r="C120" s="10">
        <v>1234</v>
      </c>
      <c r="D120" s="10">
        <v>228</v>
      </c>
      <c r="E120" s="10">
        <v>127502</v>
      </c>
      <c r="F120" s="8">
        <v>7.71</v>
      </c>
      <c r="G120" s="10">
        <v>6772</v>
      </c>
    </row>
    <row r="121" spans="1:7" ht="15.75" customHeight="1">
      <c r="A121" s="6">
        <v>45719</v>
      </c>
      <c r="B121" s="2" t="s">
        <v>27</v>
      </c>
      <c r="C121" s="10">
        <v>665</v>
      </c>
      <c r="D121" s="10">
        <v>187</v>
      </c>
      <c r="E121" s="10">
        <v>274567</v>
      </c>
      <c r="F121" s="8">
        <v>7.39</v>
      </c>
      <c r="G121" s="10">
        <v>22428</v>
      </c>
    </row>
    <row r="122" spans="1:7" ht="15.75" customHeight="1">
      <c r="A122" s="6">
        <v>45726</v>
      </c>
      <c r="B122" s="2" t="s">
        <v>13</v>
      </c>
      <c r="C122" s="10">
        <v>631</v>
      </c>
      <c r="D122" s="10">
        <v>86</v>
      </c>
      <c r="E122" s="10">
        <v>295090</v>
      </c>
      <c r="F122" s="8">
        <v>7.89</v>
      </c>
      <c r="G122" s="10">
        <v>11911</v>
      </c>
    </row>
    <row r="123" spans="1:7" ht="15.75" customHeight="1">
      <c r="A123" s="6">
        <v>45726</v>
      </c>
      <c r="B123" s="2" t="s">
        <v>22</v>
      </c>
      <c r="C123" s="10">
        <v>1159</v>
      </c>
      <c r="D123" s="10">
        <v>154</v>
      </c>
      <c r="E123" s="10">
        <v>194994</v>
      </c>
      <c r="F123" s="8">
        <v>6.39</v>
      </c>
      <c r="G123" s="10">
        <v>21900</v>
      </c>
    </row>
    <row r="124" spans="1:7" ht="15.75" customHeight="1">
      <c r="A124" s="6">
        <v>45726</v>
      </c>
      <c r="B124" s="2" t="s">
        <v>27</v>
      </c>
      <c r="C124" s="10">
        <v>950</v>
      </c>
      <c r="D124" s="10">
        <v>185</v>
      </c>
      <c r="E124" s="10">
        <v>340750</v>
      </c>
      <c r="F124" s="8">
        <v>6.77</v>
      </c>
      <c r="G124" s="10">
        <v>25542</v>
      </c>
    </row>
    <row r="125" spans="1:7" ht="15.75" customHeight="1">
      <c r="A125" s="6">
        <v>45733</v>
      </c>
      <c r="B125" s="2" t="s">
        <v>13</v>
      </c>
      <c r="C125" s="10">
        <v>693</v>
      </c>
      <c r="D125" s="10">
        <v>129</v>
      </c>
      <c r="E125" s="10">
        <v>296031</v>
      </c>
      <c r="F125" s="8">
        <v>3.41</v>
      </c>
      <c r="G125" s="10">
        <v>7140</v>
      </c>
    </row>
    <row r="126" spans="1:7" ht="15.75" customHeight="1">
      <c r="A126" s="6">
        <v>45733</v>
      </c>
      <c r="B126" s="2" t="s">
        <v>22</v>
      </c>
      <c r="C126" s="10">
        <v>576</v>
      </c>
      <c r="D126" s="10">
        <v>80</v>
      </c>
      <c r="E126" s="10">
        <v>345688</v>
      </c>
      <c r="F126" s="8">
        <v>4.1100000000000003</v>
      </c>
      <c r="G126" s="10">
        <v>20474</v>
      </c>
    </row>
    <row r="127" spans="1:7" ht="15.75" customHeight="1">
      <c r="A127" s="6">
        <v>45733</v>
      </c>
      <c r="B127" s="2" t="s">
        <v>27</v>
      </c>
      <c r="C127" s="10">
        <v>1274</v>
      </c>
      <c r="D127" s="10">
        <v>146</v>
      </c>
      <c r="E127" s="10">
        <v>263488</v>
      </c>
      <c r="F127" s="8">
        <v>9.58</v>
      </c>
      <c r="G127" s="10">
        <v>8698</v>
      </c>
    </row>
    <row r="128" spans="1:7" ht="15.75" customHeight="1">
      <c r="A128" s="6">
        <v>45740</v>
      </c>
      <c r="B128" s="2" t="s">
        <v>13</v>
      </c>
      <c r="C128" s="10">
        <v>818</v>
      </c>
      <c r="D128" s="10">
        <v>253</v>
      </c>
      <c r="E128" s="10">
        <v>184911</v>
      </c>
      <c r="F128" s="8">
        <v>3.39</v>
      </c>
      <c r="G128" s="10">
        <v>10402</v>
      </c>
    </row>
    <row r="129" spans="1:7" ht="15.75" customHeight="1">
      <c r="A129" s="6">
        <v>45740</v>
      </c>
      <c r="B129" s="2" t="s">
        <v>22</v>
      </c>
      <c r="C129" s="10">
        <v>975</v>
      </c>
      <c r="D129" s="10">
        <v>162</v>
      </c>
      <c r="E129" s="10">
        <v>124497</v>
      </c>
      <c r="F129" s="8">
        <v>9.58</v>
      </c>
      <c r="G129" s="10">
        <v>26618</v>
      </c>
    </row>
    <row r="130" spans="1:7" ht="15.75" customHeight="1">
      <c r="A130" s="6">
        <v>45740</v>
      </c>
      <c r="B130" s="2" t="s">
        <v>27</v>
      </c>
      <c r="C130" s="10">
        <v>1398</v>
      </c>
      <c r="D130" s="10">
        <v>97</v>
      </c>
      <c r="E130" s="10">
        <v>397607</v>
      </c>
      <c r="F130" s="8">
        <v>5.09</v>
      </c>
      <c r="G130" s="10">
        <v>7975</v>
      </c>
    </row>
    <row r="131" spans="1:7" ht="15.75" customHeight="1">
      <c r="A131" s="6">
        <v>45747</v>
      </c>
      <c r="B131" s="2" t="s">
        <v>13</v>
      </c>
      <c r="C131" s="10">
        <v>591</v>
      </c>
      <c r="D131" s="10">
        <v>155</v>
      </c>
      <c r="E131" s="10">
        <v>138521</v>
      </c>
      <c r="F131" s="8">
        <v>7.85</v>
      </c>
      <c r="G131" s="10">
        <v>19054</v>
      </c>
    </row>
    <row r="132" spans="1:7" ht="15.75" customHeight="1">
      <c r="A132" s="6">
        <v>45747</v>
      </c>
      <c r="B132" s="2" t="s">
        <v>22</v>
      </c>
      <c r="C132" s="10">
        <v>1232</v>
      </c>
      <c r="D132" s="10">
        <v>254</v>
      </c>
      <c r="E132" s="10">
        <v>107718</v>
      </c>
      <c r="F132" s="8">
        <v>9.7100000000000009</v>
      </c>
      <c r="G132" s="10">
        <v>13740</v>
      </c>
    </row>
    <row r="133" spans="1:7" ht="15.75" customHeight="1">
      <c r="A133" s="6">
        <v>45747</v>
      </c>
      <c r="B133" s="2" t="s">
        <v>27</v>
      </c>
      <c r="C133" s="10">
        <v>1425</v>
      </c>
      <c r="D133" s="10">
        <v>58</v>
      </c>
      <c r="E133" s="10">
        <v>202234</v>
      </c>
      <c r="F133" s="8">
        <v>6.67</v>
      </c>
      <c r="G133" s="10">
        <v>18442</v>
      </c>
    </row>
    <row r="134" spans="1:7" ht="15.75" customHeight="1">
      <c r="A134" s="6">
        <v>45754</v>
      </c>
      <c r="B134" s="2" t="s">
        <v>13</v>
      </c>
      <c r="C134" s="10">
        <v>1417</v>
      </c>
      <c r="D134" s="10">
        <v>80</v>
      </c>
      <c r="E134" s="10">
        <v>340987</v>
      </c>
      <c r="F134" s="8">
        <v>6.13</v>
      </c>
      <c r="G134" s="10">
        <v>10104</v>
      </c>
    </row>
    <row r="135" spans="1:7" ht="15.75" customHeight="1">
      <c r="A135" s="6">
        <v>45754</v>
      </c>
      <c r="B135" s="2" t="s">
        <v>22</v>
      </c>
      <c r="C135" s="10">
        <v>1222</v>
      </c>
      <c r="D135" s="10">
        <v>208</v>
      </c>
      <c r="E135" s="10">
        <v>340098</v>
      </c>
      <c r="F135" s="8">
        <v>7.34</v>
      </c>
      <c r="G135" s="10">
        <v>21771</v>
      </c>
    </row>
    <row r="136" spans="1:7" ht="15.75" customHeight="1">
      <c r="A136" s="6">
        <v>45754</v>
      </c>
      <c r="B136" s="2" t="s">
        <v>27</v>
      </c>
      <c r="C136" s="10">
        <v>1071</v>
      </c>
      <c r="D136" s="10">
        <v>131</v>
      </c>
      <c r="E136" s="10">
        <v>254727</v>
      </c>
      <c r="F136" s="8">
        <v>6.87</v>
      </c>
      <c r="G136" s="10">
        <v>22191</v>
      </c>
    </row>
    <row r="137" spans="1:7" ht="15.75" customHeight="1">
      <c r="A137" s="6">
        <v>45761</v>
      </c>
      <c r="B137" s="2" t="s">
        <v>13</v>
      </c>
      <c r="C137" s="10">
        <v>772</v>
      </c>
      <c r="D137" s="10">
        <v>82</v>
      </c>
      <c r="E137" s="10">
        <v>345659</v>
      </c>
      <c r="F137" s="8">
        <v>3.52</v>
      </c>
      <c r="G137" s="10">
        <v>27753</v>
      </c>
    </row>
    <row r="138" spans="1:7" ht="15.75" customHeight="1">
      <c r="A138" s="6">
        <v>45761</v>
      </c>
      <c r="B138" s="2" t="s">
        <v>22</v>
      </c>
      <c r="C138" s="10">
        <v>1472</v>
      </c>
      <c r="D138" s="10">
        <v>137</v>
      </c>
      <c r="E138" s="10">
        <v>213950</v>
      </c>
      <c r="F138" s="8">
        <v>6.96</v>
      </c>
      <c r="G138" s="10">
        <v>23736</v>
      </c>
    </row>
    <row r="139" spans="1:7" ht="15.75" customHeight="1">
      <c r="A139" s="6">
        <v>45761</v>
      </c>
      <c r="B139" s="2" t="s">
        <v>27</v>
      </c>
      <c r="C139" s="10">
        <v>1472</v>
      </c>
      <c r="D139" s="10">
        <v>281</v>
      </c>
      <c r="E139" s="10">
        <v>258115</v>
      </c>
      <c r="F139" s="8">
        <v>7.23</v>
      </c>
      <c r="G139" s="10">
        <v>27393</v>
      </c>
    </row>
    <row r="140" spans="1:7" ht="15.75" customHeight="1">
      <c r="A140" s="6">
        <v>45768</v>
      </c>
      <c r="B140" s="2" t="s">
        <v>13</v>
      </c>
      <c r="C140" s="10">
        <v>585</v>
      </c>
      <c r="D140" s="10">
        <v>232</v>
      </c>
      <c r="E140" s="10">
        <v>321258</v>
      </c>
      <c r="F140" s="8">
        <v>7.42</v>
      </c>
      <c r="G140" s="10">
        <v>10343</v>
      </c>
    </row>
    <row r="141" spans="1:7" ht="15.75" customHeight="1">
      <c r="A141" s="6">
        <v>45768</v>
      </c>
      <c r="B141" s="2" t="s">
        <v>22</v>
      </c>
      <c r="C141" s="10">
        <v>747</v>
      </c>
      <c r="D141" s="10">
        <v>261</v>
      </c>
      <c r="E141" s="10">
        <v>338650</v>
      </c>
      <c r="F141" s="8">
        <v>7.73</v>
      </c>
      <c r="G141" s="10">
        <v>25259</v>
      </c>
    </row>
    <row r="142" spans="1:7" ht="15.75" customHeight="1">
      <c r="A142" s="6">
        <v>45768</v>
      </c>
      <c r="B142" s="2" t="s">
        <v>27</v>
      </c>
      <c r="C142" s="10">
        <v>1113</v>
      </c>
      <c r="D142" s="10">
        <v>224</v>
      </c>
      <c r="E142" s="10">
        <v>272989</v>
      </c>
      <c r="F142" s="8">
        <v>5.13</v>
      </c>
      <c r="G142" s="10">
        <v>24827</v>
      </c>
    </row>
    <row r="143" spans="1:7" ht="15.75" customHeight="1">
      <c r="A143" s="6">
        <v>45775</v>
      </c>
      <c r="B143" s="2" t="s">
        <v>13</v>
      </c>
      <c r="C143" s="10">
        <v>1100</v>
      </c>
      <c r="D143" s="10">
        <v>117</v>
      </c>
      <c r="E143" s="10">
        <v>260204</v>
      </c>
      <c r="F143" s="8">
        <v>4.4000000000000004</v>
      </c>
      <c r="G143" s="10">
        <v>11908</v>
      </c>
    </row>
    <row r="144" spans="1:7" ht="15.75" customHeight="1">
      <c r="A144" s="6">
        <v>45775</v>
      </c>
      <c r="B144" s="2" t="s">
        <v>22</v>
      </c>
      <c r="C144" s="10">
        <v>751</v>
      </c>
      <c r="D144" s="10">
        <v>170</v>
      </c>
      <c r="E144" s="10">
        <v>283278</v>
      </c>
      <c r="F144" s="8">
        <v>3.49</v>
      </c>
      <c r="G144" s="10">
        <v>11005</v>
      </c>
    </row>
    <row r="145" spans="1:7" ht="15.75" customHeight="1">
      <c r="A145" s="6">
        <v>45775</v>
      </c>
      <c r="B145" s="2" t="s">
        <v>27</v>
      </c>
      <c r="C145" s="10">
        <v>864</v>
      </c>
      <c r="D145" s="10">
        <v>50</v>
      </c>
      <c r="E145" s="10">
        <v>277445</v>
      </c>
      <c r="F145" s="8">
        <v>3.57</v>
      </c>
      <c r="G145" s="10">
        <v>26333</v>
      </c>
    </row>
    <row r="146" spans="1:7" ht="15.75" customHeight="1">
      <c r="A146" s="6">
        <v>45782</v>
      </c>
      <c r="B146" s="2" t="s">
        <v>13</v>
      </c>
      <c r="C146" s="10">
        <v>1146</v>
      </c>
      <c r="D146" s="10">
        <v>227</v>
      </c>
      <c r="E146" s="10">
        <v>353781</v>
      </c>
      <c r="F146" s="8">
        <v>6.41</v>
      </c>
      <c r="G146" s="10">
        <v>5495</v>
      </c>
    </row>
    <row r="147" spans="1:7" ht="15.75" customHeight="1">
      <c r="A147" s="6">
        <v>45782</v>
      </c>
      <c r="B147" s="2" t="s">
        <v>22</v>
      </c>
      <c r="C147" s="10">
        <v>883</v>
      </c>
      <c r="D147" s="10">
        <v>207</v>
      </c>
      <c r="E147" s="10">
        <v>265019</v>
      </c>
      <c r="F147" s="8">
        <v>6.04</v>
      </c>
      <c r="G147" s="10">
        <v>15655</v>
      </c>
    </row>
    <row r="148" spans="1:7" ht="15.75" customHeight="1">
      <c r="A148" s="6">
        <v>45782</v>
      </c>
      <c r="B148" s="2" t="s">
        <v>27</v>
      </c>
      <c r="C148" s="10">
        <v>622</v>
      </c>
      <c r="D148" s="10">
        <v>163</v>
      </c>
      <c r="E148" s="10">
        <v>231925</v>
      </c>
      <c r="F148" s="8">
        <v>9.18</v>
      </c>
      <c r="G148" s="10">
        <v>13763</v>
      </c>
    </row>
    <row r="149" spans="1:7" ht="15.75" customHeight="1">
      <c r="A149" s="6">
        <v>45789</v>
      </c>
      <c r="B149" s="2" t="s">
        <v>13</v>
      </c>
      <c r="C149" s="10">
        <v>837</v>
      </c>
      <c r="D149" s="10">
        <v>261</v>
      </c>
      <c r="E149" s="10">
        <v>366149</v>
      </c>
      <c r="F149" s="8">
        <v>6.54</v>
      </c>
      <c r="G149" s="10">
        <v>26073</v>
      </c>
    </row>
    <row r="150" spans="1:7" ht="15.75" customHeight="1">
      <c r="A150" s="6">
        <v>45789</v>
      </c>
      <c r="B150" s="2" t="s">
        <v>22</v>
      </c>
      <c r="C150" s="10">
        <v>544</v>
      </c>
      <c r="D150" s="10">
        <v>97</v>
      </c>
      <c r="E150" s="10">
        <v>168375</v>
      </c>
      <c r="F150" s="8">
        <v>8.66</v>
      </c>
      <c r="G150" s="10">
        <v>12774</v>
      </c>
    </row>
    <row r="151" spans="1:7" ht="15.75" customHeight="1">
      <c r="A151" s="6">
        <v>45789</v>
      </c>
      <c r="B151" s="2" t="s">
        <v>27</v>
      </c>
      <c r="C151" s="10">
        <v>624</v>
      </c>
      <c r="D151" s="10">
        <v>247</v>
      </c>
      <c r="E151" s="10">
        <v>252763</v>
      </c>
      <c r="F151" s="8">
        <v>3.89</v>
      </c>
      <c r="G151" s="10">
        <v>19000</v>
      </c>
    </row>
    <row r="152" spans="1:7" ht="15.75" customHeight="1">
      <c r="A152" s="6">
        <v>45796</v>
      </c>
      <c r="B152" s="2" t="s">
        <v>13</v>
      </c>
      <c r="C152" s="10">
        <v>1073</v>
      </c>
      <c r="D152" s="10">
        <v>141</v>
      </c>
      <c r="E152" s="10">
        <v>118393</v>
      </c>
      <c r="F152" s="8">
        <v>7.95</v>
      </c>
      <c r="G152" s="10">
        <v>14051</v>
      </c>
    </row>
    <row r="153" spans="1:7" ht="15.75" customHeight="1">
      <c r="A153" s="6">
        <v>45796</v>
      </c>
      <c r="B153" s="2" t="s">
        <v>22</v>
      </c>
      <c r="C153" s="10">
        <v>1430</v>
      </c>
      <c r="D153" s="10">
        <v>74</v>
      </c>
      <c r="E153" s="10">
        <v>327012</v>
      </c>
      <c r="F153" s="8">
        <v>6.66</v>
      </c>
      <c r="G153" s="10">
        <v>27782</v>
      </c>
    </row>
    <row r="154" spans="1:7" ht="15.75" customHeight="1">
      <c r="A154" s="6">
        <v>45796</v>
      </c>
      <c r="B154" s="2" t="s">
        <v>27</v>
      </c>
      <c r="C154" s="10">
        <v>1358</v>
      </c>
      <c r="D154" s="10">
        <v>77</v>
      </c>
      <c r="E154" s="10">
        <v>169688</v>
      </c>
      <c r="F154" s="8">
        <v>5.25</v>
      </c>
      <c r="G154" s="10">
        <v>7859</v>
      </c>
    </row>
    <row r="155" spans="1:7" ht="15.75" customHeight="1">
      <c r="A155" s="6">
        <v>45803</v>
      </c>
      <c r="B155" s="2" t="s">
        <v>13</v>
      </c>
      <c r="C155" s="10">
        <v>1242</v>
      </c>
      <c r="D155" s="10">
        <v>201</v>
      </c>
      <c r="E155" s="10">
        <v>271935</v>
      </c>
      <c r="F155" s="8">
        <v>5.07</v>
      </c>
      <c r="G155" s="10">
        <v>15773</v>
      </c>
    </row>
    <row r="156" spans="1:7" ht="15.75" customHeight="1">
      <c r="A156" s="6">
        <v>45803</v>
      </c>
      <c r="B156" s="2" t="s">
        <v>22</v>
      </c>
      <c r="C156" s="10">
        <v>1389</v>
      </c>
      <c r="D156" s="10">
        <v>205</v>
      </c>
      <c r="E156" s="10">
        <v>315981</v>
      </c>
      <c r="F156" s="8">
        <v>7.62</v>
      </c>
      <c r="G156" s="10">
        <v>20595</v>
      </c>
    </row>
    <row r="157" spans="1:7" ht="15.75" customHeight="1">
      <c r="A157" s="6">
        <v>45803</v>
      </c>
      <c r="B157" s="2" t="s">
        <v>27</v>
      </c>
      <c r="C157" s="10">
        <v>826</v>
      </c>
      <c r="D157" s="10">
        <v>142</v>
      </c>
      <c r="E157" s="10">
        <v>341016</v>
      </c>
      <c r="F157" s="8">
        <v>7.44</v>
      </c>
      <c r="G157" s="10">
        <v>12031</v>
      </c>
    </row>
    <row r="158" spans="1:7" ht="15.75" customHeight="1">
      <c r="A158" s="6">
        <v>45810</v>
      </c>
      <c r="B158" s="2" t="s">
        <v>13</v>
      </c>
      <c r="C158" s="10">
        <v>618</v>
      </c>
      <c r="D158" s="10">
        <v>264</v>
      </c>
      <c r="E158" s="10">
        <v>285164</v>
      </c>
      <c r="F158" s="8">
        <v>4.8600000000000003</v>
      </c>
      <c r="G158" s="10">
        <v>15128</v>
      </c>
    </row>
    <row r="159" spans="1:7" ht="15.75" customHeight="1">
      <c r="A159" s="6">
        <v>45810</v>
      </c>
      <c r="B159" s="2" t="s">
        <v>22</v>
      </c>
      <c r="C159" s="10">
        <v>1419</v>
      </c>
      <c r="D159" s="10">
        <v>293</v>
      </c>
      <c r="E159" s="10">
        <v>116632</v>
      </c>
      <c r="F159" s="8">
        <v>6.93</v>
      </c>
      <c r="G159" s="10">
        <v>11826</v>
      </c>
    </row>
    <row r="160" spans="1:7" ht="15.75" customHeight="1">
      <c r="A160" s="6">
        <v>45810</v>
      </c>
      <c r="B160" s="2" t="s">
        <v>27</v>
      </c>
      <c r="C160" s="10">
        <v>637</v>
      </c>
      <c r="D160" s="10">
        <v>68</v>
      </c>
      <c r="E160" s="10">
        <v>115694</v>
      </c>
      <c r="F160" s="8">
        <v>9.99</v>
      </c>
      <c r="G160" s="10">
        <v>12562</v>
      </c>
    </row>
    <row r="161" spans="1:7" ht="15.75" customHeight="1">
      <c r="A161" s="6">
        <v>45817</v>
      </c>
      <c r="B161" s="2" t="s">
        <v>13</v>
      </c>
      <c r="C161" s="10">
        <v>917</v>
      </c>
      <c r="D161" s="10">
        <v>187</v>
      </c>
      <c r="E161" s="10">
        <v>64444</v>
      </c>
      <c r="F161" s="8">
        <v>5.22</v>
      </c>
      <c r="G161" s="10">
        <v>13013</v>
      </c>
    </row>
    <row r="162" spans="1:7" ht="15.75" customHeight="1">
      <c r="A162" s="6">
        <v>45817</v>
      </c>
      <c r="B162" s="2" t="s">
        <v>22</v>
      </c>
      <c r="C162" s="10">
        <v>810</v>
      </c>
      <c r="D162" s="10">
        <v>232</v>
      </c>
      <c r="E162" s="10">
        <v>362559</v>
      </c>
      <c r="F162" s="8">
        <v>5.17</v>
      </c>
      <c r="G162" s="10">
        <v>12937</v>
      </c>
    </row>
    <row r="163" spans="1:7" ht="15.75" customHeight="1">
      <c r="A163" s="6">
        <v>45817</v>
      </c>
      <c r="B163" s="2" t="s">
        <v>27</v>
      </c>
      <c r="C163" s="10">
        <v>1183</v>
      </c>
      <c r="D163" s="10">
        <v>248</v>
      </c>
      <c r="E163" s="10">
        <v>226881</v>
      </c>
      <c r="F163" s="8">
        <v>5.17</v>
      </c>
      <c r="G163" s="10">
        <v>14534</v>
      </c>
    </row>
    <row r="164" spans="1:7" ht="15.75" customHeight="1">
      <c r="A164" s="6">
        <v>45824</v>
      </c>
      <c r="B164" s="2" t="s">
        <v>13</v>
      </c>
      <c r="C164" s="10">
        <v>765</v>
      </c>
      <c r="D164" s="10">
        <v>67</v>
      </c>
      <c r="E164" s="10">
        <v>283537</v>
      </c>
      <c r="F164" s="8">
        <v>6.18</v>
      </c>
      <c r="G164" s="10">
        <v>8182</v>
      </c>
    </row>
    <row r="165" spans="1:7" ht="15.75" customHeight="1">
      <c r="A165" s="6">
        <v>45824</v>
      </c>
      <c r="B165" s="2" t="s">
        <v>22</v>
      </c>
      <c r="C165" s="10">
        <v>540</v>
      </c>
      <c r="D165" s="10">
        <v>215</v>
      </c>
      <c r="E165" s="10">
        <v>62837</v>
      </c>
      <c r="F165" s="8">
        <v>5.3</v>
      </c>
      <c r="G165" s="10">
        <v>10615</v>
      </c>
    </row>
    <row r="166" spans="1:7" ht="15.75" customHeight="1">
      <c r="A166" s="6">
        <v>45824</v>
      </c>
      <c r="B166" s="2" t="s">
        <v>27</v>
      </c>
      <c r="C166" s="10">
        <v>1145</v>
      </c>
      <c r="D166" s="10">
        <v>151</v>
      </c>
      <c r="E166" s="10">
        <v>182759</v>
      </c>
      <c r="F166" s="8">
        <v>5.99</v>
      </c>
      <c r="G166" s="10">
        <v>20109</v>
      </c>
    </row>
    <row r="167" spans="1:7" ht="15.75" customHeight="1">
      <c r="A167" s="6">
        <v>45831</v>
      </c>
      <c r="B167" s="2" t="s">
        <v>13</v>
      </c>
      <c r="C167" s="10">
        <v>564</v>
      </c>
      <c r="D167" s="10">
        <v>244</v>
      </c>
      <c r="E167" s="10">
        <v>279405</v>
      </c>
      <c r="F167" s="8">
        <v>8.43</v>
      </c>
      <c r="G167" s="10">
        <v>26024</v>
      </c>
    </row>
    <row r="168" spans="1:7" ht="15.75" customHeight="1">
      <c r="A168" s="6">
        <v>45831</v>
      </c>
      <c r="B168" s="2" t="s">
        <v>22</v>
      </c>
      <c r="C168" s="10">
        <v>668</v>
      </c>
      <c r="D168" s="10">
        <v>124</v>
      </c>
      <c r="E168" s="10">
        <v>257485</v>
      </c>
      <c r="F168" s="8">
        <v>7.55</v>
      </c>
      <c r="G168" s="10">
        <v>26730</v>
      </c>
    </row>
    <row r="169" spans="1:7" ht="15.75" customHeight="1">
      <c r="A169" s="6">
        <v>45831</v>
      </c>
      <c r="B169" s="2" t="s">
        <v>27</v>
      </c>
      <c r="C169" s="10">
        <v>761</v>
      </c>
      <c r="D169" s="10">
        <v>241</v>
      </c>
      <c r="E169" s="10">
        <v>154977</v>
      </c>
      <c r="F169" s="8">
        <v>5.63</v>
      </c>
      <c r="G169" s="10">
        <v>10563</v>
      </c>
    </row>
    <row r="170" spans="1:7" ht="15.75" customHeight="1">
      <c r="A170" s="6">
        <v>45838</v>
      </c>
      <c r="B170" s="2" t="s">
        <v>13</v>
      </c>
      <c r="C170" s="10">
        <v>593</v>
      </c>
      <c r="D170" s="10">
        <v>108</v>
      </c>
      <c r="E170" s="10">
        <v>216500</v>
      </c>
      <c r="F170" s="8">
        <v>4.71</v>
      </c>
      <c r="G170" s="10">
        <v>27575</v>
      </c>
    </row>
    <row r="171" spans="1:7" ht="15.75" customHeight="1">
      <c r="A171" s="6">
        <v>45838</v>
      </c>
      <c r="B171" s="2" t="s">
        <v>22</v>
      </c>
      <c r="C171" s="10">
        <v>1349</v>
      </c>
      <c r="D171" s="10">
        <v>115</v>
      </c>
      <c r="E171" s="10">
        <v>102102</v>
      </c>
      <c r="F171" s="8">
        <v>5.28</v>
      </c>
      <c r="G171" s="10">
        <v>14479</v>
      </c>
    </row>
    <row r="172" spans="1:7" ht="15.75" customHeight="1">
      <c r="A172" s="6">
        <v>45838</v>
      </c>
      <c r="B172" s="2" t="s">
        <v>27</v>
      </c>
      <c r="C172" s="10">
        <v>693</v>
      </c>
      <c r="D172" s="10">
        <v>97</v>
      </c>
      <c r="E172" s="10">
        <v>92025</v>
      </c>
      <c r="F172" s="8">
        <v>5.95</v>
      </c>
      <c r="G172" s="10">
        <v>15915</v>
      </c>
    </row>
    <row r="173" spans="1:7" ht="15.75" customHeight="1">
      <c r="A173" s="6">
        <v>45845</v>
      </c>
      <c r="B173" s="2" t="s">
        <v>13</v>
      </c>
      <c r="C173" s="10">
        <v>974</v>
      </c>
      <c r="D173" s="10">
        <v>143</v>
      </c>
      <c r="E173" s="10">
        <v>247965</v>
      </c>
      <c r="F173" s="8">
        <v>9.98</v>
      </c>
      <c r="G173" s="10">
        <v>12767</v>
      </c>
    </row>
    <row r="174" spans="1:7" ht="15.75" customHeight="1">
      <c r="A174" s="6">
        <v>45845</v>
      </c>
      <c r="B174" s="2" t="s">
        <v>22</v>
      </c>
      <c r="C174" s="10">
        <v>1155</v>
      </c>
      <c r="D174" s="10">
        <v>122</v>
      </c>
      <c r="E174" s="10">
        <v>387352</v>
      </c>
      <c r="F174" s="8">
        <v>9.93</v>
      </c>
      <c r="G174" s="10">
        <v>12170</v>
      </c>
    </row>
    <row r="175" spans="1:7" ht="15.75" customHeight="1">
      <c r="A175" s="6">
        <v>45845</v>
      </c>
      <c r="B175" s="2" t="s">
        <v>27</v>
      </c>
      <c r="C175" s="10">
        <v>1051</v>
      </c>
      <c r="D175" s="10">
        <v>246</v>
      </c>
      <c r="E175" s="10">
        <v>253985</v>
      </c>
      <c r="F175" s="8">
        <v>9.08</v>
      </c>
      <c r="G175" s="10">
        <v>7245</v>
      </c>
    </row>
    <row r="176" spans="1:7" ht="15.75" customHeight="1">
      <c r="A176" s="6">
        <v>45852</v>
      </c>
      <c r="B176" s="2" t="s">
        <v>13</v>
      </c>
      <c r="C176" s="10">
        <v>1457</v>
      </c>
      <c r="D176" s="10">
        <v>183</v>
      </c>
      <c r="E176" s="10">
        <v>129640</v>
      </c>
      <c r="F176" s="8">
        <v>7.98</v>
      </c>
      <c r="G176" s="10">
        <v>12985</v>
      </c>
    </row>
    <row r="177" spans="1:7" ht="15.75" customHeight="1">
      <c r="A177" s="6">
        <v>45852</v>
      </c>
      <c r="B177" s="2" t="s">
        <v>22</v>
      </c>
      <c r="C177" s="10">
        <v>670</v>
      </c>
      <c r="D177" s="10">
        <v>242</v>
      </c>
      <c r="E177" s="10">
        <v>281913</v>
      </c>
      <c r="F177" s="8">
        <v>9.6199999999999992</v>
      </c>
      <c r="G177" s="10">
        <v>16377</v>
      </c>
    </row>
    <row r="178" spans="1:7" ht="15.75" customHeight="1">
      <c r="A178" s="6">
        <v>45852</v>
      </c>
      <c r="B178" s="2" t="s">
        <v>27</v>
      </c>
      <c r="C178" s="10">
        <v>1111</v>
      </c>
      <c r="D178" s="10">
        <v>159</v>
      </c>
      <c r="E178" s="10">
        <v>360770</v>
      </c>
      <c r="F178" s="8">
        <v>8.7100000000000009</v>
      </c>
      <c r="G178" s="10">
        <v>11453</v>
      </c>
    </row>
    <row r="179" spans="1:7" ht="15.75" customHeight="1">
      <c r="A179" s="6">
        <v>45859</v>
      </c>
      <c r="B179" s="2" t="s">
        <v>13</v>
      </c>
      <c r="C179" s="10">
        <v>1197</v>
      </c>
      <c r="D179" s="10">
        <v>246</v>
      </c>
      <c r="E179" s="10">
        <v>127273</v>
      </c>
      <c r="F179" s="8">
        <v>6.69</v>
      </c>
      <c r="G179" s="10">
        <v>12323</v>
      </c>
    </row>
    <row r="180" spans="1:7" ht="15.75" customHeight="1">
      <c r="A180" s="6">
        <v>45859</v>
      </c>
      <c r="B180" s="2" t="s">
        <v>22</v>
      </c>
      <c r="C180" s="10">
        <v>754</v>
      </c>
      <c r="D180" s="10">
        <v>150</v>
      </c>
      <c r="E180" s="10">
        <v>189622</v>
      </c>
      <c r="F180" s="8">
        <v>4.25</v>
      </c>
      <c r="G180" s="10">
        <v>11911</v>
      </c>
    </row>
    <row r="181" spans="1:7" ht="15.75" customHeight="1">
      <c r="A181" s="6">
        <v>45859</v>
      </c>
      <c r="B181" s="2" t="s">
        <v>27</v>
      </c>
      <c r="C181" s="10">
        <v>1246</v>
      </c>
      <c r="D181" s="10">
        <v>107</v>
      </c>
      <c r="E181" s="10">
        <v>350949</v>
      </c>
      <c r="F181" s="8">
        <v>4.9800000000000004</v>
      </c>
      <c r="G181" s="10">
        <v>27809</v>
      </c>
    </row>
    <row r="182" spans="1:7" ht="15.75" customHeight="1">
      <c r="A182" s="6">
        <v>45866</v>
      </c>
      <c r="B182" s="2" t="s">
        <v>13</v>
      </c>
      <c r="C182" s="10">
        <v>780</v>
      </c>
      <c r="D182" s="10">
        <v>213</v>
      </c>
      <c r="E182" s="10">
        <v>121431</v>
      </c>
      <c r="F182" s="8">
        <v>4.97</v>
      </c>
      <c r="G182" s="10">
        <v>21464</v>
      </c>
    </row>
    <row r="183" spans="1:7" ht="15.75" customHeight="1">
      <c r="A183" s="6">
        <v>45866</v>
      </c>
      <c r="B183" s="2" t="s">
        <v>22</v>
      </c>
      <c r="C183" s="10">
        <v>1425</v>
      </c>
      <c r="D183" s="10">
        <v>143</v>
      </c>
      <c r="E183" s="10">
        <v>116742</v>
      </c>
      <c r="F183" s="8">
        <v>3.71</v>
      </c>
      <c r="G183" s="10">
        <v>27126</v>
      </c>
    </row>
    <row r="184" spans="1:7" ht="15.75" customHeight="1">
      <c r="A184" s="6">
        <v>45866</v>
      </c>
      <c r="B184" s="2" t="s">
        <v>27</v>
      </c>
      <c r="C184" s="10">
        <v>1490</v>
      </c>
      <c r="D184" s="10">
        <v>103</v>
      </c>
      <c r="E184" s="10">
        <v>81184</v>
      </c>
      <c r="F184" s="8">
        <v>7.79</v>
      </c>
      <c r="G184" s="10">
        <v>10681</v>
      </c>
    </row>
    <row r="185" spans="1:7" ht="15.75" customHeight="1">
      <c r="A185" s="6">
        <v>45873</v>
      </c>
      <c r="B185" s="2" t="s">
        <v>13</v>
      </c>
      <c r="C185" s="10">
        <v>949</v>
      </c>
      <c r="D185" s="10">
        <v>282</v>
      </c>
      <c r="E185" s="10">
        <v>87126</v>
      </c>
      <c r="F185" s="8">
        <v>4.96</v>
      </c>
      <c r="G185" s="10">
        <v>5413</v>
      </c>
    </row>
    <row r="186" spans="1:7" ht="15.75" customHeight="1">
      <c r="A186" s="6">
        <v>45873</v>
      </c>
      <c r="B186" s="2" t="s">
        <v>22</v>
      </c>
      <c r="C186" s="10">
        <v>640</v>
      </c>
      <c r="D186" s="10">
        <v>141</v>
      </c>
      <c r="E186" s="10">
        <v>267546</v>
      </c>
      <c r="F186" s="8">
        <v>8.58</v>
      </c>
      <c r="G186" s="10">
        <v>25058</v>
      </c>
    </row>
    <row r="187" spans="1:7" ht="15.75" customHeight="1">
      <c r="A187" s="6">
        <v>45873</v>
      </c>
      <c r="B187" s="2" t="s">
        <v>27</v>
      </c>
      <c r="C187" s="10">
        <v>616</v>
      </c>
      <c r="D187" s="10">
        <v>93</v>
      </c>
      <c r="E187" s="10">
        <v>133082</v>
      </c>
      <c r="F187" s="8">
        <v>8.51</v>
      </c>
      <c r="G187" s="10">
        <v>18303</v>
      </c>
    </row>
    <row r="188" spans="1:7" ht="15.75" customHeight="1">
      <c r="A188" s="6">
        <v>45880</v>
      </c>
      <c r="B188" s="2" t="s">
        <v>13</v>
      </c>
      <c r="C188" s="10">
        <v>1080</v>
      </c>
      <c r="D188" s="10">
        <v>184</v>
      </c>
      <c r="E188" s="10">
        <v>340557</v>
      </c>
      <c r="F188" s="8">
        <v>5.41</v>
      </c>
      <c r="G188" s="10">
        <v>5526</v>
      </c>
    </row>
    <row r="189" spans="1:7" ht="15.75" customHeight="1">
      <c r="A189" s="6">
        <v>45880</v>
      </c>
      <c r="B189" s="2" t="s">
        <v>22</v>
      </c>
      <c r="C189" s="10">
        <v>938</v>
      </c>
      <c r="D189" s="10">
        <v>236</v>
      </c>
      <c r="E189" s="10">
        <v>116472</v>
      </c>
      <c r="F189" s="8">
        <v>8.7200000000000006</v>
      </c>
      <c r="G189" s="10">
        <v>17460</v>
      </c>
    </row>
    <row r="190" spans="1:7" ht="15.75" customHeight="1">
      <c r="A190" s="6">
        <v>45880</v>
      </c>
      <c r="B190" s="2" t="s">
        <v>27</v>
      </c>
      <c r="C190" s="10">
        <v>1007</v>
      </c>
      <c r="D190" s="10">
        <v>258</v>
      </c>
      <c r="E190" s="10">
        <v>113412</v>
      </c>
      <c r="F190" s="8">
        <v>7.71</v>
      </c>
      <c r="G190" s="10">
        <v>14475</v>
      </c>
    </row>
    <row r="191" spans="1:7" ht="15.75" customHeight="1">
      <c r="A191" s="6">
        <v>45887</v>
      </c>
      <c r="B191" s="2" t="s">
        <v>13</v>
      </c>
      <c r="C191" s="10">
        <v>541</v>
      </c>
      <c r="D191" s="10">
        <v>208</v>
      </c>
      <c r="E191" s="10">
        <v>157547</v>
      </c>
      <c r="F191" s="8">
        <v>8.35</v>
      </c>
      <c r="G191" s="10">
        <v>20162</v>
      </c>
    </row>
    <row r="192" spans="1:7" ht="15.75" customHeight="1">
      <c r="A192" s="6">
        <v>45887</v>
      </c>
      <c r="B192" s="2" t="s">
        <v>22</v>
      </c>
      <c r="C192" s="10">
        <v>745</v>
      </c>
      <c r="D192" s="10">
        <v>98</v>
      </c>
      <c r="E192" s="10">
        <v>354816</v>
      </c>
      <c r="F192" s="8">
        <v>4.03</v>
      </c>
      <c r="G192" s="10">
        <v>17103</v>
      </c>
    </row>
    <row r="193" spans="1:7" ht="15.75" customHeight="1">
      <c r="A193" s="6">
        <v>45887</v>
      </c>
      <c r="B193" s="2" t="s">
        <v>27</v>
      </c>
      <c r="C193" s="10">
        <v>936</v>
      </c>
      <c r="D193" s="10">
        <v>97</v>
      </c>
      <c r="E193" s="10">
        <v>151799</v>
      </c>
      <c r="F193" s="8">
        <v>9.3699999999999992</v>
      </c>
      <c r="G193" s="10">
        <v>15461</v>
      </c>
    </row>
    <row r="194" spans="1:7" ht="15.75" customHeight="1">
      <c r="A194" s="6">
        <v>45894</v>
      </c>
      <c r="B194" s="2" t="s">
        <v>13</v>
      </c>
      <c r="C194" s="10">
        <v>1183</v>
      </c>
      <c r="D194" s="10">
        <v>223</v>
      </c>
      <c r="E194" s="10">
        <v>143811</v>
      </c>
      <c r="F194" s="8">
        <v>6.07</v>
      </c>
      <c r="G194" s="10">
        <v>22103</v>
      </c>
    </row>
    <row r="195" spans="1:7" ht="15.75" customHeight="1">
      <c r="A195" s="6">
        <v>45894</v>
      </c>
      <c r="B195" s="2" t="s">
        <v>22</v>
      </c>
      <c r="C195" s="10">
        <v>1413</v>
      </c>
      <c r="D195" s="10">
        <v>245</v>
      </c>
      <c r="E195" s="10">
        <v>296450</v>
      </c>
      <c r="F195" s="8">
        <v>6.52</v>
      </c>
      <c r="G195" s="10">
        <v>11625</v>
      </c>
    </row>
    <row r="196" spans="1:7" ht="15.75" customHeight="1">
      <c r="A196" s="6">
        <v>45894</v>
      </c>
      <c r="B196" s="2" t="s">
        <v>27</v>
      </c>
      <c r="C196" s="10">
        <v>791</v>
      </c>
      <c r="D196" s="10">
        <v>273</v>
      </c>
      <c r="E196" s="10">
        <v>144049</v>
      </c>
      <c r="F196" s="8">
        <v>3.08</v>
      </c>
      <c r="G196" s="10">
        <v>5281</v>
      </c>
    </row>
    <row r="197" spans="1:7" ht="15.75" customHeight="1">
      <c r="A197" s="6">
        <v>45901</v>
      </c>
      <c r="B197" s="2" t="s">
        <v>13</v>
      </c>
      <c r="C197" s="10">
        <v>1052</v>
      </c>
      <c r="D197" s="10">
        <v>180</v>
      </c>
      <c r="E197" s="10">
        <v>272534</v>
      </c>
      <c r="F197" s="8">
        <v>5.34</v>
      </c>
      <c r="G197" s="10">
        <v>13424</v>
      </c>
    </row>
    <row r="198" spans="1:7" ht="15.75" customHeight="1">
      <c r="A198" s="6">
        <v>45901</v>
      </c>
      <c r="B198" s="2" t="s">
        <v>22</v>
      </c>
      <c r="C198" s="10">
        <v>572</v>
      </c>
      <c r="D198" s="10">
        <v>270</v>
      </c>
      <c r="E198" s="10">
        <v>82265</v>
      </c>
      <c r="F198" s="8">
        <v>3.65</v>
      </c>
      <c r="G198" s="10">
        <v>13140</v>
      </c>
    </row>
    <row r="199" spans="1:7" ht="15.75" customHeight="1">
      <c r="A199" s="6">
        <v>45901</v>
      </c>
      <c r="B199" s="2" t="s">
        <v>27</v>
      </c>
      <c r="C199" s="10">
        <v>503</v>
      </c>
      <c r="D199" s="10">
        <v>253</v>
      </c>
      <c r="E199" s="10">
        <v>313562</v>
      </c>
      <c r="F199" s="8">
        <v>4.18</v>
      </c>
      <c r="G199" s="10">
        <v>19538</v>
      </c>
    </row>
    <row r="200" spans="1:7" ht="15.75" customHeight="1">
      <c r="A200" s="6">
        <v>45908</v>
      </c>
      <c r="B200" s="2" t="s">
        <v>13</v>
      </c>
      <c r="C200" s="10">
        <v>1017</v>
      </c>
      <c r="D200" s="10">
        <v>197</v>
      </c>
      <c r="E200" s="10">
        <v>89918</v>
      </c>
      <c r="F200" s="8">
        <v>3.91</v>
      </c>
      <c r="G200" s="10">
        <v>7881</v>
      </c>
    </row>
    <row r="201" spans="1:7" ht="15.75" customHeight="1">
      <c r="A201" s="6">
        <v>45908</v>
      </c>
      <c r="B201" s="2" t="s">
        <v>22</v>
      </c>
      <c r="C201" s="10">
        <v>860</v>
      </c>
      <c r="D201" s="10">
        <v>244</v>
      </c>
      <c r="E201" s="10">
        <v>348686</v>
      </c>
      <c r="F201" s="8">
        <v>5.12</v>
      </c>
      <c r="G201" s="10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2:J2"/>
    <mergeCell ref="I3:J3"/>
    <mergeCell ref="I4:J4"/>
  </mergeCell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I11" sqref="I11"/>
    </sheetView>
  </sheetViews>
  <sheetFormatPr defaultColWidth="14.42578125" defaultRowHeight="15" customHeight="1"/>
  <cols>
    <col min="1" max="1" width="18.140625" style="3" customWidth="1"/>
    <col min="2" max="2" width="12.42578125" style="3" customWidth="1"/>
    <col min="3" max="3" width="11.5703125" style="3" customWidth="1"/>
    <col min="4" max="4" width="16.42578125" style="3" bestFit="1" customWidth="1"/>
    <col min="5" max="5" width="14.85546875" style="11" customWidth="1"/>
    <col min="6" max="6" width="19" style="3" bestFit="1" customWidth="1"/>
    <col min="7" max="8" width="18.5703125" style="3" customWidth="1"/>
    <col min="9" max="11" width="8.7109375" style="3" customWidth="1"/>
    <col min="12" max="12" width="16" style="3" bestFit="1" customWidth="1"/>
    <col min="13" max="25" width="8.7109375" style="3" customWidth="1"/>
    <col min="26" max="16384" width="14.42578125" style="3"/>
  </cols>
  <sheetData>
    <row r="1" spans="1:13">
      <c r="A1" s="4" t="s">
        <v>11</v>
      </c>
      <c r="B1" s="4" t="s">
        <v>337</v>
      </c>
      <c r="C1" s="4" t="s">
        <v>338</v>
      </c>
      <c r="D1" s="4" t="s">
        <v>339</v>
      </c>
      <c r="E1" s="12" t="s">
        <v>340</v>
      </c>
      <c r="F1" s="4" t="s">
        <v>341</v>
      </c>
      <c r="G1" s="14" t="s">
        <v>358</v>
      </c>
      <c r="H1" s="14" t="s">
        <v>359</v>
      </c>
      <c r="J1" s="58"/>
      <c r="K1" s="58"/>
      <c r="L1" s="58"/>
      <c r="M1" s="58"/>
    </row>
    <row r="2" spans="1:13">
      <c r="A2" s="5" t="s">
        <v>49</v>
      </c>
      <c r="B2" s="5" t="s">
        <v>342</v>
      </c>
      <c r="C2" s="5" t="s">
        <v>343</v>
      </c>
      <c r="D2" s="5" t="s">
        <v>344</v>
      </c>
      <c r="E2" s="13">
        <v>175000</v>
      </c>
      <c r="F2" s="5" t="s">
        <v>345</v>
      </c>
      <c r="G2" s="3" t="s">
        <v>365</v>
      </c>
      <c r="H2" s="3" t="s">
        <v>364</v>
      </c>
      <c r="J2" s="58"/>
      <c r="K2" s="58"/>
      <c r="L2" s="58"/>
      <c r="M2" s="58"/>
    </row>
    <row r="3" spans="1:13">
      <c r="A3" s="5" t="s">
        <v>46</v>
      </c>
      <c r="B3" s="5" t="s">
        <v>346</v>
      </c>
      <c r="C3" s="5" t="s">
        <v>347</v>
      </c>
      <c r="D3" s="5" t="s">
        <v>348</v>
      </c>
      <c r="E3" s="13">
        <v>225000</v>
      </c>
      <c r="F3" s="5" t="s">
        <v>349</v>
      </c>
      <c r="G3" s="3" t="s">
        <v>365</v>
      </c>
      <c r="H3" s="3" t="s">
        <v>34</v>
      </c>
      <c r="J3" s="58"/>
      <c r="K3" s="58"/>
      <c r="L3" s="58"/>
      <c r="M3" s="58"/>
    </row>
    <row r="4" spans="1:13">
      <c r="A4" s="5" t="s">
        <v>16</v>
      </c>
      <c r="B4" s="5" t="s">
        <v>350</v>
      </c>
      <c r="C4" s="5" t="s">
        <v>351</v>
      </c>
      <c r="D4" s="5" t="s">
        <v>352</v>
      </c>
      <c r="E4" s="13">
        <v>200000</v>
      </c>
      <c r="F4" s="5" t="s">
        <v>353</v>
      </c>
      <c r="G4" s="3" t="s">
        <v>366</v>
      </c>
      <c r="H4" s="3" t="s">
        <v>37</v>
      </c>
      <c r="J4" s="58"/>
      <c r="K4" s="58"/>
      <c r="L4" s="58"/>
      <c r="M4" s="58"/>
    </row>
    <row r="5" spans="1:13">
      <c r="A5" s="5" t="s">
        <v>20</v>
      </c>
      <c r="B5" s="5" t="s">
        <v>354</v>
      </c>
      <c r="C5" s="5" t="s">
        <v>355</v>
      </c>
      <c r="D5" s="5" t="s">
        <v>356</v>
      </c>
      <c r="E5" s="13">
        <v>160000</v>
      </c>
      <c r="F5" s="5" t="s">
        <v>357</v>
      </c>
      <c r="G5" s="3" t="s">
        <v>19</v>
      </c>
      <c r="H5" s="3" t="s">
        <v>367</v>
      </c>
      <c r="J5" s="58"/>
      <c r="K5" s="58"/>
      <c r="L5" s="58"/>
      <c r="M5" s="58"/>
    </row>
    <row r="6" spans="1:13" ht="15" customHeight="1">
      <c r="J6" s="59"/>
      <c r="K6" s="59"/>
      <c r="L6" s="59"/>
      <c r="M6" s="59"/>
    </row>
    <row r="7" spans="1:13" ht="15" customHeight="1">
      <c r="J7" s="59"/>
      <c r="K7" s="59"/>
      <c r="L7" s="59"/>
      <c r="M7" s="59"/>
    </row>
    <row r="8" spans="1:13" ht="15" customHeight="1">
      <c r="J8" s="59"/>
      <c r="K8" s="59"/>
      <c r="L8" s="59"/>
      <c r="M8" s="59"/>
    </row>
    <row r="9" spans="1:13" ht="15" customHeight="1">
      <c r="J9" s="59"/>
      <c r="K9" s="59"/>
      <c r="L9" s="59"/>
      <c r="M9" s="5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D50C71-B0A4-4EE8-9275-EA75A98A25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2.1EngagementRate</vt:lpstr>
      <vt:lpstr>2.1DashboardEngagement_Rate</vt:lpstr>
      <vt:lpstr>2.2Top10_Posts</vt:lpstr>
      <vt:lpstr>2.3.1EngagementAnalysis</vt:lpstr>
      <vt:lpstr>2.3.1ClicksPerHashtags</vt:lpstr>
      <vt:lpstr>2.4HashtagsRankingUsingFormula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2025-08-26T05:40:30Z</dcterms:created>
  <dcterms:modified xsi:type="dcterms:W3CDTF">2025-09-03T04:21:19Z</dcterms:modified>
</cp:coreProperties>
</file>
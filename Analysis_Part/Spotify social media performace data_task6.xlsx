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Project_Spotify\"/>
    </mc:Choice>
  </mc:AlternateContent>
  <xr:revisionPtr revIDLastSave="0" documentId="13_ncr:1_{62B68488-4258-4DA7-8D8A-FE9599B0C73F}" xr6:coauthVersionLast="47" xr6:coauthVersionMax="47" xr10:uidLastSave="{00000000-0000-0000-0000-000000000000}"/>
  <bookViews>
    <workbookView xWindow="-120" yWindow="-120" windowWidth="20730" windowHeight="11160" firstSheet="2" activeTab="4" xr2:uid="{00000000-000D-0000-FFFF-FFFF00000000}"/>
  </bookViews>
  <sheets>
    <sheet name="Posts" sheetId="1" state="hidden" r:id="rId1"/>
    <sheet name="Engagement Summary" sheetId="2" state="hidden" r:id="rId2"/>
    <sheet name="6.1NetFollowerGain" sheetId="4" r:id="rId3"/>
    <sheet name="6.2MovingAvg" sheetId="6" r:id="rId4"/>
    <sheet name="6.3AdSpendvsFollowerGrowth" sheetId="7" r:id="rId5"/>
    <sheet name="Campaign Metadata" sheetId="3" state="hidden" r:id="rId6"/>
  </sheets>
  <calcPr calcId="191029"/>
  <pivotCaches>
    <pivotCache cacheId="2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/>
  <c r="D4" i="6" l="1"/>
  <c r="K4" i="4"/>
  <c r="H2" i="4"/>
  <c r="AD2" i="7" l="1"/>
  <c r="W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K6" i="4"/>
  <c r="K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</calcChain>
</file>

<file path=xl/sharedStrings.xml><?xml version="1.0" encoding="utf-8"?>
<sst xmlns="http://schemas.openxmlformats.org/spreadsheetml/2006/main" count="3096" uniqueCount="379">
  <si>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</si>
  <si>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</si>
  <si>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</si>
  <si>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</si>
  <si>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</si>
  <si>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</si>
  <si>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</si>
  <si>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</si>
  <si>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</si>
  <si>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</si>
  <si>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</si>
  <si>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</si>
  <si>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</si>
  <si>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</si>
  <si>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</si>
  <si>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</si>
  <si>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</si>
  <si>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</si>
  <si>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</si>
  <si>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</si>
  <si>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</si>
  <si>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</si>
  <si>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</si>
  <si>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</si>
  <si>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</si>
  <si>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</si>
  <si>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</si>
  <si>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</si>
  <si>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</si>
  <si>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</si>
  <si>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</si>
  <si>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</si>
  <si>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</si>
  <si>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</si>
  <si>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</si>
  <si>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</si>
  <si>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</si>
  <si>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</si>
  <si>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</si>
  <si>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</si>
  <si>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</si>
  <si>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</si>
  <si>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</si>
  <si>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</si>
  <si>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</si>
  <si>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</si>
  <si>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</si>
  <si>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</si>
  <si>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</si>
  <si>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</si>
  <si>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</si>
  <si>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</si>
  <si>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</si>
  <si>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</si>
  <si>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</si>
  <si>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</si>
  <si>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</si>
  <si>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</si>
  <si>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</si>
  <si>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</si>
  <si>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</si>
  <si>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</si>
  <si>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</si>
  <si>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</si>
  <si>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</si>
  <si>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</si>
  <si>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</si>
  <si>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</si>
  <si>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</si>
  <si>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</si>
  <si>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</si>
  <si>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</si>
  <si>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</si>
  <si>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</si>
  <si>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</si>
  <si>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</si>
  <si>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</si>
  <si>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</si>
  <si>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</si>
  <si>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</si>
  <si>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</si>
  <si>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</si>
  <si>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</si>
  <si>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</si>
  <si>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</si>
  <si>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</si>
  <si>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</si>
  <si>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</si>
  <si>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</si>
  <si>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</si>
  <si>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</si>
  <si>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</si>
  <si>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</si>
  <si>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</si>
  <si>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</si>
  <si>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</si>
  <si>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</si>
  <si>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</si>
  <si>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</si>
  <si>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</si>
  <si>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</si>
  <si>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</si>
  <si>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</si>
  <si>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</si>
  <si>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</si>
  <si>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</si>
  <si>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</si>
  <si>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</si>
  <si>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</si>
  <si>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</si>
  <si>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</si>
  <si>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</si>
  <si>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</si>
  <si>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</si>
  <si>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</si>
  <si>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</si>
  <si>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</si>
  <si>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</si>
  <si>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</si>
  <si>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</si>
  <si>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</si>
  <si>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</si>
  <si>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</si>
  <si>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</si>
  <si>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</si>
  <si>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</si>
  <si>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</si>
  <si>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</si>
  <si>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</si>
  <si>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</si>
  <si>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</si>
  <si>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</si>
  <si>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</si>
  <si>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</si>
  <si>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</si>
  <si>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</si>
  <si>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</si>
  <si>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</si>
  <si>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</si>
  <si>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</si>
  <si>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</si>
  <si>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</si>
  <si>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</si>
  <si>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</si>
  <si>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</si>
  <si>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</si>
  <si>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</si>
  <si>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</si>
  <si>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</si>
  <si>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</si>
  <si>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</si>
  <si>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</si>
  <si>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</si>
  <si>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</si>
  <si>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</si>
  <si>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</si>
  <si>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</si>
  <si>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</si>
  <si>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</si>
  <si>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</si>
  <si>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</si>
  <si>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</si>
  <si>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</si>
  <si>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</si>
  <si>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</si>
  <si>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</si>
  <si>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</si>
  <si>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</si>
  <si>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</si>
  <si>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</si>
  <si>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</si>
  <si>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</si>
  <si>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</si>
  <si>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</si>
  <si>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</si>
  <si>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</si>
  <si>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</si>
  <si>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</si>
  <si>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</si>
  <si>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</si>
  <si>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</si>
  <si>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</si>
  <si>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</si>
  <si>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</si>
  <si>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</si>
  <si>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</si>
  <si>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</si>
  <si>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</si>
  <si>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</si>
  <si>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</si>
  <si>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</si>
  <si>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</si>
  <si>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</si>
  <si>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</si>
  <si>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</si>
  <si>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</si>
  <si>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</si>
  <si>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</si>
  <si>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</si>
  <si>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</si>
  <si>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</si>
  <si>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</si>
  <si>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</si>
  <si>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</si>
  <si>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</si>
  <si>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</si>
  <si>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</si>
  <si>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</si>
  <si>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</si>
  <si>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</si>
  <si>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</si>
  <si>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</si>
  <si>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</si>
  <si>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</si>
  <si>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</si>
  <si>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</si>
  <si>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</si>
  <si>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</si>
  <si>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</si>
  <si>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</si>
  <si>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</si>
  <si>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</si>
  <si>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</si>
  <si>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</si>
  <si>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</si>
  <si>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</si>
  <si>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</si>
  <si>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</si>
  <si>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</si>
  <si>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</si>
  <si>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</si>
  <si>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</si>
  <si>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</si>
  <si>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</si>
  <si>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</si>
  <si>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</si>
  <si>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</si>
  <si>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</si>
  <si>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</si>
  <si>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</si>
  <si>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</si>
  <si>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</si>
  <si>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</si>
  <si>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</si>
  <si>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</si>
  <si>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</si>
  <si>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</si>
  <si>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</si>
  <si>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</si>
  <si>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</si>
  <si>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</si>
  <si>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</si>
  <si>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</si>
  <si>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</si>
  <si>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</si>
  <si>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</si>
  <si>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</si>
  <si>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</si>
  <si>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</si>
  <si>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</si>
  <si>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</si>
  <si>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</si>
  <si>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</si>
  <si>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</si>
  <si>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</si>
  <si>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</si>
  <si>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</si>
  <si>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</si>
  <si>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</si>
  <si>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</si>
  <si>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</si>
  <si>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</si>
  <si>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</si>
  <si>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</si>
  <si>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</si>
  <si>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</si>
  <si>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</si>
  <si>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</si>
  <si>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</si>
  <si>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</si>
  <si>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</si>
  <si>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</si>
  <si>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</si>
  <si>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</si>
  <si>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</si>
  <si>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</si>
  <si>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</si>
  <si>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</si>
  <si>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</si>
  <si>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</si>
  <si>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</si>
  <si>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</si>
  <si>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</si>
  <si>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</si>
  <si>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</si>
  <si>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</si>
  <si>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</si>
  <si>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</si>
  <si>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</si>
  <si>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</si>
  <si>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</si>
  <si>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</si>
  <si>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</si>
  <si>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</si>
  <si>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</si>
  <si>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</si>
  <si>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</si>
  <si>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</si>
  <si>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</si>
  <si>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</si>
  <si>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</si>
  <si>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</si>
  <si>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</si>
  <si>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</si>
  <si>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</si>
  <si>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</si>
  <si>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</si>
  <si>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</si>
  <si>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</si>
  <si>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</si>
  <si>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</si>
  <si>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</si>
  <si>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</si>
  <si>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</si>
  <si>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</si>
  <si>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</si>
  <si>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</si>
  <si>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</si>
  <si>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</si>
  <si>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</si>
  <si>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</si>
  <si>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</si>
  <si>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</si>
  <si>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</si>
  <si>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</si>
  <si>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</si>
  <si>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</si>
  <si>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</si>
  <si>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</si>
  <si>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</si>
  <si>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</si>
  <si>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</si>
  <si>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2024-06-15</t>
  </si>
  <si>
    <t>2024-07-15</t>
  </si>
  <si>
    <t>Brand Awareness</t>
  </si>
  <si>
    <t>Instagram,YouTube</t>
  </si>
  <si>
    <t>2024-12-01</t>
  </si>
  <si>
    <t>2024-12-31</t>
  </si>
  <si>
    <t>Engagement</t>
  </si>
  <si>
    <t>Twitter,YouTube</t>
  </si>
  <si>
    <t>2025-01-10</t>
  </si>
  <si>
    <t>2025-02-10</t>
  </si>
  <si>
    <t>Product Launch</t>
  </si>
  <si>
    <t>Instagram,Twitter</t>
  </si>
  <si>
    <t>2025-03-01</t>
  </si>
  <si>
    <t>2025-03-31</t>
  </si>
  <si>
    <t>Traffic</t>
  </si>
  <si>
    <t>Facebook,Instagram</t>
  </si>
  <si>
    <t>Hastag_1</t>
  </si>
  <si>
    <t>Hastag_2</t>
  </si>
  <si>
    <t>Wrapped is here! Relive your top tracks</t>
  </si>
  <si>
    <t>Music that moves you only on Spotify.</t>
  </si>
  <si>
    <t>Whats your vibe today?</t>
  </si>
  <si>
    <t>From pop to podcasts, its all here.</t>
  </si>
  <si>
    <t>#MusicForEveryone</t>
  </si>
  <si>
    <t>#SpotifyWrapped</t>
  </si>
  <si>
    <t>#ChillVibes</t>
  </si>
  <si>
    <t>#IndieWave</t>
  </si>
  <si>
    <t>Net_FollowerGain</t>
  </si>
  <si>
    <t>Max Value</t>
  </si>
  <si>
    <t>Date_Caimpaign</t>
  </si>
  <si>
    <t>YouTube_MvngAvg</t>
  </si>
  <si>
    <t>Insta_MvngAvg</t>
  </si>
  <si>
    <t>Twitter_MvngAvg</t>
  </si>
  <si>
    <t>Net Follower Growth</t>
  </si>
  <si>
    <t>CORELATION</t>
  </si>
  <si>
    <t>Average of Ad_Spend</t>
  </si>
  <si>
    <t>Average of Net Follower Growth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</si>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</sst>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Inherit"/>
    </font>
    <font>
      <b/>
      <sz val="12"/>
      <color theme="1"/>
      <name val="Calibri"/>
      <family val="2"/>
      <scheme val="minor"/>
    </font>
    <font>
      <b/>
      <sz val="11"/>
      <color rgb="FF000000"/>
      <name val="&quot;Aptos Narrow&quot;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theme="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14" fontId="3" fillId="3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9" fillId="2" borderId="8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3" borderId="9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Twitter_MovingAvg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'6.2MovingAvg'!$D$1</c:f>
              <c:strCache>
                <c:ptCount val="1"/>
                <c:pt idx="0">
                  <c:v>Twitter_MvngAvg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'6.2MovingAvg'!$A$2:$A$68</c:f>
              <c:numCache>
                <c:formatCode>m/d/yyyy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'6.2MovingAvg'!$D$2:$D$68</c:f>
              <c:numCache>
                <c:formatCode>0</c:formatCode>
                <c:ptCount val="67"/>
                <c:pt idx="2">
                  <c:v>267602.33333333331</c:v>
                </c:pt>
                <c:pt idx="3">
                  <c:v>234489.66666666666</c:v>
                </c:pt>
                <c:pt idx="4">
                  <c:v>197598.33333333334</c:v>
                </c:pt>
                <c:pt idx="5">
                  <c:v>141238</c:v>
                </c:pt>
                <c:pt idx="6">
                  <c:v>186274.33333333334</c:v>
                </c:pt>
                <c:pt idx="7">
                  <c:v>202315</c:v>
                </c:pt>
                <c:pt idx="8">
                  <c:v>203167.33333333334</c:v>
                </c:pt>
                <c:pt idx="9">
                  <c:v>159509.66666666666</c:v>
                </c:pt>
                <c:pt idx="10">
                  <c:v>109228</c:v>
                </c:pt>
                <c:pt idx="11">
                  <c:v>103235.33333333333</c:v>
                </c:pt>
                <c:pt idx="12">
                  <c:v>137729.33333333334</c:v>
                </c:pt>
                <c:pt idx="13">
                  <c:v>218944.33333333334</c:v>
                </c:pt>
                <c:pt idx="14">
                  <c:v>288156.66666666669</c:v>
                </c:pt>
                <c:pt idx="15">
                  <c:v>333082.33333333331</c:v>
                </c:pt>
                <c:pt idx="16">
                  <c:v>334179.33333333331</c:v>
                </c:pt>
                <c:pt idx="17">
                  <c:v>304412.33333333331</c:v>
                </c:pt>
                <c:pt idx="18">
                  <c:v>244748</c:v>
                </c:pt>
                <c:pt idx="19">
                  <c:v>221281</c:v>
                </c:pt>
                <c:pt idx="20">
                  <c:v>208407.66666666666</c:v>
                </c:pt>
                <c:pt idx="21">
                  <c:v>242365</c:v>
                </c:pt>
                <c:pt idx="22">
                  <c:v>261310.66666666666</c:v>
                </c:pt>
                <c:pt idx="23">
                  <c:v>281747.66666666669</c:v>
                </c:pt>
                <c:pt idx="24">
                  <c:v>222029</c:v>
                </c:pt>
                <c:pt idx="25">
                  <c:v>159382</c:v>
                </c:pt>
                <c:pt idx="26">
                  <c:v>128989</c:v>
                </c:pt>
                <c:pt idx="27">
                  <c:v>125950.33333333333</c:v>
                </c:pt>
                <c:pt idx="28">
                  <c:v>129115.66666666667</c:v>
                </c:pt>
                <c:pt idx="29">
                  <c:v>150985.33333333334</c:v>
                </c:pt>
                <c:pt idx="30">
                  <c:v>240202.66666666666</c:v>
                </c:pt>
                <c:pt idx="31">
                  <c:v>235367.66666666666</c:v>
                </c:pt>
                <c:pt idx="32">
                  <c:v>290352.33333333331</c:v>
                </c:pt>
                <c:pt idx="33">
                  <c:v>256473.66666666666</c:v>
                </c:pt>
                <c:pt idx="34">
                  <c:v>260268</c:v>
                </c:pt>
                <c:pt idx="35">
                  <c:v>171636</c:v>
                </c:pt>
                <c:pt idx="36">
                  <c:v>111770</c:v>
                </c:pt>
                <c:pt idx="37">
                  <c:v>122294</c:v>
                </c:pt>
                <c:pt idx="38">
                  <c:v>153030.66666666666</c:v>
                </c:pt>
                <c:pt idx="39">
                  <c:v>164851.33333333334</c:v>
                </c:pt>
                <c:pt idx="40">
                  <c:v>163555.33333333334</c:v>
                </c:pt>
                <c:pt idx="41">
                  <c:v>222728</c:v>
                </c:pt>
                <c:pt idx="42">
                  <c:v>221726.33333333334</c:v>
                </c:pt>
                <c:pt idx="43">
                  <c:v>192634.33333333334</c:v>
                </c:pt>
                <c:pt idx="44">
                  <c:v>190771</c:v>
                </c:pt>
                <c:pt idx="45">
                  <c:v>220588.66666666666</c:v>
                </c:pt>
                <c:pt idx="46">
                  <c:v>297566</c:v>
                </c:pt>
                <c:pt idx="47">
                  <c:v>278626</c:v>
                </c:pt>
                <c:pt idx="48">
                  <c:v>295649</c:v>
                </c:pt>
                <c:pt idx="49">
                  <c:v>238890.66666666666</c:v>
                </c:pt>
                <c:pt idx="50">
                  <c:v>253468.66666666666</c:v>
                </c:pt>
                <c:pt idx="51">
                  <c:v>270456</c:v>
                </c:pt>
                <c:pt idx="52">
                  <c:v>253208.33333333334</c:v>
                </c:pt>
                <c:pt idx="53">
                  <c:v>265057.33333333331</c:v>
                </c:pt>
                <c:pt idx="54">
                  <c:v>180676</c:v>
                </c:pt>
                <c:pt idx="55">
                  <c:v>227627</c:v>
                </c:pt>
                <c:pt idx="56">
                  <c:v>140808</c:v>
                </c:pt>
                <c:pt idx="57">
                  <c:v>248979.66666666666</c:v>
                </c:pt>
                <c:pt idx="58">
                  <c:v>257122.33333333334</c:v>
                </c:pt>
                <c:pt idx="59">
                  <c:v>286295.66666666669</c:v>
                </c:pt>
                <c:pt idx="60">
                  <c:v>196092.33333333334</c:v>
                </c:pt>
                <c:pt idx="61">
                  <c:v>191303.33333333334</c:v>
                </c:pt>
                <c:pt idx="62">
                  <c:v>166920</c:v>
                </c:pt>
                <c:pt idx="63">
                  <c:v>246278</c:v>
                </c:pt>
                <c:pt idx="64">
                  <c:v>255912.66666666666</c:v>
                </c:pt>
                <c:pt idx="65">
                  <c:v>244510.33333333334</c:v>
                </c:pt>
                <c:pt idx="66">
                  <c:v>242467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6-47FE-9053-BD5AE705B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543552"/>
        <c:axId val="573543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'6.2MovingAvg'!$C$1</c15:sqref>
                        </c15:formulaRef>
                      </c:ext>
                    </c:extLst>
                    <c:strCache>
                      <c:ptCount val="1"/>
                      <c:pt idx="0">
                        <c:v>Total_Followers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'6.2MovingAvg'!$A$2:$A$68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'6.2MovingAvg'!$C$2:$C$68</c15:sqref>
                        </c15:formulaRef>
                      </c:ext>
                    </c:extLst>
                    <c:numCache>
                      <c:formatCode>0</c:formatCode>
                      <c:ptCount val="67"/>
                      <c:pt idx="0">
                        <c:v>227958</c:v>
                      </c:pt>
                      <c:pt idx="1">
                        <c:v>328902</c:v>
                      </c:pt>
                      <c:pt idx="2">
                        <c:v>245947</c:v>
                      </c:pt>
                      <c:pt idx="3">
                        <c:v>128620</c:v>
                      </c:pt>
                      <c:pt idx="4">
                        <c:v>218228</c:v>
                      </c:pt>
                      <c:pt idx="5">
                        <c:v>76866</c:v>
                      </c:pt>
                      <c:pt idx="6">
                        <c:v>263729</c:v>
                      </c:pt>
                      <c:pt idx="7">
                        <c:v>266350</c:v>
                      </c:pt>
                      <c:pt idx="8">
                        <c:v>79423</c:v>
                      </c:pt>
                      <c:pt idx="9">
                        <c:v>132756</c:v>
                      </c:pt>
                      <c:pt idx="10">
                        <c:v>115505</c:v>
                      </c:pt>
                      <c:pt idx="11">
                        <c:v>61445</c:v>
                      </c:pt>
                      <c:pt idx="12">
                        <c:v>236238</c:v>
                      </c:pt>
                      <c:pt idx="13">
                        <c:v>359150</c:v>
                      </c:pt>
                      <c:pt idx="14">
                        <c:v>269082</c:v>
                      </c:pt>
                      <c:pt idx="15">
                        <c:v>371015</c:v>
                      </c:pt>
                      <c:pt idx="16">
                        <c:v>362441</c:v>
                      </c:pt>
                      <c:pt idx="17">
                        <c:v>179781</c:v>
                      </c:pt>
                      <c:pt idx="18">
                        <c:v>192022</c:v>
                      </c:pt>
                      <c:pt idx="19">
                        <c:v>292040</c:v>
                      </c:pt>
                      <c:pt idx="20">
                        <c:v>141161</c:v>
                      </c:pt>
                      <c:pt idx="21">
                        <c:v>293894</c:v>
                      </c:pt>
                      <c:pt idx="22">
                        <c:v>348877</c:v>
                      </c:pt>
                      <c:pt idx="23">
                        <c:v>202472</c:v>
                      </c:pt>
                      <c:pt idx="24">
                        <c:v>114738</c:v>
                      </c:pt>
                      <c:pt idx="25">
                        <c:v>160936</c:v>
                      </c:pt>
                      <c:pt idx="26">
                        <c:v>111293</c:v>
                      </c:pt>
                      <c:pt idx="27">
                        <c:v>105622</c:v>
                      </c:pt>
                      <c:pt idx="28">
                        <c:v>170432</c:v>
                      </c:pt>
                      <c:pt idx="29">
                        <c:v>176902</c:v>
                      </c:pt>
                      <c:pt idx="30">
                        <c:v>373274</c:v>
                      </c:pt>
                      <c:pt idx="31">
                        <c:v>155927</c:v>
                      </c:pt>
                      <c:pt idx="32">
                        <c:v>341856</c:v>
                      </c:pt>
                      <c:pt idx="33">
                        <c:v>271638</c:v>
                      </c:pt>
                      <c:pt idx="34">
                        <c:v>167310</c:v>
                      </c:pt>
                      <c:pt idx="35">
                        <c:v>75960</c:v>
                      </c:pt>
                      <c:pt idx="36">
                        <c:v>92040</c:v>
                      </c:pt>
                      <c:pt idx="37">
                        <c:v>198882</c:v>
                      </c:pt>
                      <c:pt idx="38">
                        <c:v>168170</c:v>
                      </c:pt>
                      <c:pt idx="39">
                        <c:v>127502</c:v>
                      </c:pt>
                      <c:pt idx="40">
                        <c:v>194994</c:v>
                      </c:pt>
                      <c:pt idx="41">
                        <c:v>345688</c:v>
                      </c:pt>
                      <c:pt idx="42">
                        <c:v>124497</c:v>
                      </c:pt>
                      <c:pt idx="43">
                        <c:v>107718</c:v>
                      </c:pt>
                      <c:pt idx="44">
                        <c:v>340098</c:v>
                      </c:pt>
                      <c:pt idx="45">
                        <c:v>213950</c:v>
                      </c:pt>
                      <c:pt idx="46">
                        <c:v>338650</c:v>
                      </c:pt>
                      <c:pt idx="47">
                        <c:v>283278</c:v>
                      </c:pt>
                      <c:pt idx="48">
                        <c:v>265019</c:v>
                      </c:pt>
                      <c:pt idx="49">
                        <c:v>168375</c:v>
                      </c:pt>
                      <c:pt idx="50">
                        <c:v>327012</c:v>
                      </c:pt>
                      <c:pt idx="51">
                        <c:v>315981</c:v>
                      </c:pt>
                      <c:pt idx="52">
                        <c:v>116632</c:v>
                      </c:pt>
                      <c:pt idx="53">
                        <c:v>362559</c:v>
                      </c:pt>
                      <c:pt idx="54">
                        <c:v>62837</c:v>
                      </c:pt>
                      <c:pt idx="55">
                        <c:v>257485</c:v>
                      </c:pt>
                      <c:pt idx="56">
                        <c:v>102102</c:v>
                      </c:pt>
                      <c:pt idx="57">
                        <c:v>387352</c:v>
                      </c:pt>
                      <c:pt idx="58">
                        <c:v>281913</c:v>
                      </c:pt>
                      <c:pt idx="59">
                        <c:v>189622</c:v>
                      </c:pt>
                      <c:pt idx="60">
                        <c:v>116742</c:v>
                      </c:pt>
                      <c:pt idx="61">
                        <c:v>267546</c:v>
                      </c:pt>
                      <c:pt idx="62">
                        <c:v>116472</c:v>
                      </c:pt>
                      <c:pt idx="63">
                        <c:v>354816</c:v>
                      </c:pt>
                      <c:pt idx="64">
                        <c:v>296450</c:v>
                      </c:pt>
                      <c:pt idx="65">
                        <c:v>82265</c:v>
                      </c:pt>
                      <c:pt idx="66">
                        <c:v>348686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356-47FE-9053-BD5AE705BC35}"/>
                  </c:ext>
                </c:extLst>
              </c15:ser>
            </c15:filteredLineSeries>
          </c:ext>
        </c:extLst>
      </c:lineChart>
      <c:dateAx>
        <c:axId val="57354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43192"/>
        <c:crosses val="autoZero"/>
        <c:auto val="1"/>
        <c:lblOffset val="100"/>
        <c:baseTimeUnit val="days"/>
      </c:dateAx>
      <c:valAx>
        <c:axId val="57354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4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Insagram_MovingAvg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'6.2MovingAvg'!$I$1</c:f>
              <c:strCache>
                <c:ptCount val="1"/>
                <c:pt idx="0">
                  <c:v>Insta_MvngAvg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'6.2MovingAvg'!$F$2:$F$68</c:f>
              <c:numCache>
                <c:formatCode>m/d/yyyy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'6.2MovingAvg'!$I$2:$I$68</c:f>
              <c:numCache>
                <c:formatCode>0</c:formatCode>
                <c:ptCount val="67"/>
                <c:pt idx="2">
                  <c:v>104307</c:v>
                </c:pt>
                <c:pt idx="3">
                  <c:v>91848.333333333328</c:v>
                </c:pt>
                <c:pt idx="4">
                  <c:v>120562</c:v>
                </c:pt>
                <c:pt idx="5">
                  <c:v>201974</c:v>
                </c:pt>
                <c:pt idx="6">
                  <c:v>229467</c:v>
                </c:pt>
                <c:pt idx="7">
                  <c:v>237969</c:v>
                </c:pt>
                <c:pt idx="8">
                  <c:v>250048</c:v>
                </c:pt>
                <c:pt idx="9">
                  <c:v>260371.66666666666</c:v>
                </c:pt>
                <c:pt idx="10">
                  <c:v>215239.33333333334</c:v>
                </c:pt>
                <c:pt idx="11">
                  <c:v>207632.66666666666</c:v>
                </c:pt>
                <c:pt idx="12">
                  <c:v>205619</c:v>
                </c:pt>
                <c:pt idx="13">
                  <c:v>294340</c:v>
                </c:pt>
                <c:pt idx="14">
                  <c:v>299312</c:v>
                </c:pt>
                <c:pt idx="15">
                  <c:v>317307.33333333331</c:v>
                </c:pt>
                <c:pt idx="16">
                  <c:v>232593.33333333334</c:v>
                </c:pt>
                <c:pt idx="17">
                  <c:v>234759.33333333334</c:v>
                </c:pt>
                <c:pt idx="18">
                  <c:v>258330.33333333334</c:v>
                </c:pt>
                <c:pt idx="19">
                  <c:v>294146.33333333331</c:v>
                </c:pt>
                <c:pt idx="20">
                  <c:v>198112</c:v>
                </c:pt>
                <c:pt idx="21">
                  <c:v>194525</c:v>
                </c:pt>
                <c:pt idx="22">
                  <c:v>240724.33333333334</c:v>
                </c:pt>
                <c:pt idx="23">
                  <c:v>313944</c:v>
                </c:pt>
                <c:pt idx="24">
                  <c:v>293288.66666666669</c:v>
                </c:pt>
                <c:pt idx="25">
                  <c:v>301917.33333333331</c:v>
                </c:pt>
                <c:pt idx="26">
                  <c:v>256838.33333333334</c:v>
                </c:pt>
                <c:pt idx="27">
                  <c:v>289859.66666666669</c:v>
                </c:pt>
                <c:pt idx="28">
                  <c:v>229524</c:v>
                </c:pt>
                <c:pt idx="29">
                  <c:v>211279.66666666666</c:v>
                </c:pt>
                <c:pt idx="30">
                  <c:v>176268.66666666666</c:v>
                </c:pt>
                <c:pt idx="31">
                  <c:v>165467.33333333334</c:v>
                </c:pt>
                <c:pt idx="32">
                  <c:v>239475</c:v>
                </c:pt>
                <c:pt idx="33">
                  <c:v>268516.33333333331</c:v>
                </c:pt>
                <c:pt idx="34">
                  <c:v>345089</c:v>
                </c:pt>
                <c:pt idx="35">
                  <c:v>337229.33333333331</c:v>
                </c:pt>
                <c:pt idx="36">
                  <c:v>327018.66666666669</c:v>
                </c:pt>
                <c:pt idx="37">
                  <c:v>263149.33333333331</c:v>
                </c:pt>
                <c:pt idx="38">
                  <c:v>273785.33333333331</c:v>
                </c:pt>
                <c:pt idx="39">
                  <c:v>213567.33333333334</c:v>
                </c:pt>
                <c:pt idx="40">
                  <c:v>252805.33333333334</c:v>
                </c:pt>
                <c:pt idx="41">
                  <c:v>235852.33333333334</c:v>
                </c:pt>
                <c:pt idx="42">
                  <c:v>258677.33333333334</c:v>
                </c:pt>
                <c:pt idx="43">
                  <c:v>206487.66666666666</c:v>
                </c:pt>
                <c:pt idx="44">
                  <c:v>221473</c:v>
                </c:pt>
                <c:pt idx="45">
                  <c:v>275055.66666666669</c:v>
                </c:pt>
                <c:pt idx="46">
                  <c:v>335968</c:v>
                </c:pt>
                <c:pt idx="47">
                  <c:v>309040.33333333331</c:v>
                </c:pt>
                <c:pt idx="48">
                  <c:v>311747.66666666669</c:v>
                </c:pt>
                <c:pt idx="49">
                  <c:v>326711.33333333331</c:v>
                </c:pt>
                <c:pt idx="50">
                  <c:v>279441</c:v>
                </c:pt>
                <c:pt idx="51">
                  <c:v>252159</c:v>
                </c:pt>
                <c:pt idx="52">
                  <c:v>225164</c:v>
                </c:pt>
                <c:pt idx="53">
                  <c:v>207181</c:v>
                </c:pt>
                <c:pt idx="54">
                  <c:v>211048.33333333334</c:v>
                </c:pt>
                <c:pt idx="55">
                  <c:v>209128.66666666666</c:v>
                </c:pt>
                <c:pt idx="56">
                  <c:v>259814</c:v>
                </c:pt>
                <c:pt idx="57">
                  <c:v>247956.66666666666</c:v>
                </c:pt>
                <c:pt idx="58">
                  <c:v>198035</c:v>
                </c:pt>
                <c:pt idx="59">
                  <c:v>168292.66666666666</c:v>
                </c:pt>
                <c:pt idx="60">
                  <c:v>126114.66666666667</c:v>
                </c:pt>
                <c:pt idx="61">
                  <c:v>111943.33333333333</c:v>
                </c:pt>
                <c:pt idx="62">
                  <c:v>183038</c:v>
                </c:pt>
                <c:pt idx="63">
                  <c:v>195076.66666666666</c:v>
                </c:pt>
                <c:pt idx="64">
                  <c:v>213971.66666666666</c:v>
                </c:pt>
                <c:pt idx="65">
                  <c:v>191297.33333333334</c:v>
                </c:pt>
                <c:pt idx="66">
                  <c:v>168754.33333333334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4-4989-83D8-73E9AB4A1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551376"/>
        <c:axId val="622386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'6.2MovingAvg'!$H$1</c15:sqref>
                        </c15:formulaRef>
                      </c:ext>
                    </c:extLst>
                    <c:strCache>
                      <c:ptCount val="1"/>
                      <c:pt idx="0">
                        <c:v>Total_Followers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'6.2MovingAvg'!$F$2:$F$68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'6.2MovingAvg'!$H$2:$H$68</c15:sqref>
                        </c15:formulaRef>
                      </c:ext>
                    </c:extLst>
                    <c:numCache>
                      <c:formatCode>0</c:formatCode>
                      <c:ptCount val="67"/>
                      <c:pt idx="0">
                        <c:v>124562</c:v>
                      </c:pt>
                      <c:pt idx="1">
                        <c:v>92474</c:v>
                      </c:pt>
                      <c:pt idx="2">
                        <c:v>95885</c:v>
                      </c:pt>
                      <c:pt idx="3">
                        <c:v>87186</c:v>
                      </c:pt>
                      <c:pt idx="4">
                        <c:v>178615</c:v>
                      </c:pt>
                      <c:pt idx="5">
                        <c:v>340121</c:v>
                      </c:pt>
                      <c:pt idx="6">
                        <c:v>169665</c:v>
                      </c:pt>
                      <c:pt idx="7">
                        <c:v>204121</c:v>
                      </c:pt>
                      <c:pt idx="8">
                        <c:v>376358</c:v>
                      </c:pt>
                      <c:pt idx="9">
                        <c:v>200636</c:v>
                      </c:pt>
                      <c:pt idx="10">
                        <c:v>68724</c:v>
                      </c:pt>
                      <c:pt idx="11">
                        <c:v>353538</c:v>
                      </c:pt>
                      <c:pt idx="12">
                        <c:v>194595</c:v>
                      </c:pt>
                      <c:pt idx="13">
                        <c:v>334887</c:v>
                      </c:pt>
                      <c:pt idx="14">
                        <c:v>368454</c:v>
                      </c:pt>
                      <c:pt idx="15">
                        <c:v>248581</c:v>
                      </c:pt>
                      <c:pt idx="16">
                        <c:v>80745</c:v>
                      </c:pt>
                      <c:pt idx="17">
                        <c:v>374952</c:v>
                      </c:pt>
                      <c:pt idx="18">
                        <c:v>319294</c:v>
                      </c:pt>
                      <c:pt idx="19">
                        <c:v>188193</c:v>
                      </c:pt>
                      <c:pt idx="20">
                        <c:v>86849</c:v>
                      </c:pt>
                      <c:pt idx="21">
                        <c:v>308533</c:v>
                      </c:pt>
                      <c:pt idx="22">
                        <c:v>326791</c:v>
                      </c:pt>
                      <c:pt idx="23">
                        <c:v>306508</c:v>
                      </c:pt>
                      <c:pt idx="24">
                        <c:v>246567</c:v>
                      </c:pt>
                      <c:pt idx="25">
                        <c:v>352677</c:v>
                      </c:pt>
                      <c:pt idx="26">
                        <c:v>171271</c:v>
                      </c:pt>
                      <c:pt idx="27">
                        <c:v>345631</c:v>
                      </c:pt>
                      <c:pt idx="28">
                        <c:v>171670</c:v>
                      </c:pt>
                      <c:pt idx="29">
                        <c:v>116538</c:v>
                      </c:pt>
                      <c:pt idx="30">
                        <c:v>240598</c:v>
                      </c:pt>
                      <c:pt idx="31">
                        <c:v>139266</c:v>
                      </c:pt>
                      <c:pt idx="32">
                        <c:v>338561</c:v>
                      </c:pt>
                      <c:pt idx="33">
                        <c:v>327722</c:v>
                      </c:pt>
                      <c:pt idx="34">
                        <c:v>368984</c:v>
                      </c:pt>
                      <c:pt idx="35">
                        <c:v>314982</c:v>
                      </c:pt>
                      <c:pt idx="36">
                        <c:v>297090</c:v>
                      </c:pt>
                      <c:pt idx="37">
                        <c:v>177376</c:v>
                      </c:pt>
                      <c:pt idx="38">
                        <c:v>346890</c:v>
                      </c:pt>
                      <c:pt idx="39">
                        <c:v>116436</c:v>
                      </c:pt>
                      <c:pt idx="40">
                        <c:v>295090</c:v>
                      </c:pt>
                      <c:pt idx="41">
                        <c:v>296031</c:v>
                      </c:pt>
                      <c:pt idx="42">
                        <c:v>184911</c:v>
                      </c:pt>
                      <c:pt idx="43">
                        <c:v>138521</c:v>
                      </c:pt>
                      <c:pt idx="44">
                        <c:v>340987</c:v>
                      </c:pt>
                      <c:pt idx="45">
                        <c:v>345659</c:v>
                      </c:pt>
                      <c:pt idx="46">
                        <c:v>321258</c:v>
                      </c:pt>
                      <c:pt idx="47">
                        <c:v>260204</c:v>
                      </c:pt>
                      <c:pt idx="48">
                        <c:v>353781</c:v>
                      </c:pt>
                      <c:pt idx="49">
                        <c:v>366149</c:v>
                      </c:pt>
                      <c:pt idx="50">
                        <c:v>118393</c:v>
                      </c:pt>
                      <c:pt idx="51">
                        <c:v>271935</c:v>
                      </c:pt>
                      <c:pt idx="52">
                        <c:v>285164</c:v>
                      </c:pt>
                      <c:pt idx="53">
                        <c:v>64444</c:v>
                      </c:pt>
                      <c:pt idx="54">
                        <c:v>283537</c:v>
                      </c:pt>
                      <c:pt idx="55">
                        <c:v>279405</c:v>
                      </c:pt>
                      <c:pt idx="56">
                        <c:v>216500</c:v>
                      </c:pt>
                      <c:pt idx="57">
                        <c:v>247965</c:v>
                      </c:pt>
                      <c:pt idx="58">
                        <c:v>129640</c:v>
                      </c:pt>
                      <c:pt idx="59">
                        <c:v>127273</c:v>
                      </c:pt>
                      <c:pt idx="60">
                        <c:v>121431</c:v>
                      </c:pt>
                      <c:pt idx="61">
                        <c:v>87126</c:v>
                      </c:pt>
                      <c:pt idx="62">
                        <c:v>340557</c:v>
                      </c:pt>
                      <c:pt idx="63">
                        <c:v>157547</c:v>
                      </c:pt>
                      <c:pt idx="64">
                        <c:v>143811</c:v>
                      </c:pt>
                      <c:pt idx="65">
                        <c:v>272534</c:v>
                      </c:pt>
                      <c:pt idx="66">
                        <c:v>89918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494-4989-83D8-73E9AB4A12C9}"/>
                  </c:ext>
                </c:extLst>
              </c15:ser>
            </c15:filteredLineSeries>
          </c:ext>
        </c:extLst>
      </c:lineChart>
      <c:dateAx>
        <c:axId val="57355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86832"/>
        <c:crosses val="autoZero"/>
        <c:auto val="1"/>
        <c:lblOffset val="100"/>
        <c:baseTimeUnit val="days"/>
      </c:dateAx>
      <c:valAx>
        <c:axId val="6223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55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YouTube_MovingAvg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'6.2MovingAvg'!$N$1</c:f>
              <c:strCache>
                <c:ptCount val="1"/>
                <c:pt idx="0">
                  <c:v>YouTube_MvngAvg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'6.2MovingAvg'!$K$2:$K$68</c:f>
              <c:numCache>
                <c:formatCode>m/d/yyyy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</c:numCache>
            </c:numRef>
          </c:cat>
          <c:val>
            <c:numRef>
              <c:f>'6.2MovingAvg'!$N$2:$N$68</c:f>
              <c:numCache>
                <c:formatCode>0</c:formatCode>
                <c:ptCount val="67"/>
                <c:pt idx="2">
                  <c:v>337430.33333333331</c:v>
                </c:pt>
                <c:pt idx="3">
                  <c:v>256021.33333333334</c:v>
                </c:pt>
                <c:pt idx="4">
                  <c:v>225613.33333333334</c:v>
                </c:pt>
                <c:pt idx="5">
                  <c:v>206514.33333333334</c:v>
                </c:pt>
                <c:pt idx="6">
                  <c:v>233483</c:v>
                </c:pt>
                <c:pt idx="7">
                  <c:v>260219.33333333334</c:v>
                </c:pt>
                <c:pt idx="8">
                  <c:v>313235</c:v>
                </c:pt>
                <c:pt idx="9">
                  <c:v>350294</c:v>
                </c:pt>
                <c:pt idx="10">
                  <c:v>315666</c:v>
                </c:pt>
                <c:pt idx="11">
                  <c:v>253285</c:v>
                </c:pt>
                <c:pt idx="12">
                  <c:v>237600.33333333334</c:v>
                </c:pt>
                <c:pt idx="13">
                  <c:v>264791.33333333331</c:v>
                </c:pt>
                <c:pt idx="14">
                  <c:v>313414</c:v>
                </c:pt>
                <c:pt idx="15">
                  <c:v>282216.66666666669</c:v>
                </c:pt>
                <c:pt idx="16">
                  <c:v>277708.66666666669</c:v>
                </c:pt>
                <c:pt idx="17">
                  <c:v>293601.33333333331</c:v>
                </c:pt>
                <c:pt idx="18">
                  <c:v>284938</c:v>
                </c:pt>
                <c:pt idx="19">
                  <c:v>278456</c:v>
                </c:pt>
                <c:pt idx="20">
                  <c:v>208901</c:v>
                </c:pt>
                <c:pt idx="21">
                  <c:v>207632.33333333334</c:v>
                </c:pt>
                <c:pt idx="22">
                  <c:v>140100.66666666666</c:v>
                </c:pt>
                <c:pt idx="23">
                  <c:v>165878.33333333334</c:v>
                </c:pt>
                <c:pt idx="24">
                  <c:v>227826.33333333334</c:v>
                </c:pt>
                <c:pt idx="25">
                  <c:v>252644</c:v>
                </c:pt>
                <c:pt idx="26">
                  <c:v>294058.66666666669</c:v>
                </c:pt>
                <c:pt idx="27">
                  <c:v>222576.66666666666</c:v>
                </c:pt>
                <c:pt idx="28">
                  <c:v>203615.66666666666</c:v>
                </c:pt>
                <c:pt idx="29">
                  <c:v>195391.66666666666</c:v>
                </c:pt>
                <c:pt idx="30">
                  <c:v>196797.66666666666</c:v>
                </c:pt>
                <c:pt idx="31">
                  <c:v>236163.66666666666</c:v>
                </c:pt>
                <c:pt idx="32">
                  <c:v>185843.33333333334</c:v>
                </c:pt>
                <c:pt idx="33">
                  <c:v>256036.33333333334</c:v>
                </c:pt>
                <c:pt idx="34">
                  <c:v>234840.66666666666</c:v>
                </c:pt>
                <c:pt idx="35">
                  <c:v>296473.66666666669</c:v>
                </c:pt>
                <c:pt idx="36">
                  <c:v>243393.33333333334</c:v>
                </c:pt>
                <c:pt idx="37">
                  <c:v>290584</c:v>
                </c:pt>
                <c:pt idx="38">
                  <c:v>293288.33333333331</c:v>
                </c:pt>
                <c:pt idx="39">
                  <c:v>326607.33333333331</c:v>
                </c:pt>
                <c:pt idx="40">
                  <c:v>328063</c:v>
                </c:pt>
                <c:pt idx="41">
                  <c:v>292935</c:v>
                </c:pt>
                <c:pt idx="42">
                  <c:v>333948.33333333331</c:v>
                </c:pt>
                <c:pt idx="43">
                  <c:v>287776.33333333331</c:v>
                </c:pt>
                <c:pt idx="44">
                  <c:v>284856</c:v>
                </c:pt>
                <c:pt idx="45">
                  <c:v>238358.66666666666</c:v>
                </c:pt>
                <c:pt idx="46">
                  <c:v>261943.66666666666</c:v>
                </c:pt>
                <c:pt idx="47">
                  <c:v>269516.33333333331</c:v>
                </c:pt>
                <c:pt idx="48">
                  <c:v>260786.33333333334</c:v>
                </c:pt>
                <c:pt idx="49">
                  <c:v>254044.33333333334</c:v>
                </c:pt>
                <c:pt idx="50">
                  <c:v>218125.33333333334</c:v>
                </c:pt>
                <c:pt idx="51">
                  <c:v>254489</c:v>
                </c:pt>
                <c:pt idx="52">
                  <c:v>208799.33333333334</c:v>
                </c:pt>
                <c:pt idx="53">
                  <c:v>227863.66666666666</c:v>
                </c:pt>
                <c:pt idx="54">
                  <c:v>175111.33333333334</c:v>
                </c:pt>
                <c:pt idx="55">
                  <c:v>188205.66666666666</c:v>
                </c:pt>
                <c:pt idx="56">
                  <c:v>143253.66666666666</c:v>
                </c:pt>
                <c:pt idx="57">
                  <c:v>166995.66666666666</c:v>
                </c:pt>
                <c:pt idx="58">
                  <c:v>235593.33333333334</c:v>
                </c:pt>
                <c:pt idx="59">
                  <c:v>321901.33333333331</c:v>
                </c:pt>
                <c:pt idx="60">
                  <c:v>264301</c:v>
                </c:pt>
                <c:pt idx="61">
                  <c:v>188405</c:v>
                </c:pt>
                <c:pt idx="62">
                  <c:v>109226</c:v>
                </c:pt>
                <c:pt idx="63">
                  <c:v>132764.33333333334</c:v>
                </c:pt>
                <c:pt idx="64">
                  <c:v>136420</c:v>
                </c:pt>
                <c:pt idx="65">
                  <c:v>203136.66666666666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A-4DF5-92CF-320258514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385752"/>
        <c:axId val="641412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'6.2MovingAvg'!$M$1</c15:sqref>
                        </c15:formulaRef>
                      </c:ext>
                    </c:extLst>
                    <c:strCache>
                      <c:ptCount val="1"/>
                      <c:pt idx="0">
                        <c:v>Total_Followers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'6.2MovingAvg'!$K$2:$K$68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'6.2MovingAvg'!$M$2:$M$68</c15:sqref>
                        </c15:formulaRef>
                      </c:ext>
                    </c:extLst>
                    <c:numCache>
                      <c:formatCode>0</c:formatCode>
                      <c:ptCount val="67"/>
                      <c:pt idx="0">
                        <c:v>370242</c:v>
                      </c:pt>
                      <c:pt idx="1">
                        <c:v>391621</c:v>
                      </c:pt>
                      <c:pt idx="2">
                        <c:v>250428</c:v>
                      </c:pt>
                      <c:pt idx="3">
                        <c:v>126015</c:v>
                      </c:pt>
                      <c:pt idx="4">
                        <c:v>300397</c:v>
                      </c:pt>
                      <c:pt idx="5">
                        <c:v>193131</c:v>
                      </c:pt>
                      <c:pt idx="6">
                        <c:v>206921</c:v>
                      </c:pt>
                      <c:pt idx="7">
                        <c:v>380606</c:v>
                      </c:pt>
                      <c:pt idx="8">
                        <c:v>352178</c:v>
                      </c:pt>
                      <c:pt idx="9">
                        <c:v>318098</c:v>
                      </c:pt>
                      <c:pt idx="10">
                        <c:v>276722</c:v>
                      </c:pt>
                      <c:pt idx="11">
                        <c:v>165035</c:v>
                      </c:pt>
                      <c:pt idx="12">
                        <c:v>271044</c:v>
                      </c:pt>
                      <c:pt idx="13">
                        <c:v>358295</c:v>
                      </c:pt>
                      <c:pt idx="14">
                        <c:v>310903</c:v>
                      </c:pt>
                      <c:pt idx="15">
                        <c:v>177452</c:v>
                      </c:pt>
                      <c:pt idx="16">
                        <c:v>344771</c:v>
                      </c:pt>
                      <c:pt idx="17">
                        <c:v>358581</c:v>
                      </c:pt>
                      <c:pt idx="18">
                        <c:v>151462</c:v>
                      </c:pt>
                      <c:pt idx="19">
                        <c:v>325325</c:v>
                      </c:pt>
                      <c:pt idx="20">
                        <c:v>149916</c:v>
                      </c:pt>
                      <c:pt idx="21">
                        <c:v>147656</c:v>
                      </c:pt>
                      <c:pt idx="22">
                        <c:v>122730</c:v>
                      </c:pt>
                      <c:pt idx="23">
                        <c:v>227249</c:v>
                      </c:pt>
                      <c:pt idx="24">
                        <c:v>333500</c:v>
                      </c:pt>
                      <c:pt idx="25">
                        <c:v>197183</c:v>
                      </c:pt>
                      <c:pt idx="26">
                        <c:v>351493</c:v>
                      </c:pt>
                      <c:pt idx="27">
                        <c:v>119054</c:v>
                      </c:pt>
                      <c:pt idx="28">
                        <c:v>140300</c:v>
                      </c:pt>
                      <c:pt idx="29">
                        <c:v>326821</c:v>
                      </c:pt>
                      <c:pt idx="30">
                        <c:v>123272</c:v>
                      </c:pt>
                      <c:pt idx="31">
                        <c:v>258398</c:v>
                      </c:pt>
                      <c:pt idx="32">
                        <c:v>175860</c:v>
                      </c:pt>
                      <c:pt idx="33">
                        <c:v>333851</c:v>
                      </c:pt>
                      <c:pt idx="34">
                        <c:v>194811</c:v>
                      </c:pt>
                      <c:pt idx="35">
                        <c:v>360759</c:v>
                      </c:pt>
                      <c:pt idx="36">
                        <c:v>174610</c:v>
                      </c:pt>
                      <c:pt idx="37">
                        <c:v>336383</c:v>
                      </c:pt>
                      <c:pt idx="38">
                        <c:v>368872</c:v>
                      </c:pt>
                      <c:pt idx="39">
                        <c:v>274567</c:v>
                      </c:pt>
                      <c:pt idx="40">
                        <c:v>340750</c:v>
                      </c:pt>
                      <c:pt idx="41">
                        <c:v>263488</c:v>
                      </c:pt>
                      <c:pt idx="42">
                        <c:v>397607</c:v>
                      </c:pt>
                      <c:pt idx="43">
                        <c:v>202234</c:v>
                      </c:pt>
                      <c:pt idx="44">
                        <c:v>254727</c:v>
                      </c:pt>
                      <c:pt idx="45">
                        <c:v>258115</c:v>
                      </c:pt>
                      <c:pt idx="46">
                        <c:v>272989</c:v>
                      </c:pt>
                      <c:pt idx="47">
                        <c:v>277445</c:v>
                      </c:pt>
                      <c:pt idx="48">
                        <c:v>231925</c:v>
                      </c:pt>
                      <c:pt idx="49">
                        <c:v>252763</c:v>
                      </c:pt>
                      <c:pt idx="50">
                        <c:v>169688</c:v>
                      </c:pt>
                      <c:pt idx="51">
                        <c:v>341016</c:v>
                      </c:pt>
                      <c:pt idx="52">
                        <c:v>115694</c:v>
                      </c:pt>
                      <c:pt idx="53">
                        <c:v>226881</c:v>
                      </c:pt>
                      <c:pt idx="54">
                        <c:v>182759</c:v>
                      </c:pt>
                      <c:pt idx="55">
                        <c:v>154977</c:v>
                      </c:pt>
                      <c:pt idx="56">
                        <c:v>92025</c:v>
                      </c:pt>
                      <c:pt idx="57">
                        <c:v>253985</c:v>
                      </c:pt>
                      <c:pt idx="58">
                        <c:v>360770</c:v>
                      </c:pt>
                      <c:pt idx="59">
                        <c:v>350949</c:v>
                      </c:pt>
                      <c:pt idx="60">
                        <c:v>81184</c:v>
                      </c:pt>
                      <c:pt idx="61">
                        <c:v>133082</c:v>
                      </c:pt>
                      <c:pt idx="62">
                        <c:v>113412</c:v>
                      </c:pt>
                      <c:pt idx="63">
                        <c:v>151799</c:v>
                      </c:pt>
                      <c:pt idx="64">
                        <c:v>144049</c:v>
                      </c:pt>
                      <c:pt idx="65">
                        <c:v>313562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DFA-4DF5-92CF-320258514D36}"/>
                  </c:ext>
                </c:extLst>
              </c15:ser>
            </c15:filteredLineSeries>
          </c:ext>
        </c:extLst>
      </c:lineChart>
      <c:dateAx>
        <c:axId val="622385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12744"/>
        <c:crosses val="autoZero"/>
        <c:auto val="1"/>
        <c:lblOffset val="100"/>
        <c:baseTimeUnit val="days"/>
      </c:dateAx>
      <c:valAx>
        <c:axId val="64141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8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Moving_Avg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'6.2MovingAvg'!$D$1</c:f>
              <c:strCache>
                <c:ptCount val="1"/>
                <c:pt idx="0">
                  <c:v>Twitter_MvngAvg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'6.2MovingAvg'!$A$2:$A$68</c:f>
              <c:numCache>
                <c:formatCode>m/d/yyyy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'6.2MovingAvg'!$D$2:$D$68</c:f>
              <c:numCache>
                <c:formatCode>0</c:formatCode>
                <c:ptCount val="67"/>
                <c:pt idx="2">
                  <c:v>267602.33333333331</c:v>
                </c:pt>
                <c:pt idx="3">
                  <c:v>234489.66666666666</c:v>
                </c:pt>
                <c:pt idx="4">
                  <c:v>197598.33333333334</c:v>
                </c:pt>
                <c:pt idx="5">
                  <c:v>141238</c:v>
                </c:pt>
                <c:pt idx="6">
                  <c:v>186274.33333333334</c:v>
                </c:pt>
                <c:pt idx="7">
                  <c:v>202315</c:v>
                </c:pt>
                <c:pt idx="8">
                  <c:v>203167.33333333334</c:v>
                </c:pt>
                <c:pt idx="9">
                  <c:v>159509.66666666666</c:v>
                </c:pt>
                <c:pt idx="10">
                  <c:v>109228</c:v>
                </c:pt>
                <c:pt idx="11">
                  <c:v>103235.33333333333</c:v>
                </c:pt>
                <c:pt idx="12">
                  <c:v>137729.33333333334</c:v>
                </c:pt>
                <c:pt idx="13">
                  <c:v>218944.33333333334</c:v>
                </c:pt>
                <c:pt idx="14">
                  <c:v>288156.66666666669</c:v>
                </c:pt>
                <c:pt idx="15">
                  <c:v>333082.33333333331</c:v>
                </c:pt>
                <c:pt idx="16">
                  <c:v>334179.33333333331</c:v>
                </c:pt>
                <c:pt idx="17">
                  <c:v>304412.33333333331</c:v>
                </c:pt>
                <c:pt idx="18">
                  <c:v>244748</c:v>
                </c:pt>
                <c:pt idx="19">
                  <c:v>221281</c:v>
                </c:pt>
                <c:pt idx="20">
                  <c:v>208407.66666666666</c:v>
                </c:pt>
                <c:pt idx="21">
                  <c:v>242365</c:v>
                </c:pt>
                <c:pt idx="22">
                  <c:v>261310.66666666666</c:v>
                </c:pt>
                <c:pt idx="23">
                  <c:v>281747.66666666669</c:v>
                </c:pt>
                <c:pt idx="24">
                  <c:v>222029</c:v>
                </c:pt>
                <c:pt idx="25">
                  <c:v>159382</c:v>
                </c:pt>
                <c:pt idx="26">
                  <c:v>128989</c:v>
                </c:pt>
                <c:pt idx="27">
                  <c:v>125950.33333333333</c:v>
                </c:pt>
                <c:pt idx="28">
                  <c:v>129115.66666666667</c:v>
                </c:pt>
                <c:pt idx="29">
                  <c:v>150985.33333333334</c:v>
                </c:pt>
                <c:pt idx="30">
                  <c:v>240202.66666666666</c:v>
                </c:pt>
                <c:pt idx="31">
                  <c:v>235367.66666666666</c:v>
                </c:pt>
                <c:pt idx="32">
                  <c:v>290352.33333333331</c:v>
                </c:pt>
                <c:pt idx="33">
                  <c:v>256473.66666666666</c:v>
                </c:pt>
                <c:pt idx="34">
                  <c:v>260268</c:v>
                </c:pt>
                <c:pt idx="35">
                  <c:v>171636</c:v>
                </c:pt>
                <c:pt idx="36">
                  <c:v>111770</c:v>
                </c:pt>
                <c:pt idx="37">
                  <c:v>122294</c:v>
                </c:pt>
                <c:pt idx="38">
                  <c:v>153030.66666666666</c:v>
                </c:pt>
                <c:pt idx="39">
                  <c:v>164851.33333333334</c:v>
                </c:pt>
                <c:pt idx="40">
                  <c:v>163555.33333333334</c:v>
                </c:pt>
                <c:pt idx="41">
                  <c:v>222728</c:v>
                </c:pt>
                <c:pt idx="42">
                  <c:v>221726.33333333334</c:v>
                </c:pt>
                <c:pt idx="43">
                  <c:v>192634.33333333334</c:v>
                </c:pt>
                <c:pt idx="44">
                  <c:v>190771</c:v>
                </c:pt>
                <c:pt idx="45">
                  <c:v>220588.66666666666</c:v>
                </c:pt>
                <c:pt idx="46">
                  <c:v>297566</c:v>
                </c:pt>
                <c:pt idx="47">
                  <c:v>278626</c:v>
                </c:pt>
                <c:pt idx="48">
                  <c:v>295649</c:v>
                </c:pt>
                <c:pt idx="49">
                  <c:v>238890.66666666666</c:v>
                </c:pt>
                <c:pt idx="50">
                  <c:v>253468.66666666666</c:v>
                </c:pt>
                <c:pt idx="51">
                  <c:v>270456</c:v>
                </c:pt>
                <c:pt idx="52">
                  <c:v>253208.33333333334</c:v>
                </c:pt>
                <c:pt idx="53">
                  <c:v>265057.33333333331</c:v>
                </c:pt>
                <c:pt idx="54">
                  <c:v>180676</c:v>
                </c:pt>
                <c:pt idx="55">
                  <c:v>227627</c:v>
                </c:pt>
                <c:pt idx="56">
                  <c:v>140808</c:v>
                </c:pt>
                <c:pt idx="57">
                  <c:v>248979.66666666666</c:v>
                </c:pt>
                <c:pt idx="58">
                  <c:v>257122.33333333334</c:v>
                </c:pt>
                <c:pt idx="59">
                  <c:v>286295.66666666669</c:v>
                </c:pt>
                <c:pt idx="60">
                  <c:v>196092.33333333334</c:v>
                </c:pt>
                <c:pt idx="61">
                  <c:v>191303.33333333334</c:v>
                </c:pt>
                <c:pt idx="62">
                  <c:v>166920</c:v>
                </c:pt>
                <c:pt idx="63">
                  <c:v>246278</c:v>
                </c:pt>
                <c:pt idx="64">
                  <c:v>255912.66666666666</c:v>
                </c:pt>
                <c:pt idx="65">
                  <c:v>244510.33333333334</c:v>
                </c:pt>
                <c:pt idx="66">
                  <c:v>242467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5C-4DB2-B63D-5E88FD434DE1}"/>
            </c:ext>
          </c:extLst>
        </c:ser>
        <c:ser>
          <c:idx val="4"/>
          <c:order val="4"/>
          <c:tx>
            <c:strRef>
              <c:f>'6.2MovingAvg'!$I$1</c:f>
              <c:strCache>
                <c:ptCount val="1"/>
                <c:pt idx="0">
                  <c:v>Insta_MvngAvg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'6.2MovingAvg'!$A$2:$A$68</c:f>
              <c:numCache>
                <c:formatCode>m/d/yyyy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'6.2MovingAvg'!$I$2:$I$68</c:f>
              <c:numCache>
                <c:formatCode>0</c:formatCode>
                <c:ptCount val="67"/>
                <c:pt idx="2">
                  <c:v>104307</c:v>
                </c:pt>
                <c:pt idx="3">
                  <c:v>91848.333333333328</c:v>
                </c:pt>
                <c:pt idx="4">
                  <c:v>120562</c:v>
                </c:pt>
                <c:pt idx="5">
                  <c:v>201974</c:v>
                </c:pt>
                <c:pt idx="6">
                  <c:v>229467</c:v>
                </c:pt>
                <c:pt idx="7">
                  <c:v>237969</c:v>
                </c:pt>
                <c:pt idx="8">
                  <c:v>250048</c:v>
                </c:pt>
                <c:pt idx="9">
                  <c:v>260371.66666666666</c:v>
                </c:pt>
                <c:pt idx="10">
                  <c:v>215239.33333333334</c:v>
                </c:pt>
                <c:pt idx="11">
                  <c:v>207632.66666666666</c:v>
                </c:pt>
                <c:pt idx="12">
                  <c:v>205619</c:v>
                </c:pt>
                <c:pt idx="13">
                  <c:v>294340</c:v>
                </c:pt>
                <c:pt idx="14">
                  <c:v>299312</c:v>
                </c:pt>
                <c:pt idx="15">
                  <c:v>317307.33333333331</c:v>
                </c:pt>
                <c:pt idx="16">
                  <c:v>232593.33333333334</c:v>
                </c:pt>
                <c:pt idx="17">
                  <c:v>234759.33333333334</c:v>
                </c:pt>
                <c:pt idx="18">
                  <c:v>258330.33333333334</c:v>
                </c:pt>
                <c:pt idx="19">
                  <c:v>294146.33333333331</c:v>
                </c:pt>
                <c:pt idx="20">
                  <c:v>198112</c:v>
                </c:pt>
                <c:pt idx="21">
                  <c:v>194525</c:v>
                </c:pt>
                <c:pt idx="22">
                  <c:v>240724.33333333334</c:v>
                </c:pt>
                <c:pt idx="23">
                  <c:v>313944</c:v>
                </c:pt>
                <c:pt idx="24">
                  <c:v>293288.66666666669</c:v>
                </c:pt>
                <c:pt idx="25">
                  <c:v>301917.33333333331</c:v>
                </c:pt>
                <c:pt idx="26">
                  <c:v>256838.33333333334</c:v>
                </c:pt>
                <c:pt idx="27">
                  <c:v>289859.66666666669</c:v>
                </c:pt>
                <c:pt idx="28">
                  <c:v>229524</c:v>
                </c:pt>
                <c:pt idx="29">
                  <c:v>211279.66666666666</c:v>
                </c:pt>
                <c:pt idx="30">
                  <c:v>176268.66666666666</c:v>
                </c:pt>
                <c:pt idx="31">
                  <c:v>165467.33333333334</c:v>
                </c:pt>
                <c:pt idx="32">
                  <c:v>239475</c:v>
                </c:pt>
                <c:pt idx="33">
                  <c:v>268516.33333333331</c:v>
                </c:pt>
                <c:pt idx="34">
                  <c:v>345089</c:v>
                </c:pt>
                <c:pt idx="35">
                  <c:v>337229.33333333331</c:v>
                </c:pt>
                <c:pt idx="36">
                  <c:v>327018.66666666669</c:v>
                </c:pt>
                <c:pt idx="37">
                  <c:v>263149.33333333331</c:v>
                </c:pt>
                <c:pt idx="38">
                  <c:v>273785.33333333331</c:v>
                </c:pt>
                <c:pt idx="39">
                  <c:v>213567.33333333334</c:v>
                </c:pt>
                <c:pt idx="40">
                  <c:v>252805.33333333334</c:v>
                </c:pt>
                <c:pt idx="41">
                  <c:v>235852.33333333334</c:v>
                </c:pt>
                <c:pt idx="42">
                  <c:v>258677.33333333334</c:v>
                </c:pt>
                <c:pt idx="43">
                  <c:v>206487.66666666666</c:v>
                </c:pt>
                <c:pt idx="44">
                  <c:v>221473</c:v>
                </c:pt>
                <c:pt idx="45">
                  <c:v>275055.66666666669</c:v>
                </c:pt>
                <c:pt idx="46">
                  <c:v>335968</c:v>
                </c:pt>
                <c:pt idx="47">
                  <c:v>309040.33333333331</c:v>
                </c:pt>
                <c:pt idx="48">
                  <c:v>311747.66666666669</c:v>
                </c:pt>
                <c:pt idx="49">
                  <c:v>326711.33333333331</c:v>
                </c:pt>
                <c:pt idx="50">
                  <c:v>279441</c:v>
                </c:pt>
                <c:pt idx="51">
                  <c:v>252159</c:v>
                </c:pt>
                <c:pt idx="52">
                  <c:v>225164</c:v>
                </c:pt>
                <c:pt idx="53">
                  <c:v>207181</c:v>
                </c:pt>
                <c:pt idx="54">
                  <c:v>211048.33333333334</c:v>
                </c:pt>
                <c:pt idx="55">
                  <c:v>209128.66666666666</c:v>
                </c:pt>
                <c:pt idx="56">
                  <c:v>259814</c:v>
                </c:pt>
                <c:pt idx="57">
                  <c:v>247956.66666666666</c:v>
                </c:pt>
                <c:pt idx="58">
                  <c:v>198035</c:v>
                </c:pt>
                <c:pt idx="59">
                  <c:v>168292.66666666666</c:v>
                </c:pt>
                <c:pt idx="60">
                  <c:v>126114.66666666667</c:v>
                </c:pt>
                <c:pt idx="61">
                  <c:v>111943.33333333333</c:v>
                </c:pt>
                <c:pt idx="62">
                  <c:v>183038</c:v>
                </c:pt>
                <c:pt idx="63">
                  <c:v>195076.66666666666</c:v>
                </c:pt>
                <c:pt idx="64">
                  <c:v>213971.66666666666</c:v>
                </c:pt>
                <c:pt idx="65">
                  <c:v>191297.33333333334</c:v>
                </c:pt>
                <c:pt idx="66">
                  <c:v>168754.33333333334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5C-4DB2-B63D-5E88FD434DE1}"/>
            </c:ext>
          </c:extLst>
        </c:ser>
        <c:ser>
          <c:idx val="7"/>
          <c:order val="7"/>
          <c:tx>
            <c:strRef>
              <c:f>'6.2MovingAvg'!$N$1</c:f>
              <c:strCache>
                <c:ptCount val="1"/>
                <c:pt idx="0">
                  <c:v>YouTube_MvngAvg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'6.2MovingAvg'!$A$2:$A$68</c:f>
              <c:numCache>
                <c:formatCode>m/d/yyyy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'6.2MovingAvg'!$N$2:$N$68</c:f>
              <c:numCache>
                <c:formatCode>0</c:formatCode>
                <c:ptCount val="67"/>
                <c:pt idx="2">
                  <c:v>337430.33333333331</c:v>
                </c:pt>
                <c:pt idx="3">
                  <c:v>256021.33333333334</c:v>
                </c:pt>
                <c:pt idx="4">
                  <c:v>225613.33333333334</c:v>
                </c:pt>
                <c:pt idx="5">
                  <c:v>206514.33333333334</c:v>
                </c:pt>
                <c:pt idx="6">
                  <c:v>233483</c:v>
                </c:pt>
                <c:pt idx="7">
                  <c:v>260219.33333333334</c:v>
                </c:pt>
                <c:pt idx="8">
                  <c:v>313235</c:v>
                </c:pt>
                <c:pt idx="9">
                  <c:v>350294</c:v>
                </c:pt>
                <c:pt idx="10">
                  <c:v>315666</c:v>
                </c:pt>
                <c:pt idx="11">
                  <c:v>253285</c:v>
                </c:pt>
                <c:pt idx="12">
                  <c:v>237600.33333333334</c:v>
                </c:pt>
                <c:pt idx="13">
                  <c:v>264791.33333333331</c:v>
                </c:pt>
                <c:pt idx="14">
                  <c:v>313414</c:v>
                </c:pt>
                <c:pt idx="15">
                  <c:v>282216.66666666669</c:v>
                </c:pt>
                <c:pt idx="16">
                  <c:v>277708.66666666669</c:v>
                </c:pt>
                <c:pt idx="17">
                  <c:v>293601.33333333331</c:v>
                </c:pt>
                <c:pt idx="18">
                  <c:v>284938</c:v>
                </c:pt>
                <c:pt idx="19">
                  <c:v>278456</c:v>
                </c:pt>
                <c:pt idx="20">
                  <c:v>208901</c:v>
                </c:pt>
                <c:pt idx="21">
                  <c:v>207632.33333333334</c:v>
                </c:pt>
                <c:pt idx="22">
                  <c:v>140100.66666666666</c:v>
                </c:pt>
                <c:pt idx="23">
                  <c:v>165878.33333333334</c:v>
                </c:pt>
                <c:pt idx="24">
                  <c:v>227826.33333333334</c:v>
                </c:pt>
                <c:pt idx="25">
                  <c:v>252644</c:v>
                </c:pt>
                <c:pt idx="26">
                  <c:v>294058.66666666669</c:v>
                </c:pt>
                <c:pt idx="27">
                  <c:v>222576.66666666666</c:v>
                </c:pt>
                <c:pt idx="28">
                  <c:v>203615.66666666666</c:v>
                </c:pt>
                <c:pt idx="29">
                  <c:v>195391.66666666666</c:v>
                </c:pt>
                <c:pt idx="30">
                  <c:v>196797.66666666666</c:v>
                </c:pt>
                <c:pt idx="31">
                  <c:v>236163.66666666666</c:v>
                </c:pt>
                <c:pt idx="32">
                  <c:v>185843.33333333334</c:v>
                </c:pt>
                <c:pt idx="33">
                  <c:v>256036.33333333334</c:v>
                </c:pt>
                <c:pt idx="34">
                  <c:v>234840.66666666666</c:v>
                </c:pt>
                <c:pt idx="35">
                  <c:v>296473.66666666669</c:v>
                </c:pt>
                <c:pt idx="36">
                  <c:v>243393.33333333334</c:v>
                </c:pt>
                <c:pt idx="37">
                  <c:v>290584</c:v>
                </c:pt>
                <c:pt idx="38">
                  <c:v>293288.33333333331</c:v>
                </c:pt>
                <c:pt idx="39">
                  <c:v>326607.33333333331</c:v>
                </c:pt>
                <c:pt idx="40">
                  <c:v>328063</c:v>
                </c:pt>
                <c:pt idx="41">
                  <c:v>292935</c:v>
                </c:pt>
                <c:pt idx="42">
                  <c:v>333948.33333333331</c:v>
                </c:pt>
                <c:pt idx="43">
                  <c:v>287776.33333333331</c:v>
                </c:pt>
                <c:pt idx="44">
                  <c:v>284856</c:v>
                </c:pt>
                <c:pt idx="45">
                  <c:v>238358.66666666666</c:v>
                </c:pt>
                <c:pt idx="46">
                  <c:v>261943.66666666666</c:v>
                </c:pt>
                <c:pt idx="47">
                  <c:v>269516.33333333331</c:v>
                </c:pt>
                <c:pt idx="48">
                  <c:v>260786.33333333334</c:v>
                </c:pt>
                <c:pt idx="49">
                  <c:v>254044.33333333334</c:v>
                </c:pt>
                <c:pt idx="50">
                  <c:v>218125.33333333334</c:v>
                </c:pt>
                <c:pt idx="51">
                  <c:v>254489</c:v>
                </c:pt>
                <c:pt idx="52">
                  <c:v>208799.33333333334</c:v>
                </c:pt>
                <c:pt idx="53">
                  <c:v>227863.66666666666</c:v>
                </c:pt>
                <c:pt idx="54">
                  <c:v>175111.33333333334</c:v>
                </c:pt>
                <c:pt idx="55">
                  <c:v>188205.66666666666</c:v>
                </c:pt>
                <c:pt idx="56">
                  <c:v>143253.66666666666</c:v>
                </c:pt>
                <c:pt idx="57">
                  <c:v>166995.66666666666</c:v>
                </c:pt>
                <c:pt idx="58">
                  <c:v>235593.33333333334</c:v>
                </c:pt>
                <c:pt idx="59">
                  <c:v>321901.33333333331</c:v>
                </c:pt>
                <c:pt idx="60">
                  <c:v>264301</c:v>
                </c:pt>
                <c:pt idx="61">
                  <c:v>188405</c:v>
                </c:pt>
                <c:pt idx="62">
                  <c:v>109226</c:v>
                </c:pt>
                <c:pt idx="63">
                  <c:v>132764.33333333334</c:v>
                </c:pt>
                <c:pt idx="64">
                  <c:v>136420</c:v>
                </c:pt>
                <c:pt idx="65">
                  <c:v>203136.66666666666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5C-4DB2-B63D-5E88FD434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021840"/>
        <c:axId val="5700150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'6.2MovingAvg'!$C$1</c15:sqref>
                        </c15:formulaRef>
                      </c:ext>
                    </c:extLst>
                    <c:strCache>
                      <c:ptCount val="1"/>
                      <c:pt idx="0">
                        <c:v>Total_Followers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'6.2MovingAvg'!$A$2:$A$68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'6.2MovingAvg'!$C$2:$C$68</c15:sqref>
                        </c15:formulaRef>
                      </c:ext>
                    </c:extLst>
                    <c:numCache>
                      <c:formatCode>0</c:formatCode>
                      <c:ptCount val="67"/>
                      <c:pt idx="0">
                        <c:v>227958</c:v>
                      </c:pt>
                      <c:pt idx="1">
                        <c:v>328902</c:v>
                      </c:pt>
                      <c:pt idx="2">
                        <c:v>245947</c:v>
                      </c:pt>
                      <c:pt idx="3">
                        <c:v>128620</c:v>
                      </c:pt>
                      <c:pt idx="4">
                        <c:v>218228</c:v>
                      </c:pt>
                      <c:pt idx="5">
                        <c:v>76866</c:v>
                      </c:pt>
                      <c:pt idx="6">
                        <c:v>263729</c:v>
                      </c:pt>
                      <c:pt idx="7">
                        <c:v>266350</c:v>
                      </c:pt>
                      <c:pt idx="8">
                        <c:v>79423</c:v>
                      </c:pt>
                      <c:pt idx="9">
                        <c:v>132756</c:v>
                      </c:pt>
                      <c:pt idx="10">
                        <c:v>115505</c:v>
                      </c:pt>
                      <c:pt idx="11">
                        <c:v>61445</c:v>
                      </c:pt>
                      <c:pt idx="12">
                        <c:v>236238</c:v>
                      </c:pt>
                      <c:pt idx="13">
                        <c:v>359150</c:v>
                      </c:pt>
                      <c:pt idx="14">
                        <c:v>269082</c:v>
                      </c:pt>
                      <c:pt idx="15">
                        <c:v>371015</c:v>
                      </c:pt>
                      <c:pt idx="16">
                        <c:v>362441</c:v>
                      </c:pt>
                      <c:pt idx="17">
                        <c:v>179781</c:v>
                      </c:pt>
                      <c:pt idx="18">
                        <c:v>192022</c:v>
                      </c:pt>
                      <c:pt idx="19">
                        <c:v>292040</c:v>
                      </c:pt>
                      <c:pt idx="20">
                        <c:v>141161</c:v>
                      </c:pt>
                      <c:pt idx="21">
                        <c:v>293894</c:v>
                      </c:pt>
                      <c:pt idx="22">
                        <c:v>348877</c:v>
                      </c:pt>
                      <c:pt idx="23">
                        <c:v>202472</c:v>
                      </c:pt>
                      <c:pt idx="24">
                        <c:v>114738</c:v>
                      </c:pt>
                      <c:pt idx="25">
                        <c:v>160936</c:v>
                      </c:pt>
                      <c:pt idx="26">
                        <c:v>111293</c:v>
                      </c:pt>
                      <c:pt idx="27">
                        <c:v>105622</c:v>
                      </c:pt>
                      <c:pt idx="28">
                        <c:v>170432</c:v>
                      </c:pt>
                      <c:pt idx="29">
                        <c:v>176902</c:v>
                      </c:pt>
                      <c:pt idx="30">
                        <c:v>373274</c:v>
                      </c:pt>
                      <c:pt idx="31">
                        <c:v>155927</c:v>
                      </c:pt>
                      <c:pt idx="32">
                        <c:v>341856</c:v>
                      </c:pt>
                      <c:pt idx="33">
                        <c:v>271638</c:v>
                      </c:pt>
                      <c:pt idx="34">
                        <c:v>167310</c:v>
                      </c:pt>
                      <c:pt idx="35">
                        <c:v>75960</c:v>
                      </c:pt>
                      <c:pt idx="36">
                        <c:v>92040</c:v>
                      </c:pt>
                      <c:pt idx="37">
                        <c:v>198882</c:v>
                      </c:pt>
                      <c:pt idx="38">
                        <c:v>168170</c:v>
                      </c:pt>
                      <c:pt idx="39">
                        <c:v>127502</c:v>
                      </c:pt>
                      <c:pt idx="40">
                        <c:v>194994</c:v>
                      </c:pt>
                      <c:pt idx="41">
                        <c:v>345688</c:v>
                      </c:pt>
                      <c:pt idx="42">
                        <c:v>124497</c:v>
                      </c:pt>
                      <c:pt idx="43">
                        <c:v>107718</c:v>
                      </c:pt>
                      <c:pt idx="44">
                        <c:v>340098</c:v>
                      </c:pt>
                      <c:pt idx="45">
                        <c:v>213950</c:v>
                      </c:pt>
                      <c:pt idx="46">
                        <c:v>338650</c:v>
                      </c:pt>
                      <c:pt idx="47">
                        <c:v>283278</c:v>
                      </c:pt>
                      <c:pt idx="48">
                        <c:v>265019</c:v>
                      </c:pt>
                      <c:pt idx="49">
                        <c:v>168375</c:v>
                      </c:pt>
                      <c:pt idx="50">
                        <c:v>327012</c:v>
                      </c:pt>
                      <c:pt idx="51">
                        <c:v>315981</c:v>
                      </c:pt>
                      <c:pt idx="52">
                        <c:v>116632</c:v>
                      </c:pt>
                      <c:pt idx="53">
                        <c:v>362559</c:v>
                      </c:pt>
                      <c:pt idx="54">
                        <c:v>62837</c:v>
                      </c:pt>
                      <c:pt idx="55">
                        <c:v>257485</c:v>
                      </c:pt>
                      <c:pt idx="56">
                        <c:v>102102</c:v>
                      </c:pt>
                      <c:pt idx="57">
                        <c:v>387352</c:v>
                      </c:pt>
                      <c:pt idx="58">
                        <c:v>281913</c:v>
                      </c:pt>
                      <c:pt idx="59">
                        <c:v>189622</c:v>
                      </c:pt>
                      <c:pt idx="60">
                        <c:v>116742</c:v>
                      </c:pt>
                      <c:pt idx="61">
                        <c:v>267546</c:v>
                      </c:pt>
                      <c:pt idx="62">
                        <c:v>116472</c:v>
                      </c:pt>
                      <c:pt idx="63">
                        <c:v>354816</c:v>
                      </c:pt>
                      <c:pt idx="64">
                        <c:v>296450</c:v>
                      </c:pt>
                      <c:pt idx="65">
                        <c:v>82265</c:v>
                      </c:pt>
                      <c:pt idx="66">
                        <c:v>348686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E5C-4DB2-B63D-5E88FD434DE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'6.2MovingAvg'!$F$1</c15:sqref>
                        </c15:formulaRef>
                      </c:ext>
                    </c:extLst>
                    <c:strCache>
                      <c:ptCount val="1"/>
                      <c:pt idx="0">
                        <c:v>Week_Start_Date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'6.2MovingAvg'!$A$2:$A$68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'6.2MovingAvg'!$F$2:$F$68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5C-4DB2-B63D-5E88FD434DE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'6.2MovingAvg'!$H$1</c15:sqref>
                        </c15:formulaRef>
                      </c:ext>
                    </c:extLst>
                    <c:strCache>
                      <c:ptCount val="1"/>
                      <c:pt idx="0">
                        <c:v>Total_Followers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'6.2MovingAvg'!$A$2:$A$68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'6.2MovingAvg'!$H$2:$H$68</c15:sqref>
                        </c15:formulaRef>
                      </c:ext>
                    </c:extLst>
                    <c:numCache>
                      <c:formatCode>0</c:formatCode>
                      <c:ptCount val="67"/>
                      <c:pt idx="0">
                        <c:v>124562</c:v>
                      </c:pt>
                      <c:pt idx="1">
                        <c:v>92474</c:v>
                      </c:pt>
                      <c:pt idx="2">
                        <c:v>95885</c:v>
                      </c:pt>
                      <c:pt idx="3">
                        <c:v>87186</c:v>
                      </c:pt>
                      <c:pt idx="4">
                        <c:v>178615</c:v>
                      </c:pt>
                      <c:pt idx="5">
                        <c:v>340121</c:v>
                      </c:pt>
                      <c:pt idx="6">
                        <c:v>169665</c:v>
                      </c:pt>
                      <c:pt idx="7">
                        <c:v>204121</c:v>
                      </c:pt>
                      <c:pt idx="8">
                        <c:v>376358</c:v>
                      </c:pt>
                      <c:pt idx="9">
                        <c:v>200636</c:v>
                      </c:pt>
                      <c:pt idx="10">
                        <c:v>68724</c:v>
                      </c:pt>
                      <c:pt idx="11">
                        <c:v>353538</c:v>
                      </c:pt>
                      <c:pt idx="12">
                        <c:v>194595</c:v>
                      </c:pt>
                      <c:pt idx="13">
                        <c:v>334887</c:v>
                      </c:pt>
                      <c:pt idx="14">
                        <c:v>368454</c:v>
                      </c:pt>
                      <c:pt idx="15">
                        <c:v>248581</c:v>
                      </c:pt>
                      <c:pt idx="16">
                        <c:v>80745</c:v>
                      </c:pt>
                      <c:pt idx="17">
                        <c:v>374952</c:v>
                      </c:pt>
                      <c:pt idx="18">
                        <c:v>319294</c:v>
                      </c:pt>
                      <c:pt idx="19">
                        <c:v>188193</c:v>
                      </c:pt>
                      <c:pt idx="20">
                        <c:v>86849</c:v>
                      </c:pt>
                      <c:pt idx="21">
                        <c:v>308533</c:v>
                      </c:pt>
                      <c:pt idx="22">
                        <c:v>326791</c:v>
                      </c:pt>
                      <c:pt idx="23">
                        <c:v>306508</c:v>
                      </c:pt>
                      <c:pt idx="24">
                        <c:v>246567</c:v>
                      </c:pt>
                      <c:pt idx="25">
                        <c:v>352677</c:v>
                      </c:pt>
                      <c:pt idx="26">
                        <c:v>171271</c:v>
                      </c:pt>
                      <c:pt idx="27">
                        <c:v>345631</c:v>
                      </c:pt>
                      <c:pt idx="28">
                        <c:v>171670</c:v>
                      </c:pt>
                      <c:pt idx="29">
                        <c:v>116538</c:v>
                      </c:pt>
                      <c:pt idx="30">
                        <c:v>240598</c:v>
                      </c:pt>
                      <c:pt idx="31">
                        <c:v>139266</c:v>
                      </c:pt>
                      <c:pt idx="32">
                        <c:v>338561</c:v>
                      </c:pt>
                      <c:pt idx="33">
                        <c:v>327722</c:v>
                      </c:pt>
                      <c:pt idx="34">
                        <c:v>368984</c:v>
                      </c:pt>
                      <c:pt idx="35">
                        <c:v>314982</c:v>
                      </c:pt>
                      <c:pt idx="36">
                        <c:v>297090</c:v>
                      </c:pt>
                      <c:pt idx="37">
                        <c:v>177376</c:v>
                      </c:pt>
                      <c:pt idx="38">
                        <c:v>346890</c:v>
                      </c:pt>
                      <c:pt idx="39">
                        <c:v>116436</c:v>
                      </c:pt>
                      <c:pt idx="40">
                        <c:v>295090</c:v>
                      </c:pt>
                      <c:pt idx="41">
                        <c:v>296031</c:v>
                      </c:pt>
                      <c:pt idx="42">
                        <c:v>184911</c:v>
                      </c:pt>
                      <c:pt idx="43">
                        <c:v>138521</c:v>
                      </c:pt>
                      <c:pt idx="44">
                        <c:v>340987</c:v>
                      </c:pt>
                      <c:pt idx="45">
                        <c:v>345659</c:v>
                      </c:pt>
                      <c:pt idx="46">
                        <c:v>321258</c:v>
                      </c:pt>
                      <c:pt idx="47">
                        <c:v>260204</c:v>
                      </c:pt>
                      <c:pt idx="48">
                        <c:v>353781</c:v>
                      </c:pt>
                      <c:pt idx="49">
                        <c:v>366149</c:v>
                      </c:pt>
                      <c:pt idx="50">
                        <c:v>118393</c:v>
                      </c:pt>
                      <c:pt idx="51">
                        <c:v>271935</c:v>
                      </c:pt>
                      <c:pt idx="52">
                        <c:v>285164</c:v>
                      </c:pt>
                      <c:pt idx="53">
                        <c:v>64444</c:v>
                      </c:pt>
                      <c:pt idx="54">
                        <c:v>283537</c:v>
                      </c:pt>
                      <c:pt idx="55">
                        <c:v>279405</c:v>
                      </c:pt>
                      <c:pt idx="56">
                        <c:v>216500</c:v>
                      </c:pt>
                      <c:pt idx="57">
                        <c:v>247965</c:v>
                      </c:pt>
                      <c:pt idx="58">
                        <c:v>129640</c:v>
                      </c:pt>
                      <c:pt idx="59">
                        <c:v>127273</c:v>
                      </c:pt>
                      <c:pt idx="60">
                        <c:v>121431</c:v>
                      </c:pt>
                      <c:pt idx="61">
                        <c:v>87126</c:v>
                      </c:pt>
                      <c:pt idx="62">
                        <c:v>340557</c:v>
                      </c:pt>
                      <c:pt idx="63">
                        <c:v>157547</c:v>
                      </c:pt>
                      <c:pt idx="64">
                        <c:v>143811</c:v>
                      </c:pt>
                      <c:pt idx="65">
                        <c:v>272534</c:v>
                      </c:pt>
                      <c:pt idx="66">
                        <c:v>89918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5C-4DB2-B63D-5E88FD434DE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'6.2MovingAvg'!$K$1</c15:sqref>
                        </c15:formulaRef>
                      </c:ext>
                    </c:extLst>
                    <c:strCache>
                      <c:ptCount val="1"/>
                      <c:pt idx="0">
                        <c:v>Week_Start_Date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'6.2MovingAvg'!$A$2:$A$68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'6.2MovingAvg'!$K$2:$K$68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E5C-4DB2-B63D-5E88FD434DE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'6.2MovingAvg'!$M$1</c15:sqref>
                        </c15:formulaRef>
                      </c:ext>
                    </c:extLst>
                    <c:strCache>
                      <c:ptCount val="1"/>
                      <c:pt idx="0">
                        <c:v>Total_Followers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'6.2MovingAvg'!$A$2:$A$68</c15:sqref>
                        </c15:formulaRef>
                      </c:ext>
                    </c:extLst>
                    <c:numCache>
                      <c:formatCode>m/d/yyyy</c:formatCode>
                      <c:ptCount val="67"/>
                      <c:pt idx="0">
                        <c:v>45446</c:v>
                      </c:pt>
                      <c:pt idx="1">
                        <c:v>45453</c:v>
                      </c:pt>
                      <c:pt idx="2">
                        <c:v>45460</c:v>
                      </c:pt>
                      <c:pt idx="3">
                        <c:v>45467</c:v>
                      </c:pt>
                      <c:pt idx="4">
                        <c:v>45474</c:v>
                      </c:pt>
                      <c:pt idx="5">
                        <c:v>45481</c:v>
                      </c:pt>
                      <c:pt idx="6">
                        <c:v>45488</c:v>
                      </c:pt>
                      <c:pt idx="7">
                        <c:v>45495</c:v>
                      </c:pt>
                      <c:pt idx="8">
                        <c:v>45502</c:v>
                      </c:pt>
                      <c:pt idx="9">
                        <c:v>45509</c:v>
                      </c:pt>
                      <c:pt idx="10">
                        <c:v>45516</c:v>
                      </c:pt>
                      <c:pt idx="11">
                        <c:v>45523</c:v>
                      </c:pt>
                      <c:pt idx="12">
                        <c:v>45530</c:v>
                      </c:pt>
                      <c:pt idx="13">
                        <c:v>45537</c:v>
                      </c:pt>
                      <c:pt idx="14">
                        <c:v>45544</c:v>
                      </c:pt>
                      <c:pt idx="15">
                        <c:v>45551</c:v>
                      </c:pt>
                      <c:pt idx="16">
                        <c:v>45558</c:v>
                      </c:pt>
                      <c:pt idx="17">
                        <c:v>45565</c:v>
                      </c:pt>
                      <c:pt idx="18">
                        <c:v>45572</c:v>
                      </c:pt>
                      <c:pt idx="19">
                        <c:v>45579</c:v>
                      </c:pt>
                      <c:pt idx="20">
                        <c:v>45586</c:v>
                      </c:pt>
                      <c:pt idx="21">
                        <c:v>45593</c:v>
                      </c:pt>
                      <c:pt idx="22">
                        <c:v>45600</c:v>
                      </c:pt>
                      <c:pt idx="23">
                        <c:v>45607</c:v>
                      </c:pt>
                      <c:pt idx="24">
                        <c:v>45614</c:v>
                      </c:pt>
                      <c:pt idx="25">
                        <c:v>45621</c:v>
                      </c:pt>
                      <c:pt idx="26">
                        <c:v>45628</c:v>
                      </c:pt>
                      <c:pt idx="27">
                        <c:v>45635</c:v>
                      </c:pt>
                      <c:pt idx="28">
                        <c:v>45642</c:v>
                      </c:pt>
                      <c:pt idx="29">
                        <c:v>45649</c:v>
                      </c:pt>
                      <c:pt idx="30">
                        <c:v>45656</c:v>
                      </c:pt>
                      <c:pt idx="31">
                        <c:v>45663</c:v>
                      </c:pt>
                      <c:pt idx="32">
                        <c:v>45670</c:v>
                      </c:pt>
                      <c:pt idx="33">
                        <c:v>45677</c:v>
                      </c:pt>
                      <c:pt idx="34">
                        <c:v>45684</c:v>
                      </c:pt>
                      <c:pt idx="35">
                        <c:v>45691</c:v>
                      </c:pt>
                      <c:pt idx="36">
                        <c:v>45698</c:v>
                      </c:pt>
                      <c:pt idx="37">
                        <c:v>45705</c:v>
                      </c:pt>
                      <c:pt idx="38">
                        <c:v>45712</c:v>
                      </c:pt>
                      <c:pt idx="39">
                        <c:v>45719</c:v>
                      </c:pt>
                      <c:pt idx="40">
                        <c:v>45726</c:v>
                      </c:pt>
                      <c:pt idx="41">
                        <c:v>45733</c:v>
                      </c:pt>
                      <c:pt idx="42">
                        <c:v>45740</c:v>
                      </c:pt>
                      <c:pt idx="43">
                        <c:v>45747</c:v>
                      </c:pt>
                      <c:pt idx="44">
                        <c:v>45754</c:v>
                      </c:pt>
                      <c:pt idx="45">
                        <c:v>45761</c:v>
                      </c:pt>
                      <c:pt idx="46">
                        <c:v>45768</c:v>
                      </c:pt>
                      <c:pt idx="47">
                        <c:v>45775</c:v>
                      </c:pt>
                      <c:pt idx="48">
                        <c:v>45782</c:v>
                      </c:pt>
                      <c:pt idx="49">
                        <c:v>45789</c:v>
                      </c:pt>
                      <c:pt idx="50">
                        <c:v>45796</c:v>
                      </c:pt>
                      <c:pt idx="51">
                        <c:v>45803</c:v>
                      </c:pt>
                      <c:pt idx="52">
                        <c:v>45810</c:v>
                      </c:pt>
                      <c:pt idx="53">
                        <c:v>45817</c:v>
                      </c:pt>
                      <c:pt idx="54">
                        <c:v>45824</c:v>
                      </c:pt>
                      <c:pt idx="55">
                        <c:v>45831</c:v>
                      </c:pt>
                      <c:pt idx="56">
                        <c:v>45838</c:v>
                      </c:pt>
                      <c:pt idx="57">
                        <c:v>45845</c:v>
                      </c:pt>
                      <c:pt idx="58">
                        <c:v>45852</c:v>
                      </c:pt>
                      <c:pt idx="59">
                        <c:v>45859</c:v>
                      </c:pt>
                      <c:pt idx="60">
                        <c:v>45866</c:v>
                      </c:pt>
                      <c:pt idx="61">
                        <c:v>45873</c:v>
                      </c:pt>
                      <c:pt idx="62">
                        <c:v>45880</c:v>
                      </c:pt>
                      <c:pt idx="63">
                        <c:v>45887</c:v>
                      </c:pt>
                      <c:pt idx="64">
                        <c:v>45894</c:v>
                      </c:pt>
                      <c:pt idx="65">
                        <c:v>45901</c:v>
                      </c:pt>
                      <c:pt idx="66">
                        <c:v>45908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'6.2MovingAvg'!$M$2:$M$68</c15:sqref>
                        </c15:formulaRef>
                      </c:ext>
                    </c:extLst>
                    <c:numCache>
                      <c:formatCode>0</c:formatCode>
                      <c:ptCount val="67"/>
                      <c:pt idx="0">
                        <c:v>370242</c:v>
                      </c:pt>
                      <c:pt idx="1">
                        <c:v>391621</c:v>
                      </c:pt>
                      <c:pt idx="2">
                        <c:v>250428</c:v>
                      </c:pt>
                      <c:pt idx="3">
                        <c:v>126015</c:v>
                      </c:pt>
                      <c:pt idx="4">
                        <c:v>300397</c:v>
                      </c:pt>
                      <c:pt idx="5">
                        <c:v>193131</c:v>
                      </c:pt>
                      <c:pt idx="6">
                        <c:v>206921</c:v>
                      </c:pt>
                      <c:pt idx="7">
                        <c:v>380606</c:v>
                      </c:pt>
                      <c:pt idx="8">
                        <c:v>352178</c:v>
                      </c:pt>
                      <c:pt idx="9">
                        <c:v>318098</c:v>
                      </c:pt>
                      <c:pt idx="10">
                        <c:v>276722</c:v>
                      </c:pt>
                      <c:pt idx="11">
                        <c:v>165035</c:v>
                      </c:pt>
                      <c:pt idx="12">
                        <c:v>271044</c:v>
                      </c:pt>
                      <c:pt idx="13">
                        <c:v>358295</c:v>
                      </c:pt>
                      <c:pt idx="14">
                        <c:v>310903</c:v>
                      </c:pt>
                      <c:pt idx="15">
                        <c:v>177452</c:v>
                      </c:pt>
                      <c:pt idx="16">
                        <c:v>344771</c:v>
                      </c:pt>
                      <c:pt idx="17">
                        <c:v>358581</c:v>
                      </c:pt>
                      <c:pt idx="18">
                        <c:v>151462</c:v>
                      </c:pt>
                      <c:pt idx="19">
                        <c:v>325325</c:v>
                      </c:pt>
                      <c:pt idx="20">
                        <c:v>149916</c:v>
                      </c:pt>
                      <c:pt idx="21">
                        <c:v>147656</c:v>
                      </c:pt>
                      <c:pt idx="22">
                        <c:v>122730</c:v>
                      </c:pt>
                      <c:pt idx="23">
                        <c:v>227249</c:v>
                      </c:pt>
                      <c:pt idx="24">
                        <c:v>333500</c:v>
                      </c:pt>
                      <c:pt idx="25">
                        <c:v>197183</c:v>
                      </c:pt>
                      <c:pt idx="26">
                        <c:v>351493</c:v>
                      </c:pt>
                      <c:pt idx="27">
                        <c:v>119054</c:v>
                      </c:pt>
                      <c:pt idx="28">
                        <c:v>140300</c:v>
                      </c:pt>
                      <c:pt idx="29">
                        <c:v>326821</c:v>
                      </c:pt>
                      <c:pt idx="30">
                        <c:v>123272</c:v>
                      </c:pt>
                      <c:pt idx="31">
                        <c:v>258398</c:v>
                      </c:pt>
                      <c:pt idx="32">
                        <c:v>175860</c:v>
                      </c:pt>
                      <c:pt idx="33">
                        <c:v>333851</c:v>
                      </c:pt>
                      <c:pt idx="34">
                        <c:v>194811</c:v>
                      </c:pt>
                      <c:pt idx="35">
                        <c:v>360759</c:v>
                      </c:pt>
                      <c:pt idx="36">
                        <c:v>174610</c:v>
                      </c:pt>
                      <c:pt idx="37">
                        <c:v>336383</c:v>
                      </c:pt>
                      <c:pt idx="38">
                        <c:v>368872</c:v>
                      </c:pt>
                      <c:pt idx="39">
                        <c:v>274567</c:v>
                      </c:pt>
                      <c:pt idx="40">
                        <c:v>340750</c:v>
                      </c:pt>
                      <c:pt idx="41">
                        <c:v>263488</c:v>
                      </c:pt>
                      <c:pt idx="42">
                        <c:v>397607</c:v>
                      </c:pt>
                      <c:pt idx="43">
                        <c:v>202234</c:v>
                      </c:pt>
                      <c:pt idx="44">
                        <c:v>254727</c:v>
                      </c:pt>
                      <c:pt idx="45">
                        <c:v>258115</c:v>
                      </c:pt>
                      <c:pt idx="46">
                        <c:v>272989</c:v>
                      </c:pt>
                      <c:pt idx="47">
                        <c:v>277445</c:v>
                      </c:pt>
                      <c:pt idx="48">
                        <c:v>231925</c:v>
                      </c:pt>
                      <c:pt idx="49">
                        <c:v>252763</c:v>
                      </c:pt>
                      <c:pt idx="50">
                        <c:v>169688</c:v>
                      </c:pt>
                      <c:pt idx="51">
                        <c:v>341016</c:v>
                      </c:pt>
                      <c:pt idx="52">
                        <c:v>115694</c:v>
                      </c:pt>
                      <c:pt idx="53">
                        <c:v>226881</c:v>
                      </c:pt>
                      <c:pt idx="54">
                        <c:v>182759</c:v>
                      </c:pt>
                      <c:pt idx="55">
                        <c:v>154977</c:v>
                      </c:pt>
                      <c:pt idx="56">
                        <c:v>92025</c:v>
                      </c:pt>
                      <c:pt idx="57">
                        <c:v>253985</c:v>
                      </c:pt>
                      <c:pt idx="58">
                        <c:v>360770</c:v>
                      </c:pt>
                      <c:pt idx="59">
                        <c:v>350949</c:v>
                      </c:pt>
                      <c:pt idx="60">
                        <c:v>81184</c:v>
                      </c:pt>
                      <c:pt idx="61">
                        <c:v>133082</c:v>
                      </c:pt>
                      <c:pt idx="62">
                        <c:v>113412</c:v>
                      </c:pt>
                      <c:pt idx="63">
                        <c:v>151799</c:v>
                      </c:pt>
                      <c:pt idx="64">
                        <c:v>144049</c:v>
                      </c:pt>
                      <c:pt idx="65">
                        <c:v>313562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E5C-4DB2-B63D-5E88FD434DE1}"/>
                  </c:ext>
                </c:extLst>
              </c15:ser>
            </c15:filteredLineSeries>
          </c:ext>
        </c:extLst>
      </c:lineChart>
      <c:dateAx>
        <c:axId val="5700218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15000"/>
        <c:crosses val="autoZero"/>
        <c:auto val="1"/>
        <c:lblOffset val="100"/>
        <c:baseTimeUnit val="days"/>
      </c:dateAx>
      <c:valAx>
        <c:axId val="57001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2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'6.3AdSpendvsFollowerGrowth'!$O$1:$O$1</c:f>
              <c:strCache>
                <c:ptCount val="1"/>
                <c:pt idx="0">
                  <c:v>Net Follower Growth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'6.3AdSpendvsFollowerGrowth'!$N$2:$N$1000</c:f>
              <c:numCache>
                <c:formatCode>0</c:formatCode>
                <c:ptCount val="999"/>
                <c:pt idx="0">
                  <c:v>23125</c:v>
                </c:pt>
                <c:pt idx="1">
                  <c:v>11966</c:v>
                </c:pt>
                <c:pt idx="2">
                  <c:v>12391</c:v>
                </c:pt>
                <c:pt idx="3">
                  <c:v>22619</c:v>
                </c:pt>
                <c:pt idx="4">
                  <c:v>19328</c:v>
                </c:pt>
                <c:pt idx="5">
                  <c:v>11684</c:v>
                </c:pt>
                <c:pt idx="6">
                  <c:v>12390</c:v>
                </c:pt>
                <c:pt idx="7">
                  <c:v>7797</c:v>
                </c:pt>
                <c:pt idx="8">
                  <c:v>9847</c:v>
                </c:pt>
                <c:pt idx="9">
                  <c:v>15613</c:v>
                </c:pt>
                <c:pt idx="10">
                  <c:v>5624</c:v>
                </c:pt>
                <c:pt idx="11">
                  <c:v>6031</c:v>
                </c:pt>
                <c:pt idx="12">
                  <c:v>26624</c:v>
                </c:pt>
                <c:pt idx="13">
                  <c:v>14217</c:v>
                </c:pt>
                <c:pt idx="14">
                  <c:v>9195</c:v>
                </c:pt>
                <c:pt idx="15">
                  <c:v>9567</c:v>
                </c:pt>
                <c:pt idx="16">
                  <c:v>26872</c:v>
                </c:pt>
                <c:pt idx="17">
                  <c:v>11335</c:v>
                </c:pt>
                <c:pt idx="18">
                  <c:v>12181</c:v>
                </c:pt>
                <c:pt idx="19">
                  <c:v>18576</c:v>
                </c:pt>
                <c:pt idx="20">
                  <c:v>21254</c:v>
                </c:pt>
                <c:pt idx="21">
                  <c:v>25130</c:v>
                </c:pt>
                <c:pt idx="22">
                  <c:v>14563</c:v>
                </c:pt>
                <c:pt idx="23">
                  <c:v>25038</c:v>
                </c:pt>
                <c:pt idx="24">
                  <c:v>5924</c:v>
                </c:pt>
                <c:pt idx="25">
                  <c:v>20438</c:v>
                </c:pt>
                <c:pt idx="26">
                  <c:v>23329</c:v>
                </c:pt>
                <c:pt idx="27">
                  <c:v>25703</c:v>
                </c:pt>
                <c:pt idx="28">
                  <c:v>17574</c:v>
                </c:pt>
                <c:pt idx="29">
                  <c:v>23486</c:v>
                </c:pt>
                <c:pt idx="30">
                  <c:v>10563</c:v>
                </c:pt>
                <c:pt idx="31">
                  <c:v>9247</c:v>
                </c:pt>
                <c:pt idx="32">
                  <c:v>14749</c:v>
                </c:pt>
                <c:pt idx="33">
                  <c:v>25267</c:v>
                </c:pt>
                <c:pt idx="34">
                  <c:v>9592</c:v>
                </c:pt>
                <c:pt idx="35">
                  <c:v>6824</c:v>
                </c:pt>
                <c:pt idx="36">
                  <c:v>11235</c:v>
                </c:pt>
                <c:pt idx="37">
                  <c:v>14975</c:v>
                </c:pt>
                <c:pt idx="38">
                  <c:v>24858</c:v>
                </c:pt>
                <c:pt idx="39">
                  <c:v>25234</c:v>
                </c:pt>
                <c:pt idx="40">
                  <c:v>11911</c:v>
                </c:pt>
                <c:pt idx="41">
                  <c:v>7140</c:v>
                </c:pt>
                <c:pt idx="42">
                  <c:v>10402</c:v>
                </c:pt>
                <c:pt idx="43">
                  <c:v>19054</c:v>
                </c:pt>
                <c:pt idx="44">
                  <c:v>10104</c:v>
                </c:pt>
                <c:pt idx="45">
                  <c:v>27753</c:v>
                </c:pt>
                <c:pt idx="46">
                  <c:v>10343</c:v>
                </c:pt>
                <c:pt idx="47">
                  <c:v>11908</c:v>
                </c:pt>
                <c:pt idx="48">
                  <c:v>5495</c:v>
                </c:pt>
                <c:pt idx="49">
                  <c:v>26073</c:v>
                </c:pt>
                <c:pt idx="50">
                  <c:v>14051</c:v>
                </c:pt>
                <c:pt idx="51">
                  <c:v>15773</c:v>
                </c:pt>
                <c:pt idx="52">
                  <c:v>15128</c:v>
                </c:pt>
                <c:pt idx="53">
                  <c:v>13013</c:v>
                </c:pt>
                <c:pt idx="54">
                  <c:v>8182</c:v>
                </c:pt>
                <c:pt idx="55">
                  <c:v>26024</c:v>
                </c:pt>
                <c:pt idx="56">
                  <c:v>27575</c:v>
                </c:pt>
                <c:pt idx="57">
                  <c:v>12767</c:v>
                </c:pt>
                <c:pt idx="58">
                  <c:v>12985</c:v>
                </c:pt>
                <c:pt idx="59">
                  <c:v>12323</c:v>
                </c:pt>
                <c:pt idx="60">
                  <c:v>21464</c:v>
                </c:pt>
                <c:pt idx="61">
                  <c:v>5413</c:v>
                </c:pt>
                <c:pt idx="62">
                  <c:v>5526</c:v>
                </c:pt>
                <c:pt idx="63">
                  <c:v>20162</c:v>
                </c:pt>
                <c:pt idx="64">
                  <c:v>22103</c:v>
                </c:pt>
                <c:pt idx="65">
                  <c:v>13424</c:v>
                </c:pt>
                <c:pt idx="66">
                  <c:v>7881</c:v>
                </c:pt>
              </c:numCache>
            </c:numRef>
          </c:xVal>
          <c:yVal>
            <c:numRef>
              <c:f>'6.3AdSpendvsFollowerGrowth'!$O$2:$O$1000</c:f>
              <c:numCache>
                <c:formatCode>0</c:formatCode>
                <c:ptCount val="999"/>
                <c:pt idx="0">
                  <c:v>1334</c:v>
                </c:pt>
                <c:pt idx="1">
                  <c:v>928</c:v>
                </c:pt>
                <c:pt idx="2">
                  <c:v>590</c:v>
                </c:pt>
                <c:pt idx="3">
                  <c:v>612</c:v>
                </c:pt>
                <c:pt idx="4">
                  <c:v>714</c:v>
                </c:pt>
                <c:pt idx="5">
                  <c:v>667</c:v>
                </c:pt>
                <c:pt idx="6">
                  <c:v>359</c:v>
                </c:pt>
                <c:pt idx="7">
                  <c:v>792</c:v>
                </c:pt>
                <c:pt idx="8">
                  <c:v>869</c:v>
                </c:pt>
                <c:pt idx="9">
                  <c:v>1353</c:v>
                </c:pt>
                <c:pt idx="10">
                  <c:v>977</c:v>
                </c:pt>
                <c:pt idx="11">
                  <c:v>909</c:v>
                </c:pt>
                <c:pt idx="12">
                  <c:v>1022</c:v>
                </c:pt>
                <c:pt idx="13">
                  <c:v>515</c:v>
                </c:pt>
                <c:pt idx="14">
                  <c:v>637</c:v>
                </c:pt>
                <c:pt idx="15">
                  <c:v>471</c:v>
                </c:pt>
                <c:pt idx="16">
                  <c:v>1113</c:v>
                </c:pt>
                <c:pt idx="17">
                  <c:v>1132</c:v>
                </c:pt>
                <c:pt idx="18">
                  <c:v>559</c:v>
                </c:pt>
                <c:pt idx="19">
                  <c:v>892</c:v>
                </c:pt>
                <c:pt idx="20">
                  <c:v>948</c:v>
                </c:pt>
                <c:pt idx="21">
                  <c:v>1174</c:v>
                </c:pt>
                <c:pt idx="22">
                  <c:v>1202</c:v>
                </c:pt>
                <c:pt idx="23">
                  <c:v>1204</c:v>
                </c:pt>
                <c:pt idx="24">
                  <c:v>676</c:v>
                </c:pt>
                <c:pt idx="25">
                  <c:v>450</c:v>
                </c:pt>
                <c:pt idx="26">
                  <c:v>808</c:v>
                </c:pt>
                <c:pt idx="27">
                  <c:v>611</c:v>
                </c:pt>
                <c:pt idx="28">
                  <c:v>1117</c:v>
                </c:pt>
                <c:pt idx="29">
                  <c:v>567</c:v>
                </c:pt>
                <c:pt idx="30">
                  <c:v>413</c:v>
                </c:pt>
                <c:pt idx="31">
                  <c:v>443</c:v>
                </c:pt>
                <c:pt idx="32">
                  <c:v>467</c:v>
                </c:pt>
                <c:pt idx="33">
                  <c:v>442</c:v>
                </c:pt>
                <c:pt idx="34">
                  <c:v>341</c:v>
                </c:pt>
                <c:pt idx="35">
                  <c:v>735</c:v>
                </c:pt>
                <c:pt idx="36">
                  <c:v>915</c:v>
                </c:pt>
                <c:pt idx="37">
                  <c:v>724</c:v>
                </c:pt>
                <c:pt idx="38">
                  <c:v>378</c:v>
                </c:pt>
                <c:pt idx="39">
                  <c:v>1279</c:v>
                </c:pt>
                <c:pt idx="40">
                  <c:v>545</c:v>
                </c:pt>
                <c:pt idx="41">
                  <c:v>564</c:v>
                </c:pt>
                <c:pt idx="42">
                  <c:v>565</c:v>
                </c:pt>
                <c:pt idx="43">
                  <c:v>436</c:v>
                </c:pt>
                <c:pt idx="44">
                  <c:v>1337</c:v>
                </c:pt>
                <c:pt idx="45">
                  <c:v>690</c:v>
                </c:pt>
                <c:pt idx="46">
                  <c:v>353</c:v>
                </c:pt>
                <c:pt idx="47">
                  <c:v>983</c:v>
                </c:pt>
                <c:pt idx="48">
                  <c:v>919</c:v>
                </c:pt>
                <c:pt idx="49">
                  <c:v>576</c:v>
                </c:pt>
                <c:pt idx="50">
                  <c:v>932</c:v>
                </c:pt>
                <c:pt idx="51">
                  <c:v>1041</c:v>
                </c:pt>
                <c:pt idx="52">
                  <c:v>354</c:v>
                </c:pt>
                <c:pt idx="53">
                  <c:v>730</c:v>
                </c:pt>
                <c:pt idx="54">
                  <c:v>698</c:v>
                </c:pt>
                <c:pt idx="55">
                  <c:v>320</c:v>
                </c:pt>
                <c:pt idx="56">
                  <c:v>485</c:v>
                </c:pt>
                <c:pt idx="57">
                  <c:v>831</c:v>
                </c:pt>
                <c:pt idx="58">
                  <c:v>1274</c:v>
                </c:pt>
                <c:pt idx="59">
                  <c:v>951</c:v>
                </c:pt>
                <c:pt idx="60">
                  <c:v>567</c:v>
                </c:pt>
                <c:pt idx="61">
                  <c:v>667</c:v>
                </c:pt>
                <c:pt idx="62">
                  <c:v>896</c:v>
                </c:pt>
                <c:pt idx="63">
                  <c:v>333</c:v>
                </c:pt>
                <c:pt idx="64">
                  <c:v>960</c:v>
                </c:pt>
                <c:pt idx="65">
                  <c:v>872</c:v>
                </c:pt>
                <c:pt idx="66">
                  <c:v>820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E3-46B7-B10C-17D7053A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821592"/>
        <c:axId val="571820152"/>
      </c:scatterChart>
      <c:valAx>
        <c:axId val="57182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20152"/>
        <c:crosses val="autoZero"/>
        <c:crossBetween val="midCat"/>
      </c:valAx>
      <c:valAx>
        <c:axId val="57182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FOLLOWER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2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'6.3AdSpendvsFollowerGrowth'!$V$1:$V$1</c:f>
              <c:strCache>
                <c:ptCount val="1"/>
                <c:pt idx="0">
                  <c:v>Net Follower Growth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'6.3AdSpendvsFollowerGrowth'!$U$2:$U$1000</c:f>
              <c:numCache>
                <c:formatCode>0</c:formatCode>
                <c:ptCount val="999"/>
                <c:pt idx="0">
                  <c:v>22788</c:v>
                </c:pt>
                <c:pt idx="1">
                  <c:v>26298</c:v>
                </c:pt>
                <c:pt idx="2">
                  <c:v>14477</c:v>
                </c:pt>
                <c:pt idx="3">
                  <c:v>12399</c:v>
                </c:pt>
                <c:pt idx="4">
                  <c:v>21107</c:v>
                </c:pt>
                <c:pt idx="5">
                  <c:v>14412</c:v>
                </c:pt>
                <c:pt idx="6">
                  <c:v>25742</c:v>
                </c:pt>
                <c:pt idx="7">
                  <c:v>15595</c:v>
                </c:pt>
                <c:pt idx="8">
                  <c:v>13644</c:v>
                </c:pt>
                <c:pt idx="9">
                  <c:v>23900</c:v>
                </c:pt>
                <c:pt idx="10">
                  <c:v>10311</c:v>
                </c:pt>
                <c:pt idx="11">
                  <c:v>27829</c:v>
                </c:pt>
                <c:pt idx="12">
                  <c:v>26644</c:v>
                </c:pt>
                <c:pt idx="13">
                  <c:v>16385</c:v>
                </c:pt>
                <c:pt idx="14">
                  <c:v>18071</c:v>
                </c:pt>
                <c:pt idx="15">
                  <c:v>20306</c:v>
                </c:pt>
                <c:pt idx="16">
                  <c:v>10253</c:v>
                </c:pt>
                <c:pt idx="17">
                  <c:v>12115</c:v>
                </c:pt>
                <c:pt idx="18">
                  <c:v>17729</c:v>
                </c:pt>
                <c:pt idx="19">
                  <c:v>9383</c:v>
                </c:pt>
                <c:pt idx="20">
                  <c:v>14215</c:v>
                </c:pt>
                <c:pt idx="21">
                  <c:v>25537</c:v>
                </c:pt>
                <c:pt idx="22">
                  <c:v>26273</c:v>
                </c:pt>
                <c:pt idx="23">
                  <c:v>9092</c:v>
                </c:pt>
                <c:pt idx="24">
                  <c:v>25347</c:v>
                </c:pt>
                <c:pt idx="25">
                  <c:v>8760</c:v>
                </c:pt>
                <c:pt idx="26">
                  <c:v>7299</c:v>
                </c:pt>
                <c:pt idx="27">
                  <c:v>15108</c:v>
                </c:pt>
                <c:pt idx="28">
                  <c:v>12840</c:v>
                </c:pt>
                <c:pt idx="29">
                  <c:v>5960</c:v>
                </c:pt>
                <c:pt idx="30">
                  <c:v>19949</c:v>
                </c:pt>
                <c:pt idx="31">
                  <c:v>11972</c:v>
                </c:pt>
                <c:pt idx="32">
                  <c:v>6868</c:v>
                </c:pt>
                <c:pt idx="33">
                  <c:v>5900</c:v>
                </c:pt>
                <c:pt idx="34">
                  <c:v>5291</c:v>
                </c:pt>
                <c:pt idx="35">
                  <c:v>24112</c:v>
                </c:pt>
                <c:pt idx="36">
                  <c:v>6120</c:v>
                </c:pt>
                <c:pt idx="37">
                  <c:v>22234</c:v>
                </c:pt>
                <c:pt idx="38">
                  <c:v>13883</c:v>
                </c:pt>
                <c:pt idx="39">
                  <c:v>6772</c:v>
                </c:pt>
                <c:pt idx="40">
                  <c:v>21900</c:v>
                </c:pt>
                <c:pt idx="41">
                  <c:v>20474</c:v>
                </c:pt>
                <c:pt idx="42">
                  <c:v>26618</c:v>
                </c:pt>
                <c:pt idx="43">
                  <c:v>13740</c:v>
                </c:pt>
                <c:pt idx="44">
                  <c:v>21771</c:v>
                </c:pt>
                <c:pt idx="45">
                  <c:v>23736</c:v>
                </c:pt>
                <c:pt idx="46">
                  <c:v>25259</c:v>
                </c:pt>
                <c:pt idx="47">
                  <c:v>11005</c:v>
                </c:pt>
                <c:pt idx="48">
                  <c:v>15655</c:v>
                </c:pt>
                <c:pt idx="49">
                  <c:v>12774</c:v>
                </c:pt>
                <c:pt idx="50">
                  <c:v>27782</c:v>
                </c:pt>
                <c:pt idx="51">
                  <c:v>20595</c:v>
                </c:pt>
                <c:pt idx="52">
                  <c:v>11826</c:v>
                </c:pt>
                <c:pt idx="53">
                  <c:v>12937</c:v>
                </c:pt>
                <c:pt idx="54">
                  <c:v>10615</c:v>
                </c:pt>
                <c:pt idx="55">
                  <c:v>26730</c:v>
                </c:pt>
                <c:pt idx="56">
                  <c:v>14479</c:v>
                </c:pt>
                <c:pt idx="57">
                  <c:v>12170</c:v>
                </c:pt>
                <c:pt idx="58">
                  <c:v>16377</c:v>
                </c:pt>
                <c:pt idx="59">
                  <c:v>11911</c:v>
                </c:pt>
                <c:pt idx="60">
                  <c:v>27126</c:v>
                </c:pt>
                <c:pt idx="61">
                  <c:v>25058</c:v>
                </c:pt>
                <c:pt idx="62">
                  <c:v>17460</c:v>
                </c:pt>
                <c:pt idx="63">
                  <c:v>17103</c:v>
                </c:pt>
                <c:pt idx="64">
                  <c:v>11625</c:v>
                </c:pt>
                <c:pt idx="65">
                  <c:v>13140</c:v>
                </c:pt>
                <c:pt idx="66">
                  <c:v>11418</c:v>
                </c:pt>
              </c:numCache>
            </c:numRef>
          </c:xVal>
          <c:yVal>
            <c:numRef>
              <c:f>'6.3AdSpendvsFollowerGrowth'!$V$2:$V$1000</c:f>
              <c:numCache>
                <c:formatCode>0</c:formatCode>
                <c:ptCount val="999"/>
                <c:pt idx="0">
                  <c:v>909</c:v>
                </c:pt>
                <c:pt idx="1">
                  <c:v>1397</c:v>
                </c:pt>
                <c:pt idx="2">
                  <c:v>1283</c:v>
                </c:pt>
                <c:pt idx="3">
                  <c:v>1121</c:v>
                </c:pt>
                <c:pt idx="4">
                  <c:v>595</c:v>
                </c:pt>
                <c:pt idx="5">
                  <c:v>1371</c:v>
                </c:pt>
                <c:pt idx="6">
                  <c:v>1098</c:v>
                </c:pt>
                <c:pt idx="7">
                  <c:v>364</c:v>
                </c:pt>
                <c:pt idx="8">
                  <c:v>414</c:v>
                </c:pt>
                <c:pt idx="9">
                  <c:v>582</c:v>
                </c:pt>
                <c:pt idx="10">
                  <c:v>1191</c:v>
                </c:pt>
                <c:pt idx="11">
                  <c:v>382</c:v>
                </c:pt>
                <c:pt idx="12">
                  <c:v>262</c:v>
                </c:pt>
                <c:pt idx="13">
                  <c:v>956</c:v>
                </c:pt>
                <c:pt idx="14">
                  <c:v>1268</c:v>
                </c:pt>
                <c:pt idx="15">
                  <c:v>1291</c:v>
                </c:pt>
                <c:pt idx="16">
                  <c:v>1198</c:v>
                </c:pt>
                <c:pt idx="17">
                  <c:v>844</c:v>
                </c:pt>
                <c:pt idx="18">
                  <c:v>554</c:v>
                </c:pt>
                <c:pt idx="19">
                  <c:v>536</c:v>
                </c:pt>
                <c:pt idx="20">
                  <c:v>762</c:v>
                </c:pt>
                <c:pt idx="21">
                  <c:v>464</c:v>
                </c:pt>
                <c:pt idx="22">
                  <c:v>1390</c:v>
                </c:pt>
                <c:pt idx="23">
                  <c:v>532</c:v>
                </c:pt>
                <c:pt idx="24">
                  <c:v>577</c:v>
                </c:pt>
                <c:pt idx="25">
                  <c:v>683</c:v>
                </c:pt>
                <c:pt idx="26">
                  <c:v>871</c:v>
                </c:pt>
                <c:pt idx="27">
                  <c:v>405</c:v>
                </c:pt>
                <c:pt idx="28">
                  <c:v>477</c:v>
                </c:pt>
                <c:pt idx="29">
                  <c:v>1133</c:v>
                </c:pt>
                <c:pt idx="30">
                  <c:v>1387</c:v>
                </c:pt>
                <c:pt idx="31">
                  <c:v>1283</c:v>
                </c:pt>
                <c:pt idx="32">
                  <c:v>1354</c:v>
                </c:pt>
                <c:pt idx="33">
                  <c:v>546</c:v>
                </c:pt>
                <c:pt idx="34">
                  <c:v>869</c:v>
                </c:pt>
                <c:pt idx="35">
                  <c:v>523</c:v>
                </c:pt>
                <c:pt idx="36">
                  <c:v>1108</c:v>
                </c:pt>
                <c:pt idx="37">
                  <c:v>463</c:v>
                </c:pt>
                <c:pt idx="38">
                  <c:v>636</c:v>
                </c:pt>
                <c:pt idx="39">
                  <c:v>1006</c:v>
                </c:pt>
                <c:pt idx="40">
                  <c:v>1005</c:v>
                </c:pt>
                <c:pt idx="41">
                  <c:v>496</c:v>
                </c:pt>
                <c:pt idx="42">
                  <c:v>813</c:v>
                </c:pt>
                <c:pt idx="43">
                  <c:v>978</c:v>
                </c:pt>
                <c:pt idx="44">
                  <c:v>1014</c:v>
                </c:pt>
                <c:pt idx="45">
                  <c:v>1335</c:v>
                </c:pt>
                <c:pt idx="46">
                  <c:v>486</c:v>
                </c:pt>
                <c:pt idx="47">
                  <c:v>581</c:v>
                </c:pt>
                <c:pt idx="48">
                  <c:v>676</c:v>
                </c:pt>
                <c:pt idx="49">
                  <c:v>447</c:v>
                </c:pt>
                <c:pt idx="50">
                  <c:v>1356</c:v>
                </c:pt>
                <c:pt idx="51">
                  <c:v>1184</c:v>
                </c:pt>
                <c:pt idx="52">
                  <c:v>1126</c:v>
                </c:pt>
                <c:pt idx="53">
                  <c:v>578</c:v>
                </c:pt>
                <c:pt idx="54">
                  <c:v>325</c:v>
                </c:pt>
                <c:pt idx="55">
                  <c:v>544</c:v>
                </c:pt>
                <c:pt idx="56">
                  <c:v>1234</c:v>
                </c:pt>
                <c:pt idx="57">
                  <c:v>1033</c:v>
                </c:pt>
                <c:pt idx="58">
                  <c:v>428</c:v>
                </c:pt>
                <c:pt idx="59">
                  <c:v>604</c:v>
                </c:pt>
                <c:pt idx="60">
                  <c:v>1282</c:v>
                </c:pt>
                <c:pt idx="61">
                  <c:v>499</c:v>
                </c:pt>
                <c:pt idx="62">
                  <c:v>702</c:v>
                </c:pt>
                <c:pt idx="63">
                  <c:v>647</c:v>
                </c:pt>
                <c:pt idx="64">
                  <c:v>1168</c:v>
                </c:pt>
                <c:pt idx="65">
                  <c:v>302</c:v>
                </c:pt>
                <c:pt idx="66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0-4BDB-8575-CA2AFAB6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506872"/>
        <c:axId val="567507592"/>
      </c:scatterChart>
      <c:valAx>
        <c:axId val="56750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07592"/>
        <c:crosses val="autoZero"/>
        <c:crossBetween val="midCat"/>
      </c:valAx>
      <c:valAx>
        <c:axId val="56750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FOLLOWER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06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'6.3AdSpendvsFollowerGrowth'!$AC$1:$AC$1</c:f>
              <c:strCache>
                <c:ptCount val="1"/>
                <c:pt idx="0">
                  <c:v>Net Follower Growth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'6.3AdSpendvsFollowerGrowth'!$AB$2:$AB$1000</c:f>
              <c:numCache>
                <c:formatCode>0</c:formatCode>
                <c:ptCount val="999"/>
                <c:pt idx="0">
                  <c:v>7810</c:v>
                </c:pt>
                <c:pt idx="1">
                  <c:v>22029</c:v>
                </c:pt>
                <c:pt idx="2">
                  <c:v>25040</c:v>
                </c:pt>
                <c:pt idx="3">
                  <c:v>22456</c:v>
                </c:pt>
                <c:pt idx="4">
                  <c:v>12277</c:v>
                </c:pt>
                <c:pt idx="5">
                  <c:v>15924</c:v>
                </c:pt>
                <c:pt idx="6">
                  <c:v>10495</c:v>
                </c:pt>
                <c:pt idx="7">
                  <c:v>24617</c:v>
                </c:pt>
                <c:pt idx="8">
                  <c:v>11421</c:v>
                </c:pt>
                <c:pt idx="9">
                  <c:v>5836</c:v>
                </c:pt>
                <c:pt idx="10">
                  <c:v>8274</c:v>
                </c:pt>
                <c:pt idx="11">
                  <c:v>18267</c:v>
                </c:pt>
                <c:pt idx="12">
                  <c:v>13051</c:v>
                </c:pt>
                <c:pt idx="13">
                  <c:v>24548</c:v>
                </c:pt>
                <c:pt idx="14">
                  <c:v>16875</c:v>
                </c:pt>
                <c:pt idx="15">
                  <c:v>21134</c:v>
                </c:pt>
                <c:pt idx="16">
                  <c:v>23963</c:v>
                </c:pt>
                <c:pt idx="17">
                  <c:v>24358</c:v>
                </c:pt>
                <c:pt idx="18">
                  <c:v>10881</c:v>
                </c:pt>
                <c:pt idx="19">
                  <c:v>14178</c:v>
                </c:pt>
                <c:pt idx="20">
                  <c:v>16921</c:v>
                </c:pt>
                <c:pt idx="21">
                  <c:v>24943</c:v>
                </c:pt>
                <c:pt idx="22">
                  <c:v>10858</c:v>
                </c:pt>
                <c:pt idx="23">
                  <c:v>17662</c:v>
                </c:pt>
                <c:pt idx="24">
                  <c:v>8910</c:v>
                </c:pt>
                <c:pt idx="25">
                  <c:v>6625</c:v>
                </c:pt>
                <c:pt idx="26">
                  <c:v>14496</c:v>
                </c:pt>
                <c:pt idx="27">
                  <c:v>18867</c:v>
                </c:pt>
                <c:pt idx="28">
                  <c:v>21079</c:v>
                </c:pt>
                <c:pt idx="29">
                  <c:v>13301</c:v>
                </c:pt>
                <c:pt idx="30">
                  <c:v>14273</c:v>
                </c:pt>
                <c:pt idx="31">
                  <c:v>13314</c:v>
                </c:pt>
                <c:pt idx="32">
                  <c:v>6027</c:v>
                </c:pt>
                <c:pt idx="33">
                  <c:v>11181</c:v>
                </c:pt>
                <c:pt idx="34">
                  <c:v>22244</c:v>
                </c:pt>
                <c:pt idx="35">
                  <c:v>25478</c:v>
                </c:pt>
                <c:pt idx="36">
                  <c:v>20572</c:v>
                </c:pt>
                <c:pt idx="37">
                  <c:v>6532</c:v>
                </c:pt>
                <c:pt idx="38">
                  <c:v>18654</c:v>
                </c:pt>
                <c:pt idx="39">
                  <c:v>22428</c:v>
                </c:pt>
                <c:pt idx="40">
                  <c:v>25542</c:v>
                </c:pt>
                <c:pt idx="41">
                  <c:v>8698</c:v>
                </c:pt>
                <c:pt idx="42">
                  <c:v>7975</c:v>
                </c:pt>
                <c:pt idx="43">
                  <c:v>18442</c:v>
                </c:pt>
                <c:pt idx="44">
                  <c:v>22191</c:v>
                </c:pt>
                <c:pt idx="45">
                  <c:v>27393</c:v>
                </c:pt>
                <c:pt idx="46">
                  <c:v>24827</c:v>
                </c:pt>
                <c:pt idx="47">
                  <c:v>26333</c:v>
                </c:pt>
                <c:pt idx="48">
                  <c:v>13763</c:v>
                </c:pt>
                <c:pt idx="49">
                  <c:v>19000</c:v>
                </c:pt>
                <c:pt idx="50">
                  <c:v>7859</c:v>
                </c:pt>
                <c:pt idx="51">
                  <c:v>12031</c:v>
                </c:pt>
                <c:pt idx="52">
                  <c:v>12562</c:v>
                </c:pt>
                <c:pt idx="53">
                  <c:v>14534</c:v>
                </c:pt>
                <c:pt idx="54">
                  <c:v>20109</c:v>
                </c:pt>
                <c:pt idx="55">
                  <c:v>10563</c:v>
                </c:pt>
                <c:pt idx="56">
                  <c:v>15915</c:v>
                </c:pt>
                <c:pt idx="57">
                  <c:v>7245</c:v>
                </c:pt>
                <c:pt idx="58">
                  <c:v>11453</c:v>
                </c:pt>
                <c:pt idx="59">
                  <c:v>27809</c:v>
                </c:pt>
                <c:pt idx="60">
                  <c:v>10681</c:v>
                </c:pt>
                <c:pt idx="61">
                  <c:v>18303</c:v>
                </c:pt>
                <c:pt idx="62">
                  <c:v>14475</c:v>
                </c:pt>
                <c:pt idx="63">
                  <c:v>15461</c:v>
                </c:pt>
                <c:pt idx="64">
                  <c:v>5281</c:v>
                </c:pt>
                <c:pt idx="65">
                  <c:v>19538</c:v>
                </c:pt>
              </c:numCache>
            </c:numRef>
          </c:xVal>
          <c:yVal>
            <c:numRef>
              <c:f>'6.3AdSpendvsFollowerGrowth'!$AC$2:$AC$1000</c:f>
              <c:numCache>
                <c:formatCode>0</c:formatCode>
                <c:ptCount val="999"/>
                <c:pt idx="0">
                  <c:v>1176</c:v>
                </c:pt>
                <c:pt idx="1">
                  <c:v>452</c:v>
                </c:pt>
                <c:pt idx="2">
                  <c:v>1302</c:v>
                </c:pt>
                <c:pt idx="3">
                  <c:v>700</c:v>
                </c:pt>
                <c:pt idx="4">
                  <c:v>1117</c:v>
                </c:pt>
                <c:pt idx="5">
                  <c:v>1117</c:v>
                </c:pt>
                <c:pt idx="6">
                  <c:v>912</c:v>
                </c:pt>
                <c:pt idx="7">
                  <c:v>1125</c:v>
                </c:pt>
                <c:pt idx="8">
                  <c:v>849</c:v>
                </c:pt>
                <c:pt idx="9">
                  <c:v>758</c:v>
                </c:pt>
                <c:pt idx="10">
                  <c:v>904</c:v>
                </c:pt>
                <c:pt idx="11">
                  <c:v>1009</c:v>
                </c:pt>
                <c:pt idx="12">
                  <c:v>1166</c:v>
                </c:pt>
                <c:pt idx="13">
                  <c:v>1031</c:v>
                </c:pt>
                <c:pt idx="14">
                  <c:v>725</c:v>
                </c:pt>
                <c:pt idx="15">
                  <c:v>400</c:v>
                </c:pt>
                <c:pt idx="16">
                  <c:v>474</c:v>
                </c:pt>
                <c:pt idx="17">
                  <c:v>1175</c:v>
                </c:pt>
                <c:pt idx="18">
                  <c:v>1225</c:v>
                </c:pt>
                <c:pt idx="19">
                  <c:v>1242</c:v>
                </c:pt>
                <c:pt idx="20">
                  <c:v>1082</c:v>
                </c:pt>
                <c:pt idx="21">
                  <c:v>543</c:v>
                </c:pt>
                <c:pt idx="22">
                  <c:v>984</c:v>
                </c:pt>
                <c:pt idx="23">
                  <c:v>1058</c:v>
                </c:pt>
                <c:pt idx="24">
                  <c:v>682</c:v>
                </c:pt>
                <c:pt idx="25">
                  <c:v>1154</c:v>
                </c:pt>
                <c:pt idx="26">
                  <c:v>704</c:v>
                </c:pt>
                <c:pt idx="27">
                  <c:v>382</c:v>
                </c:pt>
                <c:pt idx="28">
                  <c:v>1099</c:v>
                </c:pt>
                <c:pt idx="29">
                  <c:v>850</c:v>
                </c:pt>
                <c:pt idx="30">
                  <c:v>537</c:v>
                </c:pt>
                <c:pt idx="31">
                  <c:v>725</c:v>
                </c:pt>
                <c:pt idx="32">
                  <c:v>520</c:v>
                </c:pt>
                <c:pt idx="33">
                  <c:v>844</c:v>
                </c:pt>
                <c:pt idx="34">
                  <c:v>718</c:v>
                </c:pt>
                <c:pt idx="35">
                  <c:v>422</c:v>
                </c:pt>
                <c:pt idx="36">
                  <c:v>338</c:v>
                </c:pt>
                <c:pt idx="37">
                  <c:v>356</c:v>
                </c:pt>
                <c:pt idx="38">
                  <c:v>699</c:v>
                </c:pt>
                <c:pt idx="39">
                  <c:v>478</c:v>
                </c:pt>
                <c:pt idx="40">
                  <c:v>765</c:v>
                </c:pt>
                <c:pt idx="41">
                  <c:v>1128</c:v>
                </c:pt>
                <c:pt idx="42">
                  <c:v>1301</c:v>
                </c:pt>
                <c:pt idx="43">
                  <c:v>1367</c:v>
                </c:pt>
                <c:pt idx="44">
                  <c:v>940</c:v>
                </c:pt>
                <c:pt idx="45">
                  <c:v>1191</c:v>
                </c:pt>
                <c:pt idx="46">
                  <c:v>889</c:v>
                </c:pt>
                <c:pt idx="47">
                  <c:v>814</c:v>
                </c:pt>
                <c:pt idx="48">
                  <c:v>459</c:v>
                </c:pt>
                <c:pt idx="49">
                  <c:v>377</c:v>
                </c:pt>
                <c:pt idx="50">
                  <c:v>1281</c:v>
                </c:pt>
                <c:pt idx="51">
                  <c:v>684</c:v>
                </c:pt>
                <c:pt idx="52">
                  <c:v>569</c:v>
                </c:pt>
                <c:pt idx="53">
                  <c:v>935</c:v>
                </c:pt>
                <c:pt idx="54">
                  <c:v>994</c:v>
                </c:pt>
                <c:pt idx="55">
                  <c:v>520</c:v>
                </c:pt>
                <c:pt idx="56">
                  <c:v>596</c:v>
                </c:pt>
                <c:pt idx="57">
                  <c:v>805</c:v>
                </c:pt>
                <c:pt idx="58">
                  <c:v>952</c:v>
                </c:pt>
                <c:pt idx="59">
                  <c:v>1139</c:v>
                </c:pt>
                <c:pt idx="60">
                  <c:v>1387</c:v>
                </c:pt>
                <c:pt idx="61">
                  <c:v>523</c:v>
                </c:pt>
                <c:pt idx="62">
                  <c:v>749</c:v>
                </c:pt>
                <c:pt idx="63">
                  <c:v>839</c:v>
                </c:pt>
                <c:pt idx="64">
                  <c:v>518</c:v>
                </c:pt>
                <c:pt idx="65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5-43B8-BE2F-006E8A18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015720"/>
        <c:axId val="570018600"/>
      </c:scatterChart>
      <c:valAx>
        <c:axId val="57001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18600"/>
        <c:crosses val="autoZero"/>
        <c:crossBetween val="midCat"/>
      </c:valAx>
      <c:valAx>
        <c:axId val="57001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FOLLOWER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15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data_task6.xlsx]6.3AdSpendvsFollowerGrowth!PivotTable26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 BETWEEN AD-SPEND AND NET FOLLOWER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'6.3AdSpendvsFollowerGrowth'!$L$97</c:f>
              <c:strCache>
                <c:ptCount val="1"/>
                <c:pt idx="0">
                  <c:v>Average of Ad_Spend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'6.3AdSpendvsFollowerGrowth'!$K$98:$K$100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'6.3AdSpendvsFollowerGrowth'!$L$98:$L$100</c:f>
              <c:numCache>
                <c:formatCode>0</c:formatCode>
                <c:ptCount val="3"/>
                <c:pt idx="0">
                  <c:v>16629.910447761195</c:v>
                </c:pt>
                <c:pt idx="1">
                  <c:v>16148.212121212122</c:v>
                </c:pt>
                <c:pt idx="2">
                  <c:v>15461.820895522387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D-4CAA-9115-425BC3FB5E4E}"/>
            </c:ext>
          </c:extLst>
        </c:ser>
        <c:ser>
          <c:idx val="1"/>
          <c:order val="1"/>
          <c:tx>
            <c:strRef>
              <c:f>'6.3AdSpendvsFollowerGrowth'!$M$97</c:f>
              <c:strCache>
                <c:ptCount val="1"/>
                <c:pt idx="0">
                  <c:v>Average of Net Follower Growth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'6.3AdSpendvsFollowerGrowth'!$K$98:$K$100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'6.3AdSpendvsFollowerGrowth'!$M$98:$M$100</c:f>
              <c:numCache>
                <c:formatCode>0</c:formatCode>
                <c:ptCount val="3"/>
                <c:pt idx="0">
                  <c:v>829.01492537313436</c:v>
                </c:pt>
                <c:pt idx="1">
                  <c:v>833.42424242424238</c:v>
                </c:pt>
                <c:pt idx="2">
                  <c:v>761.7611940298508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D-4CAA-9115-425BC3FB5E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570025800"/>
        <c:axId val="570026160"/>
      </c:barChart>
      <c:catAx>
        <c:axId val="570025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26160"/>
        <c:crosses val="autoZero"/>
        <c:auto val="1"/>
        <c:lblAlgn val="ctr"/>
        <c:lblOffset val="100"/>
        <c:noMultiLvlLbl val="0"/>
      </c:catAx>
      <c:valAx>
        <c:axId val="570026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2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33619</xdr:colOff>
      <xdr:row>22</xdr:row>
      <xdr:rowOff>152236</xdr:rowOff>
    </xdr:from>
    <xdr:ext cx="8401771" cy="85324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18F2BF-66E5-46B1-AB6D-E968684B8E56}"/>
            </a:ext>
          </a:extLst>
        </xdr:cNvPr>
        <xdr:cNvSpPr txBox="1"/>
      </xdr:nvSpPr>
      <xdr:spPr>
        <a:xfrm>
          <a:off x="11306737" y="4365648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By calculating Net follower gain we can easily identify the at which which platform we have gained maximum net follower.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9</xdr:col>
      <xdr:colOff>56751</xdr:colOff>
      <xdr:row>11</xdr:row>
      <xdr:rowOff>7845</xdr:rowOff>
    </xdr:from>
    <xdr:ext cx="8145243" cy="811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C8F918A-7E72-4D6E-86E6-503A78CDCD6C}"/>
            </a:ext>
          </a:extLst>
        </xdr:cNvPr>
        <xdr:cNvSpPr txBox="1"/>
      </xdr:nvSpPr>
      <xdr:spPr>
        <a:xfrm>
          <a:off x="11324826" y="2103345"/>
          <a:ext cx="8145243" cy="811306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Calculated net follower gain column.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Identified platform corresponding to Max value of Net follower gain value.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9</xdr:col>
      <xdr:colOff>46504</xdr:colOff>
      <xdr:row>7</xdr:row>
      <xdr:rowOff>0</xdr:rowOff>
    </xdr:from>
    <xdr:ext cx="5881408" cy="6096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A17B72-6AAA-498A-998D-6D76B9F8F458}"/>
            </a:ext>
          </a:extLst>
        </xdr:cNvPr>
        <xdr:cNvSpPr txBox="1"/>
      </xdr:nvSpPr>
      <xdr:spPr>
        <a:xfrm>
          <a:off x="11314579" y="1333500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Identify week with highest net follower gain.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9</xdr:col>
      <xdr:colOff>33617</xdr:colOff>
      <xdr:row>16</xdr:row>
      <xdr:rowOff>105896</xdr:rowOff>
    </xdr:from>
    <xdr:ext cx="9861177" cy="100909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5B0637-7E44-4516-93B3-05C0A22C47DC}"/>
            </a:ext>
          </a:extLst>
        </xdr:cNvPr>
        <xdr:cNvSpPr txBox="1"/>
      </xdr:nvSpPr>
      <xdr:spPr>
        <a:xfrm>
          <a:off x="11306735" y="3153896"/>
          <a:ext cx="9861177" cy="1009090"/>
        </a:xfrm>
        <a:prstGeom prst="rect">
          <a:avLst/>
        </a:prstGeom>
        <a:solidFill>
          <a:srgbClr val="8064A2">
            <a:lumMod val="40000"/>
            <a:lumOff val="6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Purpose/Formula used: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Count net follower gain - [@[New_Followers]]-[@Unfollows]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To find the max. value of net follower gain value - MAX(Table24[Net_FollowerGain])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To find corresponding platform for max value of gain - INDEX(Table24[Platform],MATCH(MAX(Table24[Net_FollowerGain]),Table24[Net_FollowerGain],0))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266699</xdr:colOff>
      <xdr:row>3</xdr:row>
      <xdr:rowOff>100011</xdr:rowOff>
    </xdr:from>
    <xdr:to>
      <xdr:col>25</xdr:col>
      <xdr:colOff>333375</xdr:colOff>
      <xdr:row>23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9A2639-EEFB-479B-2FCB-81DD19704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214312</xdr:colOff>
      <xdr:row>4</xdr:row>
      <xdr:rowOff>23811</xdr:rowOff>
    </xdr:from>
    <xdr:to>
      <xdr:col>39</xdr:col>
      <xdr:colOff>71436</xdr:colOff>
      <xdr:row>23</xdr:row>
      <xdr:rowOff>151278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C0C230-838E-0AC1-E8AE-2A7417FF9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283152</xdr:colOff>
      <xdr:row>25</xdr:row>
      <xdr:rowOff>45459</xdr:rowOff>
    </xdr:from>
    <xdr:to>
      <xdr:col>31</xdr:col>
      <xdr:colOff>419100</xdr:colOff>
      <xdr:row>50</xdr:row>
      <xdr:rowOff>100445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EFFF98-537F-4A22-4143-0A583C38A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173182</xdr:colOff>
      <xdr:row>51</xdr:row>
      <xdr:rowOff>31171</xdr:rowOff>
    </xdr:from>
    <xdr:to>
      <xdr:col>33</xdr:col>
      <xdr:colOff>69273</xdr:colOff>
      <xdr:row>81</xdr:row>
      <xdr:rowOff>86590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AB2BCA-4D9C-780A-4121-8A11E4571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31</xdr:col>
      <xdr:colOff>541884</xdr:colOff>
      <xdr:row>35</xdr:row>
      <xdr:rowOff>109815</xdr:rowOff>
    </xdr:from>
    <xdr:ext cx="8401771" cy="8532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9C2301-D8A5-4AA7-B9EB-692BFEB9D213}"/>
            </a:ext>
          </a:extLst>
        </xdr:cNvPr>
        <xdr:cNvSpPr txBox="1"/>
      </xdr:nvSpPr>
      <xdr:spPr>
        <a:xfrm>
          <a:off x="27089420" y="6777315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We can see the spikes in the graph during which Campaigns was done across he social Media campaigns.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31</xdr:col>
      <xdr:colOff>587429</xdr:colOff>
      <xdr:row>29</xdr:row>
      <xdr:rowOff>21451</xdr:rowOff>
    </xdr:from>
    <xdr:ext cx="8145243" cy="10455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390B9A-0226-4ABB-BF4C-C42D0B8567CC}"/>
            </a:ext>
          </a:extLst>
        </xdr:cNvPr>
        <xdr:cNvSpPr txBox="1"/>
      </xdr:nvSpPr>
      <xdr:spPr>
        <a:xfrm>
          <a:off x="27134965" y="5545951"/>
          <a:ext cx="8145243" cy="104550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Calculated 3 week moving average (21 days) which is widely 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Created Line graph which is used to analyse the trend w.r.t time.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Also Created a graph of combination of all the moving averages for comparision purpose between various platform.</a:t>
          </a:r>
        </a:p>
      </xdr:txBody>
    </xdr:sp>
    <xdr:clientData/>
  </xdr:oneCellAnchor>
  <xdr:oneCellAnchor>
    <xdr:from>
      <xdr:col>31</xdr:col>
      <xdr:colOff>577182</xdr:colOff>
      <xdr:row>25</xdr:row>
      <xdr:rowOff>13607</xdr:rowOff>
    </xdr:from>
    <xdr:ext cx="5881408" cy="6096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751ED4-FCD3-4DC4-AF6C-5178F67C4281}"/>
            </a:ext>
          </a:extLst>
        </xdr:cNvPr>
        <xdr:cNvSpPr txBox="1"/>
      </xdr:nvSpPr>
      <xdr:spPr>
        <a:xfrm>
          <a:off x="27124718" y="4776107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Moving average chart to analyze follower trend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31</xdr:col>
      <xdr:colOff>530678</xdr:colOff>
      <xdr:row>41</xdr:row>
      <xdr:rowOff>80842</xdr:rowOff>
    </xdr:from>
    <xdr:ext cx="9861177" cy="76280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E9175E-B986-426B-A2FB-7BF5BA716789}"/>
            </a:ext>
          </a:extLst>
        </xdr:cNvPr>
        <xdr:cNvSpPr txBox="1"/>
      </xdr:nvSpPr>
      <xdr:spPr>
        <a:xfrm>
          <a:off x="28207607" y="7891342"/>
          <a:ext cx="9861177" cy="762801"/>
        </a:xfrm>
        <a:prstGeom prst="rect">
          <a:avLst/>
        </a:prstGeom>
        <a:solidFill>
          <a:srgbClr val="8064A2">
            <a:lumMod val="40000"/>
            <a:lumOff val="6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Purpose/Formula used: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Moving avg for 3 weeks - AVERAGE(C2:C4)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778206</xdr:colOff>
      <xdr:row>69</xdr:row>
      <xdr:rowOff>138793</xdr:rowOff>
    </xdr:from>
    <xdr:to>
      <xdr:col>15</xdr:col>
      <xdr:colOff>1125682</xdr:colOff>
      <xdr:row>94</xdr:row>
      <xdr:rowOff>51954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F8430-FDB0-381C-DF80-01EE86D07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35572</xdr:colOff>
      <xdr:row>69</xdr:row>
      <xdr:rowOff>179616</xdr:rowOff>
    </xdr:from>
    <xdr:to>
      <xdr:col>22</xdr:col>
      <xdr:colOff>1541319</xdr:colOff>
      <xdr:row>94</xdr:row>
      <xdr:rowOff>52420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FD5ED5-394E-1686-BCC3-7083F1742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34637</xdr:colOff>
      <xdr:row>69</xdr:row>
      <xdr:rowOff>179616</xdr:rowOff>
    </xdr:from>
    <xdr:to>
      <xdr:col>29</xdr:col>
      <xdr:colOff>1298863</xdr:colOff>
      <xdr:row>94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FF3FD5-397A-57DB-44FA-306BBE0E3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341778</xdr:colOff>
      <xdr:row>95</xdr:row>
      <xdr:rowOff>163606</xdr:rowOff>
    </xdr:from>
    <xdr:to>
      <xdr:col>19</xdr:col>
      <xdr:colOff>1857374</xdr:colOff>
      <xdr:row>122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CFA538-6F02-01E9-92A3-1124D6012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9</xdr:col>
      <xdr:colOff>773206</xdr:colOff>
      <xdr:row>134</xdr:row>
      <xdr:rowOff>113526</xdr:rowOff>
    </xdr:from>
    <xdr:ext cx="8401771" cy="94783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2F4186-F098-40DC-95EE-9424ECA7C81F}"/>
            </a:ext>
          </a:extLst>
        </xdr:cNvPr>
        <xdr:cNvSpPr txBox="1"/>
      </xdr:nvSpPr>
      <xdr:spPr>
        <a:xfrm>
          <a:off x="14570849" y="25640526"/>
          <a:ext cx="8401771" cy="947831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From the formula of Correlation it's evident that no direct relation between Ad-spend and NetfollowerGain is established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 also can be seen in Scatter plot. But from the Pivot table/Chart we can say that higher the spending on campaigns may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 lead to high groth in Followers.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10</xdr:col>
      <xdr:colOff>22114</xdr:colOff>
      <xdr:row>128</xdr:row>
      <xdr:rowOff>25162</xdr:rowOff>
    </xdr:from>
    <xdr:ext cx="8145243" cy="112904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E279D6-37D5-4771-A84B-6B38BEC6ADE9}"/>
            </a:ext>
          </a:extLst>
        </xdr:cNvPr>
        <xdr:cNvSpPr txBox="1"/>
      </xdr:nvSpPr>
      <xdr:spPr>
        <a:xfrm>
          <a:off x="12281349" y="25619397"/>
          <a:ext cx="8145243" cy="112904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Calculaed NetFollwerGain column which is New_follower - Unfollows.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Calculated correl between ad-spend and NetfollowerGain.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Plotted scatter plot to visualise the plots between two variable.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● Created Pivot Table of Platform as Row field and Average of Ad-spend and NetfollowerGain in Value field.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10</xdr:col>
      <xdr:colOff>11867</xdr:colOff>
      <xdr:row>124</xdr:row>
      <xdr:rowOff>17319</xdr:rowOff>
    </xdr:from>
    <xdr:ext cx="5881408" cy="6096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80DDB74-236E-44D0-8F14-C5880A38A91F}"/>
            </a:ext>
          </a:extLst>
        </xdr:cNvPr>
        <xdr:cNvSpPr txBox="1"/>
      </xdr:nvSpPr>
      <xdr:spPr>
        <a:xfrm>
          <a:off x="12273140" y="25440410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Correlation between Adspend and NetFollowerGain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9</xdr:col>
      <xdr:colOff>762000</xdr:colOff>
      <xdr:row>140</xdr:row>
      <xdr:rowOff>84554</xdr:rowOff>
    </xdr:from>
    <xdr:ext cx="9861177" cy="88155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32BCA8-7617-416F-A09E-4EFA9FFD2223}"/>
            </a:ext>
          </a:extLst>
        </xdr:cNvPr>
        <xdr:cNvSpPr txBox="1"/>
      </xdr:nvSpPr>
      <xdr:spPr>
        <a:xfrm>
          <a:off x="12246429" y="28387411"/>
          <a:ext cx="9861177" cy="881553"/>
        </a:xfrm>
        <a:prstGeom prst="rect">
          <a:avLst/>
        </a:prstGeom>
        <a:solidFill>
          <a:srgbClr val="8064A2">
            <a:lumMod val="40000"/>
            <a:lumOff val="6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Purpose/Formula used: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Correlation between ad-spend and NetFollowerGain - CORREL([Ad_Spend],[Net Follower Growth])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cs typeface="+mn-cs"/>
            </a:rPr>
            <a:t>NetFollowerGain - [@[New_Followers]]-[@Unfollows]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00.764179513892" createdVersion="8" refreshedVersion="8" minRefreshableVersion="3" recordCount="200" xr:uid="{DC4815D8-8200-4C26-9800-364C43BD8A8E}">
  <cacheSource type="worksheet">
    <worksheetSource name="Table27"/>
  </cacheSource>
  <cacheFields count="8">
    <cacheField name="Week_Start_Date" numFmtId="14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 count="198">
        <n v="23125"/>
        <n v="22788"/>
        <n v="7810"/>
        <n v="11966"/>
        <n v="26298"/>
        <n v="22029"/>
        <n v="12391"/>
        <n v="14477"/>
        <n v="25040"/>
        <n v="22619"/>
        <n v="12399"/>
        <n v="22456"/>
        <n v="19328"/>
        <n v="21107"/>
        <n v="12277"/>
        <n v="11684"/>
        <n v="14412"/>
        <n v="15924"/>
        <n v="12390"/>
        <n v="25742"/>
        <n v="10495"/>
        <n v="7797"/>
        <n v="15595"/>
        <n v="24617"/>
        <n v="9847"/>
        <n v="13644"/>
        <n v="11421"/>
        <n v="15613"/>
        <n v="23900"/>
        <n v="5836"/>
        <n v="5624"/>
        <n v="10311"/>
        <n v="8274"/>
        <n v="6031"/>
        <n v="27829"/>
        <n v="18267"/>
        <n v="26624"/>
        <n v="26644"/>
        <n v="13051"/>
        <n v="14217"/>
        <n v="16385"/>
        <n v="24548"/>
        <n v="9195"/>
        <n v="18071"/>
        <n v="16875"/>
        <n v="9567"/>
        <n v="20306"/>
        <n v="21134"/>
        <n v="26872"/>
        <n v="10253"/>
        <n v="23963"/>
        <n v="11335"/>
        <n v="12115"/>
        <n v="24358"/>
        <n v="12181"/>
        <n v="17729"/>
        <n v="10881"/>
        <n v="18576"/>
        <n v="9383"/>
        <n v="14178"/>
        <n v="21254"/>
        <n v="14215"/>
        <n v="16921"/>
        <n v="25130"/>
        <n v="25537"/>
        <n v="24943"/>
        <n v="14563"/>
        <n v="26273"/>
        <n v="10858"/>
        <n v="25038"/>
        <n v="9092"/>
        <n v="17662"/>
        <n v="5924"/>
        <n v="25347"/>
        <n v="8910"/>
        <n v="20438"/>
        <n v="8760"/>
        <n v="6625"/>
        <n v="23329"/>
        <n v="7299"/>
        <n v="14496"/>
        <n v="25703"/>
        <n v="15108"/>
        <n v="18867"/>
        <n v="17574"/>
        <n v="12840"/>
        <n v="21079"/>
        <n v="23486"/>
        <n v="5960"/>
        <n v="13301"/>
        <n v="10563"/>
        <n v="19949"/>
        <n v="14273"/>
        <n v="9247"/>
        <n v="11972"/>
        <n v="13314"/>
        <n v="14749"/>
        <n v="6868"/>
        <n v="6027"/>
        <n v="25267"/>
        <n v="5900"/>
        <n v="11181"/>
        <n v="9592"/>
        <n v="5291"/>
        <n v="22244"/>
        <n v="6824"/>
        <n v="24112"/>
        <n v="25478"/>
        <n v="11235"/>
        <n v="6120"/>
        <n v="20572"/>
        <n v="14975"/>
        <n v="22234"/>
        <n v="6532"/>
        <n v="24858"/>
        <n v="13883"/>
        <n v="18654"/>
        <n v="25234"/>
        <n v="6772"/>
        <n v="22428"/>
        <n v="11911"/>
        <n v="21900"/>
        <n v="25542"/>
        <n v="7140"/>
        <n v="20474"/>
        <n v="8698"/>
        <n v="10402"/>
        <n v="26618"/>
        <n v="7975"/>
        <n v="19054"/>
        <n v="13740"/>
        <n v="18442"/>
        <n v="10104"/>
        <n v="21771"/>
        <n v="22191"/>
        <n v="27753"/>
        <n v="23736"/>
        <n v="27393"/>
        <n v="10343"/>
        <n v="25259"/>
        <n v="24827"/>
        <n v="11908"/>
        <n v="11005"/>
        <n v="26333"/>
        <n v="5495"/>
        <n v="15655"/>
        <n v="13763"/>
        <n v="26073"/>
        <n v="12774"/>
        <n v="19000"/>
        <n v="14051"/>
        <n v="27782"/>
        <n v="7859"/>
        <n v="15773"/>
        <n v="20595"/>
        <n v="12031"/>
        <n v="15128"/>
        <n v="11826"/>
        <n v="12562"/>
        <n v="13013"/>
        <n v="12937"/>
        <n v="14534"/>
        <n v="8182"/>
        <n v="10615"/>
        <n v="20109"/>
        <n v="26024"/>
        <n v="26730"/>
        <n v="27575"/>
        <n v="14479"/>
        <n v="15915"/>
        <n v="12767"/>
        <n v="12170"/>
        <n v="7245"/>
        <n v="12985"/>
        <n v="16377"/>
        <n v="11453"/>
        <n v="12323"/>
        <n v="27809"/>
        <n v="21464"/>
        <n v="27126"/>
        <n v="10681"/>
        <n v="5413"/>
        <n v="25058"/>
        <n v="18303"/>
        <n v="5526"/>
        <n v="17460"/>
        <n v="14475"/>
        <n v="20162"/>
        <n v="17103"/>
        <n v="15461"/>
        <n v="22103"/>
        <n v="11625"/>
        <n v="5281"/>
        <n v="13424"/>
        <n v="13140"/>
        <n v="19538"/>
        <n v="7881"/>
        <n v="11418"/>
      </sharedItems>
    </cacheField>
    <cacheField name="Net Follower Growth" numFmtId="1">
      <sharedItems containsSemiMixedTypes="0" containsString="0" containsNumber="1" containsInteger="1" minValue="250" maxValue="1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n v="9.92"/>
    <x v="0"/>
    <n v="1334"/>
  </r>
  <r>
    <d v="2024-06-03T00:00:00"/>
    <x v="1"/>
    <n v="995"/>
    <n v="86"/>
    <n v="227958"/>
    <n v="8.0500000000000007"/>
    <x v="1"/>
    <n v="909"/>
  </r>
  <r>
    <d v="2024-06-03T00:00:00"/>
    <x v="2"/>
    <n v="1472"/>
    <n v="296"/>
    <n v="370242"/>
    <n v="7.72"/>
    <x v="2"/>
    <n v="1176"/>
  </r>
  <r>
    <d v="2024-06-10T00:00:00"/>
    <x v="0"/>
    <n v="1018"/>
    <n v="90"/>
    <n v="92474"/>
    <n v="9.4"/>
    <x v="3"/>
    <n v="928"/>
  </r>
  <r>
    <d v="2024-06-10T00:00:00"/>
    <x v="1"/>
    <n v="1461"/>
    <n v="64"/>
    <n v="328902"/>
    <n v="9.02"/>
    <x v="4"/>
    <n v="1397"/>
  </r>
  <r>
    <d v="2024-06-10T00:00:00"/>
    <x v="2"/>
    <n v="545"/>
    <n v="93"/>
    <n v="391621"/>
    <n v="9.9600000000000009"/>
    <x v="5"/>
    <n v="452"/>
  </r>
  <r>
    <d v="2024-06-17T00:00:00"/>
    <x v="0"/>
    <n v="881"/>
    <n v="291"/>
    <n v="95885"/>
    <n v="5.29"/>
    <x v="6"/>
    <n v="590"/>
  </r>
  <r>
    <d v="2024-06-17T00:00:00"/>
    <x v="1"/>
    <n v="1414"/>
    <n v="131"/>
    <n v="245947"/>
    <n v="8.3000000000000007"/>
    <x v="7"/>
    <n v="1283"/>
  </r>
  <r>
    <d v="2024-06-17T00:00:00"/>
    <x v="2"/>
    <n v="1472"/>
    <n v="170"/>
    <n v="250428"/>
    <n v="4.66"/>
    <x v="8"/>
    <n v="1302"/>
  </r>
  <r>
    <d v="2024-06-24T00:00:00"/>
    <x v="0"/>
    <n v="809"/>
    <n v="197"/>
    <n v="87186"/>
    <n v="9.48"/>
    <x v="9"/>
    <n v="612"/>
  </r>
  <r>
    <d v="2024-06-24T00:00:00"/>
    <x v="1"/>
    <n v="1371"/>
    <n v="250"/>
    <n v="128620"/>
    <n v="7.11"/>
    <x v="10"/>
    <n v="1121"/>
  </r>
  <r>
    <d v="2024-06-24T00:00:00"/>
    <x v="2"/>
    <n v="844"/>
    <n v="144"/>
    <n v="126015"/>
    <n v="9.65"/>
    <x v="11"/>
    <n v="700"/>
  </r>
  <r>
    <d v="2024-07-01T00:00:00"/>
    <x v="0"/>
    <n v="786"/>
    <n v="72"/>
    <n v="178615"/>
    <n v="5.43"/>
    <x v="12"/>
    <n v="714"/>
  </r>
  <r>
    <d v="2024-07-01T00:00:00"/>
    <x v="1"/>
    <n v="845"/>
    <n v="250"/>
    <n v="218228"/>
    <n v="4.5199999999999996"/>
    <x v="13"/>
    <n v="595"/>
  </r>
  <r>
    <d v="2024-07-01T00:00:00"/>
    <x v="2"/>
    <n v="1218"/>
    <n v="101"/>
    <n v="300397"/>
    <n v="4.33"/>
    <x v="14"/>
    <n v="1117"/>
  </r>
  <r>
    <d v="2024-07-08T00:00:00"/>
    <x v="0"/>
    <n v="797"/>
    <n v="130"/>
    <n v="340121"/>
    <n v="8.52"/>
    <x v="15"/>
    <n v="667"/>
  </r>
  <r>
    <d v="2024-07-08T00:00:00"/>
    <x v="1"/>
    <n v="1471"/>
    <n v="100"/>
    <n v="76866"/>
    <n v="8.5500000000000007"/>
    <x v="16"/>
    <n v="1371"/>
  </r>
  <r>
    <d v="2024-07-08T00:00:00"/>
    <x v="2"/>
    <n v="1253"/>
    <n v="136"/>
    <n v="193131"/>
    <n v="7.99"/>
    <x v="17"/>
    <n v="1117"/>
  </r>
  <r>
    <d v="2024-07-15T00:00:00"/>
    <x v="0"/>
    <n v="616"/>
    <n v="257"/>
    <n v="169665"/>
    <n v="6.31"/>
    <x v="18"/>
    <n v="359"/>
  </r>
  <r>
    <d v="2024-07-15T00:00:00"/>
    <x v="1"/>
    <n v="1308"/>
    <n v="210"/>
    <n v="263729"/>
    <n v="8.5299999999999994"/>
    <x v="19"/>
    <n v="1098"/>
  </r>
  <r>
    <d v="2024-07-15T00:00:00"/>
    <x v="2"/>
    <n v="981"/>
    <n v="69"/>
    <n v="206921"/>
    <n v="8.42"/>
    <x v="20"/>
    <n v="912"/>
  </r>
  <r>
    <d v="2024-07-22T00:00:00"/>
    <x v="0"/>
    <n v="866"/>
    <n v="74"/>
    <n v="204121"/>
    <n v="9.34"/>
    <x v="21"/>
    <n v="792"/>
  </r>
  <r>
    <d v="2024-07-22T00:00:00"/>
    <x v="1"/>
    <n v="547"/>
    <n v="183"/>
    <n v="266350"/>
    <n v="5.65"/>
    <x v="22"/>
    <n v="364"/>
  </r>
  <r>
    <d v="2024-07-22T00:00:00"/>
    <x v="2"/>
    <n v="1241"/>
    <n v="116"/>
    <n v="380606"/>
    <n v="4.2"/>
    <x v="23"/>
    <n v="1125"/>
  </r>
  <r>
    <d v="2024-07-29T00:00:00"/>
    <x v="0"/>
    <n v="973"/>
    <n v="104"/>
    <n v="376358"/>
    <n v="3.87"/>
    <x v="24"/>
    <n v="869"/>
  </r>
  <r>
    <d v="2024-07-29T00:00:00"/>
    <x v="1"/>
    <n v="611"/>
    <n v="197"/>
    <n v="79423"/>
    <n v="5.82"/>
    <x v="25"/>
    <n v="414"/>
  </r>
  <r>
    <d v="2024-07-29T00:00:00"/>
    <x v="2"/>
    <n v="983"/>
    <n v="134"/>
    <n v="352178"/>
    <n v="3.55"/>
    <x v="26"/>
    <n v="849"/>
  </r>
  <r>
    <d v="2024-08-05T00:00:00"/>
    <x v="0"/>
    <n v="1449"/>
    <n v="96"/>
    <n v="200636"/>
    <n v="9.92"/>
    <x v="27"/>
    <n v="1353"/>
  </r>
  <r>
    <d v="2024-08-05T00:00:00"/>
    <x v="1"/>
    <n v="752"/>
    <n v="170"/>
    <n v="132756"/>
    <n v="8.17"/>
    <x v="28"/>
    <n v="582"/>
  </r>
  <r>
    <d v="2024-08-05T00:00:00"/>
    <x v="2"/>
    <n v="937"/>
    <n v="179"/>
    <n v="318098"/>
    <n v="5.3"/>
    <x v="29"/>
    <n v="758"/>
  </r>
  <r>
    <d v="2024-08-12T00:00:00"/>
    <x v="0"/>
    <n v="1060"/>
    <n v="83"/>
    <n v="68724"/>
    <n v="5.98"/>
    <x v="30"/>
    <n v="977"/>
  </r>
  <r>
    <d v="2024-08-12T00:00:00"/>
    <x v="1"/>
    <n v="1456"/>
    <n v="265"/>
    <n v="115505"/>
    <n v="7.49"/>
    <x v="31"/>
    <n v="1191"/>
  </r>
  <r>
    <d v="2024-08-12T00:00:00"/>
    <x v="2"/>
    <n v="1109"/>
    <n v="205"/>
    <n v="276722"/>
    <n v="9.3800000000000008"/>
    <x v="32"/>
    <n v="904"/>
  </r>
  <r>
    <d v="2024-08-19T00:00:00"/>
    <x v="0"/>
    <n v="1002"/>
    <n v="93"/>
    <n v="353538"/>
    <n v="5.84"/>
    <x v="33"/>
    <n v="909"/>
  </r>
  <r>
    <d v="2024-08-19T00:00:00"/>
    <x v="1"/>
    <n v="571"/>
    <n v="189"/>
    <n v="61445"/>
    <n v="5.41"/>
    <x v="34"/>
    <n v="382"/>
  </r>
  <r>
    <d v="2024-08-19T00:00:00"/>
    <x v="2"/>
    <n v="1240"/>
    <n v="231"/>
    <n v="165035"/>
    <n v="6.05"/>
    <x v="35"/>
    <n v="1009"/>
  </r>
  <r>
    <d v="2024-08-26T00:00:00"/>
    <x v="0"/>
    <n v="1154"/>
    <n v="132"/>
    <n v="194595"/>
    <n v="7.54"/>
    <x v="36"/>
    <n v="1022"/>
  </r>
  <r>
    <d v="2024-08-26T00:00:00"/>
    <x v="1"/>
    <n v="537"/>
    <n v="275"/>
    <n v="236238"/>
    <n v="5.87"/>
    <x v="37"/>
    <n v="262"/>
  </r>
  <r>
    <d v="2024-08-26T00:00:00"/>
    <x v="2"/>
    <n v="1456"/>
    <n v="290"/>
    <n v="271044"/>
    <n v="7.17"/>
    <x v="38"/>
    <n v="1166"/>
  </r>
  <r>
    <d v="2024-09-02T00:00:00"/>
    <x v="0"/>
    <n v="721"/>
    <n v="206"/>
    <n v="334887"/>
    <n v="6.05"/>
    <x v="39"/>
    <n v="515"/>
  </r>
  <r>
    <d v="2024-09-02T00:00:00"/>
    <x v="1"/>
    <n v="1098"/>
    <n v="142"/>
    <n v="359150"/>
    <n v="7.51"/>
    <x v="40"/>
    <n v="956"/>
  </r>
  <r>
    <d v="2024-09-02T00:00:00"/>
    <x v="2"/>
    <n v="1096"/>
    <n v="65"/>
    <n v="358295"/>
    <n v="7.66"/>
    <x v="41"/>
    <n v="1031"/>
  </r>
  <r>
    <d v="2024-09-09T00:00:00"/>
    <x v="0"/>
    <n v="912"/>
    <n v="275"/>
    <n v="368454"/>
    <n v="6.03"/>
    <x v="42"/>
    <n v="637"/>
  </r>
  <r>
    <d v="2024-09-09T00:00:00"/>
    <x v="1"/>
    <n v="1430"/>
    <n v="162"/>
    <n v="269082"/>
    <n v="3.4"/>
    <x v="43"/>
    <n v="1268"/>
  </r>
  <r>
    <d v="2024-09-09T00:00:00"/>
    <x v="2"/>
    <n v="854"/>
    <n v="129"/>
    <n v="310903"/>
    <n v="7.83"/>
    <x v="44"/>
    <n v="725"/>
  </r>
  <r>
    <d v="2024-09-16T00:00:00"/>
    <x v="0"/>
    <n v="681"/>
    <n v="210"/>
    <n v="248581"/>
    <n v="8.76"/>
    <x v="45"/>
    <n v="471"/>
  </r>
  <r>
    <d v="2024-09-16T00:00:00"/>
    <x v="1"/>
    <n v="1373"/>
    <n v="82"/>
    <n v="371015"/>
    <n v="9.52"/>
    <x v="46"/>
    <n v="1291"/>
  </r>
  <r>
    <d v="2024-09-16T00:00:00"/>
    <x v="2"/>
    <n v="685"/>
    <n v="285"/>
    <n v="177452"/>
    <n v="3.36"/>
    <x v="47"/>
    <n v="400"/>
  </r>
  <r>
    <d v="2024-09-23T00:00:00"/>
    <x v="0"/>
    <n v="1290"/>
    <n v="177"/>
    <n v="80745"/>
    <n v="9.2200000000000006"/>
    <x v="48"/>
    <n v="1113"/>
  </r>
  <r>
    <d v="2024-09-23T00:00:00"/>
    <x v="1"/>
    <n v="1437"/>
    <n v="239"/>
    <n v="362441"/>
    <n v="5.57"/>
    <x v="49"/>
    <n v="1198"/>
  </r>
  <r>
    <d v="2024-09-23T00:00:00"/>
    <x v="2"/>
    <n v="769"/>
    <n v="295"/>
    <n v="344771"/>
    <n v="8.06"/>
    <x v="50"/>
    <n v="474"/>
  </r>
  <r>
    <d v="2024-09-30T00:00:00"/>
    <x v="0"/>
    <n v="1416"/>
    <n v="284"/>
    <n v="374952"/>
    <n v="3.45"/>
    <x v="51"/>
    <n v="1132"/>
  </r>
  <r>
    <d v="2024-09-30T00:00:00"/>
    <x v="1"/>
    <n v="998"/>
    <n v="154"/>
    <n v="179781"/>
    <n v="9.58"/>
    <x v="52"/>
    <n v="844"/>
  </r>
  <r>
    <d v="2024-09-30T00:00:00"/>
    <x v="2"/>
    <n v="1421"/>
    <n v="246"/>
    <n v="358581"/>
    <n v="8.8800000000000008"/>
    <x v="53"/>
    <n v="1175"/>
  </r>
  <r>
    <d v="2024-10-07T00:00:00"/>
    <x v="0"/>
    <n v="764"/>
    <n v="205"/>
    <n v="319294"/>
    <n v="6.23"/>
    <x v="54"/>
    <n v="559"/>
  </r>
  <r>
    <d v="2024-10-07T00:00:00"/>
    <x v="1"/>
    <n v="678"/>
    <n v="124"/>
    <n v="192022"/>
    <n v="8.4499999999999993"/>
    <x v="55"/>
    <n v="554"/>
  </r>
  <r>
    <d v="2024-10-07T00:00:00"/>
    <x v="2"/>
    <n v="1328"/>
    <n v="103"/>
    <n v="151462"/>
    <n v="8.4"/>
    <x v="56"/>
    <n v="1225"/>
  </r>
  <r>
    <d v="2024-10-14T00:00:00"/>
    <x v="0"/>
    <n v="1161"/>
    <n v="269"/>
    <n v="188193"/>
    <n v="7.34"/>
    <x v="57"/>
    <n v="892"/>
  </r>
  <r>
    <d v="2024-10-14T00:00:00"/>
    <x v="1"/>
    <n v="588"/>
    <n v="52"/>
    <n v="292040"/>
    <n v="8.14"/>
    <x v="58"/>
    <n v="536"/>
  </r>
  <r>
    <d v="2024-10-14T00:00:00"/>
    <x v="2"/>
    <n v="1457"/>
    <n v="215"/>
    <n v="325325"/>
    <n v="9.58"/>
    <x v="59"/>
    <n v="1242"/>
  </r>
  <r>
    <d v="2024-10-21T00:00:00"/>
    <x v="0"/>
    <n v="1190"/>
    <n v="242"/>
    <n v="86849"/>
    <n v="8.06"/>
    <x v="60"/>
    <n v="948"/>
  </r>
  <r>
    <d v="2024-10-21T00:00:00"/>
    <x v="1"/>
    <n v="886"/>
    <n v="124"/>
    <n v="141161"/>
    <n v="8.19"/>
    <x v="61"/>
    <n v="762"/>
  </r>
  <r>
    <d v="2024-10-21T00:00:00"/>
    <x v="2"/>
    <n v="1237"/>
    <n v="155"/>
    <n v="149916"/>
    <n v="4.4800000000000004"/>
    <x v="62"/>
    <n v="1082"/>
  </r>
  <r>
    <d v="2024-10-28T00:00:00"/>
    <x v="0"/>
    <n v="1435"/>
    <n v="261"/>
    <n v="308533"/>
    <n v="4.5199999999999996"/>
    <x v="63"/>
    <n v="1174"/>
  </r>
  <r>
    <d v="2024-10-28T00:00:00"/>
    <x v="1"/>
    <n v="746"/>
    <n v="282"/>
    <n v="293894"/>
    <n v="5.42"/>
    <x v="64"/>
    <n v="464"/>
  </r>
  <r>
    <d v="2024-10-28T00:00:00"/>
    <x v="2"/>
    <n v="759"/>
    <n v="216"/>
    <n v="147656"/>
    <n v="4.08"/>
    <x v="65"/>
    <n v="543"/>
  </r>
  <r>
    <d v="2024-11-04T00:00:00"/>
    <x v="0"/>
    <n v="1437"/>
    <n v="235"/>
    <n v="326791"/>
    <n v="4.0599999999999996"/>
    <x v="66"/>
    <n v="1202"/>
  </r>
  <r>
    <d v="2024-11-04T00:00:00"/>
    <x v="1"/>
    <n v="1463"/>
    <n v="73"/>
    <n v="348877"/>
    <n v="9.91"/>
    <x v="67"/>
    <n v="1390"/>
  </r>
  <r>
    <d v="2024-11-04T00:00:00"/>
    <x v="2"/>
    <n v="1208"/>
    <n v="224"/>
    <n v="122730"/>
    <n v="8.7200000000000006"/>
    <x v="68"/>
    <n v="984"/>
  </r>
  <r>
    <d v="2024-11-11T00:00:00"/>
    <x v="0"/>
    <n v="1391"/>
    <n v="187"/>
    <n v="306508"/>
    <n v="8.3800000000000008"/>
    <x v="69"/>
    <n v="1204"/>
  </r>
  <r>
    <d v="2024-11-11T00:00:00"/>
    <x v="1"/>
    <n v="655"/>
    <n v="123"/>
    <n v="202472"/>
    <n v="7.56"/>
    <x v="70"/>
    <n v="532"/>
  </r>
  <r>
    <d v="2024-11-11T00:00:00"/>
    <x v="2"/>
    <n v="1148"/>
    <n v="90"/>
    <n v="227249"/>
    <n v="7.24"/>
    <x v="71"/>
    <n v="1058"/>
  </r>
  <r>
    <d v="2024-11-18T00:00:00"/>
    <x v="0"/>
    <n v="946"/>
    <n v="270"/>
    <n v="246567"/>
    <n v="4.53"/>
    <x v="72"/>
    <n v="676"/>
  </r>
  <r>
    <d v="2024-11-18T00:00:00"/>
    <x v="1"/>
    <n v="791"/>
    <n v="214"/>
    <n v="114738"/>
    <n v="6.62"/>
    <x v="73"/>
    <n v="577"/>
  </r>
  <r>
    <d v="2024-11-18T00:00:00"/>
    <x v="2"/>
    <n v="793"/>
    <n v="111"/>
    <n v="333500"/>
    <n v="6.36"/>
    <x v="74"/>
    <n v="682"/>
  </r>
  <r>
    <d v="2024-11-25T00:00:00"/>
    <x v="0"/>
    <n v="663"/>
    <n v="213"/>
    <n v="352677"/>
    <n v="9"/>
    <x v="75"/>
    <n v="450"/>
  </r>
  <r>
    <d v="2024-11-25T00:00:00"/>
    <x v="1"/>
    <n v="954"/>
    <n v="271"/>
    <n v="160936"/>
    <n v="8.83"/>
    <x v="76"/>
    <n v="683"/>
  </r>
  <r>
    <d v="2024-11-25T00:00:00"/>
    <x v="2"/>
    <n v="1313"/>
    <n v="159"/>
    <n v="197183"/>
    <n v="9.7100000000000009"/>
    <x v="77"/>
    <n v="1154"/>
  </r>
  <r>
    <d v="2024-12-02T00:00:00"/>
    <x v="0"/>
    <n v="895"/>
    <n v="87"/>
    <n v="171271"/>
    <n v="6.68"/>
    <x v="78"/>
    <n v="808"/>
  </r>
  <r>
    <d v="2024-12-02T00:00:00"/>
    <x v="1"/>
    <n v="1027"/>
    <n v="156"/>
    <n v="111293"/>
    <n v="5.51"/>
    <x v="79"/>
    <n v="871"/>
  </r>
  <r>
    <d v="2024-12-02T00:00:00"/>
    <x v="2"/>
    <n v="990"/>
    <n v="286"/>
    <n v="351493"/>
    <n v="7.97"/>
    <x v="80"/>
    <n v="704"/>
  </r>
  <r>
    <d v="2024-12-09T00:00:00"/>
    <x v="0"/>
    <n v="875"/>
    <n v="264"/>
    <n v="345631"/>
    <n v="9.18"/>
    <x v="81"/>
    <n v="611"/>
  </r>
  <r>
    <d v="2024-12-09T00:00:00"/>
    <x v="1"/>
    <n v="599"/>
    <n v="194"/>
    <n v="105622"/>
    <n v="6.44"/>
    <x v="82"/>
    <n v="405"/>
  </r>
  <r>
    <d v="2024-12-09T00:00:00"/>
    <x v="2"/>
    <n v="630"/>
    <n v="248"/>
    <n v="119054"/>
    <n v="5.0199999999999996"/>
    <x v="83"/>
    <n v="382"/>
  </r>
  <r>
    <d v="2024-12-16T00:00:00"/>
    <x v="0"/>
    <n v="1350"/>
    <n v="233"/>
    <n v="171670"/>
    <n v="4.53"/>
    <x v="84"/>
    <n v="1117"/>
  </r>
  <r>
    <d v="2024-12-16T00:00:00"/>
    <x v="1"/>
    <n v="632"/>
    <n v="155"/>
    <n v="170432"/>
    <n v="9.17"/>
    <x v="85"/>
    <n v="477"/>
  </r>
  <r>
    <d v="2024-12-16T00:00:00"/>
    <x v="2"/>
    <n v="1182"/>
    <n v="83"/>
    <n v="140300"/>
    <n v="3.27"/>
    <x v="86"/>
    <n v="1099"/>
  </r>
  <r>
    <d v="2024-12-23T00:00:00"/>
    <x v="0"/>
    <n v="661"/>
    <n v="94"/>
    <n v="116538"/>
    <n v="5.31"/>
    <x v="87"/>
    <n v="567"/>
  </r>
  <r>
    <d v="2024-12-23T00:00:00"/>
    <x v="1"/>
    <n v="1360"/>
    <n v="227"/>
    <n v="176902"/>
    <n v="6.03"/>
    <x v="88"/>
    <n v="1133"/>
  </r>
  <r>
    <d v="2024-12-23T00:00:00"/>
    <x v="2"/>
    <n v="935"/>
    <n v="85"/>
    <n v="326821"/>
    <n v="8.89"/>
    <x v="89"/>
    <n v="850"/>
  </r>
  <r>
    <d v="2024-12-30T00:00:00"/>
    <x v="0"/>
    <n v="664"/>
    <n v="251"/>
    <n v="240598"/>
    <n v="4.79"/>
    <x v="90"/>
    <n v="413"/>
  </r>
  <r>
    <d v="2024-12-30T00:00:00"/>
    <x v="1"/>
    <n v="1490"/>
    <n v="103"/>
    <n v="373274"/>
    <n v="4.8"/>
    <x v="91"/>
    <n v="1387"/>
  </r>
  <r>
    <d v="2024-12-30T00:00:00"/>
    <x v="2"/>
    <n v="601"/>
    <n v="64"/>
    <n v="123272"/>
    <n v="4.07"/>
    <x v="92"/>
    <n v="537"/>
  </r>
  <r>
    <d v="2025-01-06T00:00:00"/>
    <x v="0"/>
    <n v="613"/>
    <n v="170"/>
    <n v="139266"/>
    <n v="6.06"/>
    <x v="93"/>
    <n v="443"/>
  </r>
  <r>
    <d v="2025-01-06T00:00:00"/>
    <x v="1"/>
    <n v="1340"/>
    <n v="57"/>
    <n v="155927"/>
    <n v="7.79"/>
    <x v="94"/>
    <n v="1283"/>
  </r>
  <r>
    <d v="2025-01-06T00:00:00"/>
    <x v="2"/>
    <n v="953"/>
    <n v="228"/>
    <n v="258398"/>
    <n v="9.0500000000000007"/>
    <x v="95"/>
    <n v="725"/>
  </r>
  <r>
    <d v="2025-01-13T00:00:00"/>
    <x v="0"/>
    <n v="532"/>
    <n v="65"/>
    <n v="338561"/>
    <n v="3.5"/>
    <x v="96"/>
    <n v="467"/>
  </r>
  <r>
    <d v="2025-01-13T00:00:00"/>
    <x v="1"/>
    <n v="1414"/>
    <n v="60"/>
    <n v="341856"/>
    <n v="8.76"/>
    <x v="97"/>
    <n v="1354"/>
  </r>
  <r>
    <d v="2025-01-13T00:00:00"/>
    <x v="2"/>
    <n v="685"/>
    <n v="165"/>
    <n v="175860"/>
    <n v="6.26"/>
    <x v="98"/>
    <n v="520"/>
  </r>
  <r>
    <d v="2025-01-20T00:00:00"/>
    <x v="0"/>
    <n v="601"/>
    <n v="159"/>
    <n v="327722"/>
    <n v="3.33"/>
    <x v="99"/>
    <n v="442"/>
  </r>
  <r>
    <d v="2025-01-20T00:00:00"/>
    <x v="1"/>
    <n v="841"/>
    <n v="295"/>
    <n v="271638"/>
    <n v="9.15"/>
    <x v="100"/>
    <n v="546"/>
  </r>
  <r>
    <d v="2025-01-20T00:00:00"/>
    <x v="2"/>
    <n v="1105"/>
    <n v="261"/>
    <n v="333851"/>
    <n v="6.03"/>
    <x v="101"/>
    <n v="844"/>
  </r>
  <r>
    <d v="2025-01-27T00:00:00"/>
    <x v="0"/>
    <n v="566"/>
    <n v="225"/>
    <n v="368984"/>
    <n v="9.82"/>
    <x v="102"/>
    <n v="341"/>
  </r>
  <r>
    <d v="2025-01-27T00:00:00"/>
    <x v="1"/>
    <n v="1149"/>
    <n v="280"/>
    <n v="167310"/>
    <n v="3.7"/>
    <x v="103"/>
    <n v="869"/>
  </r>
  <r>
    <d v="2025-01-27T00:00:00"/>
    <x v="2"/>
    <n v="819"/>
    <n v="101"/>
    <n v="194811"/>
    <n v="3.35"/>
    <x v="104"/>
    <n v="718"/>
  </r>
  <r>
    <d v="2025-02-03T00:00:00"/>
    <x v="0"/>
    <n v="795"/>
    <n v="60"/>
    <n v="314982"/>
    <n v="7.31"/>
    <x v="105"/>
    <n v="735"/>
  </r>
  <r>
    <d v="2025-02-03T00:00:00"/>
    <x v="1"/>
    <n v="681"/>
    <n v="158"/>
    <n v="75960"/>
    <n v="3.13"/>
    <x v="106"/>
    <n v="523"/>
  </r>
  <r>
    <d v="2025-02-03T00:00:00"/>
    <x v="2"/>
    <n v="534"/>
    <n v="112"/>
    <n v="360759"/>
    <n v="4.8899999999999997"/>
    <x v="107"/>
    <n v="422"/>
  </r>
  <r>
    <d v="2025-02-10T00:00:00"/>
    <x v="0"/>
    <n v="1066"/>
    <n v="151"/>
    <n v="297090"/>
    <n v="8.6300000000000008"/>
    <x v="108"/>
    <n v="915"/>
  </r>
  <r>
    <d v="2025-02-10T00:00:00"/>
    <x v="1"/>
    <n v="1270"/>
    <n v="162"/>
    <n v="92040"/>
    <n v="8.0299999999999994"/>
    <x v="109"/>
    <n v="1108"/>
  </r>
  <r>
    <d v="2025-02-10T00:00:00"/>
    <x v="2"/>
    <n v="536"/>
    <n v="198"/>
    <n v="174610"/>
    <n v="7.85"/>
    <x v="110"/>
    <n v="338"/>
  </r>
  <r>
    <d v="2025-02-17T00:00:00"/>
    <x v="0"/>
    <n v="819"/>
    <n v="95"/>
    <n v="177376"/>
    <n v="6.12"/>
    <x v="111"/>
    <n v="724"/>
  </r>
  <r>
    <d v="2025-02-17T00:00:00"/>
    <x v="1"/>
    <n v="681"/>
    <n v="218"/>
    <n v="198882"/>
    <n v="7.16"/>
    <x v="112"/>
    <n v="463"/>
  </r>
  <r>
    <d v="2025-02-17T00:00:00"/>
    <x v="2"/>
    <n v="646"/>
    <n v="290"/>
    <n v="336383"/>
    <n v="7.04"/>
    <x v="113"/>
    <n v="356"/>
  </r>
  <r>
    <d v="2025-02-24T00:00:00"/>
    <x v="0"/>
    <n v="645"/>
    <n v="267"/>
    <n v="346890"/>
    <n v="3.71"/>
    <x v="114"/>
    <n v="378"/>
  </r>
  <r>
    <d v="2025-02-24T00:00:00"/>
    <x v="1"/>
    <n v="886"/>
    <n v="250"/>
    <n v="168170"/>
    <n v="4.12"/>
    <x v="115"/>
    <n v="636"/>
  </r>
  <r>
    <d v="2025-02-24T00:00:00"/>
    <x v="2"/>
    <n v="978"/>
    <n v="279"/>
    <n v="368872"/>
    <n v="6.82"/>
    <x v="116"/>
    <n v="699"/>
  </r>
  <r>
    <d v="2025-03-03T00:00:00"/>
    <x v="0"/>
    <n v="1444"/>
    <n v="165"/>
    <n v="116436"/>
    <n v="8.2200000000000006"/>
    <x v="117"/>
    <n v="1279"/>
  </r>
  <r>
    <d v="2025-03-03T00:00:00"/>
    <x v="1"/>
    <n v="1234"/>
    <n v="228"/>
    <n v="127502"/>
    <n v="7.71"/>
    <x v="118"/>
    <n v="1006"/>
  </r>
  <r>
    <d v="2025-03-03T00:00:00"/>
    <x v="2"/>
    <n v="665"/>
    <n v="187"/>
    <n v="274567"/>
    <n v="7.39"/>
    <x v="119"/>
    <n v="478"/>
  </r>
  <r>
    <d v="2025-03-10T00:00:00"/>
    <x v="0"/>
    <n v="631"/>
    <n v="86"/>
    <n v="295090"/>
    <n v="7.89"/>
    <x v="120"/>
    <n v="545"/>
  </r>
  <r>
    <d v="2025-03-10T00:00:00"/>
    <x v="1"/>
    <n v="1159"/>
    <n v="154"/>
    <n v="194994"/>
    <n v="6.39"/>
    <x v="121"/>
    <n v="1005"/>
  </r>
  <r>
    <d v="2025-03-10T00:00:00"/>
    <x v="2"/>
    <n v="950"/>
    <n v="185"/>
    <n v="340750"/>
    <n v="6.77"/>
    <x v="122"/>
    <n v="765"/>
  </r>
  <r>
    <d v="2025-03-17T00:00:00"/>
    <x v="0"/>
    <n v="693"/>
    <n v="129"/>
    <n v="296031"/>
    <n v="3.41"/>
    <x v="123"/>
    <n v="564"/>
  </r>
  <r>
    <d v="2025-03-17T00:00:00"/>
    <x v="1"/>
    <n v="576"/>
    <n v="80"/>
    <n v="345688"/>
    <n v="4.1100000000000003"/>
    <x v="124"/>
    <n v="496"/>
  </r>
  <r>
    <d v="2025-03-17T00:00:00"/>
    <x v="2"/>
    <n v="1274"/>
    <n v="146"/>
    <n v="263488"/>
    <n v="9.58"/>
    <x v="125"/>
    <n v="1128"/>
  </r>
  <r>
    <d v="2025-03-24T00:00:00"/>
    <x v="0"/>
    <n v="818"/>
    <n v="253"/>
    <n v="184911"/>
    <n v="3.39"/>
    <x v="126"/>
    <n v="565"/>
  </r>
  <r>
    <d v="2025-03-24T00:00:00"/>
    <x v="1"/>
    <n v="975"/>
    <n v="162"/>
    <n v="124497"/>
    <n v="9.58"/>
    <x v="127"/>
    <n v="813"/>
  </r>
  <r>
    <d v="2025-03-24T00:00:00"/>
    <x v="2"/>
    <n v="1398"/>
    <n v="97"/>
    <n v="397607"/>
    <n v="5.09"/>
    <x v="128"/>
    <n v="1301"/>
  </r>
  <r>
    <d v="2025-03-31T00:00:00"/>
    <x v="0"/>
    <n v="591"/>
    <n v="155"/>
    <n v="138521"/>
    <n v="7.85"/>
    <x v="129"/>
    <n v="436"/>
  </r>
  <r>
    <d v="2025-03-31T00:00:00"/>
    <x v="1"/>
    <n v="1232"/>
    <n v="254"/>
    <n v="107718"/>
    <n v="9.7100000000000009"/>
    <x v="130"/>
    <n v="978"/>
  </r>
  <r>
    <d v="2025-03-31T00:00:00"/>
    <x v="2"/>
    <n v="1425"/>
    <n v="58"/>
    <n v="202234"/>
    <n v="6.67"/>
    <x v="131"/>
    <n v="1367"/>
  </r>
  <r>
    <d v="2025-04-07T00:00:00"/>
    <x v="0"/>
    <n v="1417"/>
    <n v="80"/>
    <n v="340987"/>
    <n v="6.13"/>
    <x v="132"/>
    <n v="1337"/>
  </r>
  <r>
    <d v="2025-04-07T00:00:00"/>
    <x v="1"/>
    <n v="1222"/>
    <n v="208"/>
    <n v="340098"/>
    <n v="7.34"/>
    <x v="133"/>
    <n v="1014"/>
  </r>
  <r>
    <d v="2025-04-07T00:00:00"/>
    <x v="2"/>
    <n v="1071"/>
    <n v="131"/>
    <n v="254727"/>
    <n v="6.87"/>
    <x v="134"/>
    <n v="940"/>
  </r>
  <r>
    <d v="2025-04-14T00:00:00"/>
    <x v="0"/>
    <n v="772"/>
    <n v="82"/>
    <n v="345659"/>
    <n v="3.52"/>
    <x v="135"/>
    <n v="690"/>
  </r>
  <r>
    <d v="2025-04-14T00:00:00"/>
    <x v="1"/>
    <n v="1472"/>
    <n v="137"/>
    <n v="213950"/>
    <n v="6.96"/>
    <x v="136"/>
    <n v="1335"/>
  </r>
  <r>
    <d v="2025-04-14T00:00:00"/>
    <x v="2"/>
    <n v="1472"/>
    <n v="281"/>
    <n v="258115"/>
    <n v="7.23"/>
    <x v="137"/>
    <n v="1191"/>
  </r>
  <r>
    <d v="2025-04-21T00:00:00"/>
    <x v="0"/>
    <n v="585"/>
    <n v="232"/>
    <n v="321258"/>
    <n v="7.42"/>
    <x v="138"/>
    <n v="353"/>
  </r>
  <r>
    <d v="2025-04-21T00:00:00"/>
    <x v="1"/>
    <n v="747"/>
    <n v="261"/>
    <n v="338650"/>
    <n v="7.73"/>
    <x v="139"/>
    <n v="486"/>
  </r>
  <r>
    <d v="2025-04-21T00:00:00"/>
    <x v="2"/>
    <n v="1113"/>
    <n v="224"/>
    <n v="272989"/>
    <n v="5.13"/>
    <x v="140"/>
    <n v="889"/>
  </r>
  <r>
    <d v="2025-04-28T00:00:00"/>
    <x v="0"/>
    <n v="1100"/>
    <n v="117"/>
    <n v="260204"/>
    <n v="4.4000000000000004"/>
    <x v="141"/>
    <n v="983"/>
  </r>
  <r>
    <d v="2025-04-28T00:00:00"/>
    <x v="1"/>
    <n v="751"/>
    <n v="170"/>
    <n v="283278"/>
    <n v="3.49"/>
    <x v="142"/>
    <n v="581"/>
  </r>
  <r>
    <d v="2025-04-28T00:00:00"/>
    <x v="2"/>
    <n v="864"/>
    <n v="50"/>
    <n v="277445"/>
    <n v="3.57"/>
    <x v="143"/>
    <n v="814"/>
  </r>
  <r>
    <d v="2025-05-05T00:00:00"/>
    <x v="0"/>
    <n v="1146"/>
    <n v="227"/>
    <n v="353781"/>
    <n v="6.41"/>
    <x v="144"/>
    <n v="919"/>
  </r>
  <r>
    <d v="2025-05-05T00:00:00"/>
    <x v="1"/>
    <n v="883"/>
    <n v="207"/>
    <n v="265019"/>
    <n v="6.04"/>
    <x v="145"/>
    <n v="676"/>
  </r>
  <r>
    <d v="2025-05-05T00:00:00"/>
    <x v="2"/>
    <n v="622"/>
    <n v="163"/>
    <n v="231925"/>
    <n v="9.18"/>
    <x v="146"/>
    <n v="459"/>
  </r>
  <r>
    <d v="2025-05-12T00:00:00"/>
    <x v="0"/>
    <n v="837"/>
    <n v="261"/>
    <n v="366149"/>
    <n v="6.54"/>
    <x v="147"/>
    <n v="576"/>
  </r>
  <r>
    <d v="2025-05-12T00:00:00"/>
    <x v="1"/>
    <n v="544"/>
    <n v="97"/>
    <n v="168375"/>
    <n v="8.66"/>
    <x v="148"/>
    <n v="447"/>
  </r>
  <r>
    <d v="2025-05-12T00:00:00"/>
    <x v="2"/>
    <n v="624"/>
    <n v="247"/>
    <n v="252763"/>
    <n v="3.89"/>
    <x v="149"/>
    <n v="377"/>
  </r>
  <r>
    <d v="2025-05-19T00:00:00"/>
    <x v="0"/>
    <n v="1073"/>
    <n v="141"/>
    <n v="118393"/>
    <n v="7.95"/>
    <x v="150"/>
    <n v="932"/>
  </r>
  <r>
    <d v="2025-05-19T00:00:00"/>
    <x v="1"/>
    <n v="1430"/>
    <n v="74"/>
    <n v="327012"/>
    <n v="6.66"/>
    <x v="151"/>
    <n v="1356"/>
  </r>
  <r>
    <d v="2025-05-19T00:00:00"/>
    <x v="2"/>
    <n v="1358"/>
    <n v="77"/>
    <n v="169688"/>
    <n v="5.25"/>
    <x v="152"/>
    <n v="1281"/>
  </r>
  <r>
    <d v="2025-05-26T00:00:00"/>
    <x v="0"/>
    <n v="1242"/>
    <n v="201"/>
    <n v="271935"/>
    <n v="5.07"/>
    <x v="153"/>
    <n v="1041"/>
  </r>
  <r>
    <d v="2025-05-26T00:00:00"/>
    <x v="1"/>
    <n v="1389"/>
    <n v="205"/>
    <n v="315981"/>
    <n v="7.62"/>
    <x v="154"/>
    <n v="1184"/>
  </r>
  <r>
    <d v="2025-05-26T00:00:00"/>
    <x v="2"/>
    <n v="826"/>
    <n v="142"/>
    <n v="341016"/>
    <n v="7.44"/>
    <x v="155"/>
    <n v="684"/>
  </r>
  <r>
    <d v="2025-06-02T00:00:00"/>
    <x v="0"/>
    <n v="618"/>
    <n v="264"/>
    <n v="285164"/>
    <n v="4.8600000000000003"/>
    <x v="156"/>
    <n v="354"/>
  </r>
  <r>
    <d v="2025-06-02T00:00:00"/>
    <x v="1"/>
    <n v="1419"/>
    <n v="293"/>
    <n v="116632"/>
    <n v="6.93"/>
    <x v="157"/>
    <n v="1126"/>
  </r>
  <r>
    <d v="2025-06-02T00:00:00"/>
    <x v="2"/>
    <n v="637"/>
    <n v="68"/>
    <n v="115694"/>
    <n v="9.99"/>
    <x v="158"/>
    <n v="569"/>
  </r>
  <r>
    <d v="2025-06-09T00:00:00"/>
    <x v="0"/>
    <n v="917"/>
    <n v="187"/>
    <n v="64444"/>
    <n v="5.22"/>
    <x v="159"/>
    <n v="730"/>
  </r>
  <r>
    <d v="2025-06-09T00:00:00"/>
    <x v="1"/>
    <n v="810"/>
    <n v="232"/>
    <n v="362559"/>
    <n v="5.17"/>
    <x v="160"/>
    <n v="578"/>
  </r>
  <r>
    <d v="2025-06-09T00:00:00"/>
    <x v="2"/>
    <n v="1183"/>
    <n v="248"/>
    <n v="226881"/>
    <n v="5.17"/>
    <x v="161"/>
    <n v="935"/>
  </r>
  <r>
    <d v="2025-06-16T00:00:00"/>
    <x v="0"/>
    <n v="765"/>
    <n v="67"/>
    <n v="283537"/>
    <n v="6.18"/>
    <x v="162"/>
    <n v="698"/>
  </r>
  <r>
    <d v="2025-06-16T00:00:00"/>
    <x v="1"/>
    <n v="540"/>
    <n v="215"/>
    <n v="62837"/>
    <n v="5.3"/>
    <x v="163"/>
    <n v="325"/>
  </r>
  <r>
    <d v="2025-06-16T00:00:00"/>
    <x v="2"/>
    <n v="1145"/>
    <n v="151"/>
    <n v="182759"/>
    <n v="5.99"/>
    <x v="164"/>
    <n v="994"/>
  </r>
  <r>
    <d v="2025-06-23T00:00:00"/>
    <x v="0"/>
    <n v="564"/>
    <n v="244"/>
    <n v="279405"/>
    <n v="8.43"/>
    <x v="165"/>
    <n v="320"/>
  </r>
  <r>
    <d v="2025-06-23T00:00:00"/>
    <x v="1"/>
    <n v="668"/>
    <n v="124"/>
    <n v="257485"/>
    <n v="7.55"/>
    <x v="166"/>
    <n v="544"/>
  </r>
  <r>
    <d v="2025-06-23T00:00:00"/>
    <x v="2"/>
    <n v="761"/>
    <n v="241"/>
    <n v="154977"/>
    <n v="5.63"/>
    <x v="90"/>
    <n v="520"/>
  </r>
  <r>
    <d v="2025-06-30T00:00:00"/>
    <x v="0"/>
    <n v="593"/>
    <n v="108"/>
    <n v="216500"/>
    <n v="4.71"/>
    <x v="167"/>
    <n v="485"/>
  </r>
  <r>
    <d v="2025-06-30T00:00:00"/>
    <x v="1"/>
    <n v="1349"/>
    <n v="115"/>
    <n v="102102"/>
    <n v="5.28"/>
    <x v="168"/>
    <n v="1234"/>
  </r>
  <r>
    <d v="2025-06-30T00:00:00"/>
    <x v="2"/>
    <n v="693"/>
    <n v="97"/>
    <n v="92025"/>
    <n v="5.95"/>
    <x v="169"/>
    <n v="596"/>
  </r>
  <r>
    <d v="2025-07-07T00:00:00"/>
    <x v="0"/>
    <n v="974"/>
    <n v="143"/>
    <n v="247965"/>
    <n v="9.98"/>
    <x v="170"/>
    <n v="831"/>
  </r>
  <r>
    <d v="2025-07-07T00:00:00"/>
    <x v="1"/>
    <n v="1155"/>
    <n v="122"/>
    <n v="387352"/>
    <n v="9.93"/>
    <x v="171"/>
    <n v="1033"/>
  </r>
  <r>
    <d v="2025-07-07T00:00:00"/>
    <x v="2"/>
    <n v="1051"/>
    <n v="246"/>
    <n v="253985"/>
    <n v="9.08"/>
    <x v="172"/>
    <n v="805"/>
  </r>
  <r>
    <d v="2025-07-14T00:00:00"/>
    <x v="0"/>
    <n v="1457"/>
    <n v="183"/>
    <n v="129640"/>
    <n v="7.98"/>
    <x v="173"/>
    <n v="1274"/>
  </r>
  <r>
    <d v="2025-07-14T00:00:00"/>
    <x v="1"/>
    <n v="670"/>
    <n v="242"/>
    <n v="281913"/>
    <n v="9.6199999999999992"/>
    <x v="174"/>
    <n v="428"/>
  </r>
  <r>
    <d v="2025-07-14T00:00:00"/>
    <x v="2"/>
    <n v="1111"/>
    <n v="159"/>
    <n v="360770"/>
    <n v="8.7100000000000009"/>
    <x v="175"/>
    <n v="952"/>
  </r>
  <r>
    <d v="2025-07-21T00:00:00"/>
    <x v="0"/>
    <n v="1197"/>
    <n v="246"/>
    <n v="127273"/>
    <n v="6.69"/>
    <x v="176"/>
    <n v="951"/>
  </r>
  <r>
    <d v="2025-07-21T00:00:00"/>
    <x v="1"/>
    <n v="754"/>
    <n v="150"/>
    <n v="189622"/>
    <n v="4.25"/>
    <x v="120"/>
    <n v="604"/>
  </r>
  <r>
    <d v="2025-07-21T00:00:00"/>
    <x v="2"/>
    <n v="1246"/>
    <n v="107"/>
    <n v="350949"/>
    <n v="4.9800000000000004"/>
    <x v="177"/>
    <n v="1139"/>
  </r>
  <r>
    <d v="2025-07-28T00:00:00"/>
    <x v="0"/>
    <n v="780"/>
    <n v="213"/>
    <n v="121431"/>
    <n v="4.97"/>
    <x v="178"/>
    <n v="567"/>
  </r>
  <r>
    <d v="2025-07-28T00:00:00"/>
    <x v="1"/>
    <n v="1425"/>
    <n v="143"/>
    <n v="116742"/>
    <n v="3.71"/>
    <x v="179"/>
    <n v="1282"/>
  </r>
  <r>
    <d v="2025-07-28T00:00:00"/>
    <x v="2"/>
    <n v="1490"/>
    <n v="103"/>
    <n v="81184"/>
    <n v="7.79"/>
    <x v="180"/>
    <n v="1387"/>
  </r>
  <r>
    <d v="2025-08-04T00:00:00"/>
    <x v="0"/>
    <n v="949"/>
    <n v="282"/>
    <n v="87126"/>
    <n v="4.96"/>
    <x v="181"/>
    <n v="667"/>
  </r>
  <r>
    <d v="2025-08-04T00:00:00"/>
    <x v="1"/>
    <n v="640"/>
    <n v="141"/>
    <n v="267546"/>
    <n v="8.58"/>
    <x v="182"/>
    <n v="499"/>
  </r>
  <r>
    <d v="2025-08-04T00:00:00"/>
    <x v="2"/>
    <n v="616"/>
    <n v="93"/>
    <n v="133082"/>
    <n v="8.51"/>
    <x v="183"/>
    <n v="523"/>
  </r>
  <r>
    <d v="2025-08-11T00:00:00"/>
    <x v="0"/>
    <n v="1080"/>
    <n v="184"/>
    <n v="340557"/>
    <n v="5.41"/>
    <x v="184"/>
    <n v="896"/>
  </r>
  <r>
    <d v="2025-08-11T00:00:00"/>
    <x v="1"/>
    <n v="938"/>
    <n v="236"/>
    <n v="116472"/>
    <n v="8.7200000000000006"/>
    <x v="185"/>
    <n v="702"/>
  </r>
  <r>
    <d v="2025-08-11T00:00:00"/>
    <x v="2"/>
    <n v="1007"/>
    <n v="258"/>
    <n v="113412"/>
    <n v="7.71"/>
    <x v="186"/>
    <n v="749"/>
  </r>
  <r>
    <d v="2025-08-18T00:00:00"/>
    <x v="0"/>
    <n v="541"/>
    <n v="208"/>
    <n v="157547"/>
    <n v="8.35"/>
    <x v="187"/>
    <n v="333"/>
  </r>
  <r>
    <d v="2025-08-18T00:00:00"/>
    <x v="1"/>
    <n v="745"/>
    <n v="98"/>
    <n v="354816"/>
    <n v="4.03"/>
    <x v="188"/>
    <n v="647"/>
  </r>
  <r>
    <d v="2025-08-18T00:00:00"/>
    <x v="2"/>
    <n v="936"/>
    <n v="97"/>
    <n v="151799"/>
    <n v="9.3699999999999992"/>
    <x v="189"/>
    <n v="839"/>
  </r>
  <r>
    <d v="2025-08-25T00:00:00"/>
    <x v="0"/>
    <n v="1183"/>
    <n v="223"/>
    <n v="143811"/>
    <n v="6.07"/>
    <x v="190"/>
    <n v="960"/>
  </r>
  <r>
    <d v="2025-08-25T00:00:00"/>
    <x v="1"/>
    <n v="1413"/>
    <n v="245"/>
    <n v="296450"/>
    <n v="6.52"/>
    <x v="191"/>
    <n v="1168"/>
  </r>
  <r>
    <d v="2025-08-25T00:00:00"/>
    <x v="2"/>
    <n v="791"/>
    <n v="273"/>
    <n v="144049"/>
    <n v="3.08"/>
    <x v="192"/>
    <n v="518"/>
  </r>
  <r>
    <d v="2025-09-01T00:00:00"/>
    <x v="0"/>
    <n v="1052"/>
    <n v="180"/>
    <n v="272534"/>
    <n v="5.34"/>
    <x v="193"/>
    <n v="872"/>
  </r>
  <r>
    <d v="2025-09-01T00:00:00"/>
    <x v="1"/>
    <n v="572"/>
    <n v="270"/>
    <n v="82265"/>
    <n v="3.65"/>
    <x v="194"/>
    <n v="302"/>
  </r>
  <r>
    <d v="2025-09-01T00:00:00"/>
    <x v="2"/>
    <n v="503"/>
    <n v="253"/>
    <n v="313562"/>
    <n v="4.18"/>
    <x v="195"/>
    <n v="250"/>
  </r>
  <r>
    <d v="2025-09-08T00:00:00"/>
    <x v="0"/>
    <n v="1017"/>
    <n v="197"/>
    <n v="89918"/>
    <n v="3.91"/>
    <x v="196"/>
    <n v="820"/>
  </r>
  <r>
    <d v="2025-09-08T00:00:00"/>
    <x v="1"/>
    <n v="860"/>
    <n v="244"/>
    <n v="348686"/>
    <n v="5.12"/>
    <x v="197"/>
    <n v="6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C83CB-3F07-421E-BC34-0322847153EB}" name="PivotTable26" cacheId="2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Platform">
  <location ref="K97:M100" firstHeaderRow="0" firstDataRow="1" firstDataCol="1"/>
  <pivotFields count="8">
    <pivotField numFmtId="1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</pivotFields>
  <rowFields count="1">
    <field x="1"/>
  </rowFields>
  <rowItems count="3"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Average of Ad_Spend" fld="6" subtotal="average" baseField="1" baseItem="0" numFmtId="1"/>
    <dataField name="Average of Net Follower Growth" fld="7" subtotal="average" baseField="1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328CB-3CF8-4CE9-8173-31A31811932B}" name="Table1" displayName="Table1" ref="A1:N301" totalsRowShown="0" headerRowDxfId="105" dataDxfId="104">
  <autoFilter ref="A1:N301" xr:uid="{CE7328CB-3CF8-4CE9-8173-31A31811932B}"/>
  <tableColumns count="14">
    <tableColumn id="1" xr3:uid="{50BE9EC5-6FF1-44F1-88A8-78C2A41C4D09}" name="Post ID" dataDxfId="103"/>
    <tableColumn id="2" xr3:uid="{9883916F-949A-4666-AEA5-FDC0F67CC906}" name="Platform" dataDxfId="102"/>
    <tableColumn id="3" xr3:uid="{AF010181-4110-4E71-B98B-FD29DB6651CF}" name="Date" dataDxfId="101"/>
    <tableColumn id="4" xr3:uid="{9103B60D-E65B-4ED3-B2F3-BEC4BF100C52}" name="Content Type" dataDxfId="100"/>
    <tableColumn id="5" xr3:uid="{BA501876-6374-44B9-B149-9711995BF42A}" name="Post Text" dataDxfId="99"/>
    <tableColumn id="6" xr3:uid="{01957983-48D8-473B-A5DE-A5CFC502F28D}" name="Likes" dataDxfId="98"/>
    <tableColumn id="7" xr3:uid="{6A03D69F-C971-40FB-9FF9-C02454951930}" name="Shares" dataDxfId="97"/>
    <tableColumn id="8" xr3:uid="{38CB7255-BA66-4820-AC40-68C7AB9B94C5}" name="Comments" dataDxfId="96"/>
    <tableColumn id="9" xr3:uid="{6951EC6B-7D45-48AC-B019-C857C62F8E26}" name="Impressions" dataDxfId="95"/>
    <tableColumn id="10" xr3:uid="{48B3BB3F-1BDA-4FFF-A50D-D3E568B926B7}" name="Reach" dataDxfId="94"/>
    <tableColumn id="11" xr3:uid="{8DACC315-A10E-4D3F-A1C5-73DB7466E79C}" name="Clicks" dataDxfId="93"/>
    <tableColumn id="12" xr3:uid="{84E6C39D-1056-4DA8-AF47-7B86F53495BE}" name="Hastag_1" dataDxfId="92"/>
    <tableColumn id="13" xr3:uid="{397EA6AB-AC59-42A7-B59A-F57E0D226D9B}" name="Hastag_2" dataDxfId="91"/>
    <tableColumn id="14" xr3:uid="{588814A8-B3D6-475B-A914-4DF55B38CABD}" name="Campaign_Name" dataDxfId="9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4538A-C580-49AF-BC8A-0D92C4906E78}" name="Table2" displayName="Table2" ref="A1:G201" totalsRowShown="0" headerRowDxfId="89" dataDxfId="88">
  <autoFilter ref="A1:G201" xr:uid="{E084538A-C580-49AF-BC8A-0D92C4906E78}"/>
  <tableColumns count="7">
    <tableColumn id="1" xr3:uid="{94D3A589-E3C7-403E-9B3F-CD825E72BA2B}" name="Week_Start_Date" dataDxfId="87"/>
    <tableColumn id="2" xr3:uid="{849174EA-C6B1-48AF-A29C-FC776E8B12B2}" name="Platform" dataDxfId="86"/>
    <tableColumn id="3" xr3:uid="{4DC494A1-3DCC-46E9-B299-D13AC282DE1E}" name="New_Followers" dataDxfId="85"/>
    <tableColumn id="4" xr3:uid="{5A91DC21-51FC-4D19-AA3C-750471E3B59D}" name="Unfollows" dataDxfId="84"/>
    <tableColumn id="5" xr3:uid="{01DD98DC-26D4-4AE9-A785-C364BE290FD1}" name="Total_Followers" dataDxfId="83"/>
    <tableColumn id="6" xr3:uid="{526B28EB-F74C-4329-98EA-94820C31809E}" name="Engagement_Rate" dataDxfId="82"/>
    <tableColumn id="7" xr3:uid="{750BBAD2-5137-40BB-B918-A559F425F5B6}" name="Ad_Spend" dataDxfId="8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E4A841-6EDC-47EF-9B88-728A5C432CEE}" name="Table24" displayName="Table24" ref="A1:H201" totalsRowShown="0" headerRowDxfId="80" dataDxfId="79">
  <autoFilter ref="A1:H201" xr:uid="{E084538A-C580-49AF-BC8A-0D92C4906E78}"/>
  <tableColumns count="8">
    <tableColumn id="1" xr3:uid="{1DB9851D-FD2E-43FE-97FE-77CE5CB7E854}" name="Week_Start_Date" dataDxfId="78"/>
    <tableColumn id="2" xr3:uid="{9A5D5D5F-0A74-46E0-8BDA-6C8FAD8149A7}" name="Platform" dataDxfId="77"/>
    <tableColumn id="3" xr3:uid="{42CB0B65-8474-4264-AACE-34B0C3DDF55F}" name="New_Followers" dataDxfId="76"/>
    <tableColumn id="4" xr3:uid="{5D541B61-F0BE-498D-A79A-61B98F053192}" name="Unfollows" dataDxfId="75"/>
    <tableColumn id="5" xr3:uid="{2DF1A80A-D9D1-4F95-9656-D32DD90C5FCB}" name="Total_Followers" dataDxfId="74"/>
    <tableColumn id="6" xr3:uid="{F3DA3839-157C-4B43-A28F-E2048D640E10}" name="Engagement_Rate" dataDxfId="73"/>
    <tableColumn id="7" xr3:uid="{439605C0-B894-4FB4-8DA4-FD1AC376CFCF}" name="Ad_Spend" dataDxfId="72"/>
    <tableColumn id="8" xr3:uid="{BAA6A6FC-34D5-4FA9-9695-4CC1B5EF077D}" name="Net_FollowerGain" dataDxfId="71">
      <calculatedColumnFormula>Table24[[#This Row],[New_Followers]]-Table24[[#This Row],[Unfollows]]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74F8FA-BD0A-43F7-8258-D7490ADAFD47}" name="Table4" displayName="Table4" ref="K1:N67" totalsRowShown="0" headerRowBorderDxfId="70" tableBorderDxfId="69" totalsRowBorderDxfId="68">
  <autoFilter ref="K1:N67" xr:uid="{A474F8FA-BD0A-43F7-8258-D7490ADAFD47}"/>
  <tableColumns count="4">
    <tableColumn id="1" xr3:uid="{998BE076-8423-4424-A454-D1FE3141518B}" name="Week_Start_Date" dataDxfId="67"/>
    <tableColumn id="2" xr3:uid="{CF9B6812-9705-4013-A0D5-E8E68F2BC6CF}" name="Platform" dataDxfId="66"/>
    <tableColumn id="3" xr3:uid="{43A5A6B2-4A42-44A1-A863-DCBA423FA06D}" name="Total_Followers" dataDxfId="65"/>
    <tableColumn id="4" xr3:uid="{BD671000-0FE8-4205-B6F6-F9C2F5D0A4D4}" name="YouTube_MvngAvg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AA6410-67B5-41C9-856F-04B96E1E9EC4}" name="Table10" displayName="Table10" ref="F1:I68" totalsRowShown="0" dataDxfId="62" headerRowBorderDxfId="63" tableBorderDxfId="61" totalsRowBorderDxfId="60">
  <autoFilter ref="F1:I68" xr:uid="{36AA6410-67B5-41C9-856F-04B96E1E9EC4}"/>
  <tableColumns count="4">
    <tableColumn id="1" xr3:uid="{88047AEA-EDDB-4804-9E61-3A92177A1633}" name="Week_Start_Date" dataDxfId="59"/>
    <tableColumn id="2" xr3:uid="{335F3F4E-BA44-4423-892A-E1B54F8B6119}" name="Platform" dataDxfId="58"/>
    <tableColumn id="3" xr3:uid="{3B7AA416-3973-42A9-BCB7-6C6B83C07EED}" name="Total_Followers" dataDxfId="57"/>
    <tableColumn id="4" xr3:uid="{450C71C6-2B1B-4165-B131-9C47CC00EF82}" name="Insta_MvngAvg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B86D52-549D-4D88-A518-CD68F37C301E}" name="Table11" displayName="Table11" ref="A1:D68" totalsRowShown="0" dataDxfId="54" headerRowBorderDxfId="55" tableBorderDxfId="53" totalsRowBorderDxfId="52">
  <autoFilter ref="A1:D68" xr:uid="{9FB86D52-549D-4D88-A518-CD68F37C301E}"/>
  <tableColumns count="4">
    <tableColumn id="1" xr3:uid="{2C238797-AFC6-4934-AB42-D9BA6C29E8C4}" name="Week_Start_Date" dataDxfId="51"/>
    <tableColumn id="2" xr3:uid="{2FE63318-8094-4F44-A4B8-20CE54C9F3D6}" name="Platform" dataDxfId="50"/>
    <tableColumn id="3" xr3:uid="{B2976659-A5BE-4F1A-96A7-A1899359DEA8}" name="Total_Followers" dataDxfId="49"/>
    <tableColumn id="4" xr3:uid="{C1443DAA-C98C-4B8A-825C-706E0003A631}" name="Twitter_MvngAvg" dataDxfId="48"/>
  </tableColumns>
  <tableStyleInfo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19072D-5FF3-4ED8-AC8D-63459643F5BD}" name="Table27" displayName="Table27" ref="A1:H201" totalsRowShown="0" headerRowDxfId="47" dataDxfId="46">
  <autoFilter ref="A1:H201" xr:uid="{E084538A-C580-49AF-BC8A-0D92C4906E78}"/>
  <tableColumns count="8">
    <tableColumn id="1" xr3:uid="{C52E41CA-E145-45FF-BB58-84AA81BC2FDF}" name="Week_Start_Date" dataDxfId="45"/>
    <tableColumn id="2" xr3:uid="{9BBF7D3A-8C8D-4A52-B5F5-0FB48638F71D}" name="Platform" dataDxfId="44"/>
    <tableColumn id="3" xr3:uid="{30897F07-715B-4968-B300-E30E7351C1C5}" name="New_Followers" dataDxfId="43"/>
    <tableColumn id="4" xr3:uid="{6DDC694D-3D64-4436-AFA6-90C1C84AD40E}" name="Unfollows" dataDxfId="42"/>
    <tableColumn id="5" xr3:uid="{C5B61FBC-18CB-4206-8025-093802D00F12}" name="Total_Followers" dataDxfId="41"/>
    <tableColumn id="6" xr3:uid="{B0360DE5-A8F0-4F14-B29C-24D428E834D9}" name="Engagement_Rate" dataDxfId="40"/>
    <tableColumn id="7" xr3:uid="{EF70631C-2EEE-4E6B-B712-02E2F87CCB1D}" name="Ad_Spend" dataDxfId="39"/>
    <tableColumn id="8" xr3:uid="{119AD3BB-CD0E-4105-AB71-6B247A56580F}" name="Net Follower Growth" dataDxfId="38">
      <calculatedColumnFormula>Table27[[#This Row],[New_Followers]]-Table27[[#This Row],[Unfollows]]</calculatedColumnFormula>
    </tableColumn>
  </tableColumns>
  <tableStyleInfo name="TableStyleMedium7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C15D48-E850-44E3-95B7-F418D2135C8E}" name="Table7" displayName="Table7" ref="K1:O68" totalsRowShown="0" headerRowDxfId="37" dataDxfId="35" headerRowBorderDxfId="36" tableBorderDxfId="34" totalsRowBorderDxfId="33">
  <autoFilter ref="K1:O68" xr:uid="{B8C15D48-E850-44E3-95B7-F418D2135C8E}"/>
  <tableColumns count="5">
    <tableColumn id="1" xr3:uid="{6B2000C7-98E8-40BB-BE46-44EDA1F32819}" name="Platform" dataDxfId="32"/>
    <tableColumn id="2" xr3:uid="{7C97A679-92D8-4C25-872F-56BF14454C2D}" name="New_Followers" dataDxfId="31"/>
    <tableColumn id="3" xr3:uid="{A63BF9B0-9094-4692-8F49-B700D4907E90}" name="Unfollows" dataDxfId="30"/>
    <tableColumn id="4" xr3:uid="{A35AE242-D438-4699-BE94-62835220E4C2}" name="Ad_Spend" dataDxfId="29"/>
    <tableColumn id="5" xr3:uid="{045A12C0-0E08-42E9-AD11-044DF5388AF0}" name="Net Follower Growth" dataDxfId="2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FEEAB6-5514-4AB8-A385-B8946EB1EF06}" name="Table8" displayName="Table8" ref="R1:V68" totalsRowShown="0" headerRowDxfId="27" dataDxfId="25" headerRowBorderDxfId="26" tableBorderDxfId="24" totalsRowBorderDxfId="23">
  <autoFilter ref="R1:V68" xr:uid="{86FEEAB6-5514-4AB8-A385-B8946EB1EF06}"/>
  <tableColumns count="5">
    <tableColumn id="1" xr3:uid="{7FB59CC5-1E97-45F2-A57F-2E18AA249E88}" name="Platform" dataDxfId="22"/>
    <tableColumn id="2" xr3:uid="{AB9A6D26-5E60-431A-977B-34EC14059093}" name="New_Followers" dataDxfId="21"/>
    <tableColumn id="3" xr3:uid="{9E4607EB-110A-4752-8B86-F2E26A5D126B}" name="Unfollows" dataDxfId="20"/>
    <tableColumn id="4" xr3:uid="{2B7DB4AD-4D53-4E78-9F90-B373A03979B7}" name="Ad_Spend" dataDxfId="19"/>
    <tableColumn id="5" xr3:uid="{15EC9DD6-F779-4180-8A01-07ECD318C906}" name="Net Follower Growth" dataDxfId="1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D6282D-6D92-4475-A068-7F1034890A16}" name="Table9" displayName="Table9" ref="Y1:AC67" totalsRowShown="0" headerRowDxfId="17" dataDxfId="15" headerRowBorderDxfId="16" tableBorderDxfId="14" totalsRowBorderDxfId="13">
  <autoFilter ref="Y1:AC67" xr:uid="{C3D6282D-6D92-4475-A068-7F1034890A16}"/>
  <tableColumns count="5">
    <tableColumn id="1" xr3:uid="{EF4DB43A-651A-4AD1-B644-7312743D15E9}" name="Platform" dataDxfId="12"/>
    <tableColumn id="2" xr3:uid="{22BF89AA-8CEF-4ECA-AF57-B6AC03516B7C}" name="New_Followers" dataDxfId="11"/>
    <tableColumn id="3" xr3:uid="{2EBDC2C6-CE17-4BFA-AF1C-73FC63A5C209}" name="Unfollows" dataDxfId="10"/>
    <tableColumn id="4" xr3:uid="{31BE36C2-964E-40AC-83DF-1768C97C7520}" name="Ad_Spend" dataDxfId="9"/>
    <tableColumn id="5" xr3:uid="{F01B3FE8-ABE4-4D3B-9297-4742F66ABC95}" name="Net Follower Growth" dataDxfId="8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BD1CC-1AB4-4DF5-B8E0-AC4413E1F708}" name="Table5" displayName="Table5" ref="A1:H5" totalsRowShown="0">
  <autoFilter ref="A1:H5" xr:uid="{57ABD1CC-1AB4-4DF5-B8E0-AC4413E1F708}"/>
  <tableColumns count="8">
    <tableColumn id="1" xr3:uid="{52BC7565-1693-44E7-9FD2-066DE19ED893}" name="Campaign_Name" dataDxfId="7"/>
    <tableColumn id="2" xr3:uid="{0270FCF1-2971-4C25-930C-B09560C743DF}" name="Start_Date" dataDxfId="6"/>
    <tableColumn id="3" xr3:uid="{78F97C0E-D665-4555-BD2F-D2574D3D118E}" name="End_Date" dataDxfId="5"/>
    <tableColumn id="4" xr3:uid="{445CB235-B9CE-49C1-A357-C8FDEE5808F8}" name="Objective" dataDxfId="4"/>
    <tableColumn id="5" xr3:uid="{60CC0ADD-8ACC-4790-8384-43DD2083E276}" name="Total_Budget" dataDxfId="3"/>
    <tableColumn id="6" xr3:uid="{8E26B079-ADBE-48E6-9FA8-A0E2D39DC64F}" name="Target_Platforms" dataDxfId="2"/>
    <tableColumn id="7" xr3:uid="{EAA2E888-E2F6-4E89-92DB-CE62CB29A924}" name="Hastag_1" dataDxfId="1"/>
    <tableColumn id="8" xr3:uid="{EFB05805-BDF6-436D-892C-F15F724420DE}" name="Hastag_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H1" zoomScaleNormal="100" workbookViewId="0">
      <selection activeCell="R6" sqref="R6"/>
    </sheetView>
  </sheetViews>
  <sheetFormatPr defaultColWidth="14.42578125" defaultRowHeight="15" customHeight="1"/>
  <cols>
    <col min="1" max="1" width="10.42578125" style="2" customWidth="1"/>
    <col min="2" max="2" width="11.5703125" style="2" customWidth="1"/>
    <col min="3" max="3" width="11.5703125" style="6" bestFit="1" customWidth="1"/>
    <col min="4" max="4" width="16.85546875" style="18" customWidth="1"/>
    <col min="5" max="5" width="41.28515625" style="18" bestFit="1" customWidth="1"/>
    <col min="6" max="6" width="8.5703125" style="10" customWidth="1"/>
    <col min="7" max="7" width="10.28515625" style="10" customWidth="1"/>
    <col min="8" max="8" width="13.85546875" style="10" customWidth="1"/>
    <col min="9" max="9" width="15.42578125" style="10" customWidth="1"/>
    <col min="10" max="10" width="9.5703125" style="10" customWidth="1"/>
    <col min="11" max="11" width="9.28515625" style="10" customWidth="1"/>
    <col min="12" max="13" width="19.7109375" style="18" bestFit="1" customWidth="1"/>
    <col min="14" max="14" width="20" style="18" customWidth="1"/>
    <col min="15" max="15" width="17.5703125" style="2" customWidth="1"/>
    <col min="16" max="17" width="8.7109375" style="15" customWidth="1"/>
    <col min="18" max="18" width="43.5703125" style="15" customWidth="1"/>
    <col min="19" max="19" width="98.7109375" style="13" bestFit="1" customWidth="1"/>
    <col min="20" max="28" width="8.7109375" style="2" customWidth="1"/>
    <col min="29" max="16384" width="14.42578125" style="2"/>
  </cols>
  <sheetData>
    <row r="1" spans="1:19" s="14" customFormat="1" ht="15.75" customHeigh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19" t="s">
        <v>358</v>
      </c>
      <c r="M1" s="19" t="s">
        <v>359</v>
      </c>
      <c r="N1" s="19" t="s">
        <v>11</v>
      </c>
      <c r="O1" s="19"/>
      <c r="P1" s="23"/>
      <c r="Q1" s="23"/>
      <c r="R1" s="23"/>
      <c r="S1" s="23"/>
    </row>
    <row r="2" spans="1:19" ht="15.75" customHeight="1">
      <c r="A2" s="1" t="s">
        <v>12</v>
      </c>
      <c r="B2" s="1" t="s">
        <v>13</v>
      </c>
      <c r="C2" s="5">
        <v>45781</v>
      </c>
      <c r="D2" s="16" t="s">
        <v>14</v>
      </c>
      <c r="E2" s="17" t="s">
        <v>15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16" t="s">
        <v>37</v>
      </c>
      <c r="M2" s="16" t="s">
        <v>34</v>
      </c>
      <c r="N2" s="16" t="s">
        <v>16</v>
      </c>
      <c r="O2" s="1"/>
      <c r="P2" s="23"/>
      <c r="Q2" s="23"/>
      <c r="R2" s="23"/>
      <c r="S2" s="23"/>
    </row>
    <row r="3" spans="1:19" ht="15.75" customHeight="1">
      <c r="A3" s="1" t="s">
        <v>17</v>
      </c>
      <c r="B3" s="1" t="s">
        <v>13</v>
      </c>
      <c r="C3" s="5">
        <v>45689</v>
      </c>
      <c r="D3" s="16" t="s">
        <v>14</v>
      </c>
      <c r="E3" s="17" t="s">
        <v>18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16" t="s">
        <v>19</v>
      </c>
      <c r="M3" s="16"/>
      <c r="N3" s="16" t="s">
        <v>20</v>
      </c>
      <c r="O3" s="1"/>
      <c r="P3" s="23"/>
      <c r="Q3" s="23"/>
      <c r="R3" s="23"/>
      <c r="S3" s="23"/>
    </row>
    <row r="4" spans="1:19" ht="15" customHeight="1">
      <c r="A4" s="1" t="s">
        <v>21</v>
      </c>
      <c r="B4" s="1" t="s">
        <v>22</v>
      </c>
      <c r="C4" s="5">
        <v>45629</v>
      </c>
      <c r="D4" s="16" t="s">
        <v>23</v>
      </c>
      <c r="E4" s="17" t="s">
        <v>24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16" t="s">
        <v>364</v>
      </c>
      <c r="M4" s="16" t="s">
        <v>34</v>
      </c>
      <c r="N4" s="16" t="s">
        <v>16</v>
      </c>
      <c r="O4" s="1"/>
      <c r="P4" s="23"/>
      <c r="Q4" s="23"/>
      <c r="R4" s="23"/>
      <c r="S4" s="23"/>
    </row>
    <row r="5" spans="1:19" ht="15" customHeight="1">
      <c r="A5" s="1" t="s">
        <v>25</v>
      </c>
      <c r="B5" s="1" t="s">
        <v>13</v>
      </c>
      <c r="C5" s="5">
        <v>45629</v>
      </c>
      <c r="D5" s="16" t="s">
        <v>14</v>
      </c>
      <c r="E5" s="17" t="s">
        <v>360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16" t="s">
        <v>37</v>
      </c>
      <c r="M5" s="16" t="s">
        <v>34</v>
      </c>
      <c r="N5" s="16" t="s">
        <v>16</v>
      </c>
      <c r="O5" s="1"/>
      <c r="P5" s="23"/>
      <c r="Q5" s="23"/>
      <c r="R5" s="23"/>
      <c r="S5" s="23"/>
    </row>
    <row r="6" spans="1:19" ht="20.25" customHeight="1">
      <c r="A6" s="1" t="s">
        <v>26</v>
      </c>
      <c r="B6" s="1" t="s">
        <v>27</v>
      </c>
      <c r="C6" s="5">
        <v>45388</v>
      </c>
      <c r="D6" s="16" t="s">
        <v>14</v>
      </c>
      <c r="E6" s="17" t="s">
        <v>361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16" t="s">
        <v>19</v>
      </c>
      <c r="M6" s="16" t="s">
        <v>365</v>
      </c>
      <c r="N6" s="16" t="s">
        <v>20</v>
      </c>
      <c r="O6" s="1"/>
      <c r="P6" s="23"/>
      <c r="Q6" s="23"/>
      <c r="R6" s="23"/>
      <c r="S6" s="23"/>
    </row>
    <row r="7" spans="1:19" ht="15" customHeight="1">
      <c r="A7" s="1" t="s">
        <v>28</v>
      </c>
      <c r="B7" s="1" t="s">
        <v>27</v>
      </c>
      <c r="C7" s="5">
        <v>45456</v>
      </c>
      <c r="D7" s="16" t="s">
        <v>14</v>
      </c>
      <c r="E7" s="17" t="s">
        <v>362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16" t="s">
        <v>19</v>
      </c>
      <c r="M7" s="16" t="s">
        <v>365</v>
      </c>
      <c r="N7" s="16" t="s">
        <v>20</v>
      </c>
      <c r="O7" s="1"/>
      <c r="P7" s="23"/>
      <c r="Q7" s="23"/>
      <c r="R7" s="23"/>
      <c r="S7" s="23"/>
    </row>
    <row r="8" spans="1:19" ht="15" customHeight="1">
      <c r="A8" s="1" t="s">
        <v>29</v>
      </c>
      <c r="B8" s="1" t="s">
        <v>22</v>
      </c>
      <c r="C8" s="5">
        <v>45645</v>
      </c>
      <c r="D8" s="16" t="s">
        <v>23</v>
      </c>
      <c r="E8" s="17" t="s">
        <v>30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16" t="s">
        <v>37</v>
      </c>
      <c r="M8" s="16" t="s">
        <v>34</v>
      </c>
      <c r="N8" s="16" t="s">
        <v>16</v>
      </c>
      <c r="O8" s="1"/>
      <c r="P8" s="23"/>
      <c r="Q8" s="23"/>
      <c r="R8" s="23"/>
      <c r="S8" s="23"/>
    </row>
    <row r="9" spans="1:19" ht="15.75" customHeight="1">
      <c r="A9" s="1" t="s">
        <v>31</v>
      </c>
      <c r="B9" s="1" t="s">
        <v>22</v>
      </c>
      <c r="C9" s="5">
        <v>45421</v>
      </c>
      <c r="D9" s="16" t="s">
        <v>23</v>
      </c>
      <c r="E9" s="17" t="s">
        <v>360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16" t="s">
        <v>19</v>
      </c>
      <c r="M9" s="16" t="s">
        <v>364</v>
      </c>
      <c r="N9" s="16" t="s">
        <v>16</v>
      </c>
      <c r="O9" s="1"/>
      <c r="P9" s="23"/>
      <c r="Q9" s="23"/>
      <c r="R9" s="23"/>
      <c r="S9" s="23"/>
    </row>
    <row r="10" spans="1:19" ht="15.75" customHeight="1">
      <c r="A10" s="1" t="s">
        <v>32</v>
      </c>
      <c r="B10" s="1" t="s">
        <v>22</v>
      </c>
      <c r="C10" s="5">
        <v>45823</v>
      </c>
      <c r="D10" s="16" t="s">
        <v>14</v>
      </c>
      <c r="E10" s="17" t="s">
        <v>33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16" t="s">
        <v>34</v>
      </c>
      <c r="M10" s="16"/>
      <c r="N10" s="16" t="s">
        <v>16</v>
      </c>
      <c r="O10" s="1"/>
      <c r="P10" s="23"/>
      <c r="Q10" s="23"/>
      <c r="R10" s="23"/>
      <c r="S10" s="23"/>
    </row>
    <row r="11" spans="1:19" ht="15.75" customHeight="1">
      <c r="A11" s="1" t="s">
        <v>35</v>
      </c>
      <c r="B11" s="1" t="s">
        <v>22</v>
      </c>
      <c r="C11" s="5">
        <v>45630</v>
      </c>
      <c r="D11" s="16" t="s">
        <v>14</v>
      </c>
      <c r="E11" s="17" t="s">
        <v>360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16" t="s">
        <v>34</v>
      </c>
      <c r="M11" s="16"/>
      <c r="N11" s="16" t="s">
        <v>16</v>
      </c>
      <c r="O11" s="1"/>
      <c r="P11" s="23"/>
      <c r="Q11" s="23"/>
      <c r="R11" s="23"/>
      <c r="S11" s="23"/>
    </row>
    <row r="12" spans="1:19" ht="15.75" customHeight="1">
      <c r="A12" s="1" t="s">
        <v>36</v>
      </c>
      <c r="B12" s="1" t="s">
        <v>22</v>
      </c>
      <c r="C12" s="5">
        <v>45357</v>
      </c>
      <c r="D12" s="16" t="s">
        <v>14</v>
      </c>
      <c r="E12" s="17" t="s">
        <v>15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16" t="s">
        <v>37</v>
      </c>
      <c r="M12" s="16"/>
      <c r="N12" s="16" t="s">
        <v>20</v>
      </c>
      <c r="O12" s="1"/>
      <c r="P12" s="23"/>
      <c r="Q12" s="23"/>
      <c r="R12" s="23"/>
      <c r="S12" s="23"/>
    </row>
    <row r="13" spans="1:19" ht="15.75" customHeight="1">
      <c r="A13" s="1" t="s">
        <v>38</v>
      </c>
      <c r="B13" s="1" t="s">
        <v>13</v>
      </c>
      <c r="C13" s="5">
        <v>45426</v>
      </c>
      <c r="D13" s="16" t="s">
        <v>14</v>
      </c>
      <c r="E13" s="17" t="s">
        <v>15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16" t="s">
        <v>37</v>
      </c>
      <c r="M13" s="16" t="s">
        <v>34</v>
      </c>
      <c r="N13" s="16" t="s">
        <v>16</v>
      </c>
      <c r="O13" s="1"/>
      <c r="P13" s="23"/>
      <c r="Q13" s="23"/>
      <c r="R13" s="23"/>
      <c r="S13" s="23"/>
    </row>
    <row r="14" spans="1:19" ht="15.75" customHeight="1">
      <c r="A14" s="1" t="s">
        <v>39</v>
      </c>
      <c r="B14" s="1" t="s">
        <v>22</v>
      </c>
      <c r="C14" s="5">
        <v>45826</v>
      </c>
      <c r="D14" s="16" t="s">
        <v>23</v>
      </c>
      <c r="E14" s="17" t="s">
        <v>15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16" t="s">
        <v>364</v>
      </c>
      <c r="M14" s="16" t="s">
        <v>34</v>
      </c>
      <c r="N14" s="16" t="s">
        <v>16</v>
      </c>
      <c r="O14" s="1"/>
      <c r="P14" s="23"/>
      <c r="Q14" s="23"/>
      <c r="R14" s="23"/>
      <c r="S14" s="23"/>
    </row>
    <row r="15" spans="1:19" ht="15.75">
      <c r="A15" s="1" t="s">
        <v>40</v>
      </c>
      <c r="B15" s="1" t="s">
        <v>22</v>
      </c>
      <c r="C15" s="5">
        <v>45573</v>
      </c>
      <c r="D15" s="16" t="s">
        <v>14</v>
      </c>
      <c r="E15" s="17" t="s">
        <v>363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16" t="s">
        <v>34</v>
      </c>
      <c r="M15" s="16"/>
      <c r="N15" s="16" t="s">
        <v>16</v>
      </c>
      <c r="O15" s="1"/>
    </row>
    <row r="16" spans="1:19" ht="15.75">
      <c r="A16" s="1" t="s">
        <v>41</v>
      </c>
      <c r="B16" s="1" t="s">
        <v>22</v>
      </c>
      <c r="C16" s="5">
        <v>45418</v>
      </c>
      <c r="D16" s="16" t="s">
        <v>14</v>
      </c>
      <c r="E16" s="17" t="s">
        <v>42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16" t="s">
        <v>34</v>
      </c>
      <c r="M16" s="16"/>
      <c r="N16" s="16" t="s">
        <v>16</v>
      </c>
      <c r="O16" s="1"/>
    </row>
    <row r="17" spans="1:15" ht="15.75">
      <c r="A17" s="1" t="s">
        <v>43</v>
      </c>
      <c r="B17" s="1" t="s">
        <v>22</v>
      </c>
      <c r="C17" s="5">
        <v>45655</v>
      </c>
      <c r="D17" s="16" t="s">
        <v>23</v>
      </c>
      <c r="E17" s="17" t="s">
        <v>24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16" t="s">
        <v>364</v>
      </c>
      <c r="M17" s="16" t="s">
        <v>34</v>
      </c>
      <c r="N17" s="16" t="s">
        <v>16</v>
      </c>
      <c r="O17" s="1"/>
    </row>
    <row r="18" spans="1:15" ht="15.75">
      <c r="A18" s="1" t="s">
        <v>44</v>
      </c>
      <c r="B18" s="1" t="s">
        <v>22</v>
      </c>
      <c r="C18" s="5">
        <v>45453</v>
      </c>
      <c r="D18" s="16" t="s">
        <v>14</v>
      </c>
      <c r="E18" s="17" t="s">
        <v>362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16" t="s">
        <v>34</v>
      </c>
      <c r="M18" s="16"/>
      <c r="N18" s="16" t="s">
        <v>16</v>
      </c>
      <c r="O18" s="1"/>
    </row>
    <row r="19" spans="1:15" ht="15.75">
      <c r="A19" s="1" t="s">
        <v>45</v>
      </c>
      <c r="B19" s="1" t="s">
        <v>13</v>
      </c>
      <c r="C19" s="5">
        <v>45325</v>
      </c>
      <c r="D19" s="16" t="s">
        <v>23</v>
      </c>
      <c r="E19" s="17" t="s">
        <v>361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16" t="s">
        <v>34</v>
      </c>
      <c r="M19" s="16"/>
      <c r="N19" s="16" t="s">
        <v>46</v>
      </c>
      <c r="O19" s="1"/>
    </row>
    <row r="20" spans="1:15" ht="15.75">
      <c r="A20" s="1" t="s">
        <v>47</v>
      </c>
      <c r="B20" s="1" t="s">
        <v>27</v>
      </c>
      <c r="C20" s="5">
        <v>45458</v>
      </c>
      <c r="D20" s="16" t="s">
        <v>48</v>
      </c>
      <c r="E20" s="17" t="s">
        <v>30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16" t="s">
        <v>19</v>
      </c>
      <c r="M20" s="16" t="s">
        <v>37</v>
      </c>
      <c r="N20" s="16" t="s">
        <v>49</v>
      </c>
      <c r="O20" s="1"/>
    </row>
    <row r="21" spans="1:15" ht="15.75" customHeight="1">
      <c r="A21" s="1" t="s">
        <v>50</v>
      </c>
      <c r="B21" s="1" t="s">
        <v>13</v>
      </c>
      <c r="C21" s="5">
        <v>45478</v>
      </c>
      <c r="D21" s="16" t="s">
        <v>14</v>
      </c>
      <c r="E21" s="17" t="s">
        <v>42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16" t="s">
        <v>19</v>
      </c>
      <c r="M21" s="16"/>
      <c r="N21" s="16" t="s">
        <v>20</v>
      </c>
      <c r="O21" s="1"/>
    </row>
    <row r="22" spans="1:15" ht="15.75" customHeight="1">
      <c r="A22" s="1" t="s">
        <v>51</v>
      </c>
      <c r="B22" s="1" t="s">
        <v>13</v>
      </c>
      <c r="C22" s="5">
        <v>45603</v>
      </c>
      <c r="D22" s="16" t="s">
        <v>23</v>
      </c>
      <c r="E22" s="17" t="s">
        <v>360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16" t="s">
        <v>34</v>
      </c>
      <c r="M22" s="16"/>
      <c r="N22" s="16" t="s">
        <v>46</v>
      </c>
      <c r="O22" s="1"/>
    </row>
    <row r="23" spans="1:15" ht="15.75" customHeight="1">
      <c r="A23" s="1" t="s">
        <v>52</v>
      </c>
      <c r="B23" s="1" t="s">
        <v>13</v>
      </c>
      <c r="C23" s="5">
        <v>45823</v>
      </c>
      <c r="D23" s="16" t="s">
        <v>14</v>
      </c>
      <c r="E23" s="17" t="s">
        <v>362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16" t="s">
        <v>37</v>
      </c>
      <c r="M23" s="16" t="s">
        <v>34</v>
      </c>
      <c r="N23" s="16" t="s">
        <v>16</v>
      </c>
      <c r="O23" s="1"/>
    </row>
    <row r="24" spans="1:15" ht="15.75" customHeight="1">
      <c r="A24" s="1" t="s">
        <v>53</v>
      </c>
      <c r="B24" s="1" t="s">
        <v>27</v>
      </c>
      <c r="C24" s="5">
        <v>45452</v>
      </c>
      <c r="D24" s="16" t="s">
        <v>48</v>
      </c>
      <c r="E24" s="17" t="s">
        <v>363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16" t="s">
        <v>19</v>
      </c>
      <c r="M24" s="16" t="s">
        <v>37</v>
      </c>
      <c r="N24" s="16" t="s">
        <v>49</v>
      </c>
      <c r="O24" s="1"/>
    </row>
    <row r="25" spans="1:15" ht="15.75" customHeight="1">
      <c r="A25" s="1" t="s">
        <v>54</v>
      </c>
      <c r="B25" s="1" t="s">
        <v>22</v>
      </c>
      <c r="C25" s="5">
        <v>45583</v>
      </c>
      <c r="D25" s="16" t="s">
        <v>14</v>
      </c>
      <c r="E25" s="17" t="s">
        <v>24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16" t="s">
        <v>37</v>
      </c>
      <c r="M25" s="16"/>
      <c r="N25" s="16" t="s">
        <v>20</v>
      </c>
      <c r="O25" s="1"/>
    </row>
    <row r="26" spans="1:15" ht="15.75" customHeight="1">
      <c r="A26" s="1" t="s">
        <v>55</v>
      </c>
      <c r="B26" s="1" t="s">
        <v>27</v>
      </c>
      <c r="C26" s="5">
        <v>45575</v>
      </c>
      <c r="D26" s="16" t="s">
        <v>48</v>
      </c>
      <c r="E26" s="17" t="s">
        <v>363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16" t="s">
        <v>19</v>
      </c>
      <c r="M26" s="16" t="s">
        <v>37</v>
      </c>
      <c r="N26" s="16" t="s">
        <v>49</v>
      </c>
      <c r="O26" s="1"/>
    </row>
    <row r="27" spans="1:15" ht="15.75" customHeight="1">
      <c r="A27" s="1" t="s">
        <v>56</v>
      </c>
      <c r="B27" s="1" t="s">
        <v>22</v>
      </c>
      <c r="C27" s="5">
        <v>45791</v>
      </c>
      <c r="D27" s="16" t="s">
        <v>23</v>
      </c>
      <c r="E27" s="17" t="s">
        <v>363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16" t="s">
        <v>19</v>
      </c>
      <c r="M27" s="16" t="s">
        <v>364</v>
      </c>
      <c r="N27" s="16" t="s">
        <v>16</v>
      </c>
      <c r="O27" s="1"/>
    </row>
    <row r="28" spans="1:15" ht="15.75" customHeight="1">
      <c r="A28" s="1" t="s">
        <v>57</v>
      </c>
      <c r="B28" s="1" t="s">
        <v>13</v>
      </c>
      <c r="C28" s="5">
        <v>45625</v>
      </c>
      <c r="D28" s="16" t="s">
        <v>14</v>
      </c>
      <c r="E28" s="17" t="s">
        <v>362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16" t="s">
        <v>37</v>
      </c>
      <c r="M28" s="16" t="s">
        <v>34</v>
      </c>
      <c r="N28" s="16" t="s">
        <v>16</v>
      </c>
      <c r="O28" s="1"/>
    </row>
    <row r="29" spans="1:15" ht="15.75" customHeight="1">
      <c r="A29" s="1" t="s">
        <v>58</v>
      </c>
      <c r="B29" s="1" t="s">
        <v>27</v>
      </c>
      <c r="C29" s="5">
        <v>45356</v>
      </c>
      <c r="D29" s="16" t="s">
        <v>48</v>
      </c>
      <c r="E29" s="17" t="s">
        <v>18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16" t="s">
        <v>19</v>
      </c>
      <c r="M29" s="16" t="s">
        <v>37</v>
      </c>
      <c r="N29" s="16" t="s">
        <v>49</v>
      </c>
      <c r="O29" s="1"/>
    </row>
    <row r="30" spans="1:15" ht="15.75" customHeight="1">
      <c r="A30" s="1" t="s">
        <v>59</v>
      </c>
      <c r="B30" s="1" t="s">
        <v>22</v>
      </c>
      <c r="C30" s="5">
        <v>45734</v>
      </c>
      <c r="D30" s="16" t="s">
        <v>23</v>
      </c>
      <c r="E30" s="17" t="s">
        <v>18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16" t="s">
        <v>364</v>
      </c>
      <c r="M30" s="16" t="s">
        <v>34</v>
      </c>
      <c r="N30" s="16" t="s">
        <v>16</v>
      </c>
      <c r="O30" s="1"/>
    </row>
    <row r="31" spans="1:15" ht="15.75" customHeight="1">
      <c r="A31" s="1" t="s">
        <v>60</v>
      </c>
      <c r="B31" s="1" t="s">
        <v>22</v>
      </c>
      <c r="C31" s="5">
        <v>45773</v>
      </c>
      <c r="D31" s="16" t="s">
        <v>14</v>
      </c>
      <c r="E31" s="17" t="s">
        <v>15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16" t="s">
        <v>34</v>
      </c>
      <c r="M31" s="16"/>
      <c r="N31" s="16" t="s">
        <v>16</v>
      </c>
      <c r="O31" s="1"/>
    </row>
    <row r="32" spans="1:15" ht="15.75" customHeight="1">
      <c r="A32" s="1" t="s">
        <v>61</v>
      </c>
      <c r="B32" s="1" t="s">
        <v>13</v>
      </c>
      <c r="C32" s="5">
        <v>45658</v>
      </c>
      <c r="D32" s="16" t="s">
        <v>14</v>
      </c>
      <c r="E32" s="17" t="s">
        <v>24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16" t="s">
        <v>37</v>
      </c>
      <c r="M32" s="16" t="s">
        <v>34</v>
      </c>
      <c r="N32" s="16" t="s">
        <v>16</v>
      </c>
      <c r="O32" s="1"/>
    </row>
    <row r="33" spans="1:15" ht="15.75" customHeight="1">
      <c r="A33" s="1" t="s">
        <v>62</v>
      </c>
      <c r="B33" s="1" t="s">
        <v>22</v>
      </c>
      <c r="C33" s="5">
        <v>45419</v>
      </c>
      <c r="D33" s="16" t="s">
        <v>23</v>
      </c>
      <c r="E33" s="17" t="s">
        <v>18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16" t="s">
        <v>37</v>
      </c>
      <c r="M33" s="16" t="s">
        <v>34</v>
      </c>
      <c r="N33" s="16" t="s">
        <v>16</v>
      </c>
      <c r="O33" s="1"/>
    </row>
    <row r="34" spans="1:15" ht="15.75" customHeight="1">
      <c r="A34" s="1" t="s">
        <v>63</v>
      </c>
      <c r="B34" s="1" t="s">
        <v>22</v>
      </c>
      <c r="C34" s="5">
        <v>45574</v>
      </c>
      <c r="D34" s="16" t="s">
        <v>23</v>
      </c>
      <c r="E34" s="17" t="s">
        <v>15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16" t="s">
        <v>19</v>
      </c>
      <c r="M34" s="16" t="s">
        <v>364</v>
      </c>
      <c r="N34" s="16" t="s">
        <v>16</v>
      </c>
      <c r="O34" s="1"/>
    </row>
    <row r="35" spans="1:15" ht="15.75" customHeight="1">
      <c r="A35" s="1" t="s">
        <v>64</v>
      </c>
      <c r="B35" s="1" t="s">
        <v>13</v>
      </c>
      <c r="C35" s="5">
        <v>45666</v>
      </c>
      <c r="D35" s="16" t="s">
        <v>14</v>
      </c>
      <c r="E35" s="17" t="s">
        <v>24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16" t="s">
        <v>37</v>
      </c>
      <c r="M35" s="16" t="s">
        <v>34</v>
      </c>
      <c r="N35" s="16" t="s">
        <v>16</v>
      </c>
      <c r="O35" s="1"/>
    </row>
    <row r="36" spans="1:15" ht="15.75" customHeight="1">
      <c r="A36" s="1" t="s">
        <v>65</v>
      </c>
      <c r="B36" s="1" t="s">
        <v>22</v>
      </c>
      <c r="C36" s="5">
        <v>45785</v>
      </c>
      <c r="D36" s="16" t="s">
        <v>23</v>
      </c>
      <c r="E36" s="17" t="s">
        <v>42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16" t="s">
        <v>364</v>
      </c>
      <c r="M36" s="16" t="s">
        <v>34</v>
      </c>
      <c r="N36" s="16" t="s">
        <v>16</v>
      </c>
      <c r="O36" s="1"/>
    </row>
    <row r="37" spans="1:15" ht="15.75" customHeight="1">
      <c r="A37" s="1" t="s">
        <v>66</v>
      </c>
      <c r="B37" s="1" t="s">
        <v>13</v>
      </c>
      <c r="C37" s="5">
        <v>45416</v>
      </c>
      <c r="D37" s="16" t="s">
        <v>14</v>
      </c>
      <c r="E37" s="17" t="s">
        <v>360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16" t="s">
        <v>19</v>
      </c>
      <c r="M37" s="16"/>
      <c r="N37" s="16" t="s">
        <v>20</v>
      </c>
      <c r="O37" s="1"/>
    </row>
    <row r="38" spans="1:15" ht="15.75" customHeight="1">
      <c r="A38" s="1" t="s">
        <v>67</v>
      </c>
      <c r="B38" s="1" t="s">
        <v>22</v>
      </c>
      <c r="C38" s="5">
        <v>45804</v>
      </c>
      <c r="D38" s="16" t="s">
        <v>23</v>
      </c>
      <c r="E38" s="17" t="s">
        <v>18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16" t="s">
        <v>364</v>
      </c>
      <c r="M38" s="16" t="s">
        <v>34</v>
      </c>
      <c r="N38" s="16" t="s">
        <v>16</v>
      </c>
      <c r="O38" s="1"/>
    </row>
    <row r="39" spans="1:15" ht="15.75" customHeight="1">
      <c r="A39" s="1" t="s">
        <v>68</v>
      </c>
      <c r="B39" s="1" t="s">
        <v>13</v>
      </c>
      <c r="C39" s="5">
        <v>45545</v>
      </c>
      <c r="D39" s="16" t="s">
        <v>23</v>
      </c>
      <c r="E39" s="17" t="s">
        <v>24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16" t="s">
        <v>34</v>
      </c>
      <c r="M39" s="16"/>
      <c r="N39" s="16" t="s">
        <v>46</v>
      </c>
      <c r="O39" s="1"/>
    </row>
    <row r="40" spans="1:15" ht="15.75" customHeight="1">
      <c r="A40" s="1" t="s">
        <v>69</v>
      </c>
      <c r="B40" s="1" t="s">
        <v>13</v>
      </c>
      <c r="C40" s="5">
        <v>45621</v>
      </c>
      <c r="D40" s="16" t="s">
        <v>14</v>
      </c>
      <c r="E40" s="17" t="s">
        <v>363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16" t="s">
        <v>19</v>
      </c>
      <c r="M40" s="16"/>
      <c r="N40" s="16" t="s">
        <v>20</v>
      </c>
      <c r="O40" s="1"/>
    </row>
    <row r="41" spans="1:15" ht="15.75" customHeight="1">
      <c r="A41" s="1" t="s">
        <v>70</v>
      </c>
      <c r="B41" s="1" t="s">
        <v>22</v>
      </c>
      <c r="C41" s="5">
        <v>45818</v>
      </c>
      <c r="D41" s="16" t="s">
        <v>14</v>
      </c>
      <c r="E41" s="17" t="s">
        <v>18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16" t="s">
        <v>34</v>
      </c>
      <c r="M41" s="16"/>
      <c r="N41" s="16" t="s">
        <v>16</v>
      </c>
      <c r="O41" s="1"/>
    </row>
    <row r="42" spans="1:15" ht="15.75" customHeight="1">
      <c r="A42" s="1" t="s">
        <v>71</v>
      </c>
      <c r="B42" s="1" t="s">
        <v>13</v>
      </c>
      <c r="C42" s="5">
        <v>45401</v>
      </c>
      <c r="D42" s="16" t="s">
        <v>14</v>
      </c>
      <c r="E42" s="17" t="s">
        <v>24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16" t="s">
        <v>37</v>
      </c>
      <c r="M42" s="16" t="s">
        <v>34</v>
      </c>
      <c r="N42" s="16" t="s">
        <v>16</v>
      </c>
      <c r="O42" s="1"/>
    </row>
    <row r="43" spans="1:15" ht="15.75" customHeight="1">
      <c r="A43" s="1" t="s">
        <v>72</v>
      </c>
      <c r="B43" s="1" t="s">
        <v>13</v>
      </c>
      <c r="C43" s="5">
        <v>45683</v>
      </c>
      <c r="D43" s="16" t="s">
        <v>23</v>
      </c>
      <c r="E43" s="17" t="s">
        <v>362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16" t="s">
        <v>34</v>
      </c>
      <c r="M43" s="16"/>
      <c r="N43" s="16" t="s">
        <v>46</v>
      </c>
      <c r="O43" s="1"/>
    </row>
    <row r="44" spans="1:15" ht="15.75" customHeight="1">
      <c r="A44" s="1" t="s">
        <v>73</v>
      </c>
      <c r="B44" s="1" t="s">
        <v>13</v>
      </c>
      <c r="C44" s="5">
        <v>45702</v>
      </c>
      <c r="D44" s="16" t="s">
        <v>14</v>
      </c>
      <c r="E44" s="17" t="s">
        <v>33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16" t="s">
        <v>37</v>
      </c>
      <c r="M44" s="16" t="s">
        <v>34</v>
      </c>
      <c r="N44" s="16" t="s">
        <v>16</v>
      </c>
      <c r="O44" s="1"/>
    </row>
    <row r="45" spans="1:15" ht="15.75" customHeight="1">
      <c r="A45" s="1" t="s">
        <v>74</v>
      </c>
      <c r="B45" s="1" t="s">
        <v>13</v>
      </c>
      <c r="C45" s="5">
        <v>45541</v>
      </c>
      <c r="D45" s="16" t="s">
        <v>14</v>
      </c>
      <c r="E45" s="17" t="s">
        <v>24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16" t="s">
        <v>19</v>
      </c>
      <c r="M45" s="16"/>
      <c r="N45" s="16" t="s">
        <v>20</v>
      </c>
      <c r="O45" s="1"/>
    </row>
    <row r="46" spans="1:15" ht="15.75" customHeight="1">
      <c r="A46" s="1" t="s">
        <v>75</v>
      </c>
      <c r="B46" s="1" t="s">
        <v>27</v>
      </c>
      <c r="C46" s="5">
        <v>45487</v>
      </c>
      <c r="D46" s="16" t="s">
        <v>14</v>
      </c>
      <c r="E46" s="17" t="s">
        <v>42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16" t="s">
        <v>19</v>
      </c>
      <c r="M46" s="16" t="s">
        <v>365</v>
      </c>
      <c r="N46" s="16" t="s">
        <v>20</v>
      </c>
      <c r="O46" s="1"/>
    </row>
    <row r="47" spans="1:15" ht="15.75" customHeight="1">
      <c r="A47" s="1" t="s">
        <v>76</v>
      </c>
      <c r="B47" s="1" t="s">
        <v>13</v>
      </c>
      <c r="C47" s="5">
        <v>45334</v>
      </c>
      <c r="D47" s="16" t="s">
        <v>14</v>
      </c>
      <c r="E47" s="17" t="s">
        <v>18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16" t="s">
        <v>19</v>
      </c>
      <c r="M47" s="16"/>
      <c r="N47" s="16" t="s">
        <v>20</v>
      </c>
      <c r="O47" s="1"/>
    </row>
    <row r="48" spans="1:15" ht="15.75" customHeight="1">
      <c r="A48" s="1" t="s">
        <v>77</v>
      </c>
      <c r="B48" s="1" t="s">
        <v>27</v>
      </c>
      <c r="C48" s="5">
        <v>45365</v>
      </c>
      <c r="D48" s="16" t="s">
        <v>48</v>
      </c>
      <c r="E48" s="17" t="s">
        <v>363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16" t="s">
        <v>19</v>
      </c>
      <c r="M48" s="16" t="s">
        <v>37</v>
      </c>
      <c r="N48" s="16" t="s">
        <v>49</v>
      </c>
      <c r="O48" s="1"/>
    </row>
    <row r="49" spans="1:15" ht="15.75" customHeight="1">
      <c r="A49" s="1" t="s">
        <v>78</v>
      </c>
      <c r="B49" s="1" t="s">
        <v>13</v>
      </c>
      <c r="C49" s="5">
        <v>45693</v>
      </c>
      <c r="D49" s="16" t="s">
        <v>23</v>
      </c>
      <c r="E49" s="17" t="s">
        <v>361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16" t="s">
        <v>34</v>
      </c>
      <c r="M49" s="16"/>
      <c r="N49" s="16" t="s">
        <v>46</v>
      </c>
      <c r="O49" s="1"/>
    </row>
    <row r="50" spans="1:15" ht="15.75" customHeight="1">
      <c r="A50" s="1" t="s">
        <v>79</v>
      </c>
      <c r="B50" s="1" t="s">
        <v>22</v>
      </c>
      <c r="C50" s="5">
        <v>45533</v>
      </c>
      <c r="D50" s="16" t="s">
        <v>23</v>
      </c>
      <c r="E50" s="17" t="s">
        <v>30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16" t="s">
        <v>19</v>
      </c>
      <c r="M50" s="16" t="s">
        <v>364</v>
      </c>
      <c r="N50" s="16" t="s">
        <v>16</v>
      </c>
      <c r="O50" s="1"/>
    </row>
    <row r="51" spans="1:15" ht="15.75" customHeight="1">
      <c r="A51" s="1" t="s">
        <v>80</v>
      </c>
      <c r="B51" s="1" t="s">
        <v>22</v>
      </c>
      <c r="C51" s="5">
        <v>45769</v>
      </c>
      <c r="D51" s="16" t="s">
        <v>14</v>
      </c>
      <c r="E51" s="17" t="s">
        <v>15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16" t="s">
        <v>34</v>
      </c>
      <c r="M51" s="16"/>
      <c r="N51" s="16" t="s">
        <v>16</v>
      </c>
      <c r="O51" s="1"/>
    </row>
    <row r="52" spans="1:15" ht="15.75" customHeight="1">
      <c r="A52" s="1" t="s">
        <v>81</v>
      </c>
      <c r="B52" s="1" t="s">
        <v>27</v>
      </c>
      <c r="C52" s="5">
        <v>45425</v>
      </c>
      <c r="D52" s="16" t="s">
        <v>48</v>
      </c>
      <c r="E52" s="17" t="s">
        <v>18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16" t="s">
        <v>19</v>
      </c>
      <c r="M52" s="16" t="s">
        <v>37</v>
      </c>
      <c r="N52" s="16" t="s">
        <v>49</v>
      </c>
      <c r="O52" s="1"/>
    </row>
    <row r="53" spans="1:15" ht="15.75" customHeight="1">
      <c r="A53" s="1" t="s">
        <v>82</v>
      </c>
      <c r="B53" s="1" t="s">
        <v>22</v>
      </c>
      <c r="C53" s="5">
        <v>45539</v>
      </c>
      <c r="D53" s="16" t="s">
        <v>23</v>
      </c>
      <c r="E53" s="17" t="s">
        <v>24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16" t="s">
        <v>19</v>
      </c>
      <c r="M53" s="16" t="s">
        <v>364</v>
      </c>
      <c r="N53" s="16" t="s">
        <v>16</v>
      </c>
      <c r="O53" s="1"/>
    </row>
    <row r="54" spans="1:15" ht="15.75" customHeight="1">
      <c r="A54" s="1" t="s">
        <v>83</v>
      </c>
      <c r="B54" s="1" t="s">
        <v>22</v>
      </c>
      <c r="C54" s="5">
        <v>45516</v>
      </c>
      <c r="D54" s="16" t="s">
        <v>23</v>
      </c>
      <c r="E54" s="17" t="s">
        <v>362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16" t="s">
        <v>364</v>
      </c>
      <c r="M54" s="16" t="s">
        <v>34</v>
      </c>
      <c r="N54" s="16" t="s">
        <v>16</v>
      </c>
      <c r="O54" s="1"/>
    </row>
    <row r="55" spans="1:15" ht="15.75" customHeight="1">
      <c r="A55" s="1" t="s">
        <v>84</v>
      </c>
      <c r="B55" s="1" t="s">
        <v>13</v>
      </c>
      <c r="C55" s="5">
        <v>45722</v>
      </c>
      <c r="D55" s="16" t="s">
        <v>14</v>
      </c>
      <c r="E55" s="17" t="s">
        <v>30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16" t="s">
        <v>19</v>
      </c>
      <c r="M55" s="16"/>
      <c r="N55" s="16" t="s">
        <v>20</v>
      </c>
      <c r="O55" s="1"/>
    </row>
    <row r="56" spans="1:15" ht="15.75" customHeight="1">
      <c r="A56" s="1" t="s">
        <v>85</v>
      </c>
      <c r="B56" s="1" t="s">
        <v>22</v>
      </c>
      <c r="C56" s="5">
        <v>45420</v>
      </c>
      <c r="D56" s="16" t="s">
        <v>14</v>
      </c>
      <c r="E56" s="17" t="s">
        <v>18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16" t="s">
        <v>34</v>
      </c>
      <c r="M56" s="16"/>
      <c r="N56" s="16" t="s">
        <v>16</v>
      </c>
      <c r="O56" s="1"/>
    </row>
    <row r="57" spans="1:15" ht="15.75" customHeight="1">
      <c r="A57" s="1" t="s">
        <v>86</v>
      </c>
      <c r="B57" s="1" t="s">
        <v>13</v>
      </c>
      <c r="C57" s="5">
        <v>45707</v>
      </c>
      <c r="D57" s="16" t="s">
        <v>23</v>
      </c>
      <c r="E57" s="17" t="s">
        <v>363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16" t="s">
        <v>34</v>
      </c>
      <c r="M57" s="16"/>
      <c r="N57" s="16" t="s">
        <v>46</v>
      </c>
      <c r="O57" s="1"/>
    </row>
    <row r="58" spans="1:15" ht="15.75" customHeight="1">
      <c r="A58" s="1" t="s">
        <v>87</v>
      </c>
      <c r="B58" s="1" t="s">
        <v>13</v>
      </c>
      <c r="C58" s="5">
        <v>45299</v>
      </c>
      <c r="D58" s="16" t="s">
        <v>14</v>
      </c>
      <c r="E58" s="17" t="s">
        <v>33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16" t="s">
        <v>19</v>
      </c>
      <c r="M58" s="16"/>
      <c r="N58" s="16" t="s">
        <v>20</v>
      </c>
      <c r="O58" s="1"/>
    </row>
    <row r="59" spans="1:15" ht="15.75" customHeight="1">
      <c r="A59" s="1" t="s">
        <v>88</v>
      </c>
      <c r="B59" s="1" t="s">
        <v>27</v>
      </c>
      <c r="C59" s="5">
        <v>45490</v>
      </c>
      <c r="D59" s="16" t="s">
        <v>14</v>
      </c>
      <c r="E59" s="17" t="s">
        <v>33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16" t="s">
        <v>19</v>
      </c>
      <c r="M59" s="16" t="s">
        <v>365</v>
      </c>
      <c r="N59" s="16" t="s">
        <v>20</v>
      </c>
      <c r="O59" s="1"/>
    </row>
    <row r="60" spans="1:15" ht="15.75" customHeight="1">
      <c r="A60" s="1" t="s">
        <v>89</v>
      </c>
      <c r="B60" s="1" t="s">
        <v>27</v>
      </c>
      <c r="C60" s="5">
        <v>45514</v>
      </c>
      <c r="D60" s="16" t="s">
        <v>14</v>
      </c>
      <c r="E60" s="17" t="s">
        <v>363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16" t="s">
        <v>19</v>
      </c>
      <c r="M60" s="16" t="s">
        <v>365</v>
      </c>
      <c r="N60" s="16" t="s">
        <v>20</v>
      </c>
      <c r="O60" s="1"/>
    </row>
    <row r="61" spans="1:15" ht="15.75" customHeight="1">
      <c r="A61" s="1" t="s">
        <v>90</v>
      </c>
      <c r="B61" s="1" t="s">
        <v>27</v>
      </c>
      <c r="C61" s="5">
        <v>45398</v>
      </c>
      <c r="D61" s="16" t="s">
        <v>14</v>
      </c>
      <c r="E61" s="17" t="s">
        <v>15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16" t="s">
        <v>19</v>
      </c>
      <c r="M61" s="16" t="s">
        <v>365</v>
      </c>
      <c r="N61" s="16" t="s">
        <v>20</v>
      </c>
      <c r="O61" s="1"/>
    </row>
    <row r="62" spans="1:15" ht="15.75" customHeight="1">
      <c r="A62" s="1" t="s">
        <v>91</v>
      </c>
      <c r="B62" s="1" t="s">
        <v>27</v>
      </c>
      <c r="C62" s="5">
        <v>45292</v>
      </c>
      <c r="D62" s="16" t="s">
        <v>48</v>
      </c>
      <c r="E62" s="17" t="s">
        <v>18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16" t="s">
        <v>19</v>
      </c>
      <c r="M62" s="16" t="s">
        <v>37</v>
      </c>
      <c r="N62" s="16" t="s">
        <v>49</v>
      </c>
      <c r="O62" s="1"/>
    </row>
    <row r="63" spans="1:15" ht="15.75" customHeight="1">
      <c r="A63" s="1" t="s">
        <v>92</v>
      </c>
      <c r="B63" s="1" t="s">
        <v>22</v>
      </c>
      <c r="C63" s="5">
        <v>45599</v>
      </c>
      <c r="D63" s="16" t="s">
        <v>23</v>
      </c>
      <c r="E63" s="17" t="s">
        <v>360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16" t="s">
        <v>364</v>
      </c>
      <c r="M63" s="16" t="s">
        <v>34</v>
      </c>
      <c r="N63" s="16" t="s">
        <v>16</v>
      </c>
      <c r="O63" s="1"/>
    </row>
    <row r="64" spans="1:15" ht="15.75" customHeight="1">
      <c r="A64" s="1" t="s">
        <v>93</v>
      </c>
      <c r="B64" s="1" t="s">
        <v>22</v>
      </c>
      <c r="C64" s="5">
        <v>45480</v>
      </c>
      <c r="D64" s="16" t="s">
        <v>14</v>
      </c>
      <c r="E64" s="17" t="s">
        <v>24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16" t="s">
        <v>37</v>
      </c>
      <c r="M64" s="16"/>
      <c r="N64" s="16" t="s">
        <v>20</v>
      </c>
      <c r="O64" s="1"/>
    </row>
    <row r="65" spans="1:15" ht="15.75" customHeight="1">
      <c r="A65" s="1" t="s">
        <v>94</v>
      </c>
      <c r="B65" s="1" t="s">
        <v>22</v>
      </c>
      <c r="C65" s="5">
        <v>45679</v>
      </c>
      <c r="D65" s="16" t="s">
        <v>23</v>
      </c>
      <c r="E65" s="17" t="s">
        <v>24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16" t="s">
        <v>364</v>
      </c>
      <c r="M65" s="16" t="s">
        <v>34</v>
      </c>
      <c r="N65" s="16" t="s">
        <v>16</v>
      </c>
      <c r="O65" s="1"/>
    </row>
    <row r="66" spans="1:15" ht="15.75" customHeight="1">
      <c r="A66" s="1" t="s">
        <v>95</v>
      </c>
      <c r="B66" s="1" t="s">
        <v>27</v>
      </c>
      <c r="C66" s="5">
        <v>45438</v>
      </c>
      <c r="D66" s="16" t="s">
        <v>14</v>
      </c>
      <c r="E66" s="17" t="s">
        <v>363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16" t="s">
        <v>19</v>
      </c>
      <c r="M66" s="16" t="s">
        <v>365</v>
      </c>
      <c r="N66" s="16" t="s">
        <v>20</v>
      </c>
      <c r="O66" s="1"/>
    </row>
    <row r="67" spans="1:15" ht="15.75" customHeight="1">
      <c r="A67" s="1" t="s">
        <v>96</v>
      </c>
      <c r="B67" s="1" t="s">
        <v>13</v>
      </c>
      <c r="C67" s="5">
        <v>45763</v>
      </c>
      <c r="D67" s="16" t="s">
        <v>14</v>
      </c>
      <c r="E67" s="17" t="s">
        <v>360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16" t="s">
        <v>37</v>
      </c>
      <c r="M67" s="16" t="s">
        <v>34</v>
      </c>
      <c r="N67" s="16" t="s">
        <v>16</v>
      </c>
      <c r="O67" s="1"/>
    </row>
    <row r="68" spans="1:15" ht="15.75" customHeight="1">
      <c r="A68" s="1" t="s">
        <v>97</v>
      </c>
      <c r="B68" s="1" t="s">
        <v>27</v>
      </c>
      <c r="C68" s="5">
        <v>45384</v>
      </c>
      <c r="D68" s="16" t="s">
        <v>48</v>
      </c>
      <c r="E68" s="17" t="s">
        <v>42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16" t="s">
        <v>19</v>
      </c>
      <c r="M68" s="16" t="s">
        <v>37</v>
      </c>
      <c r="N68" s="16" t="s">
        <v>49</v>
      </c>
      <c r="O68" s="1"/>
    </row>
    <row r="69" spans="1:15" ht="15.75" customHeight="1">
      <c r="A69" s="1" t="s">
        <v>98</v>
      </c>
      <c r="B69" s="1" t="s">
        <v>22</v>
      </c>
      <c r="C69" s="5">
        <v>45379</v>
      </c>
      <c r="D69" s="16" t="s">
        <v>14</v>
      </c>
      <c r="E69" s="17" t="s">
        <v>361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16" t="s">
        <v>37</v>
      </c>
      <c r="M69" s="16"/>
      <c r="N69" s="16" t="s">
        <v>20</v>
      </c>
      <c r="O69" s="1"/>
    </row>
    <row r="70" spans="1:15" ht="15.75" customHeight="1">
      <c r="A70" s="1" t="s">
        <v>99</v>
      </c>
      <c r="B70" s="1" t="s">
        <v>22</v>
      </c>
      <c r="C70" s="5">
        <v>45643</v>
      </c>
      <c r="D70" s="16" t="s">
        <v>23</v>
      </c>
      <c r="E70" s="17" t="s">
        <v>361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16" t="s">
        <v>19</v>
      </c>
      <c r="M70" s="16" t="s">
        <v>364</v>
      </c>
      <c r="N70" s="16" t="s">
        <v>16</v>
      </c>
      <c r="O70" s="1"/>
    </row>
    <row r="71" spans="1:15" ht="15.75" customHeight="1">
      <c r="A71" s="1" t="s">
        <v>100</v>
      </c>
      <c r="B71" s="1" t="s">
        <v>22</v>
      </c>
      <c r="C71" s="5">
        <v>45662</v>
      </c>
      <c r="D71" s="16" t="s">
        <v>14</v>
      </c>
      <c r="E71" s="17" t="s">
        <v>360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16" t="s">
        <v>34</v>
      </c>
      <c r="M71" s="16"/>
      <c r="N71" s="16" t="s">
        <v>16</v>
      </c>
      <c r="O71" s="1"/>
    </row>
    <row r="72" spans="1:15" ht="15.75" customHeight="1">
      <c r="A72" s="1" t="s">
        <v>101</v>
      </c>
      <c r="B72" s="1" t="s">
        <v>22</v>
      </c>
      <c r="C72" s="5">
        <v>45302</v>
      </c>
      <c r="D72" s="16" t="s">
        <v>14</v>
      </c>
      <c r="E72" s="17" t="s">
        <v>362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16" t="s">
        <v>37</v>
      </c>
      <c r="M72" s="16"/>
      <c r="N72" s="16" t="s">
        <v>20</v>
      </c>
      <c r="O72" s="1"/>
    </row>
    <row r="73" spans="1:15" ht="15.75" customHeight="1">
      <c r="A73" s="1" t="s">
        <v>102</v>
      </c>
      <c r="B73" s="1" t="s">
        <v>13</v>
      </c>
      <c r="C73" s="5">
        <v>45576</v>
      </c>
      <c r="D73" s="16" t="s">
        <v>14</v>
      </c>
      <c r="E73" s="17" t="s">
        <v>363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16" t="s">
        <v>19</v>
      </c>
      <c r="M73" s="16"/>
      <c r="N73" s="16" t="s">
        <v>20</v>
      </c>
      <c r="O73" s="1"/>
    </row>
    <row r="74" spans="1:15" ht="15.75" customHeight="1">
      <c r="A74" s="1" t="s">
        <v>103</v>
      </c>
      <c r="B74" s="1" t="s">
        <v>27</v>
      </c>
      <c r="C74" s="5">
        <v>45783</v>
      </c>
      <c r="D74" s="16" t="s">
        <v>48</v>
      </c>
      <c r="E74" s="17" t="s">
        <v>15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16" t="s">
        <v>19</v>
      </c>
      <c r="M74" s="16" t="s">
        <v>37</v>
      </c>
      <c r="N74" s="16" t="s">
        <v>49</v>
      </c>
      <c r="O74" s="1"/>
    </row>
    <row r="75" spans="1:15" ht="15.75" customHeight="1">
      <c r="A75" s="1" t="s">
        <v>104</v>
      </c>
      <c r="B75" s="1" t="s">
        <v>22</v>
      </c>
      <c r="C75" s="5">
        <v>45431</v>
      </c>
      <c r="D75" s="16" t="s">
        <v>23</v>
      </c>
      <c r="E75" s="17" t="s">
        <v>30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16" t="s">
        <v>19</v>
      </c>
      <c r="M75" s="16" t="s">
        <v>364</v>
      </c>
      <c r="N75" s="16" t="s">
        <v>16</v>
      </c>
      <c r="O75" s="1"/>
    </row>
    <row r="76" spans="1:15" ht="15.75" customHeight="1">
      <c r="A76" s="1" t="s">
        <v>105</v>
      </c>
      <c r="B76" s="1" t="s">
        <v>22</v>
      </c>
      <c r="C76" s="5">
        <v>45313</v>
      </c>
      <c r="D76" s="16" t="s">
        <v>23</v>
      </c>
      <c r="E76" s="17" t="s">
        <v>363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16" t="s">
        <v>37</v>
      </c>
      <c r="M76" s="16" t="s">
        <v>34</v>
      </c>
      <c r="N76" s="16" t="s">
        <v>16</v>
      </c>
      <c r="O76" s="1"/>
    </row>
    <row r="77" spans="1:15" ht="15.75" customHeight="1">
      <c r="A77" s="1" t="s">
        <v>106</v>
      </c>
      <c r="B77" s="1" t="s">
        <v>13</v>
      </c>
      <c r="C77" s="5">
        <v>45487</v>
      </c>
      <c r="D77" s="16" t="s">
        <v>14</v>
      </c>
      <c r="E77" s="17" t="s">
        <v>360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16" t="s">
        <v>19</v>
      </c>
      <c r="M77" s="16"/>
      <c r="N77" s="16" t="s">
        <v>20</v>
      </c>
      <c r="O77" s="1"/>
    </row>
    <row r="78" spans="1:15" ht="15.75" customHeight="1">
      <c r="A78" s="1" t="s">
        <v>107</v>
      </c>
      <c r="B78" s="1" t="s">
        <v>22</v>
      </c>
      <c r="C78" s="5">
        <v>45805</v>
      </c>
      <c r="D78" s="16" t="s">
        <v>14</v>
      </c>
      <c r="E78" s="17" t="s">
        <v>363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16" t="s">
        <v>34</v>
      </c>
      <c r="M78" s="16"/>
      <c r="N78" s="16" t="s">
        <v>16</v>
      </c>
      <c r="O78" s="1"/>
    </row>
    <row r="79" spans="1:15" ht="15.75" customHeight="1">
      <c r="A79" s="1" t="s">
        <v>108</v>
      </c>
      <c r="B79" s="1" t="s">
        <v>22</v>
      </c>
      <c r="C79" s="5">
        <v>45678</v>
      </c>
      <c r="D79" s="16" t="s">
        <v>23</v>
      </c>
      <c r="E79" s="17" t="s">
        <v>15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16" t="s">
        <v>364</v>
      </c>
      <c r="M79" s="16" t="s">
        <v>34</v>
      </c>
      <c r="N79" s="16" t="s">
        <v>16</v>
      </c>
      <c r="O79" s="1"/>
    </row>
    <row r="80" spans="1:15" ht="15.75" customHeight="1">
      <c r="A80" s="1" t="s">
        <v>109</v>
      </c>
      <c r="B80" s="1" t="s">
        <v>27</v>
      </c>
      <c r="C80" s="5">
        <v>45304</v>
      </c>
      <c r="D80" s="16" t="s">
        <v>48</v>
      </c>
      <c r="E80" s="17" t="s">
        <v>24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16" t="s">
        <v>19</v>
      </c>
      <c r="M80" s="16" t="s">
        <v>37</v>
      </c>
      <c r="N80" s="16" t="s">
        <v>49</v>
      </c>
      <c r="O80" s="1"/>
    </row>
    <row r="81" spans="1:15" ht="15.75" customHeight="1">
      <c r="A81" s="1" t="s">
        <v>110</v>
      </c>
      <c r="B81" s="1" t="s">
        <v>13</v>
      </c>
      <c r="C81" s="5">
        <v>45825</v>
      </c>
      <c r="D81" s="16" t="s">
        <v>14</v>
      </c>
      <c r="E81" s="17" t="s">
        <v>361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16" t="s">
        <v>37</v>
      </c>
      <c r="M81" s="16" t="s">
        <v>34</v>
      </c>
      <c r="N81" s="16" t="s">
        <v>16</v>
      </c>
      <c r="O81" s="1"/>
    </row>
    <row r="82" spans="1:15" ht="15.75" customHeight="1">
      <c r="A82" s="1" t="s">
        <v>111</v>
      </c>
      <c r="B82" s="1" t="s">
        <v>22</v>
      </c>
      <c r="C82" s="5">
        <v>45723</v>
      </c>
      <c r="D82" s="16" t="s">
        <v>14</v>
      </c>
      <c r="E82" s="17" t="s">
        <v>30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16" t="s">
        <v>37</v>
      </c>
      <c r="M82" s="16"/>
      <c r="N82" s="16" t="s">
        <v>20</v>
      </c>
      <c r="O82" s="1"/>
    </row>
    <row r="83" spans="1:15" ht="15.75" customHeight="1">
      <c r="A83" s="1" t="s">
        <v>112</v>
      </c>
      <c r="B83" s="1" t="s">
        <v>13</v>
      </c>
      <c r="C83" s="5">
        <v>45530</v>
      </c>
      <c r="D83" s="16" t="s">
        <v>14</v>
      </c>
      <c r="E83" s="17" t="s">
        <v>42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16" t="s">
        <v>19</v>
      </c>
      <c r="M83" s="16"/>
      <c r="N83" s="16" t="s">
        <v>20</v>
      </c>
      <c r="O83" s="1"/>
    </row>
    <row r="84" spans="1:15" ht="15.75" customHeight="1">
      <c r="A84" s="1" t="s">
        <v>113</v>
      </c>
      <c r="B84" s="1" t="s">
        <v>22</v>
      </c>
      <c r="C84" s="5">
        <v>45660</v>
      </c>
      <c r="D84" s="16" t="s">
        <v>23</v>
      </c>
      <c r="E84" s="17" t="s">
        <v>30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16" t="s">
        <v>37</v>
      </c>
      <c r="M84" s="16" t="s">
        <v>34</v>
      </c>
      <c r="N84" s="16" t="s">
        <v>16</v>
      </c>
      <c r="O84" s="1"/>
    </row>
    <row r="85" spans="1:15" ht="15.75" customHeight="1">
      <c r="A85" s="1" t="s">
        <v>114</v>
      </c>
      <c r="B85" s="1" t="s">
        <v>22</v>
      </c>
      <c r="C85" s="5">
        <v>45507</v>
      </c>
      <c r="D85" s="16" t="s">
        <v>14</v>
      </c>
      <c r="E85" s="17" t="s">
        <v>42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16" t="s">
        <v>34</v>
      </c>
      <c r="M85" s="16"/>
      <c r="N85" s="16" t="s">
        <v>16</v>
      </c>
      <c r="O85" s="1"/>
    </row>
    <row r="86" spans="1:15" ht="15.75" customHeight="1">
      <c r="A86" s="1" t="s">
        <v>115</v>
      </c>
      <c r="B86" s="1" t="s">
        <v>13</v>
      </c>
      <c r="C86" s="5">
        <v>45522</v>
      </c>
      <c r="D86" s="16" t="s">
        <v>14</v>
      </c>
      <c r="E86" s="17" t="s">
        <v>18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16" t="s">
        <v>37</v>
      </c>
      <c r="M86" s="16" t="s">
        <v>34</v>
      </c>
      <c r="N86" s="16" t="s">
        <v>16</v>
      </c>
      <c r="O86" s="1"/>
    </row>
    <row r="87" spans="1:15" ht="15.75" customHeight="1">
      <c r="A87" s="1" t="s">
        <v>116</v>
      </c>
      <c r="B87" s="1" t="s">
        <v>22</v>
      </c>
      <c r="C87" s="5">
        <v>45791</v>
      </c>
      <c r="D87" s="16" t="s">
        <v>23</v>
      </c>
      <c r="E87" s="17" t="s">
        <v>360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16" t="s">
        <v>37</v>
      </c>
      <c r="M87" s="16" t="s">
        <v>34</v>
      </c>
      <c r="N87" s="16" t="s">
        <v>16</v>
      </c>
      <c r="O87" s="1"/>
    </row>
    <row r="88" spans="1:15" ht="15.75" customHeight="1">
      <c r="A88" s="1" t="s">
        <v>117</v>
      </c>
      <c r="B88" s="1" t="s">
        <v>22</v>
      </c>
      <c r="C88" s="5">
        <v>45405</v>
      </c>
      <c r="D88" s="16" t="s">
        <v>23</v>
      </c>
      <c r="E88" s="17" t="s">
        <v>15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16" t="s">
        <v>37</v>
      </c>
      <c r="M88" s="16" t="s">
        <v>34</v>
      </c>
      <c r="N88" s="16" t="s">
        <v>16</v>
      </c>
      <c r="O88" s="1"/>
    </row>
    <row r="89" spans="1:15" ht="15.75" customHeight="1">
      <c r="A89" s="1" t="s">
        <v>118</v>
      </c>
      <c r="B89" s="1" t="s">
        <v>22</v>
      </c>
      <c r="C89" s="5">
        <v>45705</v>
      </c>
      <c r="D89" s="16" t="s">
        <v>23</v>
      </c>
      <c r="E89" s="17" t="s">
        <v>362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16" t="s">
        <v>37</v>
      </c>
      <c r="M89" s="16" t="s">
        <v>34</v>
      </c>
      <c r="N89" s="16" t="s">
        <v>16</v>
      </c>
      <c r="O89" s="1"/>
    </row>
    <row r="90" spans="1:15" ht="15.75" customHeight="1">
      <c r="A90" s="1" t="s">
        <v>119</v>
      </c>
      <c r="B90" s="1" t="s">
        <v>13</v>
      </c>
      <c r="C90" s="5">
        <v>45630</v>
      </c>
      <c r="D90" s="16" t="s">
        <v>14</v>
      </c>
      <c r="E90" s="17" t="s">
        <v>360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16" t="s">
        <v>37</v>
      </c>
      <c r="M90" s="16" t="s">
        <v>34</v>
      </c>
      <c r="N90" s="16" t="s">
        <v>16</v>
      </c>
      <c r="O90" s="1"/>
    </row>
    <row r="91" spans="1:15" ht="15.75" customHeight="1">
      <c r="A91" s="1" t="s">
        <v>120</v>
      </c>
      <c r="B91" s="1" t="s">
        <v>22</v>
      </c>
      <c r="C91" s="5">
        <v>45495</v>
      </c>
      <c r="D91" s="16" t="s">
        <v>23</v>
      </c>
      <c r="E91" s="17" t="s">
        <v>360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16" t="s">
        <v>364</v>
      </c>
      <c r="M91" s="16" t="s">
        <v>34</v>
      </c>
      <c r="N91" s="16" t="s">
        <v>16</v>
      </c>
      <c r="O91" s="1"/>
    </row>
    <row r="92" spans="1:15" ht="15.75" customHeight="1">
      <c r="A92" s="1" t="s">
        <v>121</v>
      </c>
      <c r="B92" s="1" t="s">
        <v>22</v>
      </c>
      <c r="C92" s="5">
        <v>45774</v>
      </c>
      <c r="D92" s="16" t="s">
        <v>14</v>
      </c>
      <c r="E92" s="17" t="s">
        <v>18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16" t="s">
        <v>37</v>
      </c>
      <c r="M92" s="16"/>
      <c r="N92" s="16" t="s">
        <v>20</v>
      </c>
      <c r="O92" s="1"/>
    </row>
    <row r="93" spans="1:15" ht="15.75" customHeight="1">
      <c r="A93" s="1" t="s">
        <v>122</v>
      </c>
      <c r="B93" s="1" t="s">
        <v>27</v>
      </c>
      <c r="C93" s="5">
        <v>45376</v>
      </c>
      <c r="D93" s="16" t="s">
        <v>48</v>
      </c>
      <c r="E93" s="17" t="s">
        <v>18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16" t="s">
        <v>19</v>
      </c>
      <c r="M93" s="16" t="s">
        <v>37</v>
      </c>
      <c r="N93" s="16" t="s">
        <v>49</v>
      </c>
      <c r="O93" s="1"/>
    </row>
    <row r="94" spans="1:15" ht="15.75" customHeight="1">
      <c r="A94" s="1" t="s">
        <v>123</v>
      </c>
      <c r="B94" s="1" t="s">
        <v>13</v>
      </c>
      <c r="C94" s="5">
        <v>45351</v>
      </c>
      <c r="D94" s="16" t="s">
        <v>14</v>
      </c>
      <c r="E94" s="17" t="s">
        <v>363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16" t="s">
        <v>19</v>
      </c>
      <c r="M94" s="16"/>
      <c r="N94" s="16" t="s">
        <v>20</v>
      </c>
      <c r="O94" s="1"/>
    </row>
    <row r="95" spans="1:15" ht="15.75" customHeight="1">
      <c r="A95" s="1" t="s">
        <v>124</v>
      </c>
      <c r="B95" s="1" t="s">
        <v>22</v>
      </c>
      <c r="C95" s="5">
        <v>45609</v>
      </c>
      <c r="D95" s="16" t="s">
        <v>23</v>
      </c>
      <c r="E95" s="17" t="s">
        <v>33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16" t="s">
        <v>37</v>
      </c>
      <c r="M95" s="16" t="s">
        <v>34</v>
      </c>
      <c r="N95" s="16" t="s">
        <v>16</v>
      </c>
      <c r="O95" s="1"/>
    </row>
    <row r="96" spans="1:15" ht="15.75" customHeight="1">
      <c r="A96" s="1" t="s">
        <v>125</v>
      </c>
      <c r="B96" s="1" t="s">
        <v>13</v>
      </c>
      <c r="C96" s="5">
        <v>45373</v>
      </c>
      <c r="D96" s="16" t="s">
        <v>23</v>
      </c>
      <c r="E96" s="17" t="s">
        <v>15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16" t="s">
        <v>34</v>
      </c>
      <c r="M96" s="16"/>
      <c r="N96" s="16" t="s">
        <v>46</v>
      </c>
      <c r="O96" s="1"/>
    </row>
    <row r="97" spans="1:15" ht="15.75" customHeight="1">
      <c r="A97" s="1" t="s">
        <v>126</v>
      </c>
      <c r="B97" s="1" t="s">
        <v>22</v>
      </c>
      <c r="C97" s="5">
        <v>45367</v>
      </c>
      <c r="D97" s="16" t="s">
        <v>23</v>
      </c>
      <c r="E97" s="17" t="s">
        <v>360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16" t="s">
        <v>37</v>
      </c>
      <c r="M97" s="16" t="s">
        <v>34</v>
      </c>
      <c r="N97" s="16" t="s">
        <v>16</v>
      </c>
      <c r="O97" s="1"/>
    </row>
    <row r="98" spans="1:15" ht="15.75" customHeight="1">
      <c r="A98" s="1" t="s">
        <v>127</v>
      </c>
      <c r="B98" s="1" t="s">
        <v>13</v>
      </c>
      <c r="C98" s="5">
        <v>45317</v>
      </c>
      <c r="D98" s="16" t="s">
        <v>14</v>
      </c>
      <c r="E98" s="17" t="s">
        <v>362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16" t="s">
        <v>19</v>
      </c>
      <c r="M98" s="16"/>
      <c r="N98" s="16" t="s">
        <v>20</v>
      </c>
      <c r="O98" s="1"/>
    </row>
    <row r="99" spans="1:15" ht="15.75" customHeight="1">
      <c r="A99" s="1" t="s">
        <v>128</v>
      </c>
      <c r="B99" s="1" t="s">
        <v>22</v>
      </c>
      <c r="C99" s="5">
        <v>45366</v>
      </c>
      <c r="D99" s="16" t="s">
        <v>23</v>
      </c>
      <c r="E99" s="17" t="s">
        <v>30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16" t="s">
        <v>19</v>
      </c>
      <c r="M99" s="16" t="s">
        <v>364</v>
      </c>
      <c r="N99" s="16" t="s">
        <v>16</v>
      </c>
      <c r="O99" s="1"/>
    </row>
    <row r="100" spans="1:15" ht="15.75" customHeight="1">
      <c r="A100" s="1" t="s">
        <v>129</v>
      </c>
      <c r="B100" s="1" t="s">
        <v>22</v>
      </c>
      <c r="C100" s="5">
        <v>45580</v>
      </c>
      <c r="D100" s="16" t="s">
        <v>14</v>
      </c>
      <c r="E100" s="17" t="s">
        <v>360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16" t="s">
        <v>34</v>
      </c>
      <c r="M100" s="16"/>
      <c r="N100" s="16" t="s">
        <v>16</v>
      </c>
      <c r="O100" s="1"/>
    </row>
    <row r="101" spans="1:15" ht="15.75" customHeight="1">
      <c r="A101" s="1" t="s">
        <v>130</v>
      </c>
      <c r="B101" s="1" t="s">
        <v>13</v>
      </c>
      <c r="C101" s="5">
        <v>45494</v>
      </c>
      <c r="D101" s="16" t="s">
        <v>14</v>
      </c>
      <c r="E101" s="17" t="s">
        <v>15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16" t="s">
        <v>19</v>
      </c>
      <c r="M101" s="16"/>
      <c r="N101" s="16" t="s">
        <v>20</v>
      </c>
      <c r="O101" s="1"/>
    </row>
    <row r="102" spans="1:15" ht="15.75" customHeight="1">
      <c r="A102" s="1" t="s">
        <v>131</v>
      </c>
      <c r="B102" s="1" t="s">
        <v>22</v>
      </c>
      <c r="C102" s="5">
        <v>45577</v>
      </c>
      <c r="D102" s="16" t="s">
        <v>14</v>
      </c>
      <c r="E102" s="17" t="s">
        <v>30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16" t="s">
        <v>34</v>
      </c>
      <c r="M102" s="16"/>
      <c r="N102" s="16" t="s">
        <v>16</v>
      </c>
      <c r="O102" s="1"/>
    </row>
    <row r="103" spans="1:15" ht="15.75" customHeight="1">
      <c r="A103" s="1" t="s">
        <v>132</v>
      </c>
      <c r="B103" s="1" t="s">
        <v>22</v>
      </c>
      <c r="C103" s="5">
        <v>45591</v>
      </c>
      <c r="D103" s="16" t="s">
        <v>14</v>
      </c>
      <c r="E103" s="17" t="s">
        <v>15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16" t="s">
        <v>34</v>
      </c>
      <c r="M103" s="16"/>
      <c r="N103" s="16" t="s">
        <v>16</v>
      </c>
      <c r="O103" s="1"/>
    </row>
    <row r="104" spans="1:15" ht="15.75" customHeight="1">
      <c r="A104" s="1" t="s">
        <v>133</v>
      </c>
      <c r="B104" s="1" t="s">
        <v>13</v>
      </c>
      <c r="C104" s="5">
        <v>45336</v>
      </c>
      <c r="D104" s="16" t="s">
        <v>14</v>
      </c>
      <c r="E104" s="17" t="s">
        <v>361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16" t="s">
        <v>37</v>
      </c>
      <c r="M104" s="16" t="s">
        <v>34</v>
      </c>
      <c r="N104" s="16" t="s">
        <v>16</v>
      </c>
      <c r="O104" s="1"/>
    </row>
    <row r="105" spans="1:15" ht="15.75" customHeight="1">
      <c r="A105" s="1" t="s">
        <v>134</v>
      </c>
      <c r="B105" s="1" t="s">
        <v>22</v>
      </c>
      <c r="C105" s="5">
        <v>45413</v>
      </c>
      <c r="D105" s="16" t="s">
        <v>23</v>
      </c>
      <c r="E105" s="17" t="s">
        <v>362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16" t="s">
        <v>19</v>
      </c>
      <c r="M105" s="16" t="s">
        <v>364</v>
      </c>
      <c r="N105" s="16" t="s">
        <v>16</v>
      </c>
      <c r="O105" s="1"/>
    </row>
    <row r="106" spans="1:15" ht="15.75" customHeight="1">
      <c r="A106" s="1" t="s">
        <v>135</v>
      </c>
      <c r="B106" s="1" t="s">
        <v>22</v>
      </c>
      <c r="C106" s="5">
        <v>45553</v>
      </c>
      <c r="D106" s="16" t="s">
        <v>14</v>
      </c>
      <c r="E106" s="17" t="s">
        <v>15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16" t="s">
        <v>34</v>
      </c>
      <c r="M106" s="16"/>
      <c r="N106" s="16" t="s">
        <v>16</v>
      </c>
      <c r="O106" s="1"/>
    </row>
    <row r="107" spans="1:15" ht="15.75" customHeight="1">
      <c r="A107" s="1" t="s">
        <v>136</v>
      </c>
      <c r="B107" s="1" t="s">
        <v>22</v>
      </c>
      <c r="C107" s="5">
        <v>45677</v>
      </c>
      <c r="D107" s="16" t="s">
        <v>23</v>
      </c>
      <c r="E107" s="17" t="s">
        <v>24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16" t="s">
        <v>37</v>
      </c>
      <c r="M107" s="16" t="s">
        <v>34</v>
      </c>
      <c r="N107" s="16" t="s">
        <v>16</v>
      </c>
      <c r="O107" s="1"/>
    </row>
    <row r="108" spans="1:15" ht="15.75" customHeight="1">
      <c r="A108" s="1" t="s">
        <v>137</v>
      </c>
      <c r="B108" s="1" t="s">
        <v>22</v>
      </c>
      <c r="C108" s="5">
        <v>45670</v>
      </c>
      <c r="D108" s="16" t="s">
        <v>14</v>
      </c>
      <c r="E108" s="17" t="s">
        <v>361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16" t="s">
        <v>37</v>
      </c>
      <c r="M108" s="16"/>
      <c r="N108" s="16" t="s">
        <v>20</v>
      </c>
      <c r="O108" s="1"/>
    </row>
    <row r="109" spans="1:15" ht="15.75" customHeight="1">
      <c r="A109" s="1" t="s">
        <v>138</v>
      </c>
      <c r="B109" s="1" t="s">
        <v>27</v>
      </c>
      <c r="C109" s="5">
        <v>45542</v>
      </c>
      <c r="D109" s="16" t="s">
        <v>48</v>
      </c>
      <c r="E109" s="17" t="s">
        <v>361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16" t="s">
        <v>19</v>
      </c>
      <c r="M109" s="16" t="s">
        <v>37</v>
      </c>
      <c r="N109" s="16" t="s">
        <v>49</v>
      </c>
      <c r="O109" s="1"/>
    </row>
    <row r="110" spans="1:15" ht="15.75" customHeight="1">
      <c r="A110" s="1" t="s">
        <v>139</v>
      </c>
      <c r="B110" s="1" t="s">
        <v>13</v>
      </c>
      <c r="C110" s="5">
        <v>45617</v>
      </c>
      <c r="D110" s="16" t="s">
        <v>14</v>
      </c>
      <c r="E110" s="17" t="s">
        <v>361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16" t="s">
        <v>37</v>
      </c>
      <c r="M110" s="16" t="s">
        <v>34</v>
      </c>
      <c r="N110" s="16" t="s">
        <v>16</v>
      </c>
      <c r="O110" s="1"/>
    </row>
    <row r="111" spans="1:15" ht="15.75" customHeight="1">
      <c r="A111" s="1" t="s">
        <v>140</v>
      </c>
      <c r="B111" s="1" t="s">
        <v>13</v>
      </c>
      <c r="C111" s="5">
        <v>45469</v>
      </c>
      <c r="D111" s="16" t="s">
        <v>14</v>
      </c>
      <c r="E111" s="17" t="s">
        <v>24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16" t="s">
        <v>19</v>
      </c>
      <c r="M111" s="16"/>
      <c r="N111" s="16" t="s">
        <v>20</v>
      </c>
      <c r="O111" s="1"/>
    </row>
    <row r="112" spans="1:15" ht="15.75" customHeight="1">
      <c r="A112" s="1" t="s">
        <v>141</v>
      </c>
      <c r="B112" s="1" t="s">
        <v>27</v>
      </c>
      <c r="C112" s="5">
        <v>45493</v>
      </c>
      <c r="D112" s="16" t="s">
        <v>48</v>
      </c>
      <c r="E112" s="17" t="s">
        <v>361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16" t="s">
        <v>19</v>
      </c>
      <c r="M112" s="16" t="s">
        <v>37</v>
      </c>
      <c r="N112" s="16" t="s">
        <v>49</v>
      </c>
      <c r="O112" s="1"/>
    </row>
    <row r="113" spans="1:15" ht="15.75" customHeight="1">
      <c r="A113" s="1" t="s">
        <v>142</v>
      </c>
      <c r="B113" s="1" t="s">
        <v>13</v>
      </c>
      <c r="C113" s="5">
        <v>45704</v>
      </c>
      <c r="D113" s="16" t="s">
        <v>14</v>
      </c>
      <c r="E113" s="17" t="s">
        <v>42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16" t="s">
        <v>37</v>
      </c>
      <c r="M113" s="16" t="s">
        <v>34</v>
      </c>
      <c r="N113" s="16" t="s">
        <v>16</v>
      </c>
      <c r="O113" s="1"/>
    </row>
    <row r="114" spans="1:15" ht="15.75" customHeight="1">
      <c r="A114" s="1" t="s">
        <v>143</v>
      </c>
      <c r="B114" s="1" t="s">
        <v>13</v>
      </c>
      <c r="C114" s="5">
        <v>45544</v>
      </c>
      <c r="D114" s="16" t="s">
        <v>14</v>
      </c>
      <c r="E114" s="17" t="s">
        <v>24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16" t="s">
        <v>37</v>
      </c>
      <c r="M114" s="16" t="s">
        <v>34</v>
      </c>
      <c r="N114" s="16" t="s">
        <v>16</v>
      </c>
      <c r="O114" s="1"/>
    </row>
    <row r="115" spans="1:15" ht="15.75" customHeight="1">
      <c r="A115" s="1" t="s">
        <v>144</v>
      </c>
      <c r="B115" s="1" t="s">
        <v>22</v>
      </c>
      <c r="C115" s="5">
        <v>45489</v>
      </c>
      <c r="D115" s="16" t="s">
        <v>14</v>
      </c>
      <c r="E115" s="17" t="s">
        <v>33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16" t="s">
        <v>34</v>
      </c>
      <c r="M115" s="16"/>
      <c r="N115" s="16" t="s">
        <v>16</v>
      </c>
      <c r="O115" s="1"/>
    </row>
    <row r="116" spans="1:15" ht="15.75" customHeight="1">
      <c r="A116" s="1" t="s">
        <v>145</v>
      </c>
      <c r="B116" s="1" t="s">
        <v>13</v>
      </c>
      <c r="C116" s="5">
        <v>45762</v>
      </c>
      <c r="D116" s="16" t="s">
        <v>14</v>
      </c>
      <c r="E116" s="17" t="s">
        <v>18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16" t="s">
        <v>19</v>
      </c>
      <c r="M116" s="16"/>
      <c r="N116" s="16" t="s">
        <v>20</v>
      </c>
      <c r="O116" s="1"/>
    </row>
    <row r="117" spans="1:15" ht="15.75" customHeight="1">
      <c r="A117" s="1" t="s">
        <v>146</v>
      </c>
      <c r="B117" s="1" t="s">
        <v>13</v>
      </c>
      <c r="C117" s="5">
        <v>45781</v>
      </c>
      <c r="D117" s="16" t="s">
        <v>23</v>
      </c>
      <c r="E117" s="17" t="s">
        <v>24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16" t="s">
        <v>34</v>
      </c>
      <c r="M117" s="16"/>
      <c r="N117" s="16" t="s">
        <v>46</v>
      </c>
      <c r="O117" s="1"/>
    </row>
    <row r="118" spans="1:15" ht="15.75" customHeight="1">
      <c r="A118" s="1" t="s">
        <v>147</v>
      </c>
      <c r="B118" s="1" t="s">
        <v>13</v>
      </c>
      <c r="C118" s="5">
        <v>45340</v>
      </c>
      <c r="D118" s="16" t="s">
        <v>23</v>
      </c>
      <c r="E118" s="17" t="s">
        <v>363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16" t="s">
        <v>34</v>
      </c>
      <c r="M118" s="16"/>
      <c r="N118" s="16" t="s">
        <v>46</v>
      </c>
      <c r="O118" s="1"/>
    </row>
    <row r="119" spans="1:15" ht="15.75" customHeight="1">
      <c r="A119" s="1" t="s">
        <v>148</v>
      </c>
      <c r="B119" s="1" t="s">
        <v>22</v>
      </c>
      <c r="C119" s="5">
        <v>45428</v>
      </c>
      <c r="D119" s="16" t="s">
        <v>23</v>
      </c>
      <c r="E119" s="17" t="s">
        <v>361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16" t="s">
        <v>19</v>
      </c>
      <c r="M119" s="16" t="s">
        <v>364</v>
      </c>
      <c r="N119" s="16" t="s">
        <v>16</v>
      </c>
      <c r="O119" s="1"/>
    </row>
    <row r="120" spans="1:15" ht="15.75" customHeight="1">
      <c r="A120" s="1" t="s">
        <v>149</v>
      </c>
      <c r="B120" s="1" t="s">
        <v>22</v>
      </c>
      <c r="C120" s="5">
        <v>45806</v>
      </c>
      <c r="D120" s="16" t="s">
        <v>23</v>
      </c>
      <c r="E120" s="17" t="s">
        <v>361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16" t="s">
        <v>364</v>
      </c>
      <c r="M120" s="16" t="s">
        <v>34</v>
      </c>
      <c r="N120" s="16" t="s">
        <v>16</v>
      </c>
      <c r="O120" s="1"/>
    </row>
    <row r="121" spans="1:15" ht="15.75" customHeight="1">
      <c r="A121" s="1" t="s">
        <v>150</v>
      </c>
      <c r="B121" s="1" t="s">
        <v>13</v>
      </c>
      <c r="C121" s="5">
        <v>45674</v>
      </c>
      <c r="D121" s="16" t="s">
        <v>14</v>
      </c>
      <c r="E121" s="17" t="s">
        <v>33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16" t="s">
        <v>19</v>
      </c>
      <c r="M121" s="16"/>
      <c r="N121" s="16" t="s">
        <v>20</v>
      </c>
      <c r="O121" s="1"/>
    </row>
    <row r="122" spans="1:15" ht="15.75" customHeight="1">
      <c r="A122" s="1" t="s">
        <v>151</v>
      </c>
      <c r="B122" s="1" t="s">
        <v>13</v>
      </c>
      <c r="C122" s="5">
        <v>45777</v>
      </c>
      <c r="D122" s="16" t="s">
        <v>23</v>
      </c>
      <c r="E122" s="17" t="s">
        <v>24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16" t="s">
        <v>34</v>
      </c>
      <c r="M122" s="16"/>
      <c r="N122" s="16" t="s">
        <v>46</v>
      </c>
      <c r="O122" s="1"/>
    </row>
    <row r="123" spans="1:15" ht="15.75" customHeight="1">
      <c r="A123" s="1" t="s">
        <v>152</v>
      </c>
      <c r="B123" s="1" t="s">
        <v>22</v>
      </c>
      <c r="C123" s="5">
        <v>45346</v>
      </c>
      <c r="D123" s="16" t="s">
        <v>23</v>
      </c>
      <c r="E123" s="17" t="s">
        <v>361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16" t="s">
        <v>19</v>
      </c>
      <c r="M123" s="16" t="s">
        <v>364</v>
      </c>
      <c r="N123" s="16" t="s">
        <v>16</v>
      </c>
      <c r="O123" s="1"/>
    </row>
    <row r="124" spans="1:15" ht="15.75" customHeight="1">
      <c r="A124" s="1" t="s">
        <v>153</v>
      </c>
      <c r="B124" s="1" t="s">
        <v>27</v>
      </c>
      <c r="C124" s="5">
        <v>45424</v>
      </c>
      <c r="D124" s="16" t="s">
        <v>14</v>
      </c>
      <c r="E124" s="17" t="s">
        <v>363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16" t="s">
        <v>19</v>
      </c>
      <c r="M124" s="16" t="s">
        <v>365</v>
      </c>
      <c r="N124" s="16" t="s">
        <v>20</v>
      </c>
      <c r="O124" s="1"/>
    </row>
    <row r="125" spans="1:15" ht="15.75" customHeight="1">
      <c r="A125" s="1" t="s">
        <v>154</v>
      </c>
      <c r="B125" s="1" t="s">
        <v>22</v>
      </c>
      <c r="C125" s="5">
        <v>45421</v>
      </c>
      <c r="D125" s="16" t="s">
        <v>23</v>
      </c>
      <c r="E125" s="17" t="s">
        <v>24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16" t="s">
        <v>37</v>
      </c>
      <c r="M125" s="16" t="s">
        <v>34</v>
      </c>
      <c r="N125" s="16" t="s">
        <v>16</v>
      </c>
      <c r="O125" s="1"/>
    </row>
    <row r="126" spans="1:15" ht="15.75" customHeight="1">
      <c r="A126" s="1" t="s">
        <v>155</v>
      </c>
      <c r="B126" s="1" t="s">
        <v>22</v>
      </c>
      <c r="C126" s="5">
        <v>45602</v>
      </c>
      <c r="D126" s="16" t="s">
        <v>14</v>
      </c>
      <c r="E126" s="17" t="s">
        <v>363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16" t="s">
        <v>34</v>
      </c>
      <c r="M126" s="16"/>
      <c r="N126" s="16" t="s">
        <v>16</v>
      </c>
      <c r="O126" s="1"/>
    </row>
    <row r="127" spans="1:15" ht="15.75" customHeight="1">
      <c r="A127" s="1" t="s">
        <v>156</v>
      </c>
      <c r="B127" s="1" t="s">
        <v>22</v>
      </c>
      <c r="C127" s="5">
        <v>45295</v>
      </c>
      <c r="D127" s="16" t="s">
        <v>23</v>
      </c>
      <c r="E127" s="17" t="s">
        <v>362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16" t="s">
        <v>364</v>
      </c>
      <c r="M127" s="16" t="s">
        <v>34</v>
      </c>
      <c r="N127" s="16" t="s">
        <v>16</v>
      </c>
      <c r="O127" s="1"/>
    </row>
    <row r="128" spans="1:15" ht="15.75" customHeight="1">
      <c r="A128" s="1" t="s">
        <v>157</v>
      </c>
      <c r="B128" s="1" t="s">
        <v>22</v>
      </c>
      <c r="C128" s="5">
        <v>45319</v>
      </c>
      <c r="D128" s="16" t="s">
        <v>14</v>
      </c>
      <c r="E128" s="17" t="s">
        <v>361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16" t="s">
        <v>37</v>
      </c>
      <c r="M128" s="16"/>
      <c r="N128" s="16" t="s">
        <v>20</v>
      </c>
      <c r="O128" s="1"/>
    </row>
    <row r="129" spans="1:15" ht="15.75" customHeight="1">
      <c r="A129" s="1" t="s">
        <v>158</v>
      </c>
      <c r="B129" s="1" t="s">
        <v>13</v>
      </c>
      <c r="C129" s="5">
        <v>45344</v>
      </c>
      <c r="D129" s="16" t="s">
        <v>14</v>
      </c>
      <c r="E129" s="17" t="s">
        <v>24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16" t="s">
        <v>37</v>
      </c>
      <c r="M129" s="16" t="s">
        <v>34</v>
      </c>
      <c r="N129" s="16" t="s">
        <v>16</v>
      </c>
      <c r="O129" s="1"/>
    </row>
    <row r="130" spans="1:15" ht="15.75" customHeight="1">
      <c r="A130" s="1" t="s">
        <v>159</v>
      </c>
      <c r="B130" s="1" t="s">
        <v>22</v>
      </c>
      <c r="C130" s="5">
        <v>45839</v>
      </c>
      <c r="D130" s="16" t="s">
        <v>23</v>
      </c>
      <c r="E130" s="17" t="s">
        <v>18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16" t="s">
        <v>19</v>
      </c>
      <c r="M130" s="16" t="s">
        <v>364</v>
      </c>
      <c r="N130" s="16" t="s">
        <v>16</v>
      </c>
      <c r="O130" s="1"/>
    </row>
    <row r="131" spans="1:15" ht="15.75" customHeight="1">
      <c r="A131" s="1" t="s">
        <v>160</v>
      </c>
      <c r="B131" s="1" t="s">
        <v>27</v>
      </c>
      <c r="C131" s="5">
        <v>45301</v>
      </c>
      <c r="D131" s="16" t="s">
        <v>14</v>
      </c>
      <c r="E131" s="17" t="s">
        <v>18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16" t="s">
        <v>19</v>
      </c>
      <c r="M131" s="16" t="s">
        <v>365</v>
      </c>
      <c r="N131" s="16" t="s">
        <v>20</v>
      </c>
      <c r="O131" s="1"/>
    </row>
    <row r="132" spans="1:15" ht="15.75" customHeight="1">
      <c r="A132" s="1" t="s">
        <v>161</v>
      </c>
      <c r="B132" s="1" t="s">
        <v>22</v>
      </c>
      <c r="C132" s="5">
        <v>45736</v>
      </c>
      <c r="D132" s="16" t="s">
        <v>14</v>
      </c>
      <c r="E132" s="17" t="s">
        <v>42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16" t="s">
        <v>37</v>
      </c>
      <c r="M132" s="16"/>
      <c r="N132" s="16" t="s">
        <v>20</v>
      </c>
      <c r="O132" s="1"/>
    </row>
    <row r="133" spans="1:15" ht="15.75" customHeight="1">
      <c r="A133" s="1" t="s">
        <v>162</v>
      </c>
      <c r="B133" s="1" t="s">
        <v>22</v>
      </c>
      <c r="C133" s="5">
        <v>45563</v>
      </c>
      <c r="D133" s="16" t="s">
        <v>14</v>
      </c>
      <c r="E133" s="17" t="s">
        <v>362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16" t="s">
        <v>34</v>
      </c>
      <c r="M133" s="16"/>
      <c r="N133" s="16" t="s">
        <v>16</v>
      </c>
      <c r="O133" s="1"/>
    </row>
    <row r="134" spans="1:15" ht="15.75" customHeight="1">
      <c r="A134" s="1" t="s">
        <v>163</v>
      </c>
      <c r="B134" s="1" t="s">
        <v>27</v>
      </c>
      <c r="C134" s="5">
        <v>45318</v>
      </c>
      <c r="D134" s="16" t="s">
        <v>14</v>
      </c>
      <c r="E134" s="17" t="s">
        <v>42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16" t="s">
        <v>19</v>
      </c>
      <c r="M134" s="16" t="s">
        <v>365</v>
      </c>
      <c r="N134" s="16" t="s">
        <v>20</v>
      </c>
      <c r="O134" s="1"/>
    </row>
    <row r="135" spans="1:15" ht="15.75" customHeight="1">
      <c r="A135" s="1" t="s">
        <v>164</v>
      </c>
      <c r="B135" s="1" t="s">
        <v>22</v>
      </c>
      <c r="C135" s="5">
        <v>45792</v>
      </c>
      <c r="D135" s="16" t="s">
        <v>14</v>
      </c>
      <c r="E135" s="17" t="s">
        <v>24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16" t="s">
        <v>34</v>
      </c>
      <c r="M135" s="16"/>
      <c r="N135" s="16" t="s">
        <v>16</v>
      </c>
      <c r="O135" s="1"/>
    </row>
    <row r="136" spans="1:15" ht="15.75" customHeight="1">
      <c r="A136" s="1" t="s">
        <v>165</v>
      </c>
      <c r="B136" s="1" t="s">
        <v>22</v>
      </c>
      <c r="C136" s="5">
        <v>45569</v>
      </c>
      <c r="D136" s="16" t="s">
        <v>23</v>
      </c>
      <c r="E136" s="17" t="s">
        <v>18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16" t="s">
        <v>364</v>
      </c>
      <c r="M136" s="16" t="s">
        <v>34</v>
      </c>
      <c r="N136" s="16" t="s">
        <v>16</v>
      </c>
      <c r="O136" s="1"/>
    </row>
    <row r="137" spans="1:15" ht="15.75" customHeight="1">
      <c r="A137" s="1" t="s">
        <v>166</v>
      </c>
      <c r="B137" s="1" t="s">
        <v>22</v>
      </c>
      <c r="C137" s="5">
        <v>45615</v>
      </c>
      <c r="D137" s="16" t="s">
        <v>14</v>
      </c>
      <c r="E137" s="17" t="s">
        <v>33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16" t="s">
        <v>34</v>
      </c>
      <c r="M137" s="16"/>
      <c r="N137" s="16" t="s">
        <v>16</v>
      </c>
      <c r="O137" s="1"/>
    </row>
    <row r="138" spans="1:15" ht="15.75" customHeight="1">
      <c r="A138" s="1" t="s">
        <v>167</v>
      </c>
      <c r="B138" s="1" t="s">
        <v>22</v>
      </c>
      <c r="C138" s="5">
        <v>45387</v>
      </c>
      <c r="D138" s="16" t="s">
        <v>23</v>
      </c>
      <c r="E138" s="17" t="s">
        <v>24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16" t="s">
        <v>37</v>
      </c>
      <c r="M138" s="16" t="s">
        <v>34</v>
      </c>
      <c r="N138" s="16" t="s">
        <v>16</v>
      </c>
      <c r="O138" s="1"/>
    </row>
    <row r="139" spans="1:15" ht="15.75" customHeight="1">
      <c r="A139" s="1" t="s">
        <v>168</v>
      </c>
      <c r="B139" s="1" t="s">
        <v>22</v>
      </c>
      <c r="C139" s="5">
        <v>45624</v>
      </c>
      <c r="D139" s="16" t="s">
        <v>23</v>
      </c>
      <c r="E139" s="17" t="s">
        <v>24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16" t="s">
        <v>19</v>
      </c>
      <c r="M139" s="16" t="s">
        <v>364</v>
      </c>
      <c r="N139" s="16" t="s">
        <v>16</v>
      </c>
      <c r="O139" s="1"/>
    </row>
    <row r="140" spans="1:15" ht="15.75" customHeight="1">
      <c r="A140" s="1" t="s">
        <v>169</v>
      </c>
      <c r="B140" s="1" t="s">
        <v>22</v>
      </c>
      <c r="C140" s="5">
        <v>45725</v>
      </c>
      <c r="D140" s="16" t="s">
        <v>14</v>
      </c>
      <c r="E140" s="17" t="s">
        <v>42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16" t="s">
        <v>34</v>
      </c>
      <c r="M140" s="16"/>
      <c r="N140" s="16" t="s">
        <v>16</v>
      </c>
      <c r="O140" s="1"/>
    </row>
    <row r="141" spans="1:15" ht="15.75" customHeight="1">
      <c r="A141" s="1" t="s">
        <v>170</v>
      </c>
      <c r="B141" s="1" t="s">
        <v>22</v>
      </c>
      <c r="C141" s="5">
        <v>45531</v>
      </c>
      <c r="D141" s="16" t="s">
        <v>23</v>
      </c>
      <c r="E141" s="17" t="s">
        <v>24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16" t="s">
        <v>364</v>
      </c>
      <c r="M141" s="16" t="s">
        <v>34</v>
      </c>
      <c r="N141" s="16" t="s">
        <v>16</v>
      </c>
      <c r="O141" s="1"/>
    </row>
    <row r="142" spans="1:15" ht="15.75" customHeight="1">
      <c r="A142" s="1" t="s">
        <v>171</v>
      </c>
      <c r="B142" s="1" t="s">
        <v>27</v>
      </c>
      <c r="C142" s="5">
        <v>45566</v>
      </c>
      <c r="D142" s="16" t="s">
        <v>48</v>
      </c>
      <c r="E142" s="17" t="s">
        <v>18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16" t="s">
        <v>19</v>
      </c>
      <c r="M142" s="16" t="s">
        <v>37</v>
      </c>
      <c r="N142" s="16" t="s">
        <v>49</v>
      </c>
      <c r="O142" s="1"/>
    </row>
    <row r="143" spans="1:15" ht="15.75" customHeight="1">
      <c r="A143" s="1" t="s">
        <v>172</v>
      </c>
      <c r="B143" s="1" t="s">
        <v>13</v>
      </c>
      <c r="C143" s="5">
        <v>45647</v>
      </c>
      <c r="D143" s="16" t="s">
        <v>23</v>
      </c>
      <c r="E143" s="17" t="s">
        <v>24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16" t="s">
        <v>34</v>
      </c>
      <c r="M143" s="16"/>
      <c r="N143" s="16" t="s">
        <v>46</v>
      </c>
      <c r="O143" s="1"/>
    </row>
    <row r="144" spans="1:15" ht="15.75" customHeight="1">
      <c r="A144" s="1" t="s">
        <v>173</v>
      </c>
      <c r="B144" s="1" t="s">
        <v>13</v>
      </c>
      <c r="C144" s="5">
        <v>45460</v>
      </c>
      <c r="D144" s="16" t="s">
        <v>14</v>
      </c>
      <c r="E144" s="17" t="s">
        <v>15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16" t="s">
        <v>19</v>
      </c>
      <c r="M144" s="16"/>
      <c r="N144" s="16" t="s">
        <v>20</v>
      </c>
      <c r="O144" s="1"/>
    </row>
    <row r="145" spans="1:15" ht="15.75" customHeight="1">
      <c r="A145" s="1" t="s">
        <v>174</v>
      </c>
      <c r="B145" s="1" t="s">
        <v>13</v>
      </c>
      <c r="C145" s="5">
        <v>45702</v>
      </c>
      <c r="D145" s="16" t="s">
        <v>14</v>
      </c>
      <c r="E145" s="17" t="s">
        <v>15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16" t="s">
        <v>37</v>
      </c>
      <c r="M145" s="16" t="s">
        <v>34</v>
      </c>
      <c r="N145" s="16" t="s">
        <v>16</v>
      </c>
      <c r="O145" s="1"/>
    </row>
    <row r="146" spans="1:15" ht="15.75" customHeight="1">
      <c r="A146" s="1" t="s">
        <v>175</v>
      </c>
      <c r="B146" s="1" t="s">
        <v>22</v>
      </c>
      <c r="C146" s="5">
        <v>45805</v>
      </c>
      <c r="D146" s="16" t="s">
        <v>23</v>
      </c>
      <c r="E146" s="17" t="s">
        <v>33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16" t="s">
        <v>364</v>
      </c>
      <c r="M146" s="16" t="s">
        <v>34</v>
      </c>
      <c r="N146" s="16" t="s">
        <v>16</v>
      </c>
      <c r="O146" s="1"/>
    </row>
    <row r="147" spans="1:15" ht="15.75" customHeight="1">
      <c r="A147" s="1" t="s">
        <v>176</v>
      </c>
      <c r="B147" s="1" t="s">
        <v>13</v>
      </c>
      <c r="C147" s="5">
        <v>45799</v>
      </c>
      <c r="D147" s="16" t="s">
        <v>14</v>
      </c>
      <c r="E147" s="17" t="s">
        <v>15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16" t="s">
        <v>19</v>
      </c>
      <c r="M147" s="16"/>
      <c r="N147" s="16" t="s">
        <v>20</v>
      </c>
      <c r="O147" s="1"/>
    </row>
    <row r="148" spans="1:15" ht="15.75" customHeight="1">
      <c r="A148" s="1" t="s">
        <v>177</v>
      </c>
      <c r="B148" s="1" t="s">
        <v>22</v>
      </c>
      <c r="C148" s="5">
        <v>45312</v>
      </c>
      <c r="D148" s="16" t="s">
        <v>23</v>
      </c>
      <c r="E148" s="17" t="s">
        <v>15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16" t="s">
        <v>364</v>
      </c>
      <c r="M148" s="16" t="s">
        <v>34</v>
      </c>
      <c r="N148" s="16" t="s">
        <v>16</v>
      </c>
      <c r="O148" s="1"/>
    </row>
    <row r="149" spans="1:15" ht="15.75" customHeight="1">
      <c r="A149" s="1" t="s">
        <v>178</v>
      </c>
      <c r="B149" s="1" t="s">
        <v>22</v>
      </c>
      <c r="C149" s="5">
        <v>45696</v>
      </c>
      <c r="D149" s="16" t="s">
        <v>23</v>
      </c>
      <c r="E149" s="17" t="s">
        <v>42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16" t="s">
        <v>19</v>
      </c>
      <c r="M149" s="16" t="s">
        <v>364</v>
      </c>
      <c r="N149" s="16" t="s">
        <v>16</v>
      </c>
      <c r="O149" s="1"/>
    </row>
    <row r="150" spans="1:15" ht="15.75" customHeight="1">
      <c r="A150" s="1" t="s">
        <v>179</v>
      </c>
      <c r="B150" s="1" t="s">
        <v>22</v>
      </c>
      <c r="C150" s="5">
        <v>45760</v>
      </c>
      <c r="D150" s="16" t="s">
        <v>14</v>
      </c>
      <c r="E150" s="17" t="s">
        <v>363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16" t="s">
        <v>37</v>
      </c>
      <c r="M150" s="16"/>
      <c r="N150" s="16" t="s">
        <v>20</v>
      </c>
      <c r="O150" s="1"/>
    </row>
    <row r="151" spans="1:15" ht="15.75" customHeight="1">
      <c r="A151" s="1" t="s">
        <v>180</v>
      </c>
      <c r="B151" s="1" t="s">
        <v>22</v>
      </c>
      <c r="C151" s="5">
        <v>45442</v>
      </c>
      <c r="D151" s="16" t="s">
        <v>23</v>
      </c>
      <c r="E151" s="17" t="s">
        <v>42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16" t="s">
        <v>364</v>
      </c>
      <c r="M151" s="16" t="s">
        <v>34</v>
      </c>
      <c r="N151" s="16" t="s">
        <v>16</v>
      </c>
      <c r="O151" s="1"/>
    </row>
    <row r="152" spans="1:15" ht="15.75" customHeight="1">
      <c r="A152" s="1" t="s">
        <v>181</v>
      </c>
      <c r="B152" s="1" t="s">
        <v>13</v>
      </c>
      <c r="C152" s="5">
        <v>45516</v>
      </c>
      <c r="D152" s="16" t="s">
        <v>23</v>
      </c>
      <c r="E152" s="17" t="s">
        <v>15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16" t="s">
        <v>34</v>
      </c>
      <c r="M152" s="16"/>
      <c r="N152" s="16" t="s">
        <v>46</v>
      </c>
      <c r="O152" s="1"/>
    </row>
    <row r="153" spans="1:15" ht="15.75" customHeight="1">
      <c r="A153" s="1" t="s">
        <v>182</v>
      </c>
      <c r="B153" s="1" t="s">
        <v>13</v>
      </c>
      <c r="C153" s="5">
        <v>45562</v>
      </c>
      <c r="D153" s="16" t="s">
        <v>14</v>
      </c>
      <c r="E153" s="17" t="s">
        <v>15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16" t="s">
        <v>19</v>
      </c>
      <c r="M153" s="16"/>
      <c r="N153" s="16" t="s">
        <v>20</v>
      </c>
      <c r="O153" s="1"/>
    </row>
    <row r="154" spans="1:15" ht="15.75" customHeight="1">
      <c r="A154" s="1" t="s">
        <v>183</v>
      </c>
      <c r="B154" s="1" t="s">
        <v>22</v>
      </c>
      <c r="C154" s="5">
        <v>45819</v>
      </c>
      <c r="D154" s="16" t="s">
        <v>23</v>
      </c>
      <c r="E154" s="17" t="s">
        <v>18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16" t="s">
        <v>19</v>
      </c>
      <c r="M154" s="16" t="s">
        <v>364</v>
      </c>
      <c r="N154" s="16" t="s">
        <v>16</v>
      </c>
      <c r="O154" s="1"/>
    </row>
    <row r="155" spans="1:15" ht="15.75" customHeight="1">
      <c r="A155" s="1" t="s">
        <v>184</v>
      </c>
      <c r="B155" s="1" t="s">
        <v>13</v>
      </c>
      <c r="C155" s="5">
        <v>45615</v>
      </c>
      <c r="D155" s="16" t="s">
        <v>14</v>
      </c>
      <c r="E155" s="17" t="s">
        <v>362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16" t="s">
        <v>19</v>
      </c>
      <c r="M155" s="16"/>
      <c r="N155" s="16" t="s">
        <v>20</v>
      </c>
      <c r="O155" s="1"/>
    </row>
    <row r="156" spans="1:15" ht="15.75" customHeight="1">
      <c r="A156" s="1" t="s">
        <v>185</v>
      </c>
      <c r="B156" s="1" t="s">
        <v>13</v>
      </c>
      <c r="C156" s="5">
        <v>45407</v>
      </c>
      <c r="D156" s="16" t="s">
        <v>14</v>
      </c>
      <c r="E156" s="17" t="s">
        <v>361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16" t="s">
        <v>37</v>
      </c>
      <c r="M156" s="16" t="s">
        <v>34</v>
      </c>
      <c r="N156" s="16" t="s">
        <v>16</v>
      </c>
      <c r="O156" s="1"/>
    </row>
    <row r="157" spans="1:15" ht="15.75" customHeight="1">
      <c r="A157" s="1" t="s">
        <v>186</v>
      </c>
      <c r="B157" s="1" t="s">
        <v>27</v>
      </c>
      <c r="C157" s="5">
        <v>45538</v>
      </c>
      <c r="D157" s="16" t="s">
        <v>48</v>
      </c>
      <c r="E157" s="17" t="s">
        <v>362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16" t="s">
        <v>19</v>
      </c>
      <c r="M157" s="16" t="s">
        <v>37</v>
      </c>
      <c r="N157" s="16" t="s">
        <v>49</v>
      </c>
      <c r="O157" s="1"/>
    </row>
    <row r="158" spans="1:15" ht="15.75" customHeight="1">
      <c r="A158" s="1" t="s">
        <v>187</v>
      </c>
      <c r="B158" s="1" t="s">
        <v>27</v>
      </c>
      <c r="C158" s="5">
        <v>45718</v>
      </c>
      <c r="D158" s="16" t="s">
        <v>14</v>
      </c>
      <c r="E158" s="17" t="s">
        <v>363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16" t="s">
        <v>19</v>
      </c>
      <c r="M158" s="16" t="s">
        <v>365</v>
      </c>
      <c r="N158" s="16" t="s">
        <v>20</v>
      </c>
      <c r="O158" s="1"/>
    </row>
    <row r="159" spans="1:15" ht="15.75" customHeight="1">
      <c r="A159" s="1" t="s">
        <v>188</v>
      </c>
      <c r="B159" s="1" t="s">
        <v>22</v>
      </c>
      <c r="C159" s="5">
        <v>45737</v>
      </c>
      <c r="D159" s="16" t="s">
        <v>23</v>
      </c>
      <c r="E159" s="17" t="s">
        <v>24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16" t="s">
        <v>19</v>
      </c>
      <c r="M159" s="16" t="s">
        <v>364</v>
      </c>
      <c r="N159" s="16" t="s">
        <v>16</v>
      </c>
      <c r="O159" s="1"/>
    </row>
    <row r="160" spans="1:15" ht="15.75" customHeight="1">
      <c r="A160" s="1" t="s">
        <v>189</v>
      </c>
      <c r="B160" s="1" t="s">
        <v>13</v>
      </c>
      <c r="C160" s="5">
        <v>45394</v>
      </c>
      <c r="D160" s="16" t="s">
        <v>23</v>
      </c>
      <c r="E160" s="17" t="s">
        <v>30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16" t="s">
        <v>34</v>
      </c>
      <c r="M160" s="16"/>
      <c r="N160" s="16" t="s">
        <v>46</v>
      </c>
      <c r="O160" s="1"/>
    </row>
    <row r="161" spans="1:15" ht="15.75" customHeight="1">
      <c r="A161" s="1" t="s">
        <v>190</v>
      </c>
      <c r="B161" s="1" t="s">
        <v>27</v>
      </c>
      <c r="C161" s="5">
        <v>45330</v>
      </c>
      <c r="D161" s="16" t="s">
        <v>48</v>
      </c>
      <c r="E161" s="17" t="s">
        <v>33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16" t="s">
        <v>19</v>
      </c>
      <c r="M161" s="16" t="s">
        <v>37</v>
      </c>
      <c r="N161" s="16" t="s">
        <v>49</v>
      </c>
      <c r="O161" s="1"/>
    </row>
    <row r="162" spans="1:15" ht="15.75" customHeight="1">
      <c r="A162" s="1" t="s">
        <v>191</v>
      </c>
      <c r="B162" s="1" t="s">
        <v>13</v>
      </c>
      <c r="C162" s="5">
        <v>45803</v>
      </c>
      <c r="D162" s="16" t="s">
        <v>14</v>
      </c>
      <c r="E162" s="17" t="s">
        <v>15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16" t="s">
        <v>19</v>
      </c>
      <c r="M162" s="16"/>
      <c r="N162" s="16" t="s">
        <v>20</v>
      </c>
      <c r="O162" s="1"/>
    </row>
    <row r="163" spans="1:15" ht="15.75" customHeight="1">
      <c r="A163" s="1" t="s">
        <v>192</v>
      </c>
      <c r="B163" s="1" t="s">
        <v>13</v>
      </c>
      <c r="C163" s="5">
        <v>45610</v>
      </c>
      <c r="D163" s="16" t="s">
        <v>14</v>
      </c>
      <c r="E163" s="17" t="s">
        <v>361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16" t="s">
        <v>37</v>
      </c>
      <c r="M163" s="16" t="s">
        <v>34</v>
      </c>
      <c r="N163" s="16" t="s">
        <v>16</v>
      </c>
      <c r="O163" s="1"/>
    </row>
    <row r="164" spans="1:15" ht="15.75" customHeight="1">
      <c r="A164" s="1" t="s">
        <v>193</v>
      </c>
      <c r="B164" s="1" t="s">
        <v>27</v>
      </c>
      <c r="C164" s="5">
        <v>45513</v>
      </c>
      <c r="D164" s="16" t="s">
        <v>48</v>
      </c>
      <c r="E164" s="17" t="s">
        <v>363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16" t="s">
        <v>19</v>
      </c>
      <c r="M164" s="16" t="s">
        <v>37</v>
      </c>
      <c r="N164" s="16" t="s">
        <v>49</v>
      </c>
      <c r="O164" s="1"/>
    </row>
    <row r="165" spans="1:15" ht="15.75" customHeight="1">
      <c r="A165" s="1" t="s">
        <v>194</v>
      </c>
      <c r="B165" s="1" t="s">
        <v>13</v>
      </c>
      <c r="C165" s="5">
        <v>45835</v>
      </c>
      <c r="D165" s="16" t="s">
        <v>23</v>
      </c>
      <c r="E165" s="17" t="s">
        <v>362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16" t="s">
        <v>34</v>
      </c>
      <c r="M165" s="16"/>
      <c r="N165" s="16" t="s">
        <v>46</v>
      </c>
      <c r="O165" s="1"/>
    </row>
    <row r="166" spans="1:15" ht="15.75" customHeight="1">
      <c r="A166" s="1" t="s">
        <v>195</v>
      </c>
      <c r="B166" s="1" t="s">
        <v>13</v>
      </c>
      <c r="C166" s="5">
        <v>45420</v>
      </c>
      <c r="D166" s="16" t="s">
        <v>23</v>
      </c>
      <c r="E166" s="17" t="s">
        <v>361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16" t="s">
        <v>34</v>
      </c>
      <c r="M166" s="16"/>
      <c r="N166" s="16" t="s">
        <v>46</v>
      </c>
      <c r="O166" s="1"/>
    </row>
    <row r="167" spans="1:15" ht="15.75" customHeight="1">
      <c r="A167" s="1" t="s">
        <v>196</v>
      </c>
      <c r="B167" s="1" t="s">
        <v>13</v>
      </c>
      <c r="C167" s="5">
        <v>45387</v>
      </c>
      <c r="D167" s="16" t="s">
        <v>14</v>
      </c>
      <c r="E167" s="17" t="s">
        <v>24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16" t="s">
        <v>19</v>
      </c>
      <c r="M167" s="16"/>
      <c r="N167" s="16" t="s">
        <v>20</v>
      </c>
      <c r="O167" s="1"/>
    </row>
    <row r="168" spans="1:15" ht="15.75" customHeight="1">
      <c r="A168" s="1" t="s">
        <v>197</v>
      </c>
      <c r="B168" s="1" t="s">
        <v>27</v>
      </c>
      <c r="C168" s="5">
        <v>45684</v>
      </c>
      <c r="D168" s="16" t="s">
        <v>14</v>
      </c>
      <c r="E168" s="17" t="s">
        <v>360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16" t="s">
        <v>19</v>
      </c>
      <c r="M168" s="16" t="s">
        <v>365</v>
      </c>
      <c r="N168" s="16" t="s">
        <v>20</v>
      </c>
      <c r="O168" s="1"/>
    </row>
    <row r="169" spans="1:15" ht="15.75" customHeight="1">
      <c r="A169" s="1" t="s">
        <v>198</v>
      </c>
      <c r="B169" s="1" t="s">
        <v>13</v>
      </c>
      <c r="C169" s="5">
        <v>45385</v>
      </c>
      <c r="D169" s="16" t="s">
        <v>14</v>
      </c>
      <c r="E169" s="17" t="s">
        <v>33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16" t="s">
        <v>37</v>
      </c>
      <c r="M169" s="16" t="s">
        <v>34</v>
      </c>
      <c r="N169" s="16" t="s">
        <v>16</v>
      </c>
      <c r="O169" s="1"/>
    </row>
    <row r="170" spans="1:15" ht="15.75" customHeight="1">
      <c r="A170" s="1" t="s">
        <v>199</v>
      </c>
      <c r="B170" s="1" t="s">
        <v>27</v>
      </c>
      <c r="C170" s="5">
        <v>45660</v>
      </c>
      <c r="D170" s="16" t="s">
        <v>14</v>
      </c>
      <c r="E170" s="17" t="s">
        <v>24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16" t="s">
        <v>19</v>
      </c>
      <c r="M170" s="16" t="s">
        <v>365</v>
      </c>
      <c r="N170" s="16" t="s">
        <v>20</v>
      </c>
      <c r="O170" s="1"/>
    </row>
    <row r="171" spans="1:15" ht="15.75" customHeight="1">
      <c r="A171" s="1" t="s">
        <v>200</v>
      </c>
      <c r="B171" s="1" t="s">
        <v>22</v>
      </c>
      <c r="C171" s="5">
        <v>45619</v>
      </c>
      <c r="D171" s="16" t="s">
        <v>14</v>
      </c>
      <c r="E171" s="17" t="s">
        <v>24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16" t="s">
        <v>37</v>
      </c>
      <c r="M171" s="16"/>
      <c r="N171" s="16" t="s">
        <v>20</v>
      </c>
      <c r="O171" s="1"/>
    </row>
    <row r="172" spans="1:15" ht="15.75" customHeight="1">
      <c r="A172" s="1" t="s">
        <v>201</v>
      </c>
      <c r="B172" s="1" t="s">
        <v>13</v>
      </c>
      <c r="C172" s="5">
        <v>45536</v>
      </c>
      <c r="D172" s="16" t="s">
        <v>23</v>
      </c>
      <c r="E172" s="17" t="s">
        <v>360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16" t="s">
        <v>34</v>
      </c>
      <c r="M172" s="16"/>
      <c r="N172" s="16" t="s">
        <v>46</v>
      </c>
      <c r="O172" s="1"/>
    </row>
    <row r="173" spans="1:15" ht="15.75" customHeight="1">
      <c r="A173" s="1" t="s">
        <v>202</v>
      </c>
      <c r="B173" s="1" t="s">
        <v>27</v>
      </c>
      <c r="C173" s="5">
        <v>45400</v>
      </c>
      <c r="D173" s="16" t="s">
        <v>14</v>
      </c>
      <c r="E173" s="17" t="s">
        <v>18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16" t="s">
        <v>19</v>
      </c>
      <c r="M173" s="16" t="s">
        <v>365</v>
      </c>
      <c r="N173" s="16" t="s">
        <v>20</v>
      </c>
      <c r="O173" s="1"/>
    </row>
    <row r="174" spans="1:15" ht="15.75" customHeight="1">
      <c r="A174" s="1" t="s">
        <v>203</v>
      </c>
      <c r="B174" s="1" t="s">
        <v>13</v>
      </c>
      <c r="C174" s="5">
        <v>45447</v>
      </c>
      <c r="D174" s="16" t="s">
        <v>14</v>
      </c>
      <c r="E174" s="17" t="s">
        <v>30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16" t="s">
        <v>19</v>
      </c>
      <c r="M174" s="16"/>
      <c r="N174" s="16" t="s">
        <v>20</v>
      </c>
      <c r="O174" s="1"/>
    </row>
    <row r="175" spans="1:15" ht="15.75" customHeight="1">
      <c r="A175" s="1" t="s">
        <v>204</v>
      </c>
      <c r="B175" s="1" t="s">
        <v>27</v>
      </c>
      <c r="C175" s="5">
        <v>45749</v>
      </c>
      <c r="D175" s="16" t="s">
        <v>14</v>
      </c>
      <c r="E175" s="17" t="s">
        <v>360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16" t="s">
        <v>19</v>
      </c>
      <c r="M175" s="16" t="s">
        <v>365</v>
      </c>
      <c r="N175" s="16" t="s">
        <v>20</v>
      </c>
      <c r="O175" s="1"/>
    </row>
    <row r="176" spans="1:15" ht="15.75" customHeight="1">
      <c r="A176" s="1" t="s">
        <v>205</v>
      </c>
      <c r="B176" s="1" t="s">
        <v>22</v>
      </c>
      <c r="C176" s="5">
        <v>45748</v>
      </c>
      <c r="D176" s="16" t="s">
        <v>23</v>
      </c>
      <c r="E176" s="17" t="s">
        <v>361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16" t="s">
        <v>19</v>
      </c>
      <c r="M176" s="16" t="s">
        <v>364</v>
      </c>
      <c r="N176" s="16" t="s">
        <v>16</v>
      </c>
      <c r="O176" s="1"/>
    </row>
    <row r="177" spans="1:15" ht="15.75" customHeight="1">
      <c r="A177" s="1" t="s">
        <v>206</v>
      </c>
      <c r="B177" s="1" t="s">
        <v>13</v>
      </c>
      <c r="C177" s="5">
        <v>45475</v>
      </c>
      <c r="D177" s="16" t="s">
        <v>14</v>
      </c>
      <c r="E177" s="17" t="s">
        <v>33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16" t="s">
        <v>37</v>
      </c>
      <c r="M177" s="16" t="s">
        <v>34</v>
      </c>
      <c r="N177" s="16" t="s">
        <v>16</v>
      </c>
      <c r="O177" s="1"/>
    </row>
    <row r="178" spans="1:15" ht="15.75" customHeight="1">
      <c r="A178" s="1" t="s">
        <v>207</v>
      </c>
      <c r="B178" s="1" t="s">
        <v>22</v>
      </c>
      <c r="C178" s="5">
        <v>45606</v>
      </c>
      <c r="D178" s="16" t="s">
        <v>14</v>
      </c>
      <c r="E178" s="17" t="s">
        <v>18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16" t="s">
        <v>37</v>
      </c>
      <c r="M178" s="16"/>
      <c r="N178" s="16" t="s">
        <v>20</v>
      </c>
      <c r="O178" s="1"/>
    </row>
    <row r="179" spans="1:15" ht="15.75" customHeight="1">
      <c r="A179" s="1" t="s">
        <v>208</v>
      </c>
      <c r="B179" s="1" t="s">
        <v>13</v>
      </c>
      <c r="C179" s="5">
        <v>45640</v>
      </c>
      <c r="D179" s="16" t="s">
        <v>23</v>
      </c>
      <c r="E179" s="17" t="s">
        <v>363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16" t="s">
        <v>34</v>
      </c>
      <c r="M179" s="16"/>
      <c r="N179" s="16" t="s">
        <v>46</v>
      </c>
      <c r="O179" s="1"/>
    </row>
    <row r="180" spans="1:15" ht="15.75" customHeight="1">
      <c r="A180" s="1" t="s">
        <v>209</v>
      </c>
      <c r="B180" s="1" t="s">
        <v>22</v>
      </c>
      <c r="C180" s="5">
        <v>45615</v>
      </c>
      <c r="D180" s="16" t="s">
        <v>14</v>
      </c>
      <c r="E180" s="17" t="s">
        <v>18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16" t="s">
        <v>37</v>
      </c>
      <c r="M180" s="16"/>
      <c r="N180" s="16" t="s">
        <v>20</v>
      </c>
      <c r="O180" s="1"/>
    </row>
    <row r="181" spans="1:15" ht="15.75" customHeight="1">
      <c r="A181" s="1" t="s">
        <v>210</v>
      </c>
      <c r="B181" s="1" t="s">
        <v>22</v>
      </c>
      <c r="C181" s="5">
        <v>45777</v>
      </c>
      <c r="D181" s="16" t="s">
        <v>23</v>
      </c>
      <c r="E181" s="17" t="s">
        <v>360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16" t="s">
        <v>364</v>
      </c>
      <c r="M181" s="16" t="s">
        <v>34</v>
      </c>
      <c r="N181" s="16" t="s">
        <v>16</v>
      </c>
      <c r="O181" s="1"/>
    </row>
    <row r="182" spans="1:15" ht="15.75" customHeight="1">
      <c r="A182" s="1" t="s">
        <v>211</v>
      </c>
      <c r="B182" s="1" t="s">
        <v>22</v>
      </c>
      <c r="C182" s="5">
        <v>45370</v>
      </c>
      <c r="D182" s="16" t="s">
        <v>14</v>
      </c>
      <c r="E182" s="17" t="s">
        <v>363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16" t="s">
        <v>37</v>
      </c>
      <c r="M182" s="16"/>
      <c r="N182" s="16" t="s">
        <v>20</v>
      </c>
      <c r="O182" s="1"/>
    </row>
    <row r="183" spans="1:15" ht="15.75" customHeight="1">
      <c r="A183" s="1" t="s">
        <v>212</v>
      </c>
      <c r="B183" s="1" t="s">
        <v>13</v>
      </c>
      <c r="C183" s="5">
        <v>45370</v>
      </c>
      <c r="D183" s="16" t="s">
        <v>14</v>
      </c>
      <c r="E183" s="17" t="s">
        <v>363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16" t="s">
        <v>37</v>
      </c>
      <c r="M183" s="16" t="s">
        <v>34</v>
      </c>
      <c r="N183" s="16" t="s">
        <v>16</v>
      </c>
      <c r="O183" s="1"/>
    </row>
    <row r="184" spans="1:15" ht="15.75" customHeight="1">
      <c r="A184" s="1" t="s">
        <v>213</v>
      </c>
      <c r="B184" s="1" t="s">
        <v>22</v>
      </c>
      <c r="C184" s="5">
        <v>45496</v>
      </c>
      <c r="D184" s="16" t="s">
        <v>14</v>
      </c>
      <c r="E184" s="17" t="s">
        <v>33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16" t="s">
        <v>37</v>
      </c>
      <c r="M184" s="16"/>
      <c r="N184" s="16" t="s">
        <v>20</v>
      </c>
      <c r="O184" s="1"/>
    </row>
    <row r="185" spans="1:15" ht="15.75" customHeight="1">
      <c r="A185" s="1" t="s">
        <v>214</v>
      </c>
      <c r="B185" s="1" t="s">
        <v>22</v>
      </c>
      <c r="C185" s="5">
        <v>45486</v>
      </c>
      <c r="D185" s="16" t="s">
        <v>23</v>
      </c>
      <c r="E185" s="17" t="s">
        <v>30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16" t="s">
        <v>364</v>
      </c>
      <c r="M185" s="16" t="s">
        <v>34</v>
      </c>
      <c r="N185" s="16" t="s">
        <v>16</v>
      </c>
      <c r="O185" s="1"/>
    </row>
    <row r="186" spans="1:15" ht="15.75" customHeight="1">
      <c r="A186" s="1" t="s">
        <v>215</v>
      </c>
      <c r="B186" s="1" t="s">
        <v>27</v>
      </c>
      <c r="C186" s="5">
        <v>45769</v>
      </c>
      <c r="D186" s="16" t="s">
        <v>48</v>
      </c>
      <c r="E186" s="17" t="s">
        <v>24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16" t="s">
        <v>19</v>
      </c>
      <c r="M186" s="16" t="s">
        <v>37</v>
      </c>
      <c r="N186" s="16" t="s">
        <v>49</v>
      </c>
      <c r="O186" s="1"/>
    </row>
    <row r="187" spans="1:15" ht="15.75" customHeight="1">
      <c r="A187" s="1" t="s">
        <v>216</v>
      </c>
      <c r="B187" s="1" t="s">
        <v>22</v>
      </c>
      <c r="C187" s="5">
        <v>45459</v>
      </c>
      <c r="D187" s="16" t="s">
        <v>23</v>
      </c>
      <c r="E187" s="17" t="s">
        <v>18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16" t="s">
        <v>364</v>
      </c>
      <c r="M187" s="16" t="s">
        <v>34</v>
      </c>
      <c r="N187" s="16" t="s">
        <v>16</v>
      </c>
      <c r="O187" s="1"/>
    </row>
    <row r="188" spans="1:15" ht="15.75" customHeight="1">
      <c r="A188" s="1" t="s">
        <v>217</v>
      </c>
      <c r="B188" s="1" t="s">
        <v>27</v>
      </c>
      <c r="C188" s="5">
        <v>45795</v>
      </c>
      <c r="D188" s="16" t="s">
        <v>48</v>
      </c>
      <c r="E188" s="17" t="s">
        <v>360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16" t="s">
        <v>19</v>
      </c>
      <c r="M188" s="16" t="s">
        <v>37</v>
      </c>
      <c r="N188" s="16" t="s">
        <v>49</v>
      </c>
      <c r="O188" s="1"/>
    </row>
    <row r="189" spans="1:15" ht="15.75" customHeight="1">
      <c r="A189" s="1" t="s">
        <v>218</v>
      </c>
      <c r="B189" s="1" t="s">
        <v>13</v>
      </c>
      <c r="C189" s="5">
        <v>45814</v>
      </c>
      <c r="D189" s="16" t="s">
        <v>14</v>
      </c>
      <c r="E189" s="17" t="s">
        <v>360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16" t="s">
        <v>19</v>
      </c>
      <c r="M189" s="16"/>
      <c r="N189" s="16" t="s">
        <v>20</v>
      </c>
      <c r="O189" s="1"/>
    </row>
    <row r="190" spans="1:15" ht="15.75" customHeight="1">
      <c r="A190" s="1" t="s">
        <v>219</v>
      </c>
      <c r="B190" s="1" t="s">
        <v>27</v>
      </c>
      <c r="C190" s="5">
        <v>45708</v>
      </c>
      <c r="D190" s="16" t="s">
        <v>48</v>
      </c>
      <c r="E190" s="17" t="s">
        <v>30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16" t="s">
        <v>19</v>
      </c>
      <c r="M190" s="16" t="s">
        <v>37</v>
      </c>
      <c r="N190" s="16" t="s">
        <v>49</v>
      </c>
      <c r="O190" s="1"/>
    </row>
    <row r="191" spans="1:15" ht="15.75" customHeight="1">
      <c r="A191" s="1" t="s">
        <v>220</v>
      </c>
      <c r="B191" s="1" t="s">
        <v>13</v>
      </c>
      <c r="C191" s="5">
        <v>45673</v>
      </c>
      <c r="D191" s="16" t="s">
        <v>14</v>
      </c>
      <c r="E191" s="17" t="s">
        <v>361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16" t="s">
        <v>37</v>
      </c>
      <c r="M191" s="16" t="s">
        <v>34</v>
      </c>
      <c r="N191" s="16" t="s">
        <v>16</v>
      </c>
      <c r="O191" s="1"/>
    </row>
    <row r="192" spans="1:15" ht="15.75" customHeight="1">
      <c r="A192" s="1" t="s">
        <v>221</v>
      </c>
      <c r="B192" s="1" t="s">
        <v>27</v>
      </c>
      <c r="C192" s="5">
        <v>45346</v>
      </c>
      <c r="D192" s="16" t="s">
        <v>48</v>
      </c>
      <c r="E192" s="17" t="s">
        <v>15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16" t="s">
        <v>19</v>
      </c>
      <c r="M192" s="16" t="s">
        <v>37</v>
      </c>
      <c r="N192" s="16" t="s">
        <v>49</v>
      </c>
      <c r="O192" s="1"/>
    </row>
    <row r="193" spans="1:15" ht="15.75" customHeight="1">
      <c r="A193" s="1" t="s">
        <v>222</v>
      </c>
      <c r="B193" s="1" t="s">
        <v>22</v>
      </c>
      <c r="C193" s="5">
        <v>45551</v>
      </c>
      <c r="D193" s="16" t="s">
        <v>23</v>
      </c>
      <c r="E193" s="17" t="s">
        <v>362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16" t="s">
        <v>19</v>
      </c>
      <c r="M193" s="16" t="s">
        <v>364</v>
      </c>
      <c r="N193" s="16" t="s">
        <v>16</v>
      </c>
      <c r="O193" s="1"/>
    </row>
    <row r="194" spans="1:15" ht="15.75" customHeight="1">
      <c r="A194" s="1" t="s">
        <v>223</v>
      </c>
      <c r="B194" s="1" t="s">
        <v>27</v>
      </c>
      <c r="C194" s="5">
        <v>45447</v>
      </c>
      <c r="D194" s="16" t="s">
        <v>48</v>
      </c>
      <c r="E194" s="17" t="s">
        <v>360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16" t="s">
        <v>19</v>
      </c>
      <c r="M194" s="16" t="s">
        <v>37</v>
      </c>
      <c r="N194" s="16" t="s">
        <v>49</v>
      </c>
      <c r="O194" s="1"/>
    </row>
    <row r="195" spans="1:15" ht="15.75" customHeight="1">
      <c r="A195" s="1" t="s">
        <v>224</v>
      </c>
      <c r="B195" s="1" t="s">
        <v>22</v>
      </c>
      <c r="C195" s="5">
        <v>45422</v>
      </c>
      <c r="D195" s="16" t="s">
        <v>23</v>
      </c>
      <c r="E195" s="17" t="s">
        <v>18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16" t="s">
        <v>364</v>
      </c>
      <c r="M195" s="16" t="s">
        <v>34</v>
      </c>
      <c r="N195" s="16" t="s">
        <v>16</v>
      </c>
      <c r="O195" s="1"/>
    </row>
    <row r="196" spans="1:15" ht="15.75" customHeight="1">
      <c r="A196" s="1" t="s">
        <v>225</v>
      </c>
      <c r="B196" s="1" t="s">
        <v>27</v>
      </c>
      <c r="C196" s="5">
        <v>45305</v>
      </c>
      <c r="D196" s="16" t="s">
        <v>14</v>
      </c>
      <c r="E196" s="17" t="s">
        <v>24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16" t="s">
        <v>19</v>
      </c>
      <c r="M196" s="16" t="s">
        <v>365</v>
      </c>
      <c r="N196" s="16" t="s">
        <v>20</v>
      </c>
      <c r="O196" s="1"/>
    </row>
    <row r="197" spans="1:15" ht="15.75" customHeight="1">
      <c r="A197" s="1" t="s">
        <v>226</v>
      </c>
      <c r="B197" s="1" t="s">
        <v>13</v>
      </c>
      <c r="C197" s="5">
        <v>45669</v>
      </c>
      <c r="D197" s="16" t="s">
        <v>14</v>
      </c>
      <c r="E197" s="17" t="s">
        <v>363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16" t="s">
        <v>37</v>
      </c>
      <c r="M197" s="16" t="s">
        <v>34</v>
      </c>
      <c r="N197" s="16" t="s">
        <v>16</v>
      </c>
      <c r="O197" s="1"/>
    </row>
    <row r="198" spans="1:15" ht="15.75" customHeight="1">
      <c r="A198" s="1" t="s">
        <v>227</v>
      </c>
      <c r="B198" s="1" t="s">
        <v>27</v>
      </c>
      <c r="C198" s="5">
        <v>45634</v>
      </c>
      <c r="D198" s="16" t="s">
        <v>14</v>
      </c>
      <c r="E198" s="17" t="s">
        <v>33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16" t="s">
        <v>19</v>
      </c>
      <c r="M198" s="16" t="s">
        <v>365</v>
      </c>
      <c r="N198" s="16" t="s">
        <v>20</v>
      </c>
      <c r="O198" s="1"/>
    </row>
    <row r="199" spans="1:15" ht="15.75" customHeight="1">
      <c r="A199" s="1" t="s">
        <v>228</v>
      </c>
      <c r="B199" s="1" t="s">
        <v>22</v>
      </c>
      <c r="C199" s="5">
        <v>45689</v>
      </c>
      <c r="D199" s="16" t="s">
        <v>23</v>
      </c>
      <c r="E199" s="17" t="s">
        <v>33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16" t="s">
        <v>37</v>
      </c>
      <c r="M199" s="16" t="s">
        <v>34</v>
      </c>
      <c r="N199" s="16" t="s">
        <v>16</v>
      </c>
      <c r="O199" s="1"/>
    </row>
    <row r="200" spans="1:15" ht="15.75" customHeight="1">
      <c r="A200" s="1" t="s">
        <v>229</v>
      </c>
      <c r="B200" s="1" t="s">
        <v>22</v>
      </c>
      <c r="C200" s="5">
        <v>45484</v>
      </c>
      <c r="D200" s="16" t="s">
        <v>23</v>
      </c>
      <c r="E200" s="17" t="s">
        <v>30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16" t="s">
        <v>37</v>
      </c>
      <c r="M200" s="16" t="s">
        <v>34</v>
      </c>
      <c r="N200" s="16" t="s">
        <v>16</v>
      </c>
      <c r="O200" s="1"/>
    </row>
    <row r="201" spans="1:15" ht="15.75" customHeight="1">
      <c r="A201" s="1" t="s">
        <v>230</v>
      </c>
      <c r="B201" s="1" t="s">
        <v>22</v>
      </c>
      <c r="C201" s="5">
        <v>45369</v>
      </c>
      <c r="D201" s="16" t="s">
        <v>14</v>
      </c>
      <c r="E201" s="17" t="s">
        <v>24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16" t="s">
        <v>34</v>
      </c>
      <c r="M201" s="16"/>
      <c r="N201" s="16" t="s">
        <v>16</v>
      </c>
      <c r="O201" s="1"/>
    </row>
    <row r="202" spans="1:15" ht="15.75" customHeight="1">
      <c r="A202" s="1" t="s">
        <v>231</v>
      </c>
      <c r="B202" s="1" t="s">
        <v>22</v>
      </c>
      <c r="C202" s="5">
        <v>45547</v>
      </c>
      <c r="D202" s="16" t="s">
        <v>23</v>
      </c>
      <c r="E202" s="17" t="s">
        <v>360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16" t="s">
        <v>364</v>
      </c>
      <c r="M202" s="16" t="s">
        <v>34</v>
      </c>
      <c r="N202" s="16" t="s">
        <v>16</v>
      </c>
      <c r="O202" s="1"/>
    </row>
    <row r="203" spans="1:15" ht="15.75" customHeight="1">
      <c r="A203" s="1" t="s">
        <v>232</v>
      </c>
      <c r="B203" s="1" t="s">
        <v>22</v>
      </c>
      <c r="C203" s="5">
        <v>45302</v>
      </c>
      <c r="D203" s="16" t="s">
        <v>23</v>
      </c>
      <c r="E203" s="17" t="s">
        <v>360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16" t="s">
        <v>37</v>
      </c>
      <c r="M203" s="16" t="s">
        <v>34</v>
      </c>
      <c r="N203" s="16" t="s">
        <v>16</v>
      </c>
      <c r="O203" s="1"/>
    </row>
    <row r="204" spans="1:15" ht="15.75" customHeight="1">
      <c r="A204" s="1" t="s">
        <v>233</v>
      </c>
      <c r="B204" s="1" t="s">
        <v>13</v>
      </c>
      <c r="C204" s="5">
        <v>45571</v>
      </c>
      <c r="D204" s="16" t="s">
        <v>14</v>
      </c>
      <c r="E204" s="17" t="s">
        <v>33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16" t="s">
        <v>19</v>
      </c>
      <c r="M204" s="16"/>
      <c r="N204" s="16" t="s">
        <v>20</v>
      </c>
      <c r="O204" s="1"/>
    </row>
    <row r="205" spans="1:15" ht="15.75" customHeight="1">
      <c r="A205" s="1" t="s">
        <v>234</v>
      </c>
      <c r="B205" s="1" t="s">
        <v>22</v>
      </c>
      <c r="C205" s="5">
        <v>45656</v>
      </c>
      <c r="D205" s="16" t="s">
        <v>14</v>
      </c>
      <c r="E205" s="17" t="s">
        <v>30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16" t="s">
        <v>34</v>
      </c>
      <c r="M205" s="16"/>
      <c r="N205" s="16" t="s">
        <v>16</v>
      </c>
      <c r="O205" s="1"/>
    </row>
    <row r="206" spans="1:15" ht="15.75" customHeight="1">
      <c r="A206" s="1" t="s">
        <v>235</v>
      </c>
      <c r="B206" s="1" t="s">
        <v>22</v>
      </c>
      <c r="C206" s="5">
        <v>45763</v>
      </c>
      <c r="D206" s="16" t="s">
        <v>14</v>
      </c>
      <c r="E206" s="17" t="s">
        <v>360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16" t="s">
        <v>37</v>
      </c>
      <c r="M206" s="16"/>
      <c r="N206" s="16" t="s">
        <v>20</v>
      </c>
      <c r="O206" s="1"/>
    </row>
    <row r="207" spans="1:15" ht="15.75" customHeight="1">
      <c r="A207" s="1" t="s">
        <v>236</v>
      </c>
      <c r="B207" s="1" t="s">
        <v>22</v>
      </c>
      <c r="C207" s="5">
        <v>45525</v>
      </c>
      <c r="D207" s="16" t="s">
        <v>23</v>
      </c>
      <c r="E207" s="17" t="s">
        <v>18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16" t="s">
        <v>19</v>
      </c>
      <c r="M207" s="16" t="s">
        <v>364</v>
      </c>
      <c r="N207" s="16" t="s">
        <v>16</v>
      </c>
      <c r="O207" s="1"/>
    </row>
    <row r="208" spans="1:15" ht="15.75" customHeight="1">
      <c r="A208" s="1" t="s">
        <v>237</v>
      </c>
      <c r="B208" s="1" t="s">
        <v>22</v>
      </c>
      <c r="C208" s="5">
        <v>45387</v>
      </c>
      <c r="D208" s="16" t="s">
        <v>23</v>
      </c>
      <c r="E208" s="17" t="s">
        <v>360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16" t="s">
        <v>37</v>
      </c>
      <c r="M208" s="16" t="s">
        <v>34</v>
      </c>
      <c r="N208" s="16" t="s">
        <v>16</v>
      </c>
      <c r="O208" s="1"/>
    </row>
    <row r="209" spans="1:15" ht="15.75" customHeight="1">
      <c r="A209" s="1" t="s">
        <v>238</v>
      </c>
      <c r="B209" s="1" t="s">
        <v>22</v>
      </c>
      <c r="C209" s="5">
        <v>45754</v>
      </c>
      <c r="D209" s="16" t="s">
        <v>14</v>
      </c>
      <c r="E209" s="17" t="s">
        <v>363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16" t="s">
        <v>37</v>
      </c>
      <c r="M209" s="16"/>
      <c r="N209" s="16" t="s">
        <v>20</v>
      </c>
      <c r="O209" s="1"/>
    </row>
    <row r="210" spans="1:15" ht="15.75" customHeight="1">
      <c r="A210" s="1" t="s">
        <v>239</v>
      </c>
      <c r="B210" s="1" t="s">
        <v>22</v>
      </c>
      <c r="C210" s="5">
        <v>45492</v>
      </c>
      <c r="D210" s="16" t="s">
        <v>23</v>
      </c>
      <c r="E210" s="17" t="s">
        <v>362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16" t="s">
        <v>19</v>
      </c>
      <c r="M210" s="16" t="s">
        <v>364</v>
      </c>
      <c r="N210" s="16" t="s">
        <v>16</v>
      </c>
      <c r="O210" s="1"/>
    </row>
    <row r="211" spans="1:15" ht="15.75" customHeight="1">
      <c r="A211" s="1" t="s">
        <v>240</v>
      </c>
      <c r="B211" s="1" t="s">
        <v>22</v>
      </c>
      <c r="C211" s="5">
        <v>45780</v>
      </c>
      <c r="D211" s="16" t="s">
        <v>23</v>
      </c>
      <c r="E211" s="17" t="s">
        <v>33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16" t="s">
        <v>37</v>
      </c>
      <c r="M211" s="16" t="s">
        <v>34</v>
      </c>
      <c r="N211" s="16" t="s">
        <v>16</v>
      </c>
      <c r="O211" s="1"/>
    </row>
    <row r="212" spans="1:15" ht="15.75" customHeight="1">
      <c r="A212" s="1" t="s">
        <v>241</v>
      </c>
      <c r="B212" s="1" t="s">
        <v>22</v>
      </c>
      <c r="C212" s="5">
        <v>45396</v>
      </c>
      <c r="D212" s="16" t="s">
        <v>23</v>
      </c>
      <c r="E212" s="17" t="s">
        <v>15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16" t="s">
        <v>19</v>
      </c>
      <c r="M212" s="16" t="s">
        <v>364</v>
      </c>
      <c r="N212" s="16" t="s">
        <v>16</v>
      </c>
      <c r="O212" s="1"/>
    </row>
    <row r="213" spans="1:15" ht="15.75" customHeight="1">
      <c r="A213" s="1" t="s">
        <v>242</v>
      </c>
      <c r="B213" s="1" t="s">
        <v>22</v>
      </c>
      <c r="C213" s="5">
        <v>45827</v>
      </c>
      <c r="D213" s="16" t="s">
        <v>23</v>
      </c>
      <c r="E213" s="17" t="s">
        <v>362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16" t="s">
        <v>19</v>
      </c>
      <c r="M213" s="16" t="s">
        <v>364</v>
      </c>
      <c r="N213" s="16" t="s">
        <v>16</v>
      </c>
      <c r="O213" s="1"/>
    </row>
    <row r="214" spans="1:15" ht="15.75" customHeight="1">
      <c r="A214" s="1" t="s">
        <v>243</v>
      </c>
      <c r="B214" s="1" t="s">
        <v>13</v>
      </c>
      <c r="C214" s="5">
        <v>45832</v>
      </c>
      <c r="D214" s="16" t="s">
        <v>23</v>
      </c>
      <c r="E214" s="17" t="s">
        <v>30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16" t="s">
        <v>34</v>
      </c>
      <c r="M214" s="16"/>
      <c r="N214" s="16" t="s">
        <v>46</v>
      </c>
      <c r="O214" s="1"/>
    </row>
    <row r="215" spans="1:15" ht="15.75" customHeight="1">
      <c r="A215" s="1" t="s">
        <v>244</v>
      </c>
      <c r="B215" s="1" t="s">
        <v>22</v>
      </c>
      <c r="C215" s="5">
        <v>45574</v>
      </c>
      <c r="D215" s="16" t="s">
        <v>14</v>
      </c>
      <c r="E215" s="17" t="s">
        <v>360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16" t="s">
        <v>37</v>
      </c>
      <c r="M215" s="16"/>
      <c r="N215" s="16" t="s">
        <v>20</v>
      </c>
      <c r="O215" s="1"/>
    </row>
    <row r="216" spans="1:15" ht="15.75" customHeight="1">
      <c r="A216" s="1" t="s">
        <v>245</v>
      </c>
      <c r="B216" s="1" t="s">
        <v>27</v>
      </c>
      <c r="C216" s="5">
        <v>45672</v>
      </c>
      <c r="D216" s="16" t="s">
        <v>14</v>
      </c>
      <c r="E216" s="17" t="s">
        <v>42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16" t="s">
        <v>19</v>
      </c>
      <c r="M216" s="16" t="s">
        <v>365</v>
      </c>
      <c r="N216" s="16" t="s">
        <v>20</v>
      </c>
      <c r="O216" s="1"/>
    </row>
    <row r="217" spans="1:15" ht="15.75" customHeight="1">
      <c r="A217" s="1" t="s">
        <v>246</v>
      </c>
      <c r="B217" s="1" t="s">
        <v>22</v>
      </c>
      <c r="C217" s="5">
        <v>45669</v>
      </c>
      <c r="D217" s="16" t="s">
        <v>14</v>
      </c>
      <c r="E217" s="17" t="s">
        <v>361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16" t="s">
        <v>37</v>
      </c>
      <c r="M217" s="16"/>
      <c r="N217" s="16" t="s">
        <v>20</v>
      </c>
      <c r="O217" s="1"/>
    </row>
    <row r="218" spans="1:15" ht="15.75" customHeight="1">
      <c r="A218" s="1" t="s">
        <v>247</v>
      </c>
      <c r="B218" s="1" t="s">
        <v>13</v>
      </c>
      <c r="C218" s="5">
        <v>45808</v>
      </c>
      <c r="D218" s="16" t="s">
        <v>14</v>
      </c>
      <c r="E218" s="17" t="s">
        <v>362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16" t="s">
        <v>37</v>
      </c>
      <c r="M218" s="16" t="s">
        <v>34</v>
      </c>
      <c r="N218" s="16" t="s">
        <v>16</v>
      </c>
      <c r="O218" s="1"/>
    </row>
    <row r="219" spans="1:15" ht="15.75" customHeight="1">
      <c r="A219" s="1" t="s">
        <v>248</v>
      </c>
      <c r="B219" s="1" t="s">
        <v>22</v>
      </c>
      <c r="C219" s="5">
        <v>45579</v>
      </c>
      <c r="D219" s="16" t="s">
        <v>23</v>
      </c>
      <c r="E219" s="17" t="s">
        <v>18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16" t="s">
        <v>19</v>
      </c>
      <c r="M219" s="16" t="s">
        <v>364</v>
      </c>
      <c r="N219" s="16" t="s">
        <v>16</v>
      </c>
      <c r="O219" s="1"/>
    </row>
    <row r="220" spans="1:15" ht="15.75" customHeight="1">
      <c r="A220" s="1" t="s">
        <v>249</v>
      </c>
      <c r="B220" s="1" t="s">
        <v>22</v>
      </c>
      <c r="C220" s="5">
        <v>45332</v>
      </c>
      <c r="D220" s="16" t="s">
        <v>14</v>
      </c>
      <c r="E220" s="17" t="s">
        <v>363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16" t="s">
        <v>37</v>
      </c>
      <c r="M220" s="16"/>
      <c r="N220" s="16" t="s">
        <v>20</v>
      </c>
      <c r="O220" s="1"/>
    </row>
    <row r="221" spans="1:15" ht="15.75" customHeight="1">
      <c r="A221" s="1" t="s">
        <v>250</v>
      </c>
      <c r="B221" s="1" t="s">
        <v>27</v>
      </c>
      <c r="C221" s="5">
        <v>45636</v>
      </c>
      <c r="D221" s="16" t="s">
        <v>14</v>
      </c>
      <c r="E221" s="17" t="s">
        <v>362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16" t="s">
        <v>19</v>
      </c>
      <c r="M221" s="16" t="s">
        <v>365</v>
      </c>
      <c r="N221" s="16" t="s">
        <v>20</v>
      </c>
      <c r="O221" s="1"/>
    </row>
    <row r="222" spans="1:15" ht="15.75" customHeight="1">
      <c r="A222" s="1" t="s">
        <v>251</v>
      </c>
      <c r="B222" s="1" t="s">
        <v>22</v>
      </c>
      <c r="C222" s="5">
        <v>45786</v>
      </c>
      <c r="D222" s="16" t="s">
        <v>23</v>
      </c>
      <c r="E222" s="17" t="s">
        <v>361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16" t="s">
        <v>364</v>
      </c>
      <c r="M222" s="16" t="s">
        <v>34</v>
      </c>
      <c r="N222" s="16" t="s">
        <v>16</v>
      </c>
      <c r="O222" s="1"/>
    </row>
    <row r="223" spans="1:15" ht="15.75" customHeight="1">
      <c r="A223" s="1" t="s">
        <v>252</v>
      </c>
      <c r="B223" s="1" t="s">
        <v>22</v>
      </c>
      <c r="C223" s="5">
        <v>45829</v>
      </c>
      <c r="D223" s="16" t="s">
        <v>14</v>
      </c>
      <c r="E223" s="17" t="s">
        <v>18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16" t="s">
        <v>34</v>
      </c>
      <c r="M223" s="16"/>
      <c r="N223" s="16" t="s">
        <v>16</v>
      </c>
      <c r="O223" s="1"/>
    </row>
    <row r="224" spans="1:15" ht="15.75" customHeight="1">
      <c r="A224" s="1" t="s">
        <v>253</v>
      </c>
      <c r="B224" s="1" t="s">
        <v>22</v>
      </c>
      <c r="C224" s="5">
        <v>45462</v>
      </c>
      <c r="D224" s="16" t="s">
        <v>14</v>
      </c>
      <c r="E224" s="17" t="s">
        <v>362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16" t="s">
        <v>37</v>
      </c>
      <c r="M224" s="16"/>
      <c r="N224" s="16" t="s">
        <v>20</v>
      </c>
      <c r="O224" s="1"/>
    </row>
    <row r="225" spans="1:15" ht="15.75" customHeight="1">
      <c r="A225" s="1" t="s">
        <v>254</v>
      </c>
      <c r="B225" s="1" t="s">
        <v>22</v>
      </c>
      <c r="C225" s="5">
        <v>45636</v>
      </c>
      <c r="D225" s="16" t="s">
        <v>14</v>
      </c>
      <c r="E225" s="17" t="s">
        <v>363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16" t="s">
        <v>34</v>
      </c>
      <c r="M225" s="16"/>
      <c r="N225" s="16" t="s">
        <v>16</v>
      </c>
      <c r="O225" s="1"/>
    </row>
    <row r="226" spans="1:15" ht="15.75" customHeight="1">
      <c r="A226" s="1" t="s">
        <v>255</v>
      </c>
      <c r="B226" s="1" t="s">
        <v>27</v>
      </c>
      <c r="C226" s="5">
        <v>45323</v>
      </c>
      <c r="D226" s="16" t="s">
        <v>14</v>
      </c>
      <c r="E226" s="17" t="s">
        <v>360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16" t="s">
        <v>19</v>
      </c>
      <c r="M226" s="16" t="s">
        <v>365</v>
      </c>
      <c r="N226" s="16" t="s">
        <v>20</v>
      </c>
      <c r="O226" s="1"/>
    </row>
    <row r="227" spans="1:15" ht="15.75" customHeight="1">
      <c r="A227" s="1" t="s">
        <v>256</v>
      </c>
      <c r="B227" s="1" t="s">
        <v>22</v>
      </c>
      <c r="C227" s="5">
        <v>45308</v>
      </c>
      <c r="D227" s="16" t="s">
        <v>23</v>
      </c>
      <c r="E227" s="17" t="s">
        <v>24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16" t="s">
        <v>364</v>
      </c>
      <c r="M227" s="16" t="s">
        <v>34</v>
      </c>
      <c r="N227" s="16" t="s">
        <v>16</v>
      </c>
      <c r="O227" s="1"/>
    </row>
    <row r="228" spans="1:15" ht="15.75" customHeight="1">
      <c r="A228" s="1" t="s">
        <v>257</v>
      </c>
      <c r="B228" s="1" t="s">
        <v>27</v>
      </c>
      <c r="C228" s="5">
        <v>45738</v>
      </c>
      <c r="D228" s="16" t="s">
        <v>14</v>
      </c>
      <c r="E228" s="17" t="s">
        <v>361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16" t="s">
        <v>19</v>
      </c>
      <c r="M228" s="16" t="s">
        <v>365</v>
      </c>
      <c r="N228" s="16" t="s">
        <v>20</v>
      </c>
      <c r="O228" s="1"/>
    </row>
    <row r="229" spans="1:15" ht="15.75" customHeight="1">
      <c r="A229" s="1" t="s">
        <v>258</v>
      </c>
      <c r="B229" s="1" t="s">
        <v>27</v>
      </c>
      <c r="C229" s="5">
        <v>45442</v>
      </c>
      <c r="D229" s="16" t="s">
        <v>48</v>
      </c>
      <c r="E229" s="17" t="s">
        <v>362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16" t="s">
        <v>19</v>
      </c>
      <c r="M229" s="16" t="s">
        <v>37</v>
      </c>
      <c r="N229" s="16" t="s">
        <v>49</v>
      </c>
      <c r="O229" s="1"/>
    </row>
    <row r="230" spans="1:15" ht="15.75" customHeight="1">
      <c r="A230" s="1" t="s">
        <v>259</v>
      </c>
      <c r="B230" s="1" t="s">
        <v>27</v>
      </c>
      <c r="C230" s="5">
        <v>45346</v>
      </c>
      <c r="D230" s="16" t="s">
        <v>14</v>
      </c>
      <c r="E230" s="17" t="s">
        <v>361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16" t="s">
        <v>19</v>
      </c>
      <c r="M230" s="16" t="s">
        <v>365</v>
      </c>
      <c r="N230" s="16" t="s">
        <v>20</v>
      </c>
      <c r="O230" s="1"/>
    </row>
    <row r="231" spans="1:15" ht="15.75" customHeight="1">
      <c r="A231" s="1" t="s">
        <v>260</v>
      </c>
      <c r="B231" s="1" t="s">
        <v>27</v>
      </c>
      <c r="C231" s="5">
        <v>45791</v>
      </c>
      <c r="D231" s="16" t="s">
        <v>14</v>
      </c>
      <c r="E231" s="17" t="s">
        <v>15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16" t="s">
        <v>19</v>
      </c>
      <c r="M231" s="16" t="s">
        <v>365</v>
      </c>
      <c r="N231" s="16" t="s">
        <v>20</v>
      </c>
      <c r="O231" s="1"/>
    </row>
    <row r="232" spans="1:15" ht="15.75" customHeight="1">
      <c r="A232" s="1" t="s">
        <v>261</v>
      </c>
      <c r="B232" s="1" t="s">
        <v>13</v>
      </c>
      <c r="C232" s="5">
        <v>45379</v>
      </c>
      <c r="D232" s="16" t="s">
        <v>14</v>
      </c>
      <c r="E232" s="17" t="s">
        <v>362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16" t="s">
        <v>37</v>
      </c>
      <c r="M232" s="16" t="s">
        <v>34</v>
      </c>
      <c r="N232" s="16" t="s">
        <v>16</v>
      </c>
      <c r="O232" s="1"/>
    </row>
    <row r="233" spans="1:15" ht="15.75" customHeight="1">
      <c r="A233" s="1" t="s">
        <v>262</v>
      </c>
      <c r="B233" s="1" t="s">
        <v>27</v>
      </c>
      <c r="C233" s="5">
        <v>45723</v>
      </c>
      <c r="D233" s="16" t="s">
        <v>14</v>
      </c>
      <c r="E233" s="17" t="s">
        <v>33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16" t="s">
        <v>19</v>
      </c>
      <c r="M233" s="16" t="s">
        <v>365</v>
      </c>
      <c r="N233" s="16" t="s">
        <v>20</v>
      </c>
      <c r="O233" s="1"/>
    </row>
    <row r="234" spans="1:15" ht="15.75" customHeight="1">
      <c r="A234" s="1" t="s">
        <v>263</v>
      </c>
      <c r="B234" s="1" t="s">
        <v>22</v>
      </c>
      <c r="C234" s="5">
        <v>45585</v>
      </c>
      <c r="D234" s="16" t="s">
        <v>14</v>
      </c>
      <c r="E234" s="17" t="s">
        <v>363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16" t="s">
        <v>34</v>
      </c>
      <c r="M234" s="16"/>
      <c r="N234" s="16" t="s">
        <v>16</v>
      </c>
      <c r="O234" s="1"/>
    </row>
    <row r="235" spans="1:15" ht="15.75" customHeight="1">
      <c r="A235" s="1" t="s">
        <v>264</v>
      </c>
      <c r="B235" s="1" t="s">
        <v>22</v>
      </c>
      <c r="C235" s="5">
        <v>45324</v>
      </c>
      <c r="D235" s="16" t="s">
        <v>14</v>
      </c>
      <c r="E235" s="17" t="s">
        <v>363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16" t="s">
        <v>34</v>
      </c>
      <c r="M235" s="16"/>
      <c r="N235" s="16" t="s">
        <v>16</v>
      </c>
      <c r="O235" s="1"/>
    </row>
    <row r="236" spans="1:15" ht="15.75" customHeight="1">
      <c r="A236" s="1" t="s">
        <v>265</v>
      </c>
      <c r="B236" s="1" t="s">
        <v>27</v>
      </c>
      <c r="C236" s="5">
        <v>45542</v>
      </c>
      <c r="D236" s="16" t="s">
        <v>14</v>
      </c>
      <c r="E236" s="17" t="s">
        <v>42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16" t="s">
        <v>19</v>
      </c>
      <c r="M236" s="16" t="s">
        <v>365</v>
      </c>
      <c r="N236" s="16" t="s">
        <v>20</v>
      </c>
      <c r="O236" s="1"/>
    </row>
    <row r="237" spans="1:15" ht="15.75" customHeight="1">
      <c r="A237" s="1" t="s">
        <v>266</v>
      </c>
      <c r="B237" s="1" t="s">
        <v>13</v>
      </c>
      <c r="C237" s="5">
        <v>45646</v>
      </c>
      <c r="D237" s="16" t="s">
        <v>14</v>
      </c>
      <c r="E237" s="17" t="s">
        <v>15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16" t="s">
        <v>19</v>
      </c>
      <c r="M237" s="16"/>
      <c r="N237" s="16" t="s">
        <v>20</v>
      </c>
      <c r="O237" s="1"/>
    </row>
    <row r="238" spans="1:15" ht="15.75" customHeight="1">
      <c r="A238" s="1" t="s">
        <v>267</v>
      </c>
      <c r="B238" s="1" t="s">
        <v>27</v>
      </c>
      <c r="C238" s="5">
        <v>45305</v>
      </c>
      <c r="D238" s="16" t="s">
        <v>14</v>
      </c>
      <c r="E238" s="17" t="s">
        <v>362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16" t="s">
        <v>19</v>
      </c>
      <c r="M238" s="16" t="s">
        <v>365</v>
      </c>
      <c r="N238" s="16" t="s">
        <v>20</v>
      </c>
      <c r="O238" s="1"/>
    </row>
    <row r="239" spans="1:15" ht="15.75" customHeight="1">
      <c r="A239" s="1" t="s">
        <v>268</v>
      </c>
      <c r="B239" s="1" t="s">
        <v>13</v>
      </c>
      <c r="C239" s="5">
        <v>45823</v>
      </c>
      <c r="D239" s="16" t="s">
        <v>14</v>
      </c>
      <c r="E239" s="17" t="s">
        <v>18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16" t="s">
        <v>37</v>
      </c>
      <c r="M239" s="16" t="s">
        <v>34</v>
      </c>
      <c r="N239" s="16" t="s">
        <v>16</v>
      </c>
      <c r="O239" s="1"/>
    </row>
    <row r="240" spans="1:15" ht="15.75" customHeight="1">
      <c r="A240" s="1" t="s">
        <v>269</v>
      </c>
      <c r="B240" s="1" t="s">
        <v>22</v>
      </c>
      <c r="C240" s="5">
        <v>45639</v>
      </c>
      <c r="D240" s="16" t="s">
        <v>23</v>
      </c>
      <c r="E240" s="17" t="s">
        <v>24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16" t="s">
        <v>364</v>
      </c>
      <c r="M240" s="16" t="s">
        <v>34</v>
      </c>
      <c r="N240" s="16" t="s">
        <v>16</v>
      </c>
      <c r="O240" s="1"/>
    </row>
    <row r="241" spans="1:15" ht="15.75" customHeight="1">
      <c r="A241" s="1" t="s">
        <v>270</v>
      </c>
      <c r="B241" s="1" t="s">
        <v>27</v>
      </c>
      <c r="C241" s="5">
        <v>45533</v>
      </c>
      <c r="D241" s="16" t="s">
        <v>14</v>
      </c>
      <c r="E241" s="17" t="s">
        <v>360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16" t="s">
        <v>19</v>
      </c>
      <c r="M241" s="16" t="s">
        <v>365</v>
      </c>
      <c r="N241" s="16" t="s">
        <v>20</v>
      </c>
      <c r="O241" s="1"/>
    </row>
    <row r="242" spans="1:15" ht="15.75" customHeight="1">
      <c r="A242" s="1" t="s">
        <v>271</v>
      </c>
      <c r="B242" s="1" t="s">
        <v>22</v>
      </c>
      <c r="C242" s="5">
        <v>45550</v>
      </c>
      <c r="D242" s="16" t="s">
        <v>14</v>
      </c>
      <c r="E242" s="17" t="s">
        <v>30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16" t="s">
        <v>34</v>
      </c>
      <c r="M242" s="16"/>
      <c r="N242" s="16" t="s">
        <v>16</v>
      </c>
      <c r="O242" s="1"/>
    </row>
    <row r="243" spans="1:15" ht="15.75" customHeight="1">
      <c r="A243" s="1" t="s">
        <v>272</v>
      </c>
      <c r="B243" s="1" t="s">
        <v>22</v>
      </c>
      <c r="C243" s="5">
        <v>45759</v>
      </c>
      <c r="D243" s="16" t="s">
        <v>23</v>
      </c>
      <c r="E243" s="17" t="s">
        <v>363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16" t="s">
        <v>19</v>
      </c>
      <c r="M243" s="16" t="s">
        <v>364</v>
      </c>
      <c r="N243" s="16" t="s">
        <v>16</v>
      </c>
      <c r="O243" s="1"/>
    </row>
    <row r="244" spans="1:15" ht="15.75" customHeight="1">
      <c r="A244" s="1" t="s">
        <v>273</v>
      </c>
      <c r="B244" s="1" t="s">
        <v>22</v>
      </c>
      <c r="C244" s="5">
        <v>45636</v>
      </c>
      <c r="D244" s="16" t="s">
        <v>23</v>
      </c>
      <c r="E244" s="17" t="s">
        <v>360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16" t="s">
        <v>19</v>
      </c>
      <c r="M244" s="16" t="s">
        <v>364</v>
      </c>
      <c r="N244" s="16" t="s">
        <v>16</v>
      </c>
      <c r="O244" s="1"/>
    </row>
    <row r="245" spans="1:15" ht="15.75" customHeight="1">
      <c r="A245" s="1" t="s">
        <v>274</v>
      </c>
      <c r="B245" s="1" t="s">
        <v>27</v>
      </c>
      <c r="C245" s="5">
        <v>45816</v>
      </c>
      <c r="D245" s="16" t="s">
        <v>14</v>
      </c>
      <c r="E245" s="17" t="s">
        <v>361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16" t="s">
        <v>19</v>
      </c>
      <c r="M245" s="16" t="s">
        <v>365</v>
      </c>
      <c r="N245" s="16" t="s">
        <v>20</v>
      </c>
      <c r="O245" s="1"/>
    </row>
    <row r="246" spans="1:15" ht="15.75" customHeight="1">
      <c r="A246" s="1" t="s">
        <v>275</v>
      </c>
      <c r="B246" s="1" t="s">
        <v>22</v>
      </c>
      <c r="C246" s="5">
        <v>45666</v>
      </c>
      <c r="D246" s="16" t="s">
        <v>23</v>
      </c>
      <c r="E246" s="17" t="s">
        <v>42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16" t="s">
        <v>364</v>
      </c>
      <c r="M246" s="16" t="s">
        <v>34</v>
      </c>
      <c r="N246" s="16" t="s">
        <v>16</v>
      </c>
      <c r="O246" s="1"/>
    </row>
    <row r="247" spans="1:15" ht="15.75" customHeight="1">
      <c r="A247" s="1" t="s">
        <v>276</v>
      </c>
      <c r="B247" s="1" t="s">
        <v>22</v>
      </c>
      <c r="C247" s="5">
        <v>45481</v>
      </c>
      <c r="D247" s="16" t="s">
        <v>23</v>
      </c>
      <c r="E247" s="17" t="s">
        <v>33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16" t="s">
        <v>37</v>
      </c>
      <c r="M247" s="16" t="s">
        <v>34</v>
      </c>
      <c r="N247" s="16" t="s">
        <v>16</v>
      </c>
      <c r="O247" s="1"/>
    </row>
    <row r="248" spans="1:15" ht="15.75" customHeight="1">
      <c r="A248" s="1" t="s">
        <v>277</v>
      </c>
      <c r="B248" s="1" t="s">
        <v>22</v>
      </c>
      <c r="C248" s="5">
        <v>45551</v>
      </c>
      <c r="D248" s="16" t="s">
        <v>23</v>
      </c>
      <c r="E248" s="17" t="s">
        <v>42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16" t="s">
        <v>19</v>
      </c>
      <c r="M248" s="16" t="s">
        <v>364</v>
      </c>
      <c r="N248" s="16" t="s">
        <v>16</v>
      </c>
      <c r="O248" s="1"/>
    </row>
    <row r="249" spans="1:15" ht="15.75" customHeight="1">
      <c r="A249" s="1" t="s">
        <v>278</v>
      </c>
      <c r="B249" s="1" t="s">
        <v>27</v>
      </c>
      <c r="C249" s="5">
        <v>45457</v>
      </c>
      <c r="D249" s="16" t="s">
        <v>48</v>
      </c>
      <c r="E249" s="17" t="s">
        <v>360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16" t="s">
        <v>19</v>
      </c>
      <c r="M249" s="16" t="s">
        <v>37</v>
      </c>
      <c r="N249" s="16" t="s">
        <v>49</v>
      </c>
      <c r="O249" s="1"/>
    </row>
    <row r="250" spans="1:15" ht="15.75" customHeight="1">
      <c r="A250" s="1" t="s">
        <v>279</v>
      </c>
      <c r="B250" s="1" t="s">
        <v>13</v>
      </c>
      <c r="C250" s="5">
        <v>45357</v>
      </c>
      <c r="D250" s="16" t="s">
        <v>14</v>
      </c>
      <c r="E250" s="17" t="s">
        <v>362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16" t="s">
        <v>19</v>
      </c>
      <c r="M250" s="16"/>
      <c r="N250" s="16" t="s">
        <v>20</v>
      </c>
      <c r="O250" s="1"/>
    </row>
    <row r="251" spans="1:15" ht="15.75" customHeight="1">
      <c r="A251" s="1" t="s">
        <v>280</v>
      </c>
      <c r="B251" s="1" t="s">
        <v>22</v>
      </c>
      <c r="C251" s="5">
        <v>45792</v>
      </c>
      <c r="D251" s="16" t="s">
        <v>14</v>
      </c>
      <c r="E251" s="17" t="s">
        <v>42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16" t="s">
        <v>34</v>
      </c>
      <c r="M251" s="16"/>
      <c r="N251" s="16" t="s">
        <v>16</v>
      </c>
      <c r="O251" s="1"/>
    </row>
    <row r="252" spans="1:15" ht="15.75" customHeight="1">
      <c r="A252" s="1" t="s">
        <v>281</v>
      </c>
      <c r="B252" s="1" t="s">
        <v>22</v>
      </c>
      <c r="C252" s="5">
        <v>45480</v>
      </c>
      <c r="D252" s="16" t="s">
        <v>14</v>
      </c>
      <c r="E252" s="17" t="s">
        <v>362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16" t="s">
        <v>37</v>
      </c>
      <c r="M252" s="16"/>
      <c r="N252" s="16" t="s">
        <v>20</v>
      </c>
      <c r="O252" s="1"/>
    </row>
    <row r="253" spans="1:15" ht="15.75" customHeight="1">
      <c r="A253" s="1" t="s">
        <v>282</v>
      </c>
      <c r="B253" s="1" t="s">
        <v>27</v>
      </c>
      <c r="C253" s="5">
        <v>45591</v>
      </c>
      <c r="D253" s="16" t="s">
        <v>14</v>
      </c>
      <c r="E253" s="17" t="s">
        <v>24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16" t="s">
        <v>19</v>
      </c>
      <c r="M253" s="16" t="s">
        <v>365</v>
      </c>
      <c r="N253" s="16" t="s">
        <v>20</v>
      </c>
      <c r="O253" s="1"/>
    </row>
    <row r="254" spans="1:15" ht="15.75" customHeight="1">
      <c r="A254" s="1" t="s">
        <v>283</v>
      </c>
      <c r="B254" s="1" t="s">
        <v>27</v>
      </c>
      <c r="C254" s="5">
        <v>45512</v>
      </c>
      <c r="D254" s="16" t="s">
        <v>14</v>
      </c>
      <c r="E254" s="17" t="s">
        <v>363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16" t="s">
        <v>19</v>
      </c>
      <c r="M254" s="16" t="s">
        <v>365</v>
      </c>
      <c r="N254" s="16" t="s">
        <v>20</v>
      </c>
      <c r="O254" s="1"/>
    </row>
    <row r="255" spans="1:15" ht="15.75" customHeight="1">
      <c r="A255" s="1" t="s">
        <v>284</v>
      </c>
      <c r="B255" s="1" t="s">
        <v>22</v>
      </c>
      <c r="C255" s="5">
        <v>45691</v>
      </c>
      <c r="D255" s="16" t="s">
        <v>14</v>
      </c>
      <c r="E255" s="17" t="s">
        <v>362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16" t="s">
        <v>34</v>
      </c>
      <c r="M255" s="16"/>
      <c r="N255" s="16" t="s">
        <v>16</v>
      </c>
      <c r="O255" s="1"/>
    </row>
    <row r="256" spans="1:15" ht="15.75" customHeight="1">
      <c r="A256" s="1" t="s">
        <v>285</v>
      </c>
      <c r="B256" s="1" t="s">
        <v>22</v>
      </c>
      <c r="C256" s="5">
        <v>45385</v>
      </c>
      <c r="D256" s="16" t="s">
        <v>23</v>
      </c>
      <c r="E256" s="17" t="s">
        <v>33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16" t="s">
        <v>19</v>
      </c>
      <c r="M256" s="16" t="s">
        <v>364</v>
      </c>
      <c r="N256" s="16" t="s">
        <v>16</v>
      </c>
      <c r="O256" s="1"/>
    </row>
    <row r="257" spans="1:15" ht="15.75" customHeight="1">
      <c r="A257" s="1" t="s">
        <v>286</v>
      </c>
      <c r="B257" s="1" t="s">
        <v>22</v>
      </c>
      <c r="C257" s="5">
        <v>45481</v>
      </c>
      <c r="D257" s="16" t="s">
        <v>23</v>
      </c>
      <c r="E257" s="17" t="s">
        <v>360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16" t="s">
        <v>364</v>
      </c>
      <c r="M257" s="16" t="s">
        <v>34</v>
      </c>
      <c r="N257" s="16" t="s">
        <v>16</v>
      </c>
      <c r="O257" s="1"/>
    </row>
    <row r="258" spans="1:15" ht="15.75" customHeight="1">
      <c r="A258" s="1" t="s">
        <v>287</v>
      </c>
      <c r="B258" s="1" t="s">
        <v>22</v>
      </c>
      <c r="C258" s="5">
        <v>45451</v>
      </c>
      <c r="D258" s="16" t="s">
        <v>23</v>
      </c>
      <c r="E258" s="17" t="s">
        <v>33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16" t="s">
        <v>19</v>
      </c>
      <c r="M258" s="16" t="s">
        <v>364</v>
      </c>
      <c r="N258" s="16" t="s">
        <v>16</v>
      </c>
      <c r="O258" s="1"/>
    </row>
    <row r="259" spans="1:15" ht="15.75" customHeight="1">
      <c r="A259" s="1" t="s">
        <v>288</v>
      </c>
      <c r="B259" s="1" t="s">
        <v>27</v>
      </c>
      <c r="C259" s="5">
        <v>45736</v>
      </c>
      <c r="D259" s="16" t="s">
        <v>48</v>
      </c>
      <c r="E259" s="17" t="s">
        <v>363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16" t="s">
        <v>19</v>
      </c>
      <c r="M259" s="16" t="s">
        <v>37</v>
      </c>
      <c r="N259" s="16" t="s">
        <v>49</v>
      </c>
      <c r="O259" s="1"/>
    </row>
    <row r="260" spans="1:15" ht="15.75" customHeight="1">
      <c r="A260" s="1" t="s">
        <v>289</v>
      </c>
      <c r="B260" s="1" t="s">
        <v>22</v>
      </c>
      <c r="C260" s="5">
        <v>45676</v>
      </c>
      <c r="D260" s="16" t="s">
        <v>23</v>
      </c>
      <c r="E260" s="17" t="s">
        <v>361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16" t="s">
        <v>37</v>
      </c>
      <c r="M260" s="16" t="s">
        <v>34</v>
      </c>
      <c r="N260" s="16" t="s">
        <v>16</v>
      </c>
      <c r="O260" s="1"/>
    </row>
    <row r="261" spans="1:15" ht="15.75" customHeight="1">
      <c r="A261" s="1" t="s">
        <v>290</v>
      </c>
      <c r="B261" s="1" t="s">
        <v>22</v>
      </c>
      <c r="C261" s="5">
        <v>45662</v>
      </c>
      <c r="D261" s="16" t="s">
        <v>23</v>
      </c>
      <c r="E261" s="17" t="s">
        <v>18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16" t="s">
        <v>364</v>
      </c>
      <c r="M261" s="16" t="s">
        <v>34</v>
      </c>
      <c r="N261" s="16" t="s">
        <v>16</v>
      </c>
      <c r="O261" s="1"/>
    </row>
    <row r="262" spans="1:15" ht="15.75" customHeight="1">
      <c r="A262" s="1" t="s">
        <v>291</v>
      </c>
      <c r="B262" s="1" t="s">
        <v>22</v>
      </c>
      <c r="C262" s="5">
        <v>45612</v>
      </c>
      <c r="D262" s="16" t="s">
        <v>14</v>
      </c>
      <c r="E262" s="17" t="s">
        <v>363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16" t="s">
        <v>37</v>
      </c>
      <c r="M262" s="16"/>
      <c r="N262" s="16" t="s">
        <v>20</v>
      </c>
      <c r="O262" s="1"/>
    </row>
    <row r="263" spans="1:15" ht="15.75" customHeight="1">
      <c r="A263" s="1" t="s">
        <v>292</v>
      </c>
      <c r="B263" s="1" t="s">
        <v>22</v>
      </c>
      <c r="C263" s="5">
        <v>45626</v>
      </c>
      <c r="D263" s="16" t="s">
        <v>23</v>
      </c>
      <c r="E263" s="17" t="s">
        <v>18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16" t="s">
        <v>364</v>
      </c>
      <c r="M263" s="16" t="s">
        <v>34</v>
      </c>
      <c r="N263" s="16" t="s">
        <v>16</v>
      </c>
      <c r="O263" s="1"/>
    </row>
    <row r="264" spans="1:15" ht="15.75" customHeight="1">
      <c r="A264" s="1" t="s">
        <v>293</v>
      </c>
      <c r="B264" s="1" t="s">
        <v>27</v>
      </c>
      <c r="C264" s="5">
        <v>45378</v>
      </c>
      <c r="D264" s="16" t="s">
        <v>14</v>
      </c>
      <c r="E264" s="17" t="s">
        <v>361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16" t="s">
        <v>19</v>
      </c>
      <c r="M264" s="16" t="s">
        <v>365</v>
      </c>
      <c r="N264" s="16" t="s">
        <v>20</v>
      </c>
      <c r="O264" s="1"/>
    </row>
    <row r="265" spans="1:15" ht="15.75" customHeight="1">
      <c r="A265" s="1" t="s">
        <v>294</v>
      </c>
      <c r="B265" s="1" t="s">
        <v>27</v>
      </c>
      <c r="C265" s="5">
        <v>45808</v>
      </c>
      <c r="D265" s="16" t="s">
        <v>48</v>
      </c>
      <c r="E265" s="17" t="s">
        <v>30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16" t="s">
        <v>19</v>
      </c>
      <c r="M265" s="16" t="s">
        <v>37</v>
      </c>
      <c r="N265" s="16" t="s">
        <v>49</v>
      </c>
      <c r="O265" s="1"/>
    </row>
    <row r="266" spans="1:15" ht="15.75" customHeight="1">
      <c r="A266" s="1" t="s">
        <v>295</v>
      </c>
      <c r="B266" s="1" t="s">
        <v>22</v>
      </c>
      <c r="C266" s="5">
        <v>45825</v>
      </c>
      <c r="D266" s="16" t="s">
        <v>23</v>
      </c>
      <c r="E266" s="17" t="s">
        <v>18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16" t="s">
        <v>19</v>
      </c>
      <c r="M266" s="16" t="s">
        <v>364</v>
      </c>
      <c r="N266" s="16" t="s">
        <v>16</v>
      </c>
      <c r="O266" s="1"/>
    </row>
    <row r="267" spans="1:15" ht="15.75" customHeight="1">
      <c r="A267" s="1" t="s">
        <v>296</v>
      </c>
      <c r="B267" s="1" t="s">
        <v>13</v>
      </c>
      <c r="C267" s="5">
        <v>45442</v>
      </c>
      <c r="D267" s="16" t="s">
        <v>23</v>
      </c>
      <c r="E267" s="17" t="s">
        <v>30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16" t="s">
        <v>34</v>
      </c>
      <c r="M267" s="16"/>
      <c r="N267" s="16" t="s">
        <v>46</v>
      </c>
      <c r="O267" s="1"/>
    </row>
    <row r="268" spans="1:15" ht="15.75" customHeight="1">
      <c r="A268" s="1" t="s">
        <v>297</v>
      </c>
      <c r="B268" s="1" t="s">
        <v>27</v>
      </c>
      <c r="C268" s="5">
        <v>45604</v>
      </c>
      <c r="D268" s="16" t="s">
        <v>14</v>
      </c>
      <c r="E268" s="17" t="s">
        <v>33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16" t="s">
        <v>19</v>
      </c>
      <c r="M268" s="16" t="s">
        <v>365</v>
      </c>
      <c r="N268" s="16" t="s">
        <v>20</v>
      </c>
      <c r="O268" s="1"/>
    </row>
    <row r="269" spans="1:15" ht="15.75" customHeight="1">
      <c r="A269" s="1" t="s">
        <v>298</v>
      </c>
      <c r="B269" s="1" t="s">
        <v>27</v>
      </c>
      <c r="C269" s="5">
        <v>45368</v>
      </c>
      <c r="D269" s="16" t="s">
        <v>48</v>
      </c>
      <c r="E269" s="17" t="s">
        <v>18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16" t="s">
        <v>19</v>
      </c>
      <c r="M269" s="16" t="s">
        <v>37</v>
      </c>
      <c r="N269" s="16" t="s">
        <v>49</v>
      </c>
      <c r="O269" s="1"/>
    </row>
    <row r="270" spans="1:15" ht="15.75" customHeight="1">
      <c r="A270" s="1" t="s">
        <v>299</v>
      </c>
      <c r="B270" s="1" t="s">
        <v>27</v>
      </c>
      <c r="C270" s="5">
        <v>45464</v>
      </c>
      <c r="D270" s="16" t="s">
        <v>48</v>
      </c>
      <c r="E270" s="17" t="s">
        <v>361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16" t="s">
        <v>19</v>
      </c>
      <c r="M270" s="16" t="s">
        <v>37</v>
      </c>
      <c r="N270" s="16" t="s">
        <v>49</v>
      </c>
      <c r="O270" s="1"/>
    </row>
    <row r="271" spans="1:15" ht="15.75" customHeight="1">
      <c r="A271" s="1" t="s">
        <v>300</v>
      </c>
      <c r="B271" s="1" t="s">
        <v>22</v>
      </c>
      <c r="C271" s="5">
        <v>45609</v>
      </c>
      <c r="D271" s="16" t="s">
        <v>23</v>
      </c>
      <c r="E271" s="17" t="s">
        <v>24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16" t="s">
        <v>19</v>
      </c>
      <c r="M271" s="16" t="s">
        <v>364</v>
      </c>
      <c r="N271" s="16" t="s">
        <v>16</v>
      </c>
      <c r="O271" s="1"/>
    </row>
    <row r="272" spans="1:15" ht="15.75" customHeight="1">
      <c r="A272" s="1" t="s">
        <v>301</v>
      </c>
      <c r="B272" s="1" t="s">
        <v>22</v>
      </c>
      <c r="C272" s="5">
        <v>45693</v>
      </c>
      <c r="D272" s="16" t="s">
        <v>23</v>
      </c>
      <c r="E272" s="17" t="s">
        <v>15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16" t="s">
        <v>19</v>
      </c>
      <c r="M272" s="16" t="s">
        <v>364</v>
      </c>
      <c r="N272" s="16" t="s">
        <v>16</v>
      </c>
      <c r="O272" s="1"/>
    </row>
    <row r="273" spans="1:15" ht="15.75" customHeight="1">
      <c r="A273" s="1" t="s">
        <v>302</v>
      </c>
      <c r="B273" s="1" t="s">
        <v>22</v>
      </c>
      <c r="C273" s="5">
        <v>45603</v>
      </c>
      <c r="D273" s="16" t="s">
        <v>14</v>
      </c>
      <c r="E273" s="17" t="s">
        <v>18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16" t="s">
        <v>37</v>
      </c>
      <c r="M273" s="16"/>
      <c r="N273" s="16" t="s">
        <v>20</v>
      </c>
      <c r="O273" s="1"/>
    </row>
    <row r="274" spans="1:15" ht="15.75" customHeight="1">
      <c r="A274" s="1" t="s">
        <v>303</v>
      </c>
      <c r="B274" s="1" t="s">
        <v>22</v>
      </c>
      <c r="C274" s="5">
        <v>45334</v>
      </c>
      <c r="D274" s="16" t="s">
        <v>14</v>
      </c>
      <c r="E274" s="17" t="s">
        <v>18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16" t="s">
        <v>34</v>
      </c>
      <c r="M274" s="16"/>
      <c r="N274" s="16" t="s">
        <v>16</v>
      </c>
      <c r="O274" s="1"/>
    </row>
    <row r="275" spans="1:15" ht="15.75" customHeight="1">
      <c r="A275" s="1" t="s">
        <v>304</v>
      </c>
      <c r="B275" s="1" t="s">
        <v>13</v>
      </c>
      <c r="C275" s="5">
        <v>45573</v>
      </c>
      <c r="D275" s="16" t="s">
        <v>14</v>
      </c>
      <c r="E275" s="17" t="s">
        <v>18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16" t="s">
        <v>19</v>
      </c>
      <c r="M275" s="16"/>
      <c r="N275" s="16" t="s">
        <v>20</v>
      </c>
      <c r="O275" s="1"/>
    </row>
    <row r="276" spans="1:15" ht="15.75" customHeight="1">
      <c r="A276" s="1" t="s">
        <v>305</v>
      </c>
      <c r="B276" s="1" t="s">
        <v>13</v>
      </c>
      <c r="C276" s="5">
        <v>45341</v>
      </c>
      <c r="D276" s="16" t="s">
        <v>14</v>
      </c>
      <c r="E276" s="17" t="s">
        <v>360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16" t="s">
        <v>19</v>
      </c>
      <c r="M276" s="16"/>
      <c r="N276" s="16" t="s">
        <v>20</v>
      </c>
      <c r="O276" s="1"/>
    </row>
    <row r="277" spans="1:15" ht="15.75" customHeight="1">
      <c r="A277" s="1" t="s">
        <v>306</v>
      </c>
      <c r="B277" s="1" t="s">
        <v>22</v>
      </c>
      <c r="C277" s="5">
        <v>45720</v>
      </c>
      <c r="D277" s="16" t="s">
        <v>14</v>
      </c>
      <c r="E277" s="17" t="s">
        <v>15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16" t="s">
        <v>34</v>
      </c>
      <c r="M277" s="16"/>
      <c r="N277" s="16" t="s">
        <v>16</v>
      </c>
      <c r="O277" s="1"/>
    </row>
    <row r="278" spans="1:15" ht="15.75" customHeight="1">
      <c r="A278" s="1" t="s">
        <v>307</v>
      </c>
      <c r="B278" s="1" t="s">
        <v>13</v>
      </c>
      <c r="C278" s="5">
        <v>45691</v>
      </c>
      <c r="D278" s="16" t="s">
        <v>23</v>
      </c>
      <c r="E278" s="17" t="s">
        <v>24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16" t="s">
        <v>34</v>
      </c>
      <c r="M278" s="16"/>
      <c r="N278" s="16" t="s">
        <v>46</v>
      </c>
      <c r="O278" s="1"/>
    </row>
    <row r="279" spans="1:15" ht="15.75" customHeight="1">
      <c r="A279" s="1" t="s">
        <v>308</v>
      </c>
      <c r="B279" s="1" t="s">
        <v>13</v>
      </c>
      <c r="C279" s="5">
        <v>45628</v>
      </c>
      <c r="D279" s="16" t="s">
        <v>14</v>
      </c>
      <c r="E279" s="17" t="s">
        <v>33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16" t="s">
        <v>37</v>
      </c>
      <c r="M279" s="16" t="s">
        <v>34</v>
      </c>
      <c r="N279" s="16" t="s">
        <v>16</v>
      </c>
      <c r="O279" s="1"/>
    </row>
    <row r="280" spans="1:15" ht="15.75" customHeight="1">
      <c r="A280" s="1" t="s">
        <v>309</v>
      </c>
      <c r="B280" s="1" t="s">
        <v>22</v>
      </c>
      <c r="C280" s="5">
        <v>45676</v>
      </c>
      <c r="D280" s="16" t="s">
        <v>23</v>
      </c>
      <c r="E280" s="17" t="s">
        <v>24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16" t="s">
        <v>37</v>
      </c>
      <c r="M280" s="16" t="s">
        <v>34</v>
      </c>
      <c r="N280" s="16" t="s">
        <v>16</v>
      </c>
      <c r="O280" s="1"/>
    </row>
    <row r="281" spans="1:15" ht="15.75" customHeight="1">
      <c r="A281" s="1" t="s">
        <v>310</v>
      </c>
      <c r="B281" s="1" t="s">
        <v>22</v>
      </c>
      <c r="C281" s="5">
        <v>45563</v>
      </c>
      <c r="D281" s="16" t="s">
        <v>23</v>
      </c>
      <c r="E281" s="17" t="s">
        <v>360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16" t="s">
        <v>19</v>
      </c>
      <c r="M281" s="16" t="s">
        <v>364</v>
      </c>
      <c r="N281" s="16" t="s">
        <v>16</v>
      </c>
      <c r="O281" s="1"/>
    </row>
    <row r="282" spans="1:15" ht="15.75" customHeight="1">
      <c r="A282" s="1" t="s">
        <v>311</v>
      </c>
      <c r="B282" s="1" t="s">
        <v>13</v>
      </c>
      <c r="C282" s="5">
        <v>45298</v>
      </c>
      <c r="D282" s="16" t="s">
        <v>14</v>
      </c>
      <c r="E282" s="17" t="s">
        <v>33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16" t="s">
        <v>37</v>
      </c>
      <c r="M282" s="16" t="s">
        <v>34</v>
      </c>
      <c r="N282" s="16" t="s">
        <v>16</v>
      </c>
      <c r="O282" s="1"/>
    </row>
    <row r="283" spans="1:15" ht="15.75" customHeight="1">
      <c r="A283" s="1" t="s">
        <v>312</v>
      </c>
      <c r="B283" s="1" t="s">
        <v>22</v>
      </c>
      <c r="C283" s="5">
        <v>45343</v>
      </c>
      <c r="D283" s="16" t="s">
        <v>23</v>
      </c>
      <c r="E283" s="17" t="s">
        <v>30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16" t="s">
        <v>364</v>
      </c>
      <c r="M283" s="16" t="s">
        <v>34</v>
      </c>
      <c r="N283" s="16" t="s">
        <v>16</v>
      </c>
      <c r="O283" s="1"/>
    </row>
    <row r="284" spans="1:15" ht="15.75" customHeight="1">
      <c r="A284" s="1" t="s">
        <v>313</v>
      </c>
      <c r="B284" s="1" t="s">
        <v>13</v>
      </c>
      <c r="C284" s="5">
        <v>45531</v>
      </c>
      <c r="D284" s="16" t="s">
        <v>14</v>
      </c>
      <c r="E284" s="17" t="s">
        <v>361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16" t="s">
        <v>19</v>
      </c>
      <c r="M284" s="16"/>
      <c r="N284" s="16" t="s">
        <v>20</v>
      </c>
      <c r="O284" s="1"/>
    </row>
    <row r="285" spans="1:15" ht="15.75" customHeight="1">
      <c r="A285" s="1" t="s">
        <v>314</v>
      </c>
      <c r="B285" s="1" t="s">
        <v>13</v>
      </c>
      <c r="C285" s="5">
        <v>45589</v>
      </c>
      <c r="D285" s="16" t="s">
        <v>23</v>
      </c>
      <c r="E285" s="17" t="s">
        <v>33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16" t="s">
        <v>34</v>
      </c>
      <c r="M285" s="16"/>
      <c r="N285" s="16" t="s">
        <v>46</v>
      </c>
      <c r="O285" s="1"/>
    </row>
    <row r="286" spans="1:15" ht="15.75" customHeight="1">
      <c r="A286" s="1" t="s">
        <v>315</v>
      </c>
      <c r="B286" s="1" t="s">
        <v>27</v>
      </c>
      <c r="C286" s="5">
        <v>45686</v>
      </c>
      <c r="D286" s="16" t="s">
        <v>14</v>
      </c>
      <c r="E286" s="17" t="s">
        <v>24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16" t="s">
        <v>19</v>
      </c>
      <c r="M286" s="16" t="s">
        <v>365</v>
      </c>
      <c r="N286" s="16" t="s">
        <v>20</v>
      </c>
      <c r="O286" s="1"/>
    </row>
    <row r="287" spans="1:15" ht="15.75" customHeight="1">
      <c r="A287" s="1" t="s">
        <v>316</v>
      </c>
      <c r="B287" s="1" t="s">
        <v>13</v>
      </c>
      <c r="C287" s="5">
        <v>45413</v>
      </c>
      <c r="D287" s="16" t="s">
        <v>14</v>
      </c>
      <c r="E287" s="17" t="s">
        <v>30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16" t="s">
        <v>19</v>
      </c>
      <c r="M287" s="16"/>
      <c r="N287" s="16" t="s">
        <v>20</v>
      </c>
      <c r="O287" s="1"/>
    </row>
    <row r="288" spans="1:15" ht="15.75" customHeight="1">
      <c r="A288" s="1" t="s">
        <v>317</v>
      </c>
      <c r="B288" s="1" t="s">
        <v>27</v>
      </c>
      <c r="C288" s="5">
        <v>45468</v>
      </c>
      <c r="D288" s="16" t="s">
        <v>14</v>
      </c>
      <c r="E288" s="17" t="s">
        <v>42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16" t="s">
        <v>19</v>
      </c>
      <c r="M288" s="16" t="s">
        <v>365</v>
      </c>
      <c r="N288" s="16" t="s">
        <v>20</v>
      </c>
      <c r="O288" s="1"/>
    </row>
    <row r="289" spans="1:15" ht="15.75" customHeight="1">
      <c r="A289" s="1" t="s">
        <v>318</v>
      </c>
      <c r="B289" s="1" t="s">
        <v>22</v>
      </c>
      <c r="C289" s="5">
        <v>45513</v>
      </c>
      <c r="D289" s="16" t="s">
        <v>23</v>
      </c>
      <c r="E289" s="17" t="s">
        <v>363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16" t="s">
        <v>19</v>
      </c>
      <c r="M289" s="16" t="s">
        <v>364</v>
      </c>
      <c r="N289" s="16" t="s">
        <v>16</v>
      </c>
      <c r="O289" s="1"/>
    </row>
    <row r="290" spans="1:15" ht="15.75" customHeight="1">
      <c r="A290" s="1" t="s">
        <v>319</v>
      </c>
      <c r="B290" s="1" t="s">
        <v>13</v>
      </c>
      <c r="C290" s="5">
        <v>45678</v>
      </c>
      <c r="D290" s="16" t="s">
        <v>23</v>
      </c>
      <c r="E290" s="17" t="s">
        <v>24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16" t="s">
        <v>34</v>
      </c>
      <c r="M290" s="16"/>
      <c r="N290" s="16" t="s">
        <v>46</v>
      </c>
      <c r="O290" s="1"/>
    </row>
    <row r="291" spans="1:15" ht="15.75" customHeight="1">
      <c r="A291" s="1" t="s">
        <v>320</v>
      </c>
      <c r="B291" s="1" t="s">
        <v>22</v>
      </c>
      <c r="C291" s="5">
        <v>45517</v>
      </c>
      <c r="D291" s="16" t="s">
        <v>14</v>
      </c>
      <c r="E291" s="17" t="s">
        <v>18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16" t="s">
        <v>37</v>
      </c>
      <c r="M291" s="16"/>
      <c r="N291" s="16" t="s">
        <v>20</v>
      </c>
      <c r="O291" s="1"/>
    </row>
    <row r="292" spans="1:15" ht="15.75" customHeight="1">
      <c r="A292" s="1" t="s">
        <v>321</v>
      </c>
      <c r="B292" s="1" t="s">
        <v>13</v>
      </c>
      <c r="C292" s="5">
        <v>45472</v>
      </c>
      <c r="D292" s="16" t="s">
        <v>14</v>
      </c>
      <c r="E292" s="17" t="s">
        <v>42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16" t="s">
        <v>37</v>
      </c>
      <c r="M292" s="16" t="s">
        <v>34</v>
      </c>
      <c r="N292" s="16" t="s">
        <v>16</v>
      </c>
      <c r="O292" s="1"/>
    </row>
    <row r="293" spans="1:15" ht="15.75" customHeight="1">
      <c r="A293" s="1" t="s">
        <v>322</v>
      </c>
      <c r="B293" s="1" t="s">
        <v>22</v>
      </c>
      <c r="C293" s="5">
        <v>45599</v>
      </c>
      <c r="D293" s="16" t="s">
        <v>23</v>
      </c>
      <c r="E293" s="17" t="s">
        <v>18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16" t="s">
        <v>364</v>
      </c>
      <c r="M293" s="16" t="s">
        <v>34</v>
      </c>
      <c r="N293" s="16" t="s">
        <v>16</v>
      </c>
      <c r="O293" s="1"/>
    </row>
    <row r="294" spans="1:15" ht="15.75" customHeight="1">
      <c r="A294" s="1" t="s">
        <v>323</v>
      </c>
      <c r="B294" s="1" t="s">
        <v>27</v>
      </c>
      <c r="C294" s="5">
        <v>45765</v>
      </c>
      <c r="D294" s="16" t="s">
        <v>48</v>
      </c>
      <c r="E294" s="17" t="s">
        <v>42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16" t="s">
        <v>19</v>
      </c>
      <c r="M294" s="16" t="s">
        <v>37</v>
      </c>
      <c r="N294" s="16" t="s">
        <v>49</v>
      </c>
      <c r="O294" s="1"/>
    </row>
    <row r="295" spans="1:15" ht="15.75" customHeight="1">
      <c r="A295" s="1" t="s">
        <v>324</v>
      </c>
      <c r="B295" s="1" t="s">
        <v>13</v>
      </c>
      <c r="C295" s="5">
        <v>45653</v>
      </c>
      <c r="D295" s="16" t="s">
        <v>14</v>
      </c>
      <c r="E295" s="17" t="s">
        <v>363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16" t="s">
        <v>19</v>
      </c>
      <c r="M295" s="16"/>
      <c r="N295" s="16" t="s">
        <v>20</v>
      </c>
      <c r="O295" s="1"/>
    </row>
    <row r="296" spans="1:15" ht="15.75" customHeight="1">
      <c r="A296" s="1" t="s">
        <v>325</v>
      </c>
      <c r="B296" s="1" t="s">
        <v>13</v>
      </c>
      <c r="C296" s="5">
        <v>45724</v>
      </c>
      <c r="D296" s="16" t="s">
        <v>23</v>
      </c>
      <c r="E296" s="17" t="s">
        <v>33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16" t="s">
        <v>34</v>
      </c>
      <c r="M296" s="16"/>
      <c r="N296" s="16" t="s">
        <v>46</v>
      </c>
      <c r="O296" s="1"/>
    </row>
    <row r="297" spans="1:15" ht="15.75" customHeight="1">
      <c r="A297" s="1" t="s">
        <v>326</v>
      </c>
      <c r="B297" s="1" t="s">
        <v>22</v>
      </c>
      <c r="C297" s="5">
        <v>45736</v>
      </c>
      <c r="D297" s="16" t="s">
        <v>23</v>
      </c>
      <c r="E297" s="17" t="s">
        <v>42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16" t="s">
        <v>364</v>
      </c>
      <c r="M297" s="16" t="s">
        <v>34</v>
      </c>
      <c r="N297" s="16" t="s">
        <v>16</v>
      </c>
      <c r="O297" s="1"/>
    </row>
    <row r="298" spans="1:15" ht="15.75" customHeight="1">
      <c r="A298" s="1" t="s">
        <v>327</v>
      </c>
      <c r="B298" s="1" t="s">
        <v>22</v>
      </c>
      <c r="C298" s="5">
        <v>45612</v>
      </c>
      <c r="D298" s="16" t="s">
        <v>14</v>
      </c>
      <c r="E298" s="17" t="s">
        <v>18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16" t="s">
        <v>37</v>
      </c>
      <c r="M298" s="16"/>
      <c r="N298" s="16" t="s">
        <v>20</v>
      </c>
      <c r="O298" s="1"/>
    </row>
    <row r="299" spans="1:15" ht="15.75" customHeight="1">
      <c r="A299" s="1" t="s">
        <v>328</v>
      </c>
      <c r="B299" s="1" t="s">
        <v>22</v>
      </c>
      <c r="C299" s="5">
        <v>45838</v>
      </c>
      <c r="D299" s="16" t="s">
        <v>14</v>
      </c>
      <c r="E299" s="17" t="s">
        <v>362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16" t="s">
        <v>34</v>
      </c>
      <c r="M299" s="16"/>
      <c r="N299" s="16" t="s">
        <v>16</v>
      </c>
      <c r="O299" s="1"/>
    </row>
    <row r="300" spans="1:15" ht="15.75" customHeight="1">
      <c r="A300" s="1" t="s">
        <v>329</v>
      </c>
      <c r="B300" s="1" t="s">
        <v>22</v>
      </c>
      <c r="C300" s="5">
        <v>45303</v>
      </c>
      <c r="D300" s="16" t="s">
        <v>23</v>
      </c>
      <c r="E300" s="17" t="s">
        <v>360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16" t="s">
        <v>19</v>
      </c>
      <c r="M300" s="16" t="s">
        <v>364</v>
      </c>
      <c r="N300" s="16" t="s">
        <v>16</v>
      </c>
      <c r="O300" s="1"/>
    </row>
    <row r="301" spans="1:15" ht="15.75" customHeight="1">
      <c r="A301" s="1" t="s">
        <v>330</v>
      </c>
      <c r="B301" s="1" t="s">
        <v>13</v>
      </c>
      <c r="C301" s="5">
        <v>45329</v>
      </c>
      <c r="D301" s="16" t="s">
        <v>14</v>
      </c>
      <c r="E301" s="17" t="s">
        <v>361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16" t="s">
        <v>37</v>
      </c>
      <c r="M301" s="16" t="s">
        <v>34</v>
      </c>
      <c r="N301" s="16" t="s">
        <v>16</v>
      </c>
      <c r="O301" s="1"/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1" topLeftCell="A2" activePane="bottomLeft" state="frozen"/>
      <selection pane="bottomLeft" activeCell="F17" sqref="F17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bestFit="1" customWidth="1"/>
    <col min="5" max="5" width="22" style="10" bestFit="1" customWidth="1"/>
    <col min="6" max="6" width="24.42578125" style="8" bestFit="1" customWidth="1"/>
    <col min="7" max="7" width="15.85546875" style="10" bestFit="1" customWidth="1"/>
    <col min="8" max="9" width="8.7109375" style="2" customWidth="1"/>
    <col min="10" max="10" width="11.85546875" style="2" customWidth="1"/>
    <col min="11" max="26" width="8.7109375" style="2" customWidth="1"/>
    <col min="27" max="16384" width="14.42578125" style="2"/>
  </cols>
  <sheetData>
    <row r="1" spans="1:10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</row>
    <row r="2" spans="1:10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22"/>
      <c r="J2" s="22"/>
    </row>
    <row r="3" spans="1:10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2"/>
      <c r="J3" s="22"/>
    </row>
    <row r="4" spans="1:10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22"/>
      <c r="J4" s="22"/>
    </row>
    <row r="5" spans="1:10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</row>
    <row r="6" spans="1:10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</row>
    <row r="7" spans="1:10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</row>
    <row r="8" spans="1:10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</row>
    <row r="9" spans="1:10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</row>
    <row r="10" spans="1:10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</row>
    <row r="11" spans="1:10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</row>
    <row r="12" spans="1:10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</row>
    <row r="13" spans="1:10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</row>
    <row r="14" spans="1:10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</row>
    <row r="15" spans="1:10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</row>
    <row r="16" spans="1:10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</row>
    <row r="17" spans="1:7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</row>
    <row r="18" spans="1:7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</row>
    <row r="19" spans="1:7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</row>
    <row r="20" spans="1:7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</row>
    <row r="21" spans="1:7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</row>
    <row r="22" spans="1:7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</row>
    <row r="23" spans="1:7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</row>
    <row r="24" spans="1:7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</row>
    <row r="25" spans="1:7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</row>
    <row r="26" spans="1:7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</row>
    <row r="27" spans="1:7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</row>
    <row r="28" spans="1:7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</row>
    <row r="29" spans="1:7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</row>
    <row r="30" spans="1:7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</row>
    <row r="31" spans="1:7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</row>
    <row r="32" spans="1:7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</row>
    <row r="33" spans="1:7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</row>
    <row r="34" spans="1:7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</row>
    <row r="35" spans="1:7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</row>
    <row r="36" spans="1:7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</row>
    <row r="37" spans="1:7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</row>
    <row r="38" spans="1:7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</row>
    <row r="39" spans="1:7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</row>
    <row r="40" spans="1:7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</row>
    <row r="41" spans="1:7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</row>
    <row r="42" spans="1:7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</row>
    <row r="43" spans="1:7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</row>
    <row r="44" spans="1:7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</row>
    <row r="45" spans="1:7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</row>
    <row r="46" spans="1:7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</row>
    <row r="47" spans="1:7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</row>
    <row r="48" spans="1:7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</row>
    <row r="49" spans="1:7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</row>
    <row r="50" spans="1:7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</row>
    <row r="51" spans="1:7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</row>
    <row r="52" spans="1:7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</row>
    <row r="53" spans="1:7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</row>
    <row r="54" spans="1:7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</row>
    <row r="55" spans="1:7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</row>
    <row r="56" spans="1:7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</row>
    <row r="57" spans="1:7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</row>
    <row r="58" spans="1:7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</row>
    <row r="59" spans="1:7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</row>
    <row r="60" spans="1:7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</row>
    <row r="61" spans="1:7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</row>
    <row r="62" spans="1:7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</row>
    <row r="63" spans="1:7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</row>
    <row r="64" spans="1:7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</row>
    <row r="65" spans="1:7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</row>
    <row r="66" spans="1:7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</row>
    <row r="67" spans="1:7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</row>
    <row r="68" spans="1:7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</row>
    <row r="69" spans="1:7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</row>
    <row r="70" spans="1:7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</row>
    <row r="71" spans="1:7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</row>
    <row r="72" spans="1:7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</row>
    <row r="73" spans="1:7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</row>
    <row r="74" spans="1:7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</row>
    <row r="75" spans="1:7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</row>
    <row r="76" spans="1:7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</row>
    <row r="77" spans="1:7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</row>
    <row r="78" spans="1:7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</row>
    <row r="79" spans="1:7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</row>
    <row r="80" spans="1:7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</row>
    <row r="81" spans="1:7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</row>
    <row r="82" spans="1:7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</row>
    <row r="83" spans="1:7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</row>
    <row r="84" spans="1:7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</row>
    <row r="85" spans="1:7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</row>
    <row r="86" spans="1:7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</row>
    <row r="87" spans="1:7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</row>
    <row r="88" spans="1:7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</row>
    <row r="89" spans="1:7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</row>
    <row r="90" spans="1:7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</row>
    <row r="91" spans="1:7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7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7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7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7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7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C497-31D7-47B7-BE95-5BD5B1792F2B}">
  <dimension ref="A1:K1000"/>
  <sheetViews>
    <sheetView topLeftCell="E1" zoomScale="85" zoomScaleNormal="85" workbookViewId="0">
      <pane ySplit="1" topLeftCell="A2" activePane="bottomLeft" state="frozen"/>
      <selection pane="bottomLeft" activeCell="K6" sqref="K6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bestFit="1" customWidth="1"/>
    <col min="5" max="5" width="22" style="10" bestFit="1" customWidth="1"/>
    <col min="6" max="6" width="24.42578125" style="8" bestFit="1" customWidth="1"/>
    <col min="7" max="7" width="15.85546875" style="10" bestFit="1" customWidth="1"/>
    <col min="8" max="8" width="24" style="2" bestFit="1" customWidth="1"/>
    <col min="9" max="9" width="8.7109375" style="2" customWidth="1"/>
    <col min="10" max="10" width="15.5703125" style="2" bestFit="1" customWidth="1"/>
    <col min="11" max="11" width="11.28515625" style="2" bestFit="1" customWidth="1"/>
    <col min="12" max="26" width="8.7109375" style="2" customWidth="1"/>
    <col min="27" max="16384" width="14.42578125" style="2"/>
  </cols>
  <sheetData>
    <row r="1" spans="1:11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  <c r="H1" s="9" t="s">
        <v>368</v>
      </c>
    </row>
    <row r="2" spans="1:11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H2" s="9">
        <f>Table24[[#This Row],[New_Followers]]-Table24[[#This Row],[Unfollows]]</f>
        <v>1334</v>
      </c>
      <c r="I2" s="22"/>
    </row>
    <row r="3" spans="1:11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H3" s="9">
        <f>Table24[[#This Row],[New_Followers]]-Table24[[#This Row],[Unfollows]]</f>
        <v>909</v>
      </c>
      <c r="I3" s="22"/>
    </row>
    <row r="4" spans="1:11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H4" s="9">
        <f>Table24[[#This Row],[New_Followers]]-Table24[[#This Row],[Unfollows]]</f>
        <v>1176</v>
      </c>
      <c r="I4" s="22"/>
      <c r="J4" s="29" t="s">
        <v>369</v>
      </c>
      <c r="K4" s="32">
        <f>MAX(Table24[Net_FollowerGain])</f>
        <v>1397</v>
      </c>
    </row>
    <row r="5" spans="1:11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  <c r="H5" s="9">
        <f>Table24[[#This Row],[New_Followers]]-Table24[[#This Row],[Unfollows]]</f>
        <v>928</v>
      </c>
      <c r="J5" s="30" t="s">
        <v>370</v>
      </c>
      <c r="K5" s="33">
        <f>INDEX(Table24[Week_Start_Date],MATCH(MAX(Table24[Net_FollowerGain]),Table24[Net_FollowerGain],0))</f>
        <v>45453</v>
      </c>
    </row>
    <row r="6" spans="1:11">
      <c r="A6" s="24">
        <v>45453</v>
      </c>
      <c r="B6" s="25" t="s">
        <v>22</v>
      </c>
      <c r="C6" s="26">
        <v>1461</v>
      </c>
      <c r="D6" s="26">
        <v>64</v>
      </c>
      <c r="E6" s="26">
        <v>328902</v>
      </c>
      <c r="F6" s="27">
        <v>9.02</v>
      </c>
      <c r="G6" s="26">
        <v>26298</v>
      </c>
      <c r="H6" s="26">
        <f>Table24[[#This Row],[New_Followers]]-Table24[[#This Row],[Unfollows]]</f>
        <v>1397</v>
      </c>
      <c r="J6" s="31" t="s">
        <v>1</v>
      </c>
      <c r="K6" s="28" t="str">
        <f>INDEX(Table24[Platform],MATCH(MAX(Table24[Net_FollowerGain]),Table24[Net_FollowerGain],0))</f>
        <v>Twitter</v>
      </c>
    </row>
    <row r="7" spans="1:11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  <c r="H7" s="9">
        <f>Table24[[#This Row],[New_Followers]]-Table24[[#This Row],[Unfollows]]</f>
        <v>452</v>
      </c>
    </row>
    <row r="8" spans="1:11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  <c r="H8" s="9">
        <f>Table24[[#This Row],[New_Followers]]-Table24[[#This Row],[Unfollows]]</f>
        <v>590</v>
      </c>
    </row>
    <row r="9" spans="1:11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  <c r="H9" s="9">
        <f>Table24[[#This Row],[New_Followers]]-Table24[[#This Row],[Unfollows]]</f>
        <v>1283</v>
      </c>
    </row>
    <row r="10" spans="1:11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  <c r="H10" s="9">
        <f>Table24[[#This Row],[New_Followers]]-Table24[[#This Row],[Unfollows]]</f>
        <v>1302</v>
      </c>
    </row>
    <row r="11" spans="1:11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  <c r="H11" s="9">
        <f>Table24[[#This Row],[New_Followers]]-Table24[[#This Row],[Unfollows]]</f>
        <v>612</v>
      </c>
    </row>
    <row r="12" spans="1:11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  <c r="H12" s="9">
        <f>Table24[[#This Row],[New_Followers]]-Table24[[#This Row],[Unfollows]]</f>
        <v>1121</v>
      </c>
    </row>
    <row r="13" spans="1:11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  <c r="H13" s="9">
        <f>Table24[[#This Row],[New_Followers]]-Table24[[#This Row],[Unfollows]]</f>
        <v>700</v>
      </c>
    </row>
    <row r="14" spans="1:11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  <c r="H14" s="9">
        <f>Table24[[#This Row],[New_Followers]]-Table24[[#This Row],[Unfollows]]</f>
        <v>714</v>
      </c>
    </row>
    <row r="15" spans="1:11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  <c r="H15" s="9">
        <f>Table24[[#This Row],[New_Followers]]-Table24[[#This Row],[Unfollows]]</f>
        <v>595</v>
      </c>
    </row>
    <row r="16" spans="1:11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  <c r="H16" s="9">
        <f>Table24[[#This Row],[New_Followers]]-Table24[[#This Row],[Unfollows]]</f>
        <v>1117</v>
      </c>
    </row>
    <row r="17" spans="1:8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  <c r="H17" s="9">
        <f>Table24[[#This Row],[New_Followers]]-Table24[[#This Row],[Unfollows]]</f>
        <v>667</v>
      </c>
    </row>
    <row r="18" spans="1:8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  <c r="H18" s="9">
        <f>Table24[[#This Row],[New_Followers]]-Table24[[#This Row],[Unfollows]]</f>
        <v>1371</v>
      </c>
    </row>
    <row r="19" spans="1:8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  <c r="H19" s="9">
        <f>Table24[[#This Row],[New_Followers]]-Table24[[#This Row],[Unfollows]]</f>
        <v>1117</v>
      </c>
    </row>
    <row r="20" spans="1:8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H20" s="9">
        <f>Table24[[#This Row],[New_Followers]]-Table24[[#This Row],[Unfollows]]</f>
        <v>359</v>
      </c>
    </row>
    <row r="21" spans="1:8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  <c r="H21" s="9">
        <f>Table24[[#This Row],[New_Followers]]-Table24[[#This Row],[Unfollows]]</f>
        <v>1098</v>
      </c>
    </row>
    <row r="22" spans="1:8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  <c r="H22" s="9">
        <f>Table24[[#This Row],[New_Followers]]-Table24[[#This Row],[Unfollows]]</f>
        <v>912</v>
      </c>
    </row>
    <row r="23" spans="1:8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  <c r="H23" s="9">
        <f>Table24[[#This Row],[New_Followers]]-Table24[[#This Row],[Unfollows]]</f>
        <v>792</v>
      </c>
    </row>
    <row r="24" spans="1:8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  <c r="H24" s="9">
        <f>Table24[[#This Row],[New_Followers]]-Table24[[#This Row],[Unfollows]]</f>
        <v>364</v>
      </c>
    </row>
    <row r="25" spans="1:8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  <c r="H25" s="9">
        <f>Table24[[#This Row],[New_Followers]]-Table24[[#This Row],[Unfollows]]</f>
        <v>1125</v>
      </c>
    </row>
    <row r="26" spans="1:8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  <c r="H26" s="9">
        <f>Table24[[#This Row],[New_Followers]]-Table24[[#This Row],[Unfollows]]</f>
        <v>869</v>
      </c>
    </row>
    <row r="27" spans="1:8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  <c r="H27" s="9">
        <f>Table24[[#This Row],[New_Followers]]-Table24[[#This Row],[Unfollows]]</f>
        <v>414</v>
      </c>
    </row>
    <row r="28" spans="1:8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  <c r="H28" s="9">
        <f>Table24[[#This Row],[New_Followers]]-Table24[[#This Row],[Unfollows]]</f>
        <v>849</v>
      </c>
    </row>
    <row r="29" spans="1:8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  <c r="H29" s="9">
        <f>Table24[[#This Row],[New_Followers]]-Table24[[#This Row],[Unfollows]]</f>
        <v>1353</v>
      </c>
    </row>
    <row r="30" spans="1:8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  <c r="H30" s="9">
        <f>Table24[[#This Row],[New_Followers]]-Table24[[#This Row],[Unfollows]]</f>
        <v>582</v>
      </c>
    </row>
    <row r="31" spans="1:8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  <c r="H31" s="9">
        <f>Table24[[#This Row],[New_Followers]]-Table24[[#This Row],[Unfollows]]</f>
        <v>758</v>
      </c>
    </row>
    <row r="32" spans="1:8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  <c r="H32" s="9">
        <f>Table24[[#This Row],[New_Followers]]-Table24[[#This Row],[Unfollows]]</f>
        <v>977</v>
      </c>
    </row>
    <row r="33" spans="1:8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  <c r="H33" s="9">
        <f>Table24[[#This Row],[New_Followers]]-Table24[[#This Row],[Unfollows]]</f>
        <v>1191</v>
      </c>
    </row>
    <row r="34" spans="1:8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  <c r="H34" s="9">
        <f>Table24[[#This Row],[New_Followers]]-Table24[[#This Row],[Unfollows]]</f>
        <v>904</v>
      </c>
    </row>
    <row r="35" spans="1:8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  <c r="H35" s="9">
        <f>Table24[[#This Row],[New_Followers]]-Table24[[#This Row],[Unfollows]]</f>
        <v>909</v>
      </c>
    </row>
    <row r="36" spans="1:8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  <c r="H36" s="9">
        <f>Table24[[#This Row],[New_Followers]]-Table24[[#This Row],[Unfollows]]</f>
        <v>382</v>
      </c>
    </row>
    <row r="37" spans="1:8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  <c r="H37" s="9">
        <f>Table24[[#This Row],[New_Followers]]-Table24[[#This Row],[Unfollows]]</f>
        <v>1009</v>
      </c>
    </row>
    <row r="38" spans="1:8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  <c r="H38" s="9">
        <f>Table24[[#This Row],[New_Followers]]-Table24[[#This Row],[Unfollows]]</f>
        <v>1022</v>
      </c>
    </row>
    <row r="39" spans="1:8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  <c r="H39" s="9">
        <f>Table24[[#This Row],[New_Followers]]-Table24[[#This Row],[Unfollows]]</f>
        <v>262</v>
      </c>
    </row>
    <row r="40" spans="1:8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  <c r="H40" s="9">
        <f>Table24[[#This Row],[New_Followers]]-Table24[[#This Row],[Unfollows]]</f>
        <v>1166</v>
      </c>
    </row>
    <row r="41" spans="1:8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  <c r="H41" s="9">
        <f>Table24[[#This Row],[New_Followers]]-Table24[[#This Row],[Unfollows]]</f>
        <v>515</v>
      </c>
    </row>
    <row r="42" spans="1:8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  <c r="H42" s="9">
        <f>Table24[[#This Row],[New_Followers]]-Table24[[#This Row],[Unfollows]]</f>
        <v>956</v>
      </c>
    </row>
    <row r="43" spans="1:8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  <c r="H43" s="9">
        <f>Table24[[#This Row],[New_Followers]]-Table24[[#This Row],[Unfollows]]</f>
        <v>1031</v>
      </c>
    </row>
    <row r="44" spans="1:8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  <c r="H44" s="9">
        <f>Table24[[#This Row],[New_Followers]]-Table24[[#This Row],[Unfollows]]</f>
        <v>637</v>
      </c>
    </row>
    <row r="45" spans="1:8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  <c r="H45" s="9">
        <f>Table24[[#This Row],[New_Followers]]-Table24[[#This Row],[Unfollows]]</f>
        <v>1268</v>
      </c>
    </row>
    <row r="46" spans="1:8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  <c r="H46" s="9">
        <f>Table24[[#This Row],[New_Followers]]-Table24[[#This Row],[Unfollows]]</f>
        <v>725</v>
      </c>
    </row>
    <row r="47" spans="1:8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  <c r="H47" s="9">
        <f>Table24[[#This Row],[New_Followers]]-Table24[[#This Row],[Unfollows]]</f>
        <v>471</v>
      </c>
    </row>
    <row r="48" spans="1:8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  <c r="H48" s="9">
        <f>Table24[[#This Row],[New_Followers]]-Table24[[#This Row],[Unfollows]]</f>
        <v>1291</v>
      </c>
    </row>
    <row r="49" spans="1:8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  <c r="H49" s="9">
        <f>Table24[[#This Row],[New_Followers]]-Table24[[#This Row],[Unfollows]]</f>
        <v>400</v>
      </c>
    </row>
    <row r="50" spans="1:8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  <c r="H50" s="9">
        <f>Table24[[#This Row],[New_Followers]]-Table24[[#This Row],[Unfollows]]</f>
        <v>1113</v>
      </c>
    </row>
    <row r="51" spans="1:8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  <c r="H51" s="9">
        <f>Table24[[#This Row],[New_Followers]]-Table24[[#This Row],[Unfollows]]</f>
        <v>1198</v>
      </c>
    </row>
    <row r="52" spans="1:8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  <c r="H52" s="9">
        <f>Table24[[#This Row],[New_Followers]]-Table24[[#This Row],[Unfollows]]</f>
        <v>474</v>
      </c>
    </row>
    <row r="53" spans="1:8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  <c r="H53" s="9">
        <f>Table24[[#This Row],[New_Followers]]-Table24[[#This Row],[Unfollows]]</f>
        <v>1132</v>
      </c>
    </row>
    <row r="54" spans="1:8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  <c r="H54" s="9">
        <f>Table24[[#This Row],[New_Followers]]-Table24[[#This Row],[Unfollows]]</f>
        <v>844</v>
      </c>
    </row>
    <row r="55" spans="1:8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  <c r="H55" s="9">
        <f>Table24[[#This Row],[New_Followers]]-Table24[[#This Row],[Unfollows]]</f>
        <v>1175</v>
      </c>
    </row>
    <row r="56" spans="1:8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  <c r="H56" s="9">
        <f>Table24[[#This Row],[New_Followers]]-Table24[[#This Row],[Unfollows]]</f>
        <v>559</v>
      </c>
    </row>
    <row r="57" spans="1:8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  <c r="H57" s="9">
        <f>Table24[[#This Row],[New_Followers]]-Table24[[#This Row],[Unfollows]]</f>
        <v>554</v>
      </c>
    </row>
    <row r="58" spans="1:8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  <c r="H58" s="9">
        <f>Table24[[#This Row],[New_Followers]]-Table24[[#This Row],[Unfollows]]</f>
        <v>1225</v>
      </c>
    </row>
    <row r="59" spans="1:8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  <c r="H59" s="9">
        <f>Table24[[#This Row],[New_Followers]]-Table24[[#This Row],[Unfollows]]</f>
        <v>892</v>
      </c>
    </row>
    <row r="60" spans="1:8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  <c r="H60" s="9">
        <f>Table24[[#This Row],[New_Followers]]-Table24[[#This Row],[Unfollows]]</f>
        <v>536</v>
      </c>
    </row>
    <row r="61" spans="1:8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  <c r="H61" s="9">
        <f>Table24[[#This Row],[New_Followers]]-Table24[[#This Row],[Unfollows]]</f>
        <v>1242</v>
      </c>
    </row>
    <row r="62" spans="1:8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  <c r="H62" s="9">
        <f>Table24[[#This Row],[New_Followers]]-Table24[[#This Row],[Unfollows]]</f>
        <v>948</v>
      </c>
    </row>
    <row r="63" spans="1:8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  <c r="H63" s="9">
        <f>Table24[[#This Row],[New_Followers]]-Table24[[#This Row],[Unfollows]]</f>
        <v>762</v>
      </c>
    </row>
    <row r="64" spans="1:8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  <c r="H64" s="9">
        <f>Table24[[#This Row],[New_Followers]]-Table24[[#This Row],[Unfollows]]</f>
        <v>1082</v>
      </c>
    </row>
    <row r="65" spans="1:8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  <c r="H65" s="9">
        <f>Table24[[#This Row],[New_Followers]]-Table24[[#This Row],[Unfollows]]</f>
        <v>1174</v>
      </c>
    </row>
    <row r="66" spans="1:8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  <c r="H66" s="9">
        <f>Table24[[#This Row],[New_Followers]]-Table24[[#This Row],[Unfollows]]</f>
        <v>464</v>
      </c>
    </row>
    <row r="67" spans="1:8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  <c r="H67" s="9">
        <f>Table24[[#This Row],[New_Followers]]-Table24[[#This Row],[Unfollows]]</f>
        <v>543</v>
      </c>
    </row>
    <row r="68" spans="1:8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  <c r="H68" s="9">
        <f>Table24[[#This Row],[New_Followers]]-Table24[[#This Row],[Unfollows]]</f>
        <v>1202</v>
      </c>
    </row>
    <row r="69" spans="1:8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  <c r="H69" s="9">
        <f>Table24[[#This Row],[New_Followers]]-Table24[[#This Row],[Unfollows]]</f>
        <v>1390</v>
      </c>
    </row>
    <row r="70" spans="1:8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  <c r="H70" s="9">
        <f>Table24[[#This Row],[New_Followers]]-Table24[[#This Row],[Unfollows]]</f>
        <v>984</v>
      </c>
    </row>
    <row r="71" spans="1:8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  <c r="H71" s="9">
        <f>Table24[[#This Row],[New_Followers]]-Table24[[#This Row],[Unfollows]]</f>
        <v>1204</v>
      </c>
    </row>
    <row r="72" spans="1:8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  <c r="H72" s="9">
        <f>Table24[[#This Row],[New_Followers]]-Table24[[#This Row],[Unfollows]]</f>
        <v>532</v>
      </c>
    </row>
    <row r="73" spans="1:8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  <c r="H73" s="9">
        <f>Table24[[#This Row],[New_Followers]]-Table24[[#This Row],[Unfollows]]</f>
        <v>1058</v>
      </c>
    </row>
    <row r="74" spans="1:8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  <c r="H74" s="9">
        <f>Table24[[#This Row],[New_Followers]]-Table24[[#This Row],[Unfollows]]</f>
        <v>676</v>
      </c>
    </row>
    <row r="75" spans="1:8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  <c r="H75" s="9">
        <f>Table24[[#This Row],[New_Followers]]-Table24[[#This Row],[Unfollows]]</f>
        <v>577</v>
      </c>
    </row>
    <row r="76" spans="1:8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  <c r="H76" s="9">
        <f>Table24[[#This Row],[New_Followers]]-Table24[[#This Row],[Unfollows]]</f>
        <v>682</v>
      </c>
    </row>
    <row r="77" spans="1:8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  <c r="H77" s="9">
        <f>Table24[[#This Row],[New_Followers]]-Table24[[#This Row],[Unfollows]]</f>
        <v>450</v>
      </c>
    </row>
    <row r="78" spans="1:8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  <c r="H78" s="9">
        <f>Table24[[#This Row],[New_Followers]]-Table24[[#This Row],[Unfollows]]</f>
        <v>683</v>
      </c>
    </row>
    <row r="79" spans="1:8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  <c r="H79" s="9">
        <f>Table24[[#This Row],[New_Followers]]-Table24[[#This Row],[Unfollows]]</f>
        <v>1154</v>
      </c>
    </row>
    <row r="80" spans="1:8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  <c r="H80" s="9">
        <f>Table24[[#This Row],[New_Followers]]-Table24[[#This Row],[Unfollows]]</f>
        <v>808</v>
      </c>
    </row>
    <row r="81" spans="1:8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  <c r="H81" s="9">
        <f>Table24[[#This Row],[New_Followers]]-Table24[[#This Row],[Unfollows]]</f>
        <v>871</v>
      </c>
    </row>
    <row r="82" spans="1:8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  <c r="H82" s="9">
        <f>Table24[[#This Row],[New_Followers]]-Table24[[#This Row],[Unfollows]]</f>
        <v>704</v>
      </c>
    </row>
    <row r="83" spans="1:8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  <c r="H83" s="9">
        <f>Table24[[#This Row],[New_Followers]]-Table24[[#This Row],[Unfollows]]</f>
        <v>611</v>
      </c>
    </row>
    <row r="84" spans="1:8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  <c r="H84" s="9">
        <f>Table24[[#This Row],[New_Followers]]-Table24[[#This Row],[Unfollows]]</f>
        <v>405</v>
      </c>
    </row>
    <row r="85" spans="1:8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  <c r="H85" s="9">
        <f>Table24[[#This Row],[New_Followers]]-Table24[[#This Row],[Unfollows]]</f>
        <v>382</v>
      </c>
    </row>
    <row r="86" spans="1:8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  <c r="H86" s="9">
        <f>Table24[[#This Row],[New_Followers]]-Table24[[#This Row],[Unfollows]]</f>
        <v>1117</v>
      </c>
    </row>
    <row r="87" spans="1:8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  <c r="H87" s="9">
        <f>Table24[[#This Row],[New_Followers]]-Table24[[#This Row],[Unfollows]]</f>
        <v>477</v>
      </c>
    </row>
    <row r="88" spans="1:8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  <c r="H88" s="9">
        <f>Table24[[#This Row],[New_Followers]]-Table24[[#This Row],[Unfollows]]</f>
        <v>1099</v>
      </c>
    </row>
    <row r="89" spans="1:8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  <c r="H89" s="9">
        <f>Table24[[#This Row],[New_Followers]]-Table24[[#This Row],[Unfollows]]</f>
        <v>567</v>
      </c>
    </row>
    <row r="90" spans="1:8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  <c r="H90" s="9">
        <f>Table24[[#This Row],[New_Followers]]-Table24[[#This Row],[Unfollows]]</f>
        <v>1133</v>
      </c>
    </row>
    <row r="91" spans="1:8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  <c r="H91" s="9">
        <f>Table24[[#This Row],[New_Followers]]-Table24[[#This Row],[Unfollows]]</f>
        <v>850</v>
      </c>
    </row>
    <row r="92" spans="1:8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  <c r="H92" s="9">
        <f>Table24[[#This Row],[New_Followers]]-Table24[[#This Row],[Unfollows]]</f>
        <v>413</v>
      </c>
    </row>
    <row r="93" spans="1:8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  <c r="H93" s="9">
        <f>Table24[[#This Row],[New_Followers]]-Table24[[#This Row],[Unfollows]]</f>
        <v>1387</v>
      </c>
    </row>
    <row r="94" spans="1:8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  <c r="H94" s="9">
        <f>Table24[[#This Row],[New_Followers]]-Table24[[#This Row],[Unfollows]]</f>
        <v>537</v>
      </c>
    </row>
    <row r="95" spans="1:8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  <c r="H95" s="9">
        <f>Table24[[#This Row],[New_Followers]]-Table24[[#This Row],[Unfollows]]</f>
        <v>443</v>
      </c>
    </row>
    <row r="96" spans="1:8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  <c r="H96" s="9">
        <f>Table24[[#This Row],[New_Followers]]-Table24[[#This Row],[Unfollows]]</f>
        <v>1283</v>
      </c>
    </row>
    <row r="97" spans="1:8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  <c r="H97" s="9">
        <f>Table24[[#This Row],[New_Followers]]-Table24[[#This Row],[Unfollows]]</f>
        <v>725</v>
      </c>
    </row>
    <row r="98" spans="1:8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  <c r="H98" s="9">
        <f>Table24[[#This Row],[New_Followers]]-Table24[[#This Row],[Unfollows]]</f>
        <v>467</v>
      </c>
    </row>
    <row r="99" spans="1:8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  <c r="H99" s="9">
        <f>Table24[[#This Row],[New_Followers]]-Table24[[#This Row],[Unfollows]]</f>
        <v>1354</v>
      </c>
    </row>
    <row r="100" spans="1:8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  <c r="H100" s="9">
        <f>Table24[[#This Row],[New_Followers]]-Table24[[#This Row],[Unfollows]]</f>
        <v>520</v>
      </c>
    </row>
    <row r="101" spans="1:8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  <c r="H101" s="9">
        <f>Table24[[#This Row],[New_Followers]]-Table24[[#This Row],[Unfollows]]</f>
        <v>442</v>
      </c>
    </row>
    <row r="102" spans="1:8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  <c r="H102" s="9">
        <f>Table24[[#This Row],[New_Followers]]-Table24[[#This Row],[Unfollows]]</f>
        <v>546</v>
      </c>
    </row>
    <row r="103" spans="1:8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  <c r="H103" s="9">
        <f>Table24[[#This Row],[New_Followers]]-Table24[[#This Row],[Unfollows]]</f>
        <v>844</v>
      </c>
    </row>
    <row r="104" spans="1:8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  <c r="H104" s="9">
        <f>Table24[[#This Row],[New_Followers]]-Table24[[#This Row],[Unfollows]]</f>
        <v>341</v>
      </c>
    </row>
    <row r="105" spans="1:8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  <c r="H105" s="9">
        <f>Table24[[#This Row],[New_Followers]]-Table24[[#This Row],[Unfollows]]</f>
        <v>869</v>
      </c>
    </row>
    <row r="106" spans="1:8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  <c r="H106" s="9">
        <f>Table24[[#This Row],[New_Followers]]-Table24[[#This Row],[Unfollows]]</f>
        <v>718</v>
      </c>
    </row>
    <row r="107" spans="1:8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  <c r="H107" s="9">
        <f>Table24[[#This Row],[New_Followers]]-Table24[[#This Row],[Unfollows]]</f>
        <v>735</v>
      </c>
    </row>
    <row r="108" spans="1:8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  <c r="H108" s="9">
        <f>Table24[[#This Row],[New_Followers]]-Table24[[#This Row],[Unfollows]]</f>
        <v>523</v>
      </c>
    </row>
    <row r="109" spans="1:8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  <c r="H109" s="9">
        <f>Table24[[#This Row],[New_Followers]]-Table24[[#This Row],[Unfollows]]</f>
        <v>422</v>
      </c>
    </row>
    <row r="110" spans="1:8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  <c r="H110" s="9">
        <f>Table24[[#This Row],[New_Followers]]-Table24[[#This Row],[Unfollows]]</f>
        <v>915</v>
      </c>
    </row>
    <row r="111" spans="1:8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  <c r="H111" s="9">
        <f>Table24[[#This Row],[New_Followers]]-Table24[[#This Row],[Unfollows]]</f>
        <v>1108</v>
      </c>
    </row>
    <row r="112" spans="1:8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  <c r="H112" s="9">
        <f>Table24[[#This Row],[New_Followers]]-Table24[[#This Row],[Unfollows]]</f>
        <v>338</v>
      </c>
    </row>
    <row r="113" spans="1:8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  <c r="H113" s="9">
        <f>Table24[[#This Row],[New_Followers]]-Table24[[#This Row],[Unfollows]]</f>
        <v>724</v>
      </c>
    </row>
    <row r="114" spans="1:8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  <c r="H114" s="9">
        <f>Table24[[#This Row],[New_Followers]]-Table24[[#This Row],[Unfollows]]</f>
        <v>463</v>
      </c>
    </row>
    <row r="115" spans="1:8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  <c r="H115" s="9">
        <f>Table24[[#This Row],[New_Followers]]-Table24[[#This Row],[Unfollows]]</f>
        <v>356</v>
      </c>
    </row>
    <row r="116" spans="1:8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  <c r="H116" s="9">
        <f>Table24[[#This Row],[New_Followers]]-Table24[[#This Row],[Unfollows]]</f>
        <v>378</v>
      </c>
    </row>
    <row r="117" spans="1:8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  <c r="H117" s="9">
        <f>Table24[[#This Row],[New_Followers]]-Table24[[#This Row],[Unfollows]]</f>
        <v>636</v>
      </c>
    </row>
    <row r="118" spans="1:8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  <c r="H118" s="9">
        <f>Table24[[#This Row],[New_Followers]]-Table24[[#This Row],[Unfollows]]</f>
        <v>699</v>
      </c>
    </row>
    <row r="119" spans="1:8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  <c r="H119" s="9">
        <f>Table24[[#This Row],[New_Followers]]-Table24[[#This Row],[Unfollows]]</f>
        <v>1279</v>
      </c>
    </row>
    <row r="120" spans="1:8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  <c r="H120" s="9">
        <f>Table24[[#This Row],[New_Followers]]-Table24[[#This Row],[Unfollows]]</f>
        <v>1006</v>
      </c>
    </row>
    <row r="121" spans="1:8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  <c r="H121" s="9">
        <f>Table24[[#This Row],[New_Followers]]-Table24[[#This Row],[Unfollows]]</f>
        <v>478</v>
      </c>
    </row>
    <row r="122" spans="1:8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  <c r="H122" s="9">
        <f>Table24[[#This Row],[New_Followers]]-Table24[[#This Row],[Unfollows]]</f>
        <v>545</v>
      </c>
    </row>
    <row r="123" spans="1:8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  <c r="H123" s="9">
        <f>Table24[[#This Row],[New_Followers]]-Table24[[#This Row],[Unfollows]]</f>
        <v>1005</v>
      </c>
    </row>
    <row r="124" spans="1:8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  <c r="H124" s="9">
        <f>Table24[[#This Row],[New_Followers]]-Table24[[#This Row],[Unfollows]]</f>
        <v>765</v>
      </c>
    </row>
    <row r="125" spans="1:8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  <c r="H125" s="9">
        <f>Table24[[#This Row],[New_Followers]]-Table24[[#This Row],[Unfollows]]</f>
        <v>564</v>
      </c>
    </row>
    <row r="126" spans="1:8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  <c r="H126" s="9">
        <f>Table24[[#This Row],[New_Followers]]-Table24[[#This Row],[Unfollows]]</f>
        <v>496</v>
      </c>
    </row>
    <row r="127" spans="1:8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  <c r="H127" s="9">
        <f>Table24[[#This Row],[New_Followers]]-Table24[[#This Row],[Unfollows]]</f>
        <v>1128</v>
      </c>
    </row>
    <row r="128" spans="1:8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  <c r="H128" s="9">
        <f>Table24[[#This Row],[New_Followers]]-Table24[[#This Row],[Unfollows]]</f>
        <v>565</v>
      </c>
    </row>
    <row r="129" spans="1:8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  <c r="H129" s="9">
        <f>Table24[[#This Row],[New_Followers]]-Table24[[#This Row],[Unfollows]]</f>
        <v>813</v>
      </c>
    </row>
    <row r="130" spans="1:8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  <c r="H130" s="9">
        <f>Table24[[#This Row],[New_Followers]]-Table24[[#This Row],[Unfollows]]</f>
        <v>1301</v>
      </c>
    </row>
    <row r="131" spans="1:8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  <c r="H131" s="9">
        <f>Table24[[#This Row],[New_Followers]]-Table24[[#This Row],[Unfollows]]</f>
        <v>436</v>
      </c>
    </row>
    <row r="132" spans="1:8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  <c r="H132" s="9">
        <f>Table24[[#This Row],[New_Followers]]-Table24[[#This Row],[Unfollows]]</f>
        <v>978</v>
      </c>
    </row>
    <row r="133" spans="1:8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  <c r="H133" s="9">
        <f>Table24[[#This Row],[New_Followers]]-Table24[[#This Row],[Unfollows]]</f>
        <v>1367</v>
      </c>
    </row>
    <row r="134" spans="1:8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  <c r="H134" s="9">
        <f>Table24[[#This Row],[New_Followers]]-Table24[[#This Row],[Unfollows]]</f>
        <v>1337</v>
      </c>
    </row>
    <row r="135" spans="1:8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  <c r="H135" s="9">
        <f>Table24[[#This Row],[New_Followers]]-Table24[[#This Row],[Unfollows]]</f>
        <v>1014</v>
      </c>
    </row>
    <row r="136" spans="1:8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  <c r="H136" s="9">
        <f>Table24[[#This Row],[New_Followers]]-Table24[[#This Row],[Unfollows]]</f>
        <v>940</v>
      </c>
    </row>
    <row r="137" spans="1:8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  <c r="H137" s="9">
        <f>Table24[[#This Row],[New_Followers]]-Table24[[#This Row],[Unfollows]]</f>
        <v>690</v>
      </c>
    </row>
    <row r="138" spans="1:8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  <c r="H138" s="9">
        <f>Table24[[#This Row],[New_Followers]]-Table24[[#This Row],[Unfollows]]</f>
        <v>1335</v>
      </c>
    </row>
    <row r="139" spans="1:8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  <c r="H139" s="9">
        <f>Table24[[#This Row],[New_Followers]]-Table24[[#This Row],[Unfollows]]</f>
        <v>1191</v>
      </c>
    </row>
    <row r="140" spans="1:8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  <c r="H140" s="9">
        <f>Table24[[#This Row],[New_Followers]]-Table24[[#This Row],[Unfollows]]</f>
        <v>353</v>
      </c>
    </row>
    <row r="141" spans="1:8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  <c r="H141" s="9">
        <f>Table24[[#This Row],[New_Followers]]-Table24[[#This Row],[Unfollows]]</f>
        <v>486</v>
      </c>
    </row>
    <row r="142" spans="1:8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  <c r="H142" s="9">
        <f>Table24[[#This Row],[New_Followers]]-Table24[[#This Row],[Unfollows]]</f>
        <v>889</v>
      </c>
    </row>
    <row r="143" spans="1:8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  <c r="H143" s="9">
        <f>Table24[[#This Row],[New_Followers]]-Table24[[#This Row],[Unfollows]]</f>
        <v>983</v>
      </c>
    </row>
    <row r="144" spans="1:8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  <c r="H144" s="9">
        <f>Table24[[#This Row],[New_Followers]]-Table24[[#This Row],[Unfollows]]</f>
        <v>581</v>
      </c>
    </row>
    <row r="145" spans="1:8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  <c r="H145" s="9">
        <f>Table24[[#This Row],[New_Followers]]-Table24[[#This Row],[Unfollows]]</f>
        <v>814</v>
      </c>
    </row>
    <row r="146" spans="1:8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  <c r="H146" s="9">
        <f>Table24[[#This Row],[New_Followers]]-Table24[[#This Row],[Unfollows]]</f>
        <v>919</v>
      </c>
    </row>
    <row r="147" spans="1:8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  <c r="H147" s="9">
        <f>Table24[[#This Row],[New_Followers]]-Table24[[#This Row],[Unfollows]]</f>
        <v>676</v>
      </c>
    </row>
    <row r="148" spans="1:8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  <c r="H148" s="9">
        <f>Table24[[#This Row],[New_Followers]]-Table24[[#This Row],[Unfollows]]</f>
        <v>459</v>
      </c>
    </row>
    <row r="149" spans="1:8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  <c r="H149" s="9">
        <f>Table24[[#This Row],[New_Followers]]-Table24[[#This Row],[Unfollows]]</f>
        <v>576</v>
      </c>
    </row>
    <row r="150" spans="1:8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  <c r="H150" s="9">
        <f>Table24[[#This Row],[New_Followers]]-Table24[[#This Row],[Unfollows]]</f>
        <v>447</v>
      </c>
    </row>
    <row r="151" spans="1:8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  <c r="H151" s="9">
        <f>Table24[[#This Row],[New_Followers]]-Table24[[#This Row],[Unfollows]]</f>
        <v>377</v>
      </c>
    </row>
    <row r="152" spans="1:8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  <c r="H152" s="9">
        <f>Table24[[#This Row],[New_Followers]]-Table24[[#This Row],[Unfollows]]</f>
        <v>932</v>
      </c>
    </row>
    <row r="153" spans="1:8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  <c r="H153" s="9">
        <f>Table24[[#This Row],[New_Followers]]-Table24[[#This Row],[Unfollows]]</f>
        <v>1356</v>
      </c>
    </row>
    <row r="154" spans="1:8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  <c r="H154" s="9">
        <f>Table24[[#This Row],[New_Followers]]-Table24[[#This Row],[Unfollows]]</f>
        <v>1281</v>
      </c>
    </row>
    <row r="155" spans="1:8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  <c r="H155" s="9">
        <f>Table24[[#This Row],[New_Followers]]-Table24[[#This Row],[Unfollows]]</f>
        <v>1041</v>
      </c>
    </row>
    <row r="156" spans="1:8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  <c r="H156" s="9">
        <f>Table24[[#This Row],[New_Followers]]-Table24[[#This Row],[Unfollows]]</f>
        <v>1184</v>
      </c>
    </row>
    <row r="157" spans="1:8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  <c r="H157" s="9">
        <f>Table24[[#This Row],[New_Followers]]-Table24[[#This Row],[Unfollows]]</f>
        <v>684</v>
      </c>
    </row>
    <row r="158" spans="1:8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  <c r="H158" s="9">
        <f>Table24[[#This Row],[New_Followers]]-Table24[[#This Row],[Unfollows]]</f>
        <v>354</v>
      </c>
    </row>
    <row r="159" spans="1:8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  <c r="H159" s="9">
        <f>Table24[[#This Row],[New_Followers]]-Table24[[#This Row],[Unfollows]]</f>
        <v>1126</v>
      </c>
    </row>
    <row r="160" spans="1:8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  <c r="H160" s="9">
        <f>Table24[[#This Row],[New_Followers]]-Table24[[#This Row],[Unfollows]]</f>
        <v>569</v>
      </c>
    </row>
    <row r="161" spans="1:8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  <c r="H161" s="9">
        <f>Table24[[#This Row],[New_Followers]]-Table24[[#This Row],[Unfollows]]</f>
        <v>730</v>
      </c>
    </row>
    <row r="162" spans="1:8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  <c r="H162" s="9">
        <f>Table24[[#This Row],[New_Followers]]-Table24[[#This Row],[Unfollows]]</f>
        <v>578</v>
      </c>
    </row>
    <row r="163" spans="1:8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  <c r="H163" s="9">
        <f>Table24[[#This Row],[New_Followers]]-Table24[[#This Row],[Unfollows]]</f>
        <v>935</v>
      </c>
    </row>
    <row r="164" spans="1:8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  <c r="H164" s="9">
        <f>Table24[[#This Row],[New_Followers]]-Table24[[#This Row],[Unfollows]]</f>
        <v>698</v>
      </c>
    </row>
    <row r="165" spans="1:8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  <c r="H165" s="9">
        <f>Table24[[#This Row],[New_Followers]]-Table24[[#This Row],[Unfollows]]</f>
        <v>325</v>
      </c>
    </row>
    <row r="166" spans="1:8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  <c r="H166" s="9">
        <f>Table24[[#This Row],[New_Followers]]-Table24[[#This Row],[Unfollows]]</f>
        <v>994</v>
      </c>
    </row>
    <row r="167" spans="1:8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  <c r="H167" s="9">
        <f>Table24[[#This Row],[New_Followers]]-Table24[[#This Row],[Unfollows]]</f>
        <v>320</v>
      </c>
    </row>
    <row r="168" spans="1:8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  <c r="H168" s="9">
        <f>Table24[[#This Row],[New_Followers]]-Table24[[#This Row],[Unfollows]]</f>
        <v>544</v>
      </c>
    </row>
    <row r="169" spans="1:8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  <c r="H169" s="9">
        <f>Table24[[#This Row],[New_Followers]]-Table24[[#This Row],[Unfollows]]</f>
        <v>520</v>
      </c>
    </row>
    <row r="170" spans="1:8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  <c r="H170" s="9">
        <f>Table24[[#This Row],[New_Followers]]-Table24[[#This Row],[Unfollows]]</f>
        <v>485</v>
      </c>
    </row>
    <row r="171" spans="1:8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  <c r="H171" s="9">
        <f>Table24[[#This Row],[New_Followers]]-Table24[[#This Row],[Unfollows]]</f>
        <v>1234</v>
      </c>
    </row>
    <row r="172" spans="1:8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  <c r="H172" s="9">
        <f>Table24[[#This Row],[New_Followers]]-Table24[[#This Row],[Unfollows]]</f>
        <v>596</v>
      </c>
    </row>
    <row r="173" spans="1:8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  <c r="H173" s="9">
        <f>Table24[[#This Row],[New_Followers]]-Table24[[#This Row],[Unfollows]]</f>
        <v>831</v>
      </c>
    </row>
    <row r="174" spans="1:8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  <c r="H174" s="9">
        <f>Table24[[#This Row],[New_Followers]]-Table24[[#This Row],[Unfollows]]</f>
        <v>1033</v>
      </c>
    </row>
    <row r="175" spans="1:8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  <c r="H175" s="9">
        <f>Table24[[#This Row],[New_Followers]]-Table24[[#This Row],[Unfollows]]</f>
        <v>805</v>
      </c>
    </row>
    <row r="176" spans="1:8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  <c r="H176" s="9">
        <f>Table24[[#This Row],[New_Followers]]-Table24[[#This Row],[Unfollows]]</f>
        <v>1274</v>
      </c>
    </row>
    <row r="177" spans="1:8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  <c r="H177" s="9">
        <f>Table24[[#This Row],[New_Followers]]-Table24[[#This Row],[Unfollows]]</f>
        <v>428</v>
      </c>
    </row>
    <row r="178" spans="1:8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  <c r="H178" s="9">
        <f>Table24[[#This Row],[New_Followers]]-Table24[[#This Row],[Unfollows]]</f>
        <v>952</v>
      </c>
    </row>
    <row r="179" spans="1:8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  <c r="H179" s="9">
        <f>Table24[[#This Row],[New_Followers]]-Table24[[#This Row],[Unfollows]]</f>
        <v>951</v>
      </c>
    </row>
    <row r="180" spans="1:8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  <c r="H180" s="9">
        <f>Table24[[#This Row],[New_Followers]]-Table24[[#This Row],[Unfollows]]</f>
        <v>604</v>
      </c>
    </row>
    <row r="181" spans="1:8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  <c r="H181" s="9">
        <f>Table24[[#This Row],[New_Followers]]-Table24[[#This Row],[Unfollows]]</f>
        <v>1139</v>
      </c>
    </row>
    <row r="182" spans="1:8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  <c r="H182" s="9">
        <f>Table24[[#This Row],[New_Followers]]-Table24[[#This Row],[Unfollows]]</f>
        <v>567</v>
      </c>
    </row>
    <row r="183" spans="1:8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  <c r="H183" s="9">
        <f>Table24[[#This Row],[New_Followers]]-Table24[[#This Row],[Unfollows]]</f>
        <v>1282</v>
      </c>
    </row>
    <row r="184" spans="1:8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  <c r="H184" s="9">
        <f>Table24[[#This Row],[New_Followers]]-Table24[[#This Row],[Unfollows]]</f>
        <v>1387</v>
      </c>
    </row>
    <row r="185" spans="1:8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  <c r="H185" s="9">
        <f>Table24[[#This Row],[New_Followers]]-Table24[[#This Row],[Unfollows]]</f>
        <v>667</v>
      </c>
    </row>
    <row r="186" spans="1:8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  <c r="H186" s="9">
        <f>Table24[[#This Row],[New_Followers]]-Table24[[#This Row],[Unfollows]]</f>
        <v>499</v>
      </c>
    </row>
    <row r="187" spans="1:8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  <c r="H187" s="9">
        <f>Table24[[#This Row],[New_Followers]]-Table24[[#This Row],[Unfollows]]</f>
        <v>523</v>
      </c>
    </row>
    <row r="188" spans="1:8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  <c r="H188" s="9">
        <f>Table24[[#This Row],[New_Followers]]-Table24[[#This Row],[Unfollows]]</f>
        <v>896</v>
      </c>
    </row>
    <row r="189" spans="1:8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  <c r="H189" s="9">
        <f>Table24[[#This Row],[New_Followers]]-Table24[[#This Row],[Unfollows]]</f>
        <v>702</v>
      </c>
    </row>
    <row r="190" spans="1:8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  <c r="H190" s="9">
        <f>Table24[[#This Row],[New_Followers]]-Table24[[#This Row],[Unfollows]]</f>
        <v>749</v>
      </c>
    </row>
    <row r="191" spans="1:8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  <c r="H191" s="9">
        <f>Table24[[#This Row],[New_Followers]]-Table24[[#This Row],[Unfollows]]</f>
        <v>333</v>
      </c>
    </row>
    <row r="192" spans="1:8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  <c r="H192" s="9">
        <f>Table24[[#This Row],[New_Followers]]-Table24[[#This Row],[Unfollows]]</f>
        <v>647</v>
      </c>
    </row>
    <row r="193" spans="1:8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  <c r="H193" s="9">
        <f>Table24[[#This Row],[New_Followers]]-Table24[[#This Row],[Unfollows]]</f>
        <v>839</v>
      </c>
    </row>
    <row r="194" spans="1:8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  <c r="H194" s="9">
        <f>Table24[[#This Row],[New_Followers]]-Table24[[#This Row],[Unfollows]]</f>
        <v>960</v>
      </c>
    </row>
    <row r="195" spans="1:8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  <c r="H195" s="9">
        <f>Table24[[#This Row],[New_Followers]]-Table24[[#This Row],[Unfollows]]</f>
        <v>1168</v>
      </c>
    </row>
    <row r="196" spans="1:8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  <c r="H196" s="9">
        <f>Table24[[#This Row],[New_Followers]]-Table24[[#This Row],[Unfollows]]</f>
        <v>518</v>
      </c>
    </row>
    <row r="197" spans="1:8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  <c r="H197" s="9">
        <f>Table24[[#This Row],[New_Followers]]-Table24[[#This Row],[Unfollows]]</f>
        <v>872</v>
      </c>
    </row>
    <row r="198" spans="1:8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  <c r="H198" s="9">
        <f>Table24[[#This Row],[New_Followers]]-Table24[[#This Row],[Unfollows]]</f>
        <v>302</v>
      </c>
    </row>
    <row r="199" spans="1:8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  <c r="H199" s="9">
        <f>Table24[[#This Row],[New_Followers]]-Table24[[#This Row],[Unfollows]]</f>
        <v>250</v>
      </c>
    </row>
    <row r="200" spans="1:8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  <c r="H200" s="9">
        <f>Table24[[#This Row],[New_Followers]]-Table24[[#This Row],[Unfollows]]</f>
        <v>820</v>
      </c>
    </row>
    <row r="201" spans="1:8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  <c r="H201" s="9">
        <f>Table24[[#This Row],[New_Followers]]-Table24[[#This Row],[Unfollows]]</f>
        <v>616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833C-4598-4240-8C50-B82FD167D46B}">
  <dimension ref="A1:N68"/>
  <sheetViews>
    <sheetView topLeftCell="N1" zoomScale="70" zoomScaleNormal="70" workbookViewId="0">
      <pane ySplit="1" topLeftCell="A8" activePane="bottomLeft" state="frozen"/>
      <selection pane="bottomLeft" activeCell="D4" sqref="D4"/>
    </sheetView>
  </sheetViews>
  <sheetFormatPr defaultRowHeight="15"/>
  <cols>
    <col min="1" max="1" width="23.28515625" customWidth="1"/>
    <col min="2" max="2" width="12.85546875" customWidth="1"/>
    <col min="3" max="3" width="21.28515625" customWidth="1"/>
    <col min="4" max="4" width="22.7109375" customWidth="1"/>
    <col min="6" max="6" width="23.28515625" customWidth="1"/>
    <col min="7" max="7" width="12.85546875" customWidth="1"/>
    <col min="8" max="8" width="21.28515625" customWidth="1"/>
    <col min="9" max="9" width="20.5703125" customWidth="1"/>
    <col min="11" max="11" width="23.28515625" customWidth="1"/>
    <col min="12" max="12" width="12.85546875" customWidth="1"/>
    <col min="13" max="13" width="21.28515625" customWidth="1"/>
    <col min="14" max="14" width="25.28515625" customWidth="1"/>
  </cols>
  <sheetData>
    <row r="1" spans="1:14">
      <c r="A1" s="51" t="s">
        <v>331</v>
      </c>
      <c r="B1" s="38" t="s">
        <v>1</v>
      </c>
      <c r="C1" s="39" t="s">
        <v>334</v>
      </c>
      <c r="D1" s="39" t="s">
        <v>373</v>
      </c>
      <c r="F1" s="51" t="s">
        <v>331</v>
      </c>
      <c r="G1" s="38" t="s">
        <v>1</v>
      </c>
      <c r="H1" s="39" t="s">
        <v>334</v>
      </c>
      <c r="I1" s="39" t="s">
        <v>372</v>
      </c>
      <c r="K1" s="51" t="s">
        <v>331</v>
      </c>
      <c r="L1" s="38" t="s">
        <v>1</v>
      </c>
      <c r="M1" s="38" t="s">
        <v>334</v>
      </c>
      <c r="N1" s="39" t="s">
        <v>371</v>
      </c>
    </row>
    <row r="2" spans="1:14">
      <c r="A2" s="49">
        <v>45446</v>
      </c>
      <c r="B2" s="34" t="s">
        <v>22</v>
      </c>
      <c r="C2" s="35">
        <v>227958</v>
      </c>
      <c r="D2" s="35"/>
      <c r="F2" s="49">
        <v>45446</v>
      </c>
      <c r="G2" s="34" t="s">
        <v>13</v>
      </c>
      <c r="H2" s="35">
        <v>124562</v>
      </c>
      <c r="I2" s="35"/>
      <c r="K2" s="49">
        <v>45446</v>
      </c>
      <c r="L2" s="34" t="s">
        <v>27</v>
      </c>
      <c r="M2" s="35">
        <v>370242</v>
      </c>
      <c r="N2" s="35"/>
    </row>
    <row r="3" spans="1:14">
      <c r="A3" s="50">
        <v>45453</v>
      </c>
      <c r="B3" s="36" t="s">
        <v>22</v>
      </c>
      <c r="C3" s="37">
        <v>328902</v>
      </c>
      <c r="D3" s="37"/>
      <c r="F3" s="50">
        <v>45453</v>
      </c>
      <c r="G3" s="36" t="s">
        <v>13</v>
      </c>
      <c r="H3" s="37">
        <v>92474</v>
      </c>
      <c r="I3" s="37"/>
      <c r="K3" s="50">
        <v>45453</v>
      </c>
      <c r="L3" s="36" t="s">
        <v>27</v>
      </c>
      <c r="M3" s="37">
        <v>391621</v>
      </c>
      <c r="N3" s="37"/>
    </row>
    <row r="4" spans="1:14">
      <c r="A4" s="49">
        <v>45460</v>
      </c>
      <c r="B4" s="34" t="s">
        <v>22</v>
      </c>
      <c r="C4" s="35">
        <v>245947</v>
      </c>
      <c r="D4" s="35">
        <f>AVERAGE(C2:C4)</f>
        <v>267602.33333333331</v>
      </c>
      <c r="F4" s="49">
        <v>45460</v>
      </c>
      <c r="G4" s="34" t="s">
        <v>13</v>
      </c>
      <c r="H4" s="35">
        <v>95885</v>
      </c>
      <c r="I4" s="35">
        <f>AVERAGE(H2:H4)</f>
        <v>104307</v>
      </c>
      <c r="K4" s="49">
        <v>45460</v>
      </c>
      <c r="L4" s="34" t="s">
        <v>27</v>
      </c>
      <c r="M4" s="35">
        <v>250428</v>
      </c>
      <c r="N4" s="35">
        <f>AVERAGE(M2:M4)</f>
        <v>337430.33333333331</v>
      </c>
    </row>
    <row r="5" spans="1:14">
      <c r="A5" s="50">
        <v>45467</v>
      </c>
      <c r="B5" s="36" t="s">
        <v>22</v>
      </c>
      <c r="C5" s="37">
        <v>128620</v>
      </c>
      <c r="D5" s="37">
        <f t="shared" ref="D5:D68" si="0">AVERAGE(C3:C5)</f>
        <v>234489.66666666666</v>
      </c>
      <c r="F5" s="50">
        <v>45467</v>
      </c>
      <c r="G5" s="36" t="s">
        <v>13</v>
      </c>
      <c r="H5" s="37">
        <v>87186</v>
      </c>
      <c r="I5" s="37">
        <f t="shared" ref="I5:I68" si="1">AVERAGE(H3:H5)</f>
        <v>91848.333333333328</v>
      </c>
      <c r="K5" s="50">
        <v>45467</v>
      </c>
      <c r="L5" s="36" t="s">
        <v>27</v>
      </c>
      <c r="M5" s="37">
        <v>126015</v>
      </c>
      <c r="N5" s="37">
        <f t="shared" ref="N5:N67" si="2">AVERAGE(M3:M5)</f>
        <v>256021.33333333334</v>
      </c>
    </row>
    <row r="6" spans="1:14">
      <c r="A6" s="49">
        <v>45474</v>
      </c>
      <c r="B6" s="34" t="s">
        <v>22</v>
      </c>
      <c r="C6" s="35">
        <v>218228</v>
      </c>
      <c r="D6" s="35">
        <f t="shared" si="0"/>
        <v>197598.33333333334</v>
      </c>
      <c r="F6" s="49">
        <v>45474</v>
      </c>
      <c r="G6" s="34" t="s">
        <v>13</v>
      </c>
      <c r="H6" s="35">
        <v>178615</v>
      </c>
      <c r="I6" s="35">
        <f t="shared" si="1"/>
        <v>120562</v>
      </c>
      <c r="K6" s="49">
        <v>45474</v>
      </c>
      <c r="L6" s="34" t="s">
        <v>27</v>
      </c>
      <c r="M6" s="35">
        <v>300397</v>
      </c>
      <c r="N6" s="35">
        <f t="shared" si="2"/>
        <v>225613.33333333334</v>
      </c>
    </row>
    <row r="7" spans="1:14">
      <c r="A7" s="50">
        <v>45481</v>
      </c>
      <c r="B7" s="36" t="s">
        <v>22</v>
      </c>
      <c r="C7" s="37">
        <v>76866</v>
      </c>
      <c r="D7" s="37">
        <f t="shared" si="0"/>
        <v>141238</v>
      </c>
      <c r="F7" s="50">
        <v>45481</v>
      </c>
      <c r="G7" s="36" t="s">
        <v>13</v>
      </c>
      <c r="H7" s="37">
        <v>340121</v>
      </c>
      <c r="I7" s="37">
        <f t="shared" si="1"/>
        <v>201974</v>
      </c>
      <c r="K7" s="50">
        <v>45481</v>
      </c>
      <c r="L7" s="36" t="s">
        <v>27</v>
      </c>
      <c r="M7" s="37">
        <v>193131</v>
      </c>
      <c r="N7" s="37">
        <f t="shared" si="2"/>
        <v>206514.33333333334</v>
      </c>
    </row>
    <row r="8" spans="1:14">
      <c r="A8" s="49">
        <v>45488</v>
      </c>
      <c r="B8" s="34" t="s">
        <v>22</v>
      </c>
      <c r="C8" s="35">
        <v>263729</v>
      </c>
      <c r="D8" s="35">
        <f t="shared" si="0"/>
        <v>186274.33333333334</v>
      </c>
      <c r="F8" s="49">
        <v>45488</v>
      </c>
      <c r="G8" s="34" t="s">
        <v>13</v>
      </c>
      <c r="H8" s="35">
        <v>169665</v>
      </c>
      <c r="I8" s="35">
        <f t="shared" si="1"/>
        <v>229467</v>
      </c>
      <c r="K8" s="49">
        <v>45488</v>
      </c>
      <c r="L8" s="34" t="s">
        <v>27</v>
      </c>
      <c r="M8" s="35">
        <v>206921</v>
      </c>
      <c r="N8" s="35">
        <f t="shared" si="2"/>
        <v>233483</v>
      </c>
    </row>
    <row r="9" spans="1:14">
      <c r="A9" s="50">
        <v>45495</v>
      </c>
      <c r="B9" s="36" t="s">
        <v>22</v>
      </c>
      <c r="C9" s="37">
        <v>266350</v>
      </c>
      <c r="D9" s="37">
        <f t="shared" si="0"/>
        <v>202315</v>
      </c>
      <c r="F9" s="50">
        <v>45495</v>
      </c>
      <c r="G9" s="36" t="s">
        <v>13</v>
      </c>
      <c r="H9" s="37">
        <v>204121</v>
      </c>
      <c r="I9" s="37">
        <f t="shared" si="1"/>
        <v>237969</v>
      </c>
      <c r="K9" s="50">
        <v>45495</v>
      </c>
      <c r="L9" s="36" t="s">
        <v>27</v>
      </c>
      <c r="M9" s="37">
        <v>380606</v>
      </c>
      <c r="N9" s="37">
        <f t="shared" si="2"/>
        <v>260219.33333333334</v>
      </c>
    </row>
    <row r="10" spans="1:14">
      <c r="A10" s="49">
        <v>45502</v>
      </c>
      <c r="B10" s="34" t="s">
        <v>22</v>
      </c>
      <c r="C10" s="35">
        <v>79423</v>
      </c>
      <c r="D10" s="35">
        <f t="shared" si="0"/>
        <v>203167.33333333334</v>
      </c>
      <c r="F10" s="49">
        <v>45502</v>
      </c>
      <c r="G10" s="34" t="s">
        <v>13</v>
      </c>
      <c r="H10" s="35">
        <v>376358</v>
      </c>
      <c r="I10" s="35">
        <f t="shared" si="1"/>
        <v>250048</v>
      </c>
      <c r="K10" s="49">
        <v>45502</v>
      </c>
      <c r="L10" s="34" t="s">
        <v>27</v>
      </c>
      <c r="M10" s="35">
        <v>352178</v>
      </c>
      <c r="N10" s="35">
        <f t="shared" si="2"/>
        <v>313235</v>
      </c>
    </row>
    <row r="11" spans="1:14">
      <c r="A11" s="50">
        <v>45509</v>
      </c>
      <c r="B11" s="36" t="s">
        <v>22</v>
      </c>
      <c r="C11" s="37">
        <v>132756</v>
      </c>
      <c r="D11" s="37">
        <f t="shared" si="0"/>
        <v>159509.66666666666</v>
      </c>
      <c r="F11" s="50">
        <v>45509</v>
      </c>
      <c r="G11" s="36" t="s">
        <v>13</v>
      </c>
      <c r="H11" s="37">
        <v>200636</v>
      </c>
      <c r="I11" s="37">
        <f t="shared" si="1"/>
        <v>260371.66666666666</v>
      </c>
      <c r="K11" s="50">
        <v>45509</v>
      </c>
      <c r="L11" s="36" t="s">
        <v>27</v>
      </c>
      <c r="M11" s="37">
        <v>318098</v>
      </c>
      <c r="N11" s="37">
        <f t="shared" si="2"/>
        <v>350294</v>
      </c>
    </row>
    <row r="12" spans="1:14">
      <c r="A12" s="49">
        <v>45516</v>
      </c>
      <c r="B12" s="34" t="s">
        <v>22</v>
      </c>
      <c r="C12" s="35">
        <v>115505</v>
      </c>
      <c r="D12" s="35">
        <f t="shared" si="0"/>
        <v>109228</v>
      </c>
      <c r="F12" s="49">
        <v>45516</v>
      </c>
      <c r="G12" s="34" t="s">
        <v>13</v>
      </c>
      <c r="H12" s="35">
        <v>68724</v>
      </c>
      <c r="I12" s="35">
        <f t="shared" si="1"/>
        <v>215239.33333333334</v>
      </c>
      <c r="K12" s="49">
        <v>45516</v>
      </c>
      <c r="L12" s="34" t="s">
        <v>27</v>
      </c>
      <c r="M12" s="35">
        <v>276722</v>
      </c>
      <c r="N12" s="35">
        <f t="shared" si="2"/>
        <v>315666</v>
      </c>
    </row>
    <row r="13" spans="1:14">
      <c r="A13" s="50">
        <v>45523</v>
      </c>
      <c r="B13" s="36" t="s">
        <v>22</v>
      </c>
      <c r="C13" s="37">
        <v>61445</v>
      </c>
      <c r="D13" s="37">
        <f t="shared" si="0"/>
        <v>103235.33333333333</v>
      </c>
      <c r="F13" s="50">
        <v>45523</v>
      </c>
      <c r="G13" s="36" t="s">
        <v>13</v>
      </c>
      <c r="H13" s="37">
        <v>353538</v>
      </c>
      <c r="I13" s="37">
        <f t="shared" si="1"/>
        <v>207632.66666666666</v>
      </c>
      <c r="K13" s="50">
        <v>45523</v>
      </c>
      <c r="L13" s="36" t="s">
        <v>27</v>
      </c>
      <c r="M13" s="37">
        <v>165035</v>
      </c>
      <c r="N13" s="37">
        <f t="shared" si="2"/>
        <v>253285</v>
      </c>
    </row>
    <row r="14" spans="1:14">
      <c r="A14" s="49">
        <v>45530</v>
      </c>
      <c r="B14" s="34" t="s">
        <v>22</v>
      </c>
      <c r="C14" s="35">
        <v>236238</v>
      </c>
      <c r="D14" s="35">
        <f t="shared" si="0"/>
        <v>137729.33333333334</v>
      </c>
      <c r="F14" s="49">
        <v>45530</v>
      </c>
      <c r="G14" s="34" t="s">
        <v>13</v>
      </c>
      <c r="H14" s="35">
        <v>194595</v>
      </c>
      <c r="I14" s="35">
        <f t="shared" si="1"/>
        <v>205619</v>
      </c>
      <c r="K14" s="49">
        <v>45530</v>
      </c>
      <c r="L14" s="34" t="s">
        <v>27</v>
      </c>
      <c r="M14" s="35">
        <v>271044</v>
      </c>
      <c r="N14" s="35">
        <f t="shared" si="2"/>
        <v>237600.33333333334</v>
      </c>
    </row>
    <row r="15" spans="1:14">
      <c r="A15" s="50">
        <v>45537</v>
      </c>
      <c r="B15" s="36" t="s">
        <v>22</v>
      </c>
      <c r="C15" s="37">
        <v>359150</v>
      </c>
      <c r="D15" s="37">
        <f t="shared" si="0"/>
        <v>218944.33333333334</v>
      </c>
      <c r="F15" s="50">
        <v>45537</v>
      </c>
      <c r="G15" s="36" t="s">
        <v>13</v>
      </c>
      <c r="H15" s="37">
        <v>334887</v>
      </c>
      <c r="I15" s="37">
        <f t="shared" si="1"/>
        <v>294340</v>
      </c>
      <c r="K15" s="50">
        <v>45537</v>
      </c>
      <c r="L15" s="36" t="s">
        <v>27</v>
      </c>
      <c r="M15" s="37">
        <v>358295</v>
      </c>
      <c r="N15" s="37">
        <f t="shared" si="2"/>
        <v>264791.33333333331</v>
      </c>
    </row>
    <row r="16" spans="1:14">
      <c r="A16" s="49">
        <v>45544</v>
      </c>
      <c r="B16" s="34" t="s">
        <v>22</v>
      </c>
      <c r="C16" s="35">
        <v>269082</v>
      </c>
      <c r="D16" s="35">
        <f t="shared" si="0"/>
        <v>288156.66666666669</v>
      </c>
      <c r="F16" s="49">
        <v>45544</v>
      </c>
      <c r="G16" s="34" t="s">
        <v>13</v>
      </c>
      <c r="H16" s="35">
        <v>368454</v>
      </c>
      <c r="I16" s="35">
        <f t="shared" si="1"/>
        <v>299312</v>
      </c>
      <c r="K16" s="49">
        <v>45544</v>
      </c>
      <c r="L16" s="34" t="s">
        <v>27</v>
      </c>
      <c r="M16" s="35">
        <v>310903</v>
      </c>
      <c r="N16" s="35">
        <f t="shared" si="2"/>
        <v>313414</v>
      </c>
    </row>
    <row r="17" spans="1:14">
      <c r="A17" s="50">
        <v>45551</v>
      </c>
      <c r="B17" s="36" t="s">
        <v>22</v>
      </c>
      <c r="C17" s="37">
        <v>371015</v>
      </c>
      <c r="D17" s="37">
        <f t="shared" si="0"/>
        <v>333082.33333333331</v>
      </c>
      <c r="F17" s="50">
        <v>45551</v>
      </c>
      <c r="G17" s="36" t="s">
        <v>13</v>
      </c>
      <c r="H17" s="37">
        <v>248581</v>
      </c>
      <c r="I17" s="37">
        <f t="shared" si="1"/>
        <v>317307.33333333331</v>
      </c>
      <c r="K17" s="50">
        <v>45551</v>
      </c>
      <c r="L17" s="36" t="s">
        <v>27</v>
      </c>
      <c r="M17" s="37">
        <v>177452</v>
      </c>
      <c r="N17" s="37">
        <f t="shared" si="2"/>
        <v>282216.66666666669</v>
      </c>
    </row>
    <row r="18" spans="1:14">
      <c r="A18" s="49">
        <v>45558</v>
      </c>
      <c r="B18" s="34" t="s">
        <v>22</v>
      </c>
      <c r="C18" s="35">
        <v>362441</v>
      </c>
      <c r="D18" s="35">
        <f t="shared" si="0"/>
        <v>334179.33333333331</v>
      </c>
      <c r="F18" s="49">
        <v>45558</v>
      </c>
      <c r="G18" s="34" t="s">
        <v>13</v>
      </c>
      <c r="H18" s="35">
        <v>80745</v>
      </c>
      <c r="I18" s="35">
        <f t="shared" si="1"/>
        <v>232593.33333333334</v>
      </c>
      <c r="K18" s="49">
        <v>45558</v>
      </c>
      <c r="L18" s="34" t="s">
        <v>27</v>
      </c>
      <c r="M18" s="35">
        <v>344771</v>
      </c>
      <c r="N18" s="35">
        <f t="shared" si="2"/>
        <v>277708.66666666669</v>
      </c>
    </row>
    <row r="19" spans="1:14">
      <c r="A19" s="50">
        <v>45565</v>
      </c>
      <c r="B19" s="36" t="s">
        <v>22</v>
      </c>
      <c r="C19" s="37">
        <v>179781</v>
      </c>
      <c r="D19" s="37">
        <f t="shared" si="0"/>
        <v>304412.33333333331</v>
      </c>
      <c r="F19" s="50">
        <v>45565</v>
      </c>
      <c r="G19" s="36" t="s">
        <v>13</v>
      </c>
      <c r="H19" s="37">
        <v>374952</v>
      </c>
      <c r="I19" s="37">
        <f t="shared" si="1"/>
        <v>234759.33333333334</v>
      </c>
      <c r="K19" s="50">
        <v>45565</v>
      </c>
      <c r="L19" s="36" t="s">
        <v>27</v>
      </c>
      <c r="M19" s="37">
        <v>358581</v>
      </c>
      <c r="N19" s="37">
        <f t="shared" si="2"/>
        <v>293601.33333333331</v>
      </c>
    </row>
    <row r="20" spans="1:14">
      <c r="A20" s="49">
        <v>45572</v>
      </c>
      <c r="B20" s="34" t="s">
        <v>22</v>
      </c>
      <c r="C20" s="35">
        <v>192022</v>
      </c>
      <c r="D20" s="35">
        <f t="shared" si="0"/>
        <v>244748</v>
      </c>
      <c r="F20" s="49">
        <v>45572</v>
      </c>
      <c r="G20" s="34" t="s">
        <v>13</v>
      </c>
      <c r="H20" s="35">
        <v>319294</v>
      </c>
      <c r="I20" s="35">
        <f t="shared" si="1"/>
        <v>258330.33333333334</v>
      </c>
      <c r="K20" s="49">
        <v>45572</v>
      </c>
      <c r="L20" s="34" t="s">
        <v>27</v>
      </c>
      <c r="M20" s="35">
        <v>151462</v>
      </c>
      <c r="N20" s="35">
        <f t="shared" si="2"/>
        <v>284938</v>
      </c>
    </row>
    <row r="21" spans="1:14">
      <c r="A21" s="50">
        <v>45579</v>
      </c>
      <c r="B21" s="36" t="s">
        <v>22</v>
      </c>
      <c r="C21" s="37">
        <v>292040</v>
      </c>
      <c r="D21" s="37">
        <f t="shared" si="0"/>
        <v>221281</v>
      </c>
      <c r="F21" s="50">
        <v>45579</v>
      </c>
      <c r="G21" s="36" t="s">
        <v>13</v>
      </c>
      <c r="H21" s="37">
        <v>188193</v>
      </c>
      <c r="I21" s="37">
        <f t="shared" si="1"/>
        <v>294146.33333333331</v>
      </c>
      <c r="K21" s="50">
        <v>45579</v>
      </c>
      <c r="L21" s="36" t="s">
        <v>27</v>
      </c>
      <c r="M21" s="37">
        <v>325325</v>
      </c>
      <c r="N21" s="37">
        <f t="shared" si="2"/>
        <v>278456</v>
      </c>
    </row>
    <row r="22" spans="1:14">
      <c r="A22" s="49">
        <v>45586</v>
      </c>
      <c r="B22" s="34" t="s">
        <v>22</v>
      </c>
      <c r="C22" s="35">
        <v>141161</v>
      </c>
      <c r="D22" s="35">
        <f t="shared" si="0"/>
        <v>208407.66666666666</v>
      </c>
      <c r="F22" s="49">
        <v>45586</v>
      </c>
      <c r="G22" s="34" t="s">
        <v>13</v>
      </c>
      <c r="H22" s="35">
        <v>86849</v>
      </c>
      <c r="I22" s="35">
        <f t="shared" si="1"/>
        <v>198112</v>
      </c>
      <c r="K22" s="49">
        <v>45586</v>
      </c>
      <c r="L22" s="34" t="s">
        <v>27</v>
      </c>
      <c r="M22" s="35">
        <v>149916</v>
      </c>
      <c r="N22" s="35">
        <f t="shared" si="2"/>
        <v>208901</v>
      </c>
    </row>
    <row r="23" spans="1:14">
      <c r="A23" s="50">
        <v>45593</v>
      </c>
      <c r="B23" s="36" t="s">
        <v>22</v>
      </c>
      <c r="C23" s="37">
        <v>293894</v>
      </c>
      <c r="D23" s="37">
        <f t="shared" si="0"/>
        <v>242365</v>
      </c>
      <c r="F23" s="50">
        <v>45593</v>
      </c>
      <c r="G23" s="36" t="s">
        <v>13</v>
      </c>
      <c r="H23" s="37">
        <v>308533</v>
      </c>
      <c r="I23" s="37">
        <f t="shared" si="1"/>
        <v>194525</v>
      </c>
      <c r="K23" s="50">
        <v>45593</v>
      </c>
      <c r="L23" s="36" t="s">
        <v>27</v>
      </c>
      <c r="M23" s="37">
        <v>147656</v>
      </c>
      <c r="N23" s="37">
        <f t="shared" si="2"/>
        <v>207632.33333333334</v>
      </c>
    </row>
    <row r="24" spans="1:14">
      <c r="A24" s="49">
        <v>45600</v>
      </c>
      <c r="B24" s="34" t="s">
        <v>22</v>
      </c>
      <c r="C24" s="35">
        <v>348877</v>
      </c>
      <c r="D24" s="35">
        <f t="shared" si="0"/>
        <v>261310.66666666666</v>
      </c>
      <c r="F24" s="49">
        <v>45600</v>
      </c>
      <c r="G24" s="34" t="s">
        <v>13</v>
      </c>
      <c r="H24" s="35">
        <v>326791</v>
      </c>
      <c r="I24" s="35">
        <f t="shared" si="1"/>
        <v>240724.33333333334</v>
      </c>
      <c r="K24" s="49">
        <v>45600</v>
      </c>
      <c r="L24" s="34" t="s">
        <v>27</v>
      </c>
      <c r="M24" s="35">
        <v>122730</v>
      </c>
      <c r="N24" s="35">
        <f t="shared" si="2"/>
        <v>140100.66666666666</v>
      </c>
    </row>
    <row r="25" spans="1:14">
      <c r="A25" s="50">
        <v>45607</v>
      </c>
      <c r="B25" s="36" t="s">
        <v>22</v>
      </c>
      <c r="C25" s="37">
        <v>202472</v>
      </c>
      <c r="D25" s="37">
        <f t="shared" si="0"/>
        <v>281747.66666666669</v>
      </c>
      <c r="F25" s="50">
        <v>45607</v>
      </c>
      <c r="G25" s="36" t="s">
        <v>13</v>
      </c>
      <c r="H25" s="37">
        <v>306508</v>
      </c>
      <c r="I25" s="37">
        <f t="shared" si="1"/>
        <v>313944</v>
      </c>
      <c r="K25" s="50">
        <v>45607</v>
      </c>
      <c r="L25" s="36" t="s">
        <v>27</v>
      </c>
      <c r="M25" s="37">
        <v>227249</v>
      </c>
      <c r="N25" s="37">
        <f t="shared" si="2"/>
        <v>165878.33333333334</v>
      </c>
    </row>
    <row r="26" spans="1:14">
      <c r="A26" s="49">
        <v>45614</v>
      </c>
      <c r="B26" s="34" t="s">
        <v>22</v>
      </c>
      <c r="C26" s="35">
        <v>114738</v>
      </c>
      <c r="D26" s="35">
        <f t="shared" si="0"/>
        <v>222029</v>
      </c>
      <c r="F26" s="49">
        <v>45614</v>
      </c>
      <c r="G26" s="34" t="s">
        <v>13</v>
      </c>
      <c r="H26" s="35">
        <v>246567</v>
      </c>
      <c r="I26" s="35">
        <f t="shared" si="1"/>
        <v>293288.66666666669</v>
      </c>
      <c r="K26" s="49">
        <v>45614</v>
      </c>
      <c r="L26" s="34" t="s">
        <v>27</v>
      </c>
      <c r="M26" s="35">
        <v>333500</v>
      </c>
      <c r="N26" s="35">
        <f t="shared" si="2"/>
        <v>227826.33333333334</v>
      </c>
    </row>
    <row r="27" spans="1:14">
      <c r="A27" s="50">
        <v>45621</v>
      </c>
      <c r="B27" s="36" t="s">
        <v>22</v>
      </c>
      <c r="C27" s="37">
        <v>160936</v>
      </c>
      <c r="D27" s="37">
        <f t="shared" si="0"/>
        <v>159382</v>
      </c>
      <c r="F27" s="50">
        <v>45621</v>
      </c>
      <c r="G27" s="36" t="s">
        <v>13</v>
      </c>
      <c r="H27" s="37">
        <v>352677</v>
      </c>
      <c r="I27" s="37">
        <f t="shared" si="1"/>
        <v>301917.33333333331</v>
      </c>
      <c r="K27" s="50">
        <v>45621</v>
      </c>
      <c r="L27" s="36" t="s">
        <v>27</v>
      </c>
      <c r="M27" s="37">
        <v>197183</v>
      </c>
      <c r="N27" s="37">
        <f t="shared" si="2"/>
        <v>252644</v>
      </c>
    </row>
    <row r="28" spans="1:14">
      <c r="A28" s="49">
        <v>45628</v>
      </c>
      <c r="B28" s="34" t="s">
        <v>22</v>
      </c>
      <c r="C28" s="35">
        <v>111293</v>
      </c>
      <c r="D28" s="35">
        <f t="shared" si="0"/>
        <v>128989</v>
      </c>
      <c r="F28" s="49">
        <v>45628</v>
      </c>
      <c r="G28" s="34" t="s">
        <v>13</v>
      </c>
      <c r="H28" s="35">
        <v>171271</v>
      </c>
      <c r="I28" s="35">
        <f t="shared" si="1"/>
        <v>256838.33333333334</v>
      </c>
      <c r="K28" s="49">
        <v>45628</v>
      </c>
      <c r="L28" s="34" t="s">
        <v>27</v>
      </c>
      <c r="M28" s="35">
        <v>351493</v>
      </c>
      <c r="N28" s="35">
        <f t="shared" si="2"/>
        <v>294058.66666666669</v>
      </c>
    </row>
    <row r="29" spans="1:14">
      <c r="A29" s="50">
        <v>45635</v>
      </c>
      <c r="B29" s="36" t="s">
        <v>22</v>
      </c>
      <c r="C29" s="37">
        <v>105622</v>
      </c>
      <c r="D29" s="37">
        <f t="shared" si="0"/>
        <v>125950.33333333333</v>
      </c>
      <c r="F29" s="50">
        <v>45635</v>
      </c>
      <c r="G29" s="36" t="s">
        <v>13</v>
      </c>
      <c r="H29" s="37">
        <v>345631</v>
      </c>
      <c r="I29" s="37">
        <f t="shared" si="1"/>
        <v>289859.66666666669</v>
      </c>
      <c r="K29" s="50">
        <v>45635</v>
      </c>
      <c r="L29" s="36" t="s">
        <v>27</v>
      </c>
      <c r="M29" s="37">
        <v>119054</v>
      </c>
      <c r="N29" s="37">
        <f t="shared" si="2"/>
        <v>222576.66666666666</v>
      </c>
    </row>
    <row r="30" spans="1:14">
      <c r="A30" s="49">
        <v>45642</v>
      </c>
      <c r="B30" s="34" t="s">
        <v>22</v>
      </c>
      <c r="C30" s="35">
        <v>170432</v>
      </c>
      <c r="D30" s="35">
        <f t="shared" si="0"/>
        <v>129115.66666666667</v>
      </c>
      <c r="F30" s="49">
        <v>45642</v>
      </c>
      <c r="G30" s="34" t="s">
        <v>13</v>
      </c>
      <c r="H30" s="35">
        <v>171670</v>
      </c>
      <c r="I30" s="35">
        <f t="shared" si="1"/>
        <v>229524</v>
      </c>
      <c r="K30" s="49">
        <v>45642</v>
      </c>
      <c r="L30" s="34" t="s">
        <v>27</v>
      </c>
      <c r="M30" s="35">
        <v>140300</v>
      </c>
      <c r="N30" s="35">
        <f t="shared" si="2"/>
        <v>203615.66666666666</v>
      </c>
    </row>
    <row r="31" spans="1:14">
      <c r="A31" s="50">
        <v>45649</v>
      </c>
      <c r="B31" s="36" t="s">
        <v>22</v>
      </c>
      <c r="C31" s="37">
        <v>176902</v>
      </c>
      <c r="D31" s="37">
        <f t="shared" si="0"/>
        <v>150985.33333333334</v>
      </c>
      <c r="F31" s="50">
        <v>45649</v>
      </c>
      <c r="G31" s="36" t="s">
        <v>13</v>
      </c>
      <c r="H31" s="37">
        <v>116538</v>
      </c>
      <c r="I31" s="37">
        <f t="shared" si="1"/>
        <v>211279.66666666666</v>
      </c>
      <c r="K31" s="50">
        <v>45649</v>
      </c>
      <c r="L31" s="36" t="s">
        <v>27</v>
      </c>
      <c r="M31" s="37">
        <v>326821</v>
      </c>
      <c r="N31" s="37">
        <f t="shared" si="2"/>
        <v>195391.66666666666</v>
      </c>
    </row>
    <row r="32" spans="1:14">
      <c r="A32" s="49">
        <v>45656</v>
      </c>
      <c r="B32" s="34" t="s">
        <v>22</v>
      </c>
      <c r="C32" s="35">
        <v>373274</v>
      </c>
      <c r="D32" s="35">
        <f t="shared" si="0"/>
        <v>240202.66666666666</v>
      </c>
      <c r="F32" s="49">
        <v>45656</v>
      </c>
      <c r="G32" s="34" t="s">
        <v>13</v>
      </c>
      <c r="H32" s="35">
        <v>240598</v>
      </c>
      <c r="I32" s="35">
        <f t="shared" si="1"/>
        <v>176268.66666666666</v>
      </c>
      <c r="K32" s="49">
        <v>45656</v>
      </c>
      <c r="L32" s="34" t="s">
        <v>27</v>
      </c>
      <c r="M32" s="35">
        <v>123272</v>
      </c>
      <c r="N32" s="35">
        <f t="shared" si="2"/>
        <v>196797.66666666666</v>
      </c>
    </row>
    <row r="33" spans="1:14">
      <c r="A33" s="50">
        <v>45663</v>
      </c>
      <c r="B33" s="36" t="s">
        <v>22</v>
      </c>
      <c r="C33" s="37">
        <v>155927</v>
      </c>
      <c r="D33" s="37">
        <f t="shared" si="0"/>
        <v>235367.66666666666</v>
      </c>
      <c r="F33" s="50">
        <v>45663</v>
      </c>
      <c r="G33" s="36" t="s">
        <v>13</v>
      </c>
      <c r="H33" s="37">
        <v>139266</v>
      </c>
      <c r="I33" s="37">
        <f t="shared" si="1"/>
        <v>165467.33333333334</v>
      </c>
      <c r="K33" s="50">
        <v>45663</v>
      </c>
      <c r="L33" s="36" t="s">
        <v>27</v>
      </c>
      <c r="M33" s="37">
        <v>258398</v>
      </c>
      <c r="N33" s="37">
        <f t="shared" si="2"/>
        <v>236163.66666666666</v>
      </c>
    </row>
    <row r="34" spans="1:14">
      <c r="A34" s="49">
        <v>45670</v>
      </c>
      <c r="B34" s="34" t="s">
        <v>22</v>
      </c>
      <c r="C34" s="35">
        <v>341856</v>
      </c>
      <c r="D34" s="35">
        <f t="shared" si="0"/>
        <v>290352.33333333331</v>
      </c>
      <c r="F34" s="49">
        <v>45670</v>
      </c>
      <c r="G34" s="34" t="s">
        <v>13</v>
      </c>
      <c r="H34" s="35">
        <v>338561</v>
      </c>
      <c r="I34" s="35">
        <f t="shared" si="1"/>
        <v>239475</v>
      </c>
      <c r="K34" s="49">
        <v>45670</v>
      </c>
      <c r="L34" s="34" t="s">
        <v>27</v>
      </c>
      <c r="M34" s="35">
        <v>175860</v>
      </c>
      <c r="N34" s="35">
        <f t="shared" si="2"/>
        <v>185843.33333333334</v>
      </c>
    </row>
    <row r="35" spans="1:14">
      <c r="A35" s="50">
        <v>45677</v>
      </c>
      <c r="B35" s="36" t="s">
        <v>22</v>
      </c>
      <c r="C35" s="37">
        <v>271638</v>
      </c>
      <c r="D35" s="37">
        <f t="shared" si="0"/>
        <v>256473.66666666666</v>
      </c>
      <c r="F35" s="50">
        <v>45677</v>
      </c>
      <c r="G35" s="36" t="s">
        <v>13</v>
      </c>
      <c r="H35" s="37">
        <v>327722</v>
      </c>
      <c r="I35" s="37">
        <f t="shared" si="1"/>
        <v>268516.33333333331</v>
      </c>
      <c r="K35" s="50">
        <v>45677</v>
      </c>
      <c r="L35" s="36" t="s">
        <v>27</v>
      </c>
      <c r="M35" s="37">
        <v>333851</v>
      </c>
      <c r="N35" s="37">
        <f t="shared" si="2"/>
        <v>256036.33333333334</v>
      </c>
    </row>
    <row r="36" spans="1:14">
      <c r="A36" s="49">
        <v>45684</v>
      </c>
      <c r="B36" s="34" t="s">
        <v>22</v>
      </c>
      <c r="C36" s="35">
        <v>167310</v>
      </c>
      <c r="D36" s="35">
        <f t="shared" si="0"/>
        <v>260268</v>
      </c>
      <c r="F36" s="49">
        <v>45684</v>
      </c>
      <c r="G36" s="34" t="s">
        <v>13</v>
      </c>
      <c r="H36" s="35">
        <v>368984</v>
      </c>
      <c r="I36" s="35">
        <f t="shared" si="1"/>
        <v>345089</v>
      </c>
      <c r="K36" s="49">
        <v>45684</v>
      </c>
      <c r="L36" s="34" t="s">
        <v>27</v>
      </c>
      <c r="M36" s="35">
        <v>194811</v>
      </c>
      <c r="N36" s="35">
        <f t="shared" si="2"/>
        <v>234840.66666666666</v>
      </c>
    </row>
    <row r="37" spans="1:14">
      <c r="A37" s="50">
        <v>45691</v>
      </c>
      <c r="B37" s="36" t="s">
        <v>22</v>
      </c>
      <c r="C37" s="37">
        <v>75960</v>
      </c>
      <c r="D37" s="37">
        <f t="shared" si="0"/>
        <v>171636</v>
      </c>
      <c r="F37" s="50">
        <v>45691</v>
      </c>
      <c r="G37" s="36" t="s">
        <v>13</v>
      </c>
      <c r="H37" s="37">
        <v>314982</v>
      </c>
      <c r="I37" s="37">
        <f t="shared" si="1"/>
        <v>337229.33333333331</v>
      </c>
      <c r="K37" s="50">
        <v>45691</v>
      </c>
      <c r="L37" s="36" t="s">
        <v>27</v>
      </c>
      <c r="M37" s="37">
        <v>360759</v>
      </c>
      <c r="N37" s="37">
        <f t="shared" si="2"/>
        <v>296473.66666666669</v>
      </c>
    </row>
    <row r="38" spans="1:14">
      <c r="A38" s="49">
        <v>45698</v>
      </c>
      <c r="B38" s="34" t="s">
        <v>22</v>
      </c>
      <c r="C38" s="35">
        <v>92040</v>
      </c>
      <c r="D38" s="35">
        <f t="shared" si="0"/>
        <v>111770</v>
      </c>
      <c r="F38" s="49">
        <v>45698</v>
      </c>
      <c r="G38" s="34" t="s">
        <v>13</v>
      </c>
      <c r="H38" s="35">
        <v>297090</v>
      </c>
      <c r="I38" s="35">
        <f t="shared" si="1"/>
        <v>327018.66666666669</v>
      </c>
      <c r="K38" s="49">
        <v>45698</v>
      </c>
      <c r="L38" s="34" t="s">
        <v>27</v>
      </c>
      <c r="M38" s="35">
        <v>174610</v>
      </c>
      <c r="N38" s="35">
        <f t="shared" si="2"/>
        <v>243393.33333333334</v>
      </c>
    </row>
    <row r="39" spans="1:14">
      <c r="A39" s="50">
        <v>45705</v>
      </c>
      <c r="B39" s="36" t="s">
        <v>22</v>
      </c>
      <c r="C39" s="37">
        <v>198882</v>
      </c>
      <c r="D39" s="37">
        <f t="shared" si="0"/>
        <v>122294</v>
      </c>
      <c r="F39" s="50">
        <v>45705</v>
      </c>
      <c r="G39" s="36" t="s">
        <v>13</v>
      </c>
      <c r="H39" s="37">
        <v>177376</v>
      </c>
      <c r="I39" s="37">
        <f t="shared" si="1"/>
        <v>263149.33333333331</v>
      </c>
      <c r="K39" s="50">
        <v>45705</v>
      </c>
      <c r="L39" s="36" t="s">
        <v>27</v>
      </c>
      <c r="M39" s="37">
        <v>336383</v>
      </c>
      <c r="N39" s="37">
        <f t="shared" si="2"/>
        <v>290584</v>
      </c>
    </row>
    <row r="40" spans="1:14">
      <c r="A40" s="49">
        <v>45712</v>
      </c>
      <c r="B40" s="34" t="s">
        <v>22</v>
      </c>
      <c r="C40" s="35">
        <v>168170</v>
      </c>
      <c r="D40" s="35">
        <f t="shared" si="0"/>
        <v>153030.66666666666</v>
      </c>
      <c r="F40" s="49">
        <v>45712</v>
      </c>
      <c r="G40" s="34" t="s">
        <v>13</v>
      </c>
      <c r="H40" s="35">
        <v>346890</v>
      </c>
      <c r="I40" s="35">
        <f t="shared" si="1"/>
        <v>273785.33333333331</v>
      </c>
      <c r="K40" s="49">
        <v>45712</v>
      </c>
      <c r="L40" s="34" t="s">
        <v>27</v>
      </c>
      <c r="M40" s="35">
        <v>368872</v>
      </c>
      <c r="N40" s="35">
        <f t="shared" si="2"/>
        <v>293288.33333333331</v>
      </c>
    </row>
    <row r="41" spans="1:14">
      <c r="A41" s="50">
        <v>45719</v>
      </c>
      <c r="B41" s="36" t="s">
        <v>22</v>
      </c>
      <c r="C41" s="37">
        <v>127502</v>
      </c>
      <c r="D41" s="37">
        <f t="shared" si="0"/>
        <v>164851.33333333334</v>
      </c>
      <c r="F41" s="50">
        <v>45719</v>
      </c>
      <c r="G41" s="36" t="s">
        <v>13</v>
      </c>
      <c r="H41" s="37">
        <v>116436</v>
      </c>
      <c r="I41" s="37">
        <f t="shared" si="1"/>
        <v>213567.33333333334</v>
      </c>
      <c r="K41" s="50">
        <v>45719</v>
      </c>
      <c r="L41" s="36" t="s">
        <v>27</v>
      </c>
      <c r="M41" s="37">
        <v>274567</v>
      </c>
      <c r="N41" s="37">
        <f t="shared" si="2"/>
        <v>326607.33333333331</v>
      </c>
    </row>
    <row r="42" spans="1:14">
      <c r="A42" s="49">
        <v>45726</v>
      </c>
      <c r="B42" s="34" t="s">
        <v>22</v>
      </c>
      <c r="C42" s="35">
        <v>194994</v>
      </c>
      <c r="D42" s="35">
        <f t="shared" si="0"/>
        <v>163555.33333333334</v>
      </c>
      <c r="F42" s="49">
        <v>45726</v>
      </c>
      <c r="G42" s="34" t="s">
        <v>13</v>
      </c>
      <c r="H42" s="35">
        <v>295090</v>
      </c>
      <c r="I42" s="35">
        <f t="shared" si="1"/>
        <v>252805.33333333334</v>
      </c>
      <c r="K42" s="49">
        <v>45726</v>
      </c>
      <c r="L42" s="34" t="s">
        <v>27</v>
      </c>
      <c r="M42" s="35">
        <v>340750</v>
      </c>
      <c r="N42" s="35">
        <f t="shared" si="2"/>
        <v>328063</v>
      </c>
    </row>
    <row r="43" spans="1:14">
      <c r="A43" s="50">
        <v>45733</v>
      </c>
      <c r="B43" s="36" t="s">
        <v>22</v>
      </c>
      <c r="C43" s="37">
        <v>345688</v>
      </c>
      <c r="D43" s="37">
        <f t="shared" si="0"/>
        <v>222728</v>
      </c>
      <c r="F43" s="50">
        <v>45733</v>
      </c>
      <c r="G43" s="36" t="s">
        <v>13</v>
      </c>
      <c r="H43" s="37">
        <v>296031</v>
      </c>
      <c r="I43" s="37">
        <f t="shared" si="1"/>
        <v>235852.33333333334</v>
      </c>
      <c r="K43" s="50">
        <v>45733</v>
      </c>
      <c r="L43" s="36" t="s">
        <v>27</v>
      </c>
      <c r="M43" s="37">
        <v>263488</v>
      </c>
      <c r="N43" s="37">
        <f t="shared" si="2"/>
        <v>292935</v>
      </c>
    </row>
    <row r="44" spans="1:14">
      <c r="A44" s="49">
        <v>45740</v>
      </c>
      <c r="B44" s="34" t="s">
        <v>22</v>
      </c>
      <c r="C44" s="35">
        <v>124497</v>
      </c>
      <c r="D44" s="35">
        <f t="shared" si="0"/>
        <v>221726.33333333334</v>
      </c>
      <c r="F44" s="49">
        <v>45740</v>
      </c>
      <c r="G44" s="34" t="s">
        <v>13</v>
      </c>
      <c r="H44" s="35">
        <v>184911</v>
      </c>
      <c r="I44" s="35">
        <f t="shared" si="1"/>
        <v>258677.33333333334</v>
      </c>
      <c r="K44" s="49">
        <v>45740</v>
      </c>
      <c r="L44" s="34" t="s">
        <v>27</v>
      </c>
      <c r="M44" s="35">
        <v>397607</v>
      </c>
      <c r="N44" s="35">
        <f t="shared" si="2"/>
        <v>333948.33333333331</v>
      </c>
    </row>
    <row r="45" spans="1:14">
      <c r="A45" s="50">
        <v>45747</v>
      </c>
      <c r="B45" s="36" t="s">
        <v>22</v>
      </c>
      <c r="C45" s="37">
        <v>107718</v>
      </c>
      <c r="D45" s="37">
        <f t="shared" si="0"/>
        <v>192634.33333333334</v>
      </c>
      <c r="F45" s="50">
        <v>45747</v>
      </c>
      <c r="G45" s="36" t="s">
        <v>13</v>
      </c>
      <c r="H45" s="37">
        <v>138521</v>
      </c>
      <c r="I45" s="37">
        <f t="shared" si="1"/>
        <v>206487.66666666666</v>
      </c>
      <c r="K45" s="50">
        <v>45747</v>
      </c>
      <c r="L45" s="36" t="s">
        <v>27</v>
      </c>
      <c r="M45" s="37">
        <v>202234</v>
      </c>
      <c r="N45" s="37">
        <f t="shared" si="2"/>
        <v>287776.33333333331</v>
      </c>
    </row>
    <row r="46" spans="1:14">
      <c r="A46" s="49">
        <v>45754</v>
      </c>
      <c r="B46" s="34" t="s">
        <v>22</v>
      </c>
      <c r="C46" s="35">
        <v>340098</v>
      </c>
      <c r="D46" s="35">
        <f t="shared" si="0"/>
        <v>190771</v>
      </c>
      <c r="F46" s="49">
        <v>45754</v>
      </c>
      <c r="G46" s="34" t="s">
        <v>13</v>
      </c>
      <c r="H46" s="35">
        <v>340987</v>
      </c>
      <c r="I46" s="35">
        <f t="shared" si="1"/>
        <v>221473</v>
      </c>
      <c r="K46" s="49">
        <v>45754</v>
      </c>
      <c r="L46" s="34" t="s">
        <v>27</v>
      </c>
      <c r="M46" s="35">
        <v>254727</v>
      </c>
      <c r="N46" s="35">
        <f t="shared" si="2"/>
        <v>284856</v>
      </c>
    </row>
    <row r="47" spans="1:14">
      <c r="A47" s="50">
        <v>45761</v>
      </c>
      <c r="B47" s="36" t="s">
        <v>22</v>
      </c>
      <c r="C47" s="37">
        <v>213950</v>
      </c>
      <c r="D47" s="37">
        <f t="shared" si="0"/>
        <v>220588.66666666666</v>
      </c>
      <c r="F47" s="50">
        <v>45761</v>
      </c>
      <c r="G47" s="36" t="s">
        <v>13</v>
      </c>
      <c r="H47" s="37">
        <v>345659</v>
      </c>
      <c r="I47" s="37">
        <f t="shared" si="1"/>
        <v>275055.66666666669</v>
      </c>
      <c r="K47" s="50">
        <v>45761</v>
      </c>
      <c r="L47" s="36" t="s">
        <v>27</v>
      </c>
      <c r="M47" s="37">
        <v>258115</v>
      </c>
      <c r="N47" s="37">
        <f t="shared" si="2"/>
        <v>238358.66666666666</v>
      </c>
    </row>
    <row r="48" spans="1:14">
      <c r="A48" s="49">
        <v>45768</v>
      </c>
      <c r="B48" s="34" t="s">
        <v>22</v>
      </c>
      <c r="C48" s="35">
        <v>338650</v>
      </c>
      <c r="D48" s="35">
        <f t="shared" si="0"/>
        <v>297566</v>
      </c>
      <c r="F48" s="49">
        <v>45768</v>
      </c>
      <c r="G48" s="34" t="s">
        <v>13</v>
      </c>
      <c r="H48" s="35">
        <v>321258</v>
      </c>
      <c r="I48" s="35">
        <f t="shared" si="1"/>
        <v>335968</v>
      </c>
      <c r="K48" s="49">
        <v>45768</v>
      </c>
      <c r="L48" s="34" t="s">
        <v>27</v>
      </c>
      <c r="M48" s="35">
        <v>272989</v>
      </c>
      <c r="N48" s="35">
        <f t="shared" si="2"/>
        <v>261943.66666666666</v>
      </c>
    </row>
    <row r="49" spans="1:14">
      <c r="A49" s="50">
        <v>45775</v>
      </c>
      <c r="B49" s="36" t="s">
        <v>22</v>
      </c>
      <c r="C49" s="37">
        <v>283278</v>
      </c>
      <c r="D49" s="37">
        <f t="shared" si="0"/>
        <v>278626</v>
      </c>
      <c r="F49" s="50">
        <v>45775</v>
      </c>
      <c r="G49" s="36" t="s">
        <v>13</v>
      </c>
      <c r="H49" s="37">
        <v>260204</v>
      </c>
      <c r="I49" s="37">
        <f t="shared" si="1"/>
        <v>309040.33333333331</v>
      </c>
      <c r="K49" s="50">
        <v>45775</v>
      </c>
      <c r="L49" s="36" t="s">
        <v>27</v>
      </c>
      <c r="M49" s="37">
        <v>277445</v>
      </c>
      <c r="N49" s="37">
        <f t="shared" si="2"/>
        <v>269516.33333333331</v>
      </c>
    </row>
    <row r="50" spans="1:14">
      <c r="A50" s="49">
        <v>45782</v>
      </c>
      <c r="B50" s="34" t="s">
        <v>22</v>
      </c>
      <c r="C50" s="35">
        <v>265019</v>
      </c>
      <c r="D50" s="35">
        <f t="shared" si="0"/>
        <v>295649</v>
      </c>
      <c r="F50" s="49">
        <v>45782</v>
      </c>
      <c r="G50" s="34" t="s">
        <v>13</v>
      </c>
      <c r="H50" s="35">
        <v>353781</v>
      </c>
      <c r="I50" s="35">
        <f t="shared" si="1"/>
        <v>311747.66666666669</v>
      </c>
      <c r="K50" s="49">
        <v>45782</v>
      </c>
      <c r="L50" s="34" t="s">
        <v>27</v>
      </c>
      <c r="M50" s="35">
        <v>231925</v>
      </c>
      <c r="N50" s="35">
        <f t="shared" si="2"/>
        <v>260786.33333333334</v>
      </c>
    </row>
    <row r="51" spans="1:14">
      <c r="A51" s="50">
        <v>45789</v>
      </c>
      <c r="B51" s="36" t="s">
        <v>22</v>
      </c>
      <c r="C51" s="37">
        <v>168375</v>
      </c>
      <c r="D51" s="37">
        <f t="shared" si="0"/>
        <v>238890.66666666666</v>
      </c>
      <c r="F51" s="50">
        <v>45789</v>
      </c>
      <c r="G51" s="36" t="s">
        <v>13</v>
      </c>
      <c r="H51" s="37">
        <v>366149</v>
      </c>
      <c r="I51" s="37">
        <f t="shared" si="1"/>
        <v>326711.33333333331</v>
      </c>
      <c r="K51" s="50">
        <v>45789</v>
      </c>
      <c r="L51" s="36" t="s">
        <v>27</v>
      </c>
      <c r="M51" s="37">
        <v>252763</v>
      </c>
      <c r="N51" s="37">
        <f t="shared" si="2"/>
        <v>254044.33333333334</v>
      </c>
    </row>
    <row r="52" spans="1:14">
      <c r="A52" s="49">
        <v>45796</v>
      </c>
      <c r="B52" s="34" t="s">
        <v>22</v>
      </c>
      <c r="C52" s="35">
        <v>327012</v>
      </c>
      <c r="D52" s="35">
        <f t="shared" si="0"/>
        <v>253468.66666666666</v>
      </c>
      <c r="F52" s="49">
        <v>45796</v>
      </c>
      <c r="G52" s="34" t="s">
        <v>13</v>
      </c>
      <c r="H52" s="35">
        <v>118393</v>
      </c>
      <c r="I52" s="35">
        <f t="shared" si="1"/>
        <v>279441</v>
      </c>
      <c r="K52" s="49">
        <v>45796</v>
      </c>
      <c r="L52" s="34" t="s">
        <v>27</v>
      </c>
      <c r="M52" s="35">
        <v>169688</v>
      </c>
      <c r="N52" s="35">
        <f t="shared" si="2"/>
        <v>218125.33333333334</v>
      </c>
    </row>
    <row r="53" spans="1:14">
      <c r="A53" s="50">
        <v>45803</v>
      </c>
      <c r="B53" s="36" t="s">
        <v>22</v>
      </c>
      <c r="C53" s="37">
        <v>315981</v>
      </c>
      <c r="D53" s="37">
        <f t="shared" si="0"/>
        <v>270456</v>
      </c>
      <c r="F53" s="50">
        <v>45803</v>
      </c>
      <c r="G53" s="36" t="s">
        <v>13</v>
      </c>
      <c r="H53" s="37">
        <v>271935</v>
      </c>
      <c r="I53" s="37">
        <f t="shared" si="1"/>
        <v>252159</v>
      </c>
      <c r="K53" s="50">
        <v>45803</v>
      </c>
      <c r="L53" s="36" t="s">
        <v>27</v>
      </c>
      <c r="M53" s="37">
        <v>341016</v>
      </c>
      <c r="N53" s="37">
        <f t="shared" si="2"/>
        <v>254489</v>
      </c>
    </row>
    <row r="54" spans="1:14">
      <c r="A54" s="49">
        <v>45810</v>
      </c>
      <c r="B54" s="34" t="s">
        <v>22</v>
      </c>
      <c r="C54" s="35">
        <v>116632</v>
      </c>
      <c r="D54" s="35">
        <f t="shared" si="0"/>
        <v>253208.33333333334</v>
      </c>
      <c r="F54" s="49">
        <v>45810</v>
      </c>
      <c r="G54" s="34" t="s">
        <v>13</v>
      </c>
      <c r="H54" s="35">
        <v>285164</v>
      </c>
      <c r="I54" s="35">
        <f t="shared" si="1"/>
        <v>225164</v>
      </c>
      <c r="K54" s="49">
        <v>45810</v>
      </c>
      <c r="L54" s="34" t="s">
        <v>27</v>
      </c>
      <c r="M54" s="35">
        <v>115694</v>
      </c>
      <c r="N54" s="35">
        <f t="shared" si="2"/>
        <v>208799.33333333334</v>
      </c>
    </row>
    <row r="55" spans="1:14">
      <c r="A55" s="50">
        <v>45817</v>
      </c>
      <c r="B55" s="36" t="s">
        <v>22</v>
      </c>
      <c r="C55" s="37">
        <v>362559</v>
      </c>
      <c r="D55" s="37">
        <f t="shared" si="0"/>
        <v>265057.33333333331</v>
      </c>
      <c r="F55" s="50">
        <v>45817</v>
      </c>
      <c r="G55" s="36" t="s">
        <v>13</v>
      </c>
      <c r="H55" s="37">
        <v>64444</v>
      </c>
      <c r="I55" s="37">
        <f t="shared" si="1"/>
        <v>207181</v>
      </c>
      <c r="K55" s="50">
        <v>45817</v>
      </c>
      <c r="L55" s="36" t="s">
        <v>27</v>
      </c>
      <c r="M55" s="37">
        <v>226881</v>
      </c>
      <c r="N55" s="37">
        <f t="shared" si="2"/>
        <v>227863.66666666666</v>
      </c>
    </row>
    <row r="56" spans="1:14">
      <c r="A56" s="49">
        <v>45824</v>
      </c>
      <c r="B56" s="34" t="s">
        <v>22</v>
      </c>
      <c r="C56" s="35">
        <v>62837</v>
      </c>
      <c r="D56" s="35">
        <f t="shared" si="0"/>
        <v>180676</v>
      </c>
      <c r="F56" s="49">
        <v>45824</v>
      </c>
      <c r="G56" s="34" t="s">
        <v>13</v>
      </c>
      <c r="H56" s="35">
        <v>283537</v>
      </c>
      <c r="I56" s="35">
        <f t="shared" si="1"/>
        <v>211048.33333333334</v>
      </c>
      <c r="K56" s="49">
        <v>45824</v>
      </c>
      <c r="L56" s="34" t="s">
        <v>27</v>
      </c>
      <c r="M56" s="35">
        <v>182759</v>
      </c>
      <c r="N56" s="35">
        <f t="shared" si="2"/>
        <v>175111.33333333334</v>
      </c>
    </row>
    <row r="57" spans="1:14">
      <c r="A57" s="50">
        <v>45831</v>
      </c>
      <c r="B57" s="36" t="s">
        <v>22</v>
      </c>
      <c r="C57" s="37">
        <v>257485</v>
      </c>
      <c r="D57" s="37">
        <f t="shared" si="0"/>
        <v>227627</v>
      </c>
      <c r="F57" s="50">
        <v>45831</v>
      </c>
      <c r="G57" s="36" t="s">
        <v>13</v>
      </c>
      <c r="H57" s="37">
        <v>279405</v>
      </c>
      <c r="I57" s="37">
        <f t="shared" si="1"/>
        <v>209128.66666666666</v>
      </c>
      <c r="K57" s="50">
        <v>45831</v>
      </c>
      <c r="L57" s="36" t="s">
        <v>27</v>
      </c>
      <c r="M57" s="37">
        <v>154977</v>
      </c>
      <c r="N57" s="37">
        <f t="shared" si="2"/>
        <v>188205.66666666666</v>
      </c>
    </row>
    <row r="58" spans="1:14">
      <c r="A58" s="49">
        <v>45838</v>
      </c>
      <c r="B58" s="34" t="s">
        <v>22</v>
      </c>
      <c r="C58" s="35">
        <v>102102</v>
      </c>
      <c r="D58" s="35">
        <f t="shared" si="0"/>
        <v>140808</v>
      </c>
      <c r="F58" s="49">
        <v>45838</v>
      </c>
      <c r="G58" s="34" t="s">
        <v>13</v>
      </c>
      <c r="H58" s="35">
        <v>216500</v>
      </c>
      <c r="I58" s="35">
        <f t="shared" si="1"/>
        <v>259814</v>
      </c>
      <c r="K58" s="49">
        <v>45838</v>
      </c>
      <c r="L58" s="34" t="s">
        <v>27</v>
      </c>
      <c r="M58" s="35">
        <v>92025</v>
      </c>
      <c r="N58" s="35">
        <f t="shared" si="2"/>
        <v>143253.66666666666</v>
      </c>
    </row>
    <row r="59" spans="1:14">
      <c r="A59" s="50">
        <v>45845</v>
      </c>
      <c r="B59" s="36" t="s">
        <v>22</v>
      </c>
      <c r="C59" s="37">
        <v>387352</v>
      </c>
      <c r="D59" s="37">
        <f t="shared" si="0"/>
        <v>248979.66666666666</v>
      </c>
      <c r="F59" s="50">
        <v>45845</v>
      </c>
      <c r="G59" s="36" t="s">
        <v>13</v>
      </c>
      <c r="H59" s="37">
        <v>247965</v>
      </c>
      <c r="I59" s="37">
        <f t="shared" si="1"/>
        <v>247956.66666666666</v>
      </c>
      <c r="K59" s="50">
        <v>45845</v>
      </c>
      <c r="L59" s="36" t="s">
        <v>27</v>
      </c>
      <c r="M59" s="37">
        <v>253985</v>
      </c>
      <c r="N59" s="37">
        <f t="shared" si="2"/>
        <v>166995.66666666666</v>
      </c>
    </row>
    <row r="60" spans="1:14">
      <c r="A60" s="49">
        <v>45852</v>
      </c>
      <c r="B60" s="34" t="s">
        <v>22</v>
      </c>
      <c r="C60" s="35">
        <v>281913</v>
      </c>
      <c r="D60" s="35">
        <f t="shared" si="0"/>
        <v>257122.33333333334</v>
      </c>
      <c r="F60" s="49">
        <v>45852</v>
      </c>
      <c r="G60" s="34" t="s">
        <v>13</v>
      </c>
      <c r="H60" s="35">
        <v>129640</v>
      </c>
      <c r="I60" s="35">
        <f t="shared" si="1"/>
        <v>198035</v>
      </c>
      <c r="K60" s="49">
        <v>45852</v>
      </c>
      <c r="L60" s="34" t="s">
        <v>27</v>
      </c>
      <c r="M60" s="35">
        <v>360770</v>
      </c>
      <c r="N60" s="35">
        <f t="shared" si="2"/>
        <v>235593.33333333334</v>
      </c>
    </row>
    <row r="61" spans="1:14">
      <c r="A61" s="50">
        <v>45859</v>
      </c>
      <c r="B61" s="36" t="s">
        <v>22</v>
      </c>
      <c r="C61" s="37">
        <v>189622</v>
      </c>
      <c r="D61" s="37">
        <f t="shared" si="0"/>
        <v>286295.66666666669</v>
      </c>
      <c r="F61" s="50">
        <v>45859</v>
      </c>
      <c r="G61" s="36" t="s">
        <v>13</v>
      </c>
      <c r="H61" s="37">
        <v>127273</v>
      </c>
      <c r="I61" s="37">
        <f t="shared" si="1"/>
        <v>168292.66666666666</v>
      </c>
      <c r="K61" s="50">
        <v>45859</v>
      </c>
      <c r="L61" s="36" t="s">
        <v>27</v>
      </c>
      <c r="M61" s="37">
        <v>350949</v>
      </c>
      <c r="N61" s="37">
        <f t="shared" si="2"/>
        <v>321901.33333333331</v>
      </c>
    </row>
    <row r="62" spans="1:14">
      <c r="A62" s="49">
        <v>45866</v>
      </c>
      <c r="B62" s="34" t="s">
        <v>22</v>
      </c>
      <c r="C62" s="35">
        <v>116742</v>
      </c>
      <c r="D62" s="35">
        <f t="shared" si="0"/>
        <v>196092.33333333334</v>
      </c>
      <c r="F62" s="49">
        <v>45866</v>
      </c>
      <c r="G62" s="34" t="s">
        <v>13</v>
      </c>
      <c r="H62" s="35">
        <v>121431</v>
      </c>
      <c r="I62" s="35">
        <f t="shared" si="1"/>
        <v>126114.66666666667</v>
      </c>
      <c r="K62" s="49">
        <v>45866</v>
      </c>
      <c r="L62" s="34" t="s">
        <v>27</v>
      </c>
      <c r="M62" s="35">
        <v>81184</v>
      </c>
      <c r="N62" s="35">
        <f t="shared" si="2"/>
        <v>264301</v>
      </c>
    </row>
    <row r="63" spans="1:14">
      <c r="A63" s="50">
        <v>45873</v>
      </c>
      <c r="B63" s="36" t="s">
        <v>22</v>
      </c>
      <c r="C63" s="37">
        <v>267546</v>
      </c>
      <c r="D63" s="37">
        <f t="shared" si="0"/>
        <v>191303.33333333334</v>
      </c>
      <c r="F63" s="50">
        <v>45873</v>
      </c>
      <c r="G63" s="36" t="s">
        <v>13</v>
      </c>
      <c r="H63" s="37">
        <v>87126</v>
      </c>
      <c r="I63" s="37">
        <f t="shared" si="1"/>
        <v>111943.33333333333</v>
      </c>
      <c r="K63" s="50">
        <v>45873</v>
      </c>
      <c r="L63" s="36" t="s">
        <v>27</v>
      </c>
      <c r="M63" s="37">
        <v>133082</v>
      </c>
      <c r="N63" s="37">
        <f t="shared" si="2"/>
        <v>188405</v>
      </c>
    </row>
    <row r="64" spans="1:14">
      <c r="A64" s="49">
        <v>45880</v>
      </c>
      <c r="B64" s="34" t="s">
        <v>22</v>
      </c>
      <c r="C64" s="35">
        <v>116472</v>
      </c>
      <c r="D64" s="35">
        <f t="shared" si="0"/>
        <v>166920</v>
      </c>
      <c r="F64" s="49">
        <v>45880</v>
      </c>
      <c r="G64" s="34" t="s">
        <v>13</v>
      </c>
      <c r="H64" s="35">
        <v>340557</v>
      </c>
      <c r="I64" s="35">
        <f t="shared" si="1"/>
        <v>183038</v>
      </c>
      <c r="K64" s="49">
        <v>45880</v>
      </c>
      <c r="L64" s="34" t="s">
        <v>27</v>
      </c>
      <c r="M64" s="35">
        <v>113412</v>
      </c>
      <c r="N64" s="35">
        <f t="shared" si="2"/>
        <v>109226</v>
      </c>
    </row>
    <row r="65" spans="1:14">
      <c r="A65" s="50">
        <v>45887</v>
      </c>
      <c r="B65" s="36" t="s">
        <v>22</v>
      </c>
      <c r="C65" s="37">
        <v>354816</v>
      </c>
      <c r="D65" s="37">
        <f t="shared" si="0"/>
        <v>246278</v>
      </c>
      <c r="F65" s="50">
        <v>45887</v>
      </c>
      <c r="G65" s="36" t="s">
        <v>13</v>
      </c>
      <c r="H65" s="37">
        <v>157547</v>
      </c>
      <c r="I65" s="37">
        <f t="shared" si="1"/>
        <v>195076.66666666666</v>
      </c>
      <c r="K65" s="50">
        <v>45887</v>
      </c>
      <c r="L65" s="36" t="s">
        <v>27</v>
      </c>
      <c r="M65" s="37">
        <v>151799</v>
      </c>
      <c r="N65" s="37">
        <f t="shared" si="2"/>
        <v>132764.33333333334</v>
      </c>
    </row>
    <row r="66" spans="1:14">
      <c r="A66" s="49">
        <v>45894</v>
      </c>
      <c r="B66" s="34" t="s">
        <v>22</v>
      </c>
      <c r="C66" s="35">
        <v>296450</v>
      </c>
      <c r="D66" s="35">
        <f t="shared" si="0"/>
        <v>255912.66666666666</v>
      </c>
      <c r="F66" s="49">
        <v>45894</v>
      </c>
      <c r="G66" s="34" t="s">
        <v>13</v>
      </c>
      <c r="H66" s="35">
        <v>143811</v>
      </c>
      <c r="I66" s="35">
        <f t="shared" si="1"/>
        <v>213971.66666666666</v>
      </c>
      <c r="K66" s="49">
        <v>45894</v>
      </c>
      <c r="L66" s="34" t="s">
        <v>27</v>
      </c>
      <c r="M66" s="35">
        <v>144049</v>
      </c>
      <c r="N66" s="35">
        <f t="shared" si="2"/>
        <v>136420</v>
      </c>
    </row>
    <row r="67" spans="1:14">
      <c r="A67" s="50">
        <v>45901</v>
      </c>
      <c r="B67" s="36" t="s">
        <v>22</v>
      </c>
      <c r="C67" s="37">
        <v>82265</v>
      </c>
      <c r="D67" s="37">
        <f t="shared" si="0"/>
        <v>244510.33333333334</v>
      </c>
      <c r="F67" s="50">
        <v>45901</v>
      </c>
      <c r="G67" s="36" t="s">
        <v>13</v>
      </c>
      <c r="H67" s="37">
        <v>272534</v>
      </c>
      <c r="I67" s="37">
        <f t="shared" si="1"/>
        <v>191297.33333333334</v>
      </c>
      <c r="K67" s="52">
        <v>45901</v>
      </c>
      <c r="L67" s="42" t="s">
        <v>27</v>
      </c>
      <c r="M67" s="37">
        <v>313562</v>
      </c>
      <c r="N67" s="37">
        <f t="shared" si="2"/>
        <v>203136.66666666666</v>
      </c>
    </row>
    <row r="68" spans="1:14">
      <c r="A68" s="53">
        <v>45908</v>
      </c>
      <c r="B68" s="40" t="s">
        <v>22</v>
      </c>
      <c r="C68" s="41">
        <v>348686</v>
      </c>
      <c r="D68" s="41">
        <f t="shared" si="0"/>
        <v>242467</v>
      </c>
      <c r="F68" s="53">
        <v>45908</v>
      </c>
      <c r="G68" s="40" t="s">
        <v>13</v>
      </c>
      <c r="H68" s="41">
        <v>89918</v>
      </c>
      <c r="I68" s="41">
        <f t="shared" si="1"/>
        <v>168754.33333333334</v>
      </c>
    </row>
  </sheetData>
  <pageMargins left="0.7" right="0.7" top="0.75" bottom="0.75" header="0.3" footer="0.3"/>
  <ignoredErrors>
    <ignoredError sqref="D5:D68 I4:I68 N4:N67" formulaRange="1"/>
  </ignoredErrors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A213-BE84-4CD8-BE0F-F551E103CC15}">
  <dimension ref="A1:AD201"/>
  <sheetViews>
    <sheetView tabSelected="1" topLeftCell="G1" zoomScale="70" zoomScaleNormal="70" workbookViewId="0">
      <pane ySplit="1" topLeftCell="A116" activePane="bottomLeft" state="frozen"/>
      <selection pane="bottomLeft" activeCell="P135" sqref="P135"/>
    </sheetView>
  </sheetViews>
  <sheetFormatPr defaultColWidth="14.42578125" defaultRowHeight="15"/>
  <cols>
    <col min="1" max="1" width="28.5703125" style="6" bestFit="1" customWidth="1"/>
    <col min="2" max="2" width="17.7109375" style="2" bestFit="1" customWidth="1"/>
    <col min="3" max="3" width="25.28515625" style="10" bestFit="1" customWidth="1"/>
    <col min="4" max="4" width="19.140625" style="10" bestFit="1" customWidth="1"/>
    <col min="5" max="5" width="26.28515625" style="10" bestFit="1" customWidth="1"/>
    <col min="6" max="6" width="29.5703125" style="8" bestFit="1" customWidth="1"/>
    <col min="7" max="7" width="20.140625" style="10" bestFit="1" customWidth="1"/>
    <col min="8" max="8" width="31.140625" style="2" bestFit="1" customWidth="1"/>
    <col min="9" max="9" width="8.7109375" style="2" customWidth="1"/>
    <col min="10" max="10" width="11.85546875" style="2" customWidth="1"/>
    <col min="11" max="11" width="17.7109375" style="2" bestFit="1" customWidth="1"/>
    <col min="12" max="12" width="25.28515625" style="2" bestFit="1" customWidth="1"/>
    <col min="13" max="13" width="31.140625" style="2" bestFit="1" customWidth="1"/>
    <col min="14" max="14" width="20.140625" style="2" bestFit="1" customWidth="1"/>
    <col min="15" max="15" width="31.140625" style="2" bestFit="1" customWidth="1"/>
    <col min="16" max="16" width="23.5703125" style="2" bestFit="1" customWidth="1"/>
    <col min="17" max="17" width="8.7109375" style="2" customWidth="1"/>
    <col min="18" max="18" width="17.7109375" style="2" bestFit="1" customWidth="1"/>
    <col min="19" max="19" width="25.28515625" style="2" bestFit="1" customWidth="1"/>
    <col min="20" max="20" width="19.140625" style="2" bestFit="1" customWidth="1"/>
    <col min="21" max="21" width="20.140625" style="2" bestFit="1" customWidth="1"/>
    <col min="22" max="22" width="31.140625" style="2" bestFit="1" customWidth="1"/>
    <col min="23" max="23" width="23.5703125" style="2" bestFit="1" customWidth="1"/>
    <col min="24" max="24" width="8.7109375" style="2" customWidth="1"/>
    <col min="25" max="25" width="17.7109375" style="2" bestFit="1" customWidth="1"/>
    <col min="26" max="26" width="25.28515625" style="2" bestFit="1" customWidth="1"/>
    <col min="27" max="27" width="19.140625" style="2" bestFit="1" customWidth="1"/>
    <col min="28" max="28" width="20.140625" style="2" bestFit="1" customWidth="1"/>
    <col min="29" max="29" width="31.140625" style="2" bestFit="1" customWidth="1"/>
    <col min="30" max="30" width="23.5703125" style="2" bestFit="1" customWidth="1"/>
    <col min="31" max="16384" width="14.42578125" style="2"/>
  </cols>
  <sheetData>
    <row r="1" spans="1:30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  <c r="H1" s="9" t="s">
        <v>374</v>
      </c>
      <c r="K1" s="38" t="s">
        <v>1</v>
      </c>
      <c r="L1" s="39" t="s">
        <v>332</v>
      </c>
      <c r="M1" s="39" t="s">
        <v>333</v>
      </c>
      <c r="N1" s="39" t="s">
        <v>336</v>
      </c>
      <c r="O1" s="39" t="s">
        <v>374</v>
      </c>
      <c r="P1" s="54" t="s">
        <v>375</v>
      </c>
      <c r="R1" s="38" t="s">
        <v>1</v>
      </c>
      <c r="S1" s="39" t="s">
        <v>332</v>
      </c>
      <c r="T1" s="39" t="s">
        <v>333</v>
      </c>
      <c r="U1" s="39" t="s">
        <v>336</v>
      </c>
      <c r="V1" s="39" t="s">
        <v>374</v>
      </c>
      <c r="W1" s="54" t="s">
        <v>375</v>
      </c>
      <c r="Y1" s="38" t="s">
        <v>1</v>
      </c>
      <c r="Z1" s="39" t="s">
        <v>332</v>
      </c>
      <c r="AA1" s="39" t="s">
        <v>333</v>
      </c>
      <c r="AB1" s="39" t="s">
        <v>336</v>
      </c>
      <c r="AC1" s="39" t="s">
        <v>374</v>
      </c>
      <c r="AD1" s="54" t="s">
        <v>375</v>
      </c>
    </row>
    <row r="2" spans="1:30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H2" s="9">
        <f>Table27[[#This Row],[New_Followers]]-Table27[[#This Row],[Unfollows]]</f>
        <v>1334</v>
      </c>
      <c r="I2" s="22"/>
      <c r="J2" s="22"/>
      <c r="K2" s="34" t="s">
        <v>13</v>
      </c>
      <c r="L2" s="35">
        <v>1402</v>
      </c>
      <c r="M2" s="35">
        <v>68</v>
      </c>
      <c r="N2" s="35">
        <v>23125</v>
      </c>
      <c r="O2" s="35">
        <v>1334</v>
      </c>
      <c r="P2" s="44">
        <f>CORREL(Table7[Ad_Spend],Table7[Net Follower Growth])</f>
        <v>2.8548772247041079E-2</v>
      </c>
      <c r="R2" s="34" t="s">
        <v>22</v>
      </c>
      <c r="S2" s="35">
        <v>995</v>
      </c>
      <c r="T2" s="35">
        <v>86</v>
      </c>
      <c r="U2" s="35">
        <v>22788</v>
      </c>
      <c r="V2" s="35">
        <v>909</v>
      </c>
      <c r="W2" s="44">
        <f>CORREL(Table8[Ad_Spend],Table8[Net Follower Growth])</f>
        <v>-2.4657644288654364E-2</v>
      </c>
      <c r="Y2" s="34" t="s">
        <v>27</v>
      </c>
      <c r="Z2" s="35">
        <v>1472</v>
      </c>
      <c r="AA2" s="35">
        <v>296</v>
      </c>
      <c r="AB2" s="35">
        <v>7810</v>
      </c>
      <c r="AC2" s="35">
        <v>1176</v>
      </c>
      <c r="AD2" s="44">
        <f>CORREL(Table9[Ad_Spend],Table9[Net Follower Growth])</f>
        <v>-7.8208695307309173E-2</v>
      </c>
    </row>
    <row r="3" spans="1:30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H3" s="9">
        <f>Table27[[#This Row],[New_Followers]]-Table27[[#This Row],[Unfollows]]</f>
        <v>909</v>
      </c>
      <c r="I3" s="22"/>
      <c r="J3" s="22"/>
      <c r="K3" s="36" t="s">
        <v>13</v>
      </c>
      <c r="L3" s="37">
        <v>1018</v>
      </c>
      <c r="M3" s="37">
        <v>90</v>
      </c>
      <c r="N3" s="37">
        <v>11966</v>
      </c>
      <c r="O3" s="37">
        <v>928</v>
      </c>
      <c r="R3" s="36" t="s">
        <v>22</v>
      </c>
      <c r="S3" s="37">
        <v>1461</v>
      </c>
      <c r="T3" s="37">
        <v>64</v>
      </c>
      <c r="U3" s="37">
        <v>26298</v>
      </c>
      <c r="V3" s="37">
        <v>1397</v>
      </c>
      <c r="Y3" s="36" t="s">
        <v>27</v>
      </c>
      <c r="Z3" s="37">
        <v>545</v>
      </c>
      <c r="AA3" s="37">
        <v>93</v>
      </c>
      <c r="AB3" s="37">
        <v>22029</v>
      </c>
      <c r="AC3" s="37">
        <v>452</v>
      </c>
    </row>
    <row r="4" spans="1:30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H4" s="9">
        <f>Table27[[#This Row],[New_Followers]]-Table27[[#This Row],[Unfollows]]</f>
        <v>1176</v>
      </c>
      <c r="I4" s="22"/>
      <c r="J4" s="22"/>
      <c r="K4" s="34" t="s">
        <v>13</v>
      </c>
      <c r="L4" s="35">
        <v>881</v>
      </c>
      <c r="M4" s="35">
        <v>291</v>
      </c>
      <c r="N4" s="35">
        <v>12391</v>
      </c>
      <c r="O4" s="35">
        <v>590</v>
      </c>
      <c r="R4" s="34" t="s">
        <v>22</v>
      </c>
      <c r="S4" s="35">
        <v>1414</v>
      </c>
      <c r="T4" s="35">
        <v>131</v>
      </c>
      <c r="U4" s="35">
        <v>14477</v>
      </c>
      <c r="V4" s="35">
        <v>1283</v>
      </c>
      <c r="Y4" s="34" t="s">
        <v>27</v>
      </c>
      <c r="Z4" s="35">
        <v>1472</v>
      </c>
      <c r="AA4" s="35">
        <v>170</v>
      </c>
      <c r="AB4" s="35">
        <v>25040</v>
      </c>
      <c r="AC4" s="35">
        <v>1302</v>
      </c>
    </row>
    <row r="5" spans="1:30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  <c r="H5" s="9">
        <f>Table27[[#This Row],[New_Followers]]-Table27[[#This Row],[Unfollows]]</f>
        <v>928</v>
      </c>
      <c r="K5" s="36" t="s">
        <v>13</v>
      </c>
      <c r="L5" s="37">
        <v>809</v>
      </c>
      <c r="M5" s="37">
        <v>197</v>
      </c>
      <c r="N5" s="37">
        <v>22619</v>
      </c>
      <c r="O5" s="37">
        <v>612</v>
      </c>
      <c r="R5" s="36" t="s">
        <v>22</v>
      </c>
      <c r="S5" s="37">
        <v>1371</v>
      </c>
      <c r="T5" s="37">
        <v>250</v>
      </c>
      <c r="U5" s="37">
        <v>12399</v>
      </c>
      <c r="V5" s="37">
        <v>1121</v>
      </c>
      <c r="Y5" s="36" t="s">
        <v>27</v>
      </c>
      <c r="Z5" s="37">
        <v>844</v>
      </c>
      <c r="AA5" s="37">
        <v>144</v>
      </c>
      <c r="AB5" s="37">
        <v>22456</v>
      </c>
      <c r="AC5" s="37">
        <v>700</v>
      </c>
    </row>
    <row r="6" spans="1:30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  <c r="H6" s="9">
        <f>Table27[[#This Row],[New_Followers]]-Table27[[#This Row],[Unfollows]]</f>
        <v>1397</v>
      </c>
      <c r="K6" s="34" t="s">
        <v>13</v>
      </c>
      <c r="L6" s="35">
        <v>786</v>
      </c>
      <c r="M6" s="35">
        <v>72</v>
      </c>
      <c r="N6" s="35">
        <v>19328</v>
      </c>
      <c r="O6" s="35">
        <v>714</v>
      </c>
      <c r="R6" s="34" t="s">
        <v>22</v>
      </c>
      <c r="S6" s="35">
        <v>845</v>
      </c>
      <c r="T6" s="35">
        <v>250</v>
      </c>
      <c r="U6" s="35">
        <v>21107</v>
      </c>
      <c r="V6" s="35">
        <v>595</v>
      </c>
      <c r="Y6" s="34" t="s">
        <v>27</v>
      </c>
      <c r="Z6" s="35">
        <v>1218</v>
      </c>
      <c r="AA6" s="35">
        <v>101</v>
      </c>
      <c r="AB6" s="35">
        <v>12277</v>
      </c>
      <c r="AC6" s="35">
        <v>1117</v>
      </c>
    </row>
    <row r="7" spans="1:30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  <c r="H7" s="9">
        <f>Table27[[#This Row],[New_Followers]]-Table27[[#This Row],[Unfollows]]</f>
        <v>452</v>
      </c>
      <c r="K7" s="36" t="s">
        <v>13</v>
      </c>
      <c r="L7" s="37">
        <v>797</v>
      </c>
      <c r="M7" s="37">
        <v>130</v>
      </c>
      <c r="N7" s="37">
        <v>11684</v>
      </c>
      <c r="O7" s="37">
        <v>667</v>
      </c>
      <c r="R7" s="36" t="s">
        <v>22</v>
      </c>
      <c r="S7" s="37">
        <v>1471</v>
      </c>
      <c r="T7" s="37">
        <v>100</v>
      </c>
      <c r="U7" s="37">
        <v>14412</v>
      </c>
      <c r="V7" s="37">
        <v>1371</v>
      </c>
      <c r="Y7" s="36" t="s">
        <v>27</v>
      </c>
      <c r="Z7" s="37">
        <v>1253</v>
      </c>
      <c r="AA7" s="37">
        <v>136</v>
      </c>
      <c r="AB7" s="37">
        <v>15924</v>
      </c>
      <c r="AC7" s="37">
        <v>1117</v>
      </c>
    </row>
    <row r="8" spans="1:30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  <c r="H8" s="9">
        <f>Table27[[#This Row],[New_Followers]]-Table27[[#This Row],[Unfollows]]</f>
        <v>590</v>
      </c>
      <c r="K8" s="34" t="s">
        <v>13</v>
      </c>
      <c r="L8" s="35">
        <v>616</v>
      </c>
      <c r="M8" s="35">
        <v>257</v>
      </c>
      <c r="N8" s="35">
        <v>12390</v>
      </c>
      <c r="O8" s="35">
        <v>359</v>
      </c>
      <c r="R8" s="34" t="s">
        <v>22</v>
      </c>
      <c r="S8" s="35">
        <v>1308</v>
      </c>
      <c r="T8" s="35">
        <v>210</v>
      </c>
      <c r="U8" s="35">
        <v>25742</v>
      </c>
      <c r="V8" s="35">
        <v>1098</v>
      </c>
      <c r="Y8" s="34" t="s">
        <v>27</v>
      </c>
      <c r="Z8" s="35">
        <v>981</v>
      </c>
      <c r="AA8" s="35">
        <v>69</v>
      </c>
      <c r="AB8" s="35">
        <v>10495</v>
      </c>
      <c r="AC8" s="35">
        <v>912</v>
      </c>
    </row>
    <row r="9" spans="1:30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  <c r="H9" s="9">
        <f>Table27[[#This Row],[New_Followers]]-Table27[[#This Row],[Unfollows]]</f>
        <v>1283</v>
      </c>
      <c r="K9" s="36" t="s">
        <v>13</v>
      </c>
      <c r="L9" s="37">
        <v>866</v>
      </c>
      <c r="M9" s="37">
        <v>74</v>
      </c>
      <c r="N9" s="37">
        <v>7797</v>
      </c>
      <c r="O9" s="37">
        <v>792</v>
      </c>
      <c r="R9" s="36" t="s">
        <v>22</v>
      </c>
      <c r="S9" s="37">
        <v>547</v>
      </c>
      <c r="T9" s="37">
        <v>183</v>
      </c>
      <c r="U9" s="37">
        <v>15595</v>
      </c>
      <c r="V9" s="37">
        <v>364</v>
      </c>
      <c r="Y9" s="36" t="s">
        <v>27</v>
      </c>
      <c r="Z9" s="37">
        <v>1241</v>
      </c>
      <c r="AA9" s="37">
        <v>116</v>
      </c>
      <c r="AB9" s="37">
        <v>24617</v>
      </c>
      <c r="AC9" s="37">
        <v>1125</v>
      </c>
    </row>
    <row r="10" spans="1:30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  <c r="H10" s="9">
        <f>Table27[[#This Row],[New_Followers]]-Table27[[#This Row],[Unfollows]]</f>
        <v>1302</v>
      </c>
      <c r="K10" s="34" t="s">
        <v>13</v>
      </c>
      <c r="L10" s="35">
        <v>973</v>
      </c>
      <c r="M10" s="35">
        <v>104</v>
      </c>
      <c r="N10" s="35">
        <v>9847</v>
      </c>
      <c r="O10" s="35">
        <v>869</v>
      </c>
      <c r="R10" s="34" t="s">
        <v>22</v>
      </c>
      <c r="S10" s="35">
        <v>611</v>
      </c>
      <c r="T10" s="35">
        <v>197</v>
      </c>
      <c r="U10" s="35">
        <v>13644</v>
      </c>
      <c r="V10" s="35">
        <v>414</v>
      </c>
      <c r="Y10" s="34" t="s">
        <v>27</v>
      </c>
      <c r="Z10" s="35">
        <v>983</v>
      </c>
      <c r="AA10" s="35">
        <v>134</v>
      </c>
      <c r="AB10" s="35">
        <v>11421</v>
      </c>
      <c r="AC10" s="35">
        <v>849</v>
      </c>
    </row>
    <row r="11" spans="1:30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  <c r="H11" s="9">
        <f>Table27[[#This Row],[New_Followers]]-Table27[[#This Row],[Unfollows]]</f>
        <v>612</v>
      </c>
      <c r="K11" s="36" t="s">
        <v>13</v>
      </c>
      <c r="L11" s="37">
        <v>1449</v>
      </c>
      <c r="M11" s="37">
        <v>96</v>
      </c>
      <c r="N11" s="37">
        <v>15613</v>
      </c>
      <c r="O11" s="37">
        <v>1353</v>
      </c>
      <c r="R11" s="36" t="s">
        <v>22</v>
      </c>
      <c r="S11" s="37">
        <v>752</v>
      </c>
      <c r="T11" s="37">
        <v>170</v>
      </c>
      <c r="U11" s="37">
        <v>23900</v>
      </c>
      <c r="V11" s="37">
        <v>582</v>
      </c>
      <c r="Y11" s="36" t="s">
        <v>27</v>
      </c>
      <c r="Z11" s="37">
        <v>937</v>
      </c>
      <c r="AA11" s="37">
        <v>179</v>
      </c>
      <c r="AB11" s="37">
        <v>5836</v>
      </c>
      <c r="AC11" s="37">
        <v>758</v>
      </c>
    </row>
    <row r="12" spans="1:30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  <c r="H12" s="9">
        <f>Table27[[#This Row],[New_Followers]]-Table27[[#This Row],[Unfollows]]</f>
        <v>1121</v>
      </c>
      <c r="K12" s="34" t="s">
        <v>13</v>
      </c>
      <c r="L12" s="35">
        <v>1060</v>
      </c>
      <c r="M12" s="35">
        <v>83</v>
      </c>
      <c r="N12" s="35">
        <v>5624</v>
      </c>
      <c r="O12" s="35">
        <v>977</v>
      </c>
      <c r="R12" s="34" t="s">
        <v>22</v>
      </c>
      <c r="S12" s="35">
        <v>1456</v>
      </c>
      <c r="T12" s="35">
        <v>265</v>
      </c>
      <c r="U12" s="35">
        <v>10311</v>
      </c>
      <c r="V12" s="35">
        <v>1191</v>
      </c>
      <c r="Y12" s="34" t="s">
        <v>27</v>
      </c>
      <c r="Z12" s="35">
        <v>1109</v>
      </c>
      <c r="AA12" s="35">
        <v>205</v>
      </c>
      <c r="AB12" s="35">
        <v>8274</v>
      </c>
      <c r="AC12" s="35">
        <v>904</v>
      </c>
    </row>
    <row r="13" spans="1:30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  <c r="H13" s="9">
        <f>Table27[[#This Row],[New_Followers]]-Table27[[#This Row],[Unfollows]]</f>
        <v>700</v>
      </c>
      <c r="K13" s="36" t="s">
        <v>13</v>
      </c>
      <c r="L13" s="37">
        <v>1002</v>
      </c>
      <c r="M13" s="37">
        <v>93</v>
      </c>
      <c r="N13" s="37">
        <v>6031</v>
      </c>
      <c r="O13" s="37">
        <v>909</v>
      </c>
      <c r="R13" s="36" t="s">
        <v>22</v>
      </c>
      <c r="S13" s="37">
        <v>571</v>
      </c>
      <c r="T13" s="37">
        <v>189</v>
      </c>
      <c r="U13" s="37">
        <v>27829</v>
      </c>
      <c r="V13" s="37">
        <v>382</v>
      </c>
      <c r="Y13" s="36" t="s">
        <v>27</v>
      </c>
      <c r="Z13" s="37">
        <v>1240</v>
      </c>
      <c r="AA13" s="37">
        <v>231</v>
      </c>
      <c r="AB13" s="37">
        <v>18267</v>
      </c>
      <c r="AC13" s="37">
        <v>1009</v>
      </c>
    </row>
    <row r="14" spans="1:30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  <c r="H14" s="9">
        <f>Table27[[#This Row],[New_Followers]]-Table27[[#This Row],[Unfollows]]</f>
        <v>714</v>
      </c>
      <c r="K14" s="34" t="s">
        <v>13</v>
      </c>
      <c r="L14" s="35">
        <v>1154</v>
      </c>
      <c r="M14" s="35">
        <v>132</v>
      </c>
      <c r="N14" s="35">
        <v>26624</v>
      </c>
      <c r="O14" s="35">
        <v>1022</v>
      </c>
      <c r="R14" s="34" t="s">
        <v>22</v>
      </c>
      <c r="S14" s="35">
        <v>537</v>
      </c>
      <c r="T14" s="35">
        <v>275</v>
      </c>
      <c r="U14" s="35">
        <v>26644</v>
      </c>
      <c r="V14" s="35">
        <v>262</v>
      </c>
      <c r="Y14" s="34" t="s">
        <v>27</v>
      </c>
      <c r="Z14" s="35">
        <v>1456</v>
      </c>
      <c r="AA14" s="35">
        <v>290</v>
      </c>
      <c r="AB14" s="35">
        <v>13051</v>
      </c>
      <c r="AC14" s="35">
        <v>1166</v>
      </c>
    </row>
    <row r="15" spans="1:30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  <c r="H15" s="9">
        <f>Table27[[#This Row],[New_Followers]]-Table27[[#This Row],[Unfollows]]</f>
        <v>595</v>
      </c>
      <c r="K15" s="36" t="s">
        <v>13</v>
      </c>
      <c r="L15" s="37">
        <v>721</v>
      </c>
      <c r="M15" s="37">
        <v>206</v>
      </c>
      <c r="N15" s="37">
        <v>14217</v>
      </c>
      <c r="O15" s="37">
        <v>515</v>
      </c>
      <c r="R15" s="36" t="s">
        <v>22</v>
      </c>
      <c r="S15" s="37">
        <v>1098</v>
      </c>
      <c r="T15" s="37">
        <v>142</v>
      </c>
      <c r="U15" s="37">
        <v>16385</v>
      </c>
      <c r="V15" s="37">
        <v>956</v>
      </c>
      <c r="Y15" s="36" t="s">
        <v>27</v>
      </c>
      <c r="Z15" s="37">
        <v>1096</v>
      </c>
      <c r="AA15" s="37">
        <v>65</v>
      </c>
      <c r="AB15" s="37">
        <v>24548</v>
      </c>
      <c r="AC15" s="37">
        <v>1031</v>
      </c>
    </row>
    <row r="16" spans="1:30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  <c r="H16" s="9">
        <f>Table27[[#This Row],[New_Followers]]-Table27[[#This Row],[Unfollows]]</f>
        <v>1117</v>
      </c>
      <c r="K16" s="34" t="s">
        <v>13</v>
      </c>
      <c r="L16" s="35">
        <v>912</v>
      </c>
      <c r="M16" s="35">
        <v>275</v>
      </c>
      <c r="N16" s="35">
        <v>9195</v>
      </c>
      <c r="O16" s="35">
        <v>637</v>
      </c>
      <c r="R16" s="34" t="s">
        <v>22</v>
      </c>
      <c r="S16" s="35">
        <v>1430</v>
      </c>
      <c r="T16" s="35">
        <v>162</v>
      </c>
      <c r="U16" s="35">
        <v>18071</v>
      </c>
      <c r="V16" s="35">
        <v>1268</v>
      </c>
      <c r="Y16" s="34" t="s">
        <v>27</v>
      </c>
      <c r="Z16" s="35">
        <v>854</v>
      </c>
      <c r="AA16" s="35">
        <v>129</v>
      </c>
      <c r="AB16" s="35">
        <v>16875</v>
      </c>
      <c r="AC16" s="35">
        <v>725</v>
      </c>
    </row>
    <row r="17" spans="1:29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  <c r="H17" s="9">
        <f>Table27[[#This Row],[New_Followers]]-Table27[[#This Row],[Unfollows]]</f>
        <v>667</v>
      </c>
      <c r="K17" s="36" t="s">
        <v>13</v>
      </c>
      <c r="L17" s="37">
        <v>681</v>
      </c>
      <c r="M17" s="37">
        <v>210</v>
      </c>
      <c r="N17" s="37">
        <v>9567</v>
      </c>
      <c r="O17" s="37">
        <v>471</v>
      </c>
      <c r="R17" s="36" t="s">
        <v>22</v>
      </c>
      <c r="S17" s="37">
        <v>1373</v>
      </c>
      <c r="T17" s="37">
        <v>82</v>
      </c>
      <c r="U17" s="37">
        <v>20306</v>
      </c>
      <c r="V17" s="37">
        <v>1291</v>
      </c>
      <c r="Y17" s="36" t="s">
        <v>27</v>
      </c>
      <c r="Z17" s="37">
        <v>685</v>
      </c>
      <c r="AA17" s="37">
        <v>285</v>
      </c>
      <c r="AB17" s="37">
        <v>21134</v>
      </c>
      <c r="AC17" s="37">
        <v>400</v>
      </c>
    </row>
    <row r="18" spans="1:29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  <c r="H18" s="9">
        <f>Table27[[#This Row],[New_Followers]]-Table27[[#This Row],[Unfollows]]</f>
        <v>1371</v>
      </c>
      <c r="K18" s="34" t="s">
        <v>13</v>
      </c>
      <c r="L18" s="35">
        <v>1290</v>
      </c>
      <c r="M18" s="35">
        <v>177</v>
      </c>
      <c r="N18" s="35">
        <v>26872</v>
      </c>
      <c r="O18" s="35">
        <v>1113</v>
      </c>
      <c r="R18" s="34" t="s">
        <v>22</v>
      </c>
      <c r="S18" s="35">
        <v>1437</v>
      </c>
      <c r="T18" s="35">
        <v>239</v>
      </c>
      <c r="U18" s="35">
        <v>10253</v>
      </c>
      <c r="V18" s="35">
        <v>1198</v>
      </c>
      <c r="Y18" s="34" t="s">
        <v>27</v>
      </c>
      <c r="Z18" s="35">
        <v>769</v>
      </c>
      <c r="AA18" s="35">
        <v>295</v>
      </c>
      <c r="AB18" s="35">
        <v>23963</v>
      </c>
      <c r="AC18" s="35">
        <v>474</v>
      </c>
    </row>
    <row r="19" spans="1:29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  <c r="H19" s="9">
        <f>Table27[[#This Row],[New_Followers]]-Table27[[#This Row],[Unfollows]]</f>
        <v>1117</v>
      </c>
      <c r="K19" s="36" t="s">
        <v>13</v>
      </c>
      <c r="L19" s="37">
        <v>1416</v>
      </c>
      <c r="M19" s="37">
        <v>284</v>
      </c>
      <c r="N19" s="37">
        <v>11335</v>
      </c>
      <c r="O19" s="37">
        <v>1132</v>
      </c>
      <c r="R19" s="36" t="s">
        <v>22</v>
      </c>
      <c r="S19" s="37">
        <v>998</v>
      </c>
      <c r="T19" s="37">
        <v>154</v>
      </c>
      <c r="U19" s="37">
        <v>12115</v>
      </c>
      <c r="V19" s="37">
        <v>844</v>
      </c>
      <c r="Y19" s="36" t="s">
        <v>27</v>
      </c>
      <c r="Z19" s="37">
        <v>1421</v>
      </c>
      <c r="AA19" s="37">
        <v>246</v>
      </c>
      <c r="AB19" s="37">
        <v>24358</v>
      </c>
      <c r="AC19" s="37">
        <v>1175</v>
      </c>
    </row>
    <row r="20" spans="1:29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  <c r="H20" s="9">
        <f>Table27[[#This Row],[New_Followers]]-Table27[[#This Row],[Unfollows]]</f>
        <v>359</v>
      </c>
      <c r="K20" s="34" t="s">
        <v>13</v>
      </c>
      <c r="L20" s="35">
        <v>764</v>
      </c>
      <c r="M20" s="35">
        <v>205</v>
      </c>
      <c r="N20" s="35">
        <v>12181</v>
      </c>
      <c r="O20" s="35">
        <v>559</v>
      </c>
      <c r="R20" s="34" t="s">
        <v>22</v>
      </c>
      <c r="S20" s="35">
        <v>678</v>
      </c>
      <c r="T20" s="35">
        <v>124</v>
      </c>
      <c r="U20" s="35">
        <v>17729</v>
      </c>
      <c r="V20" s="35">
        <v>554</v>
      </c>
      <c r="Y20" s="34" t="s">
        <v>27</v>
      </c>
      <c r="Z20" s="35">
        <v>1328</v>
      </c>
      <c r="AA20" s="35">
        <v>103</v>
      </c>
      <c r="AB20" s="35">
        <v>10881</v>
      </c>
      <c r="AC20" s="35">
        <v>1225</v>
      </c>
    </row>
    <row r="21" spans="1:29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  <c r="H21" s="9">
        <f>Table27[[#This Row],[New_Followers]]-Table27[[#This Row],[Unfollows]]</f>
        <v>1098</v>
      </c>
      <c r="K21" s="36" t="s">
        <v>13</v>
      </c>
      <c r="L21" s="37">
        <v>1161</v>
      </c>
      <c r="M21" s="37">
        <v>269</v>
      </c>
      <c r="N21" s="37">
        <v>18576</v>
      </c>
      <c r="O21" s="37">
        <v>892</v>
      </c>
      <c r="R21" s="36" t="s">
        <v>22</v>
      </c>
      <c r="S21" s="37">
        <v>588</v>
      </c>
      <c r="T21" s="37">
        <v>52</v>
      </c>
      <c r="U21" s="37">
        <v>9383</v>
      </c>
      <c r="V21" s="37">
        <v>536</v>
      </c>
      <c r="Y21" s="36" t="s">
        <v>27</v>
      </c>
      <c r="Z21" s="37">
        <v>1457</v>
      </c>
      <c r="AA21" s="37">
        <v>215</v>
      </c>
      <c r="AB21" s="37">
        <v>14178</v>
      </c>
      <c r="AC21" s="37">
        <v>1242</v>
      </c>
    </row>
    <row r="22" spans="1:29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  <c r="H22" s="9">
        <f>Table27[[#This Row],[New_Followers]]-Table27[[#This Row],[Unfollows]]</f>
        <v>912</v>
      </c>
      <c r="K22" s="34" t="s">
        <v>13</v>
      </c>
      <c r="L22" s="35">
        <v>1190</v>
      </c>
      <c r="M22" s="35">
        <v>242</v>
      </c>
      <c r="N22" s="35">
        <v>21254</v>
      </c>
      <c r="O22" s="35">
        <v>948</v>
      </c>
      <c r="R22" s="34" t="s">
        <v>22</v>
      </c>
      <c r="S22" s="35">
        <v>886</v>
      </c>
      <c r="T22" s="35">
        <v>124</v>
      </c>
      <c r="U22" s="35">
        <v>14215</v>
      </c>
      <c r="V22" s="35">
        <v>762</v>
      </c>
      <c r="Y22" s="34" t="s">
        <v>27</v>
      </c>
      <c r="Z22" s="35">
        <v>1237</v>
      </c>
      <c r="AA22" s="35">
        <v>155</v>
      </c>
      <c r="AB22" s="35">
        <v>16921</v>
      </c>
      <c r="AC22" s="35">
        <v>1082</v>
      </c>
    </row>
    <row r="23" spans="1:29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  <c r="H23" s="9">
        <f>Table27[[#This Row],[New_Followers]]-Table27[[#This Row],[Unfollows]]</f>
        <v>792</v>
      </c>
      <c r="K23" s="36" t="s">
        <v>13</v>
      </c>
      <c r="L23" s="37">
        <v>1435</v>
      </c>
      <c r="M23" s="37">
        <v>261</v>
      </c>
      <c r="N23" s="37">
        <v>25130</v>
      </c>
      <c r="O23" s="37">
        <v>1174</v>
      </c>
      <c r="R23" s="36" t="s">
        <v>22</v>
      </c>
      <c r="S23" s="37">
        <v>746</v>
      </c>
      <c r="T23" s="37">
        <v>282</v>
      </c>
      <c r="U23" s="37">
        <v>25537</v>
      </c>
      <c r="V23" s="37">
        <v>464</v>
      </c>
      <c r="Y23" s="36" t="s">
        <v>27</v>
      </c>
      <c r="Z23" s="37">
        <v>759</v>
      </c>
      <c r="AA23" s="37">
        <v>216</v>
      </c>
      <c r="AB23" s="37">
        <v>24943</v>
      </c>
      <c r="AC23" s="37">
        <v>543</v>
      </c>
    </row>
    <row r="24" spans="1:29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  <c r="H24" s="9">
        <f>Table27[[#This Row],[New_Followers]]-Table27[[#This Row],[Unfollows]]</f>
        <v>364</v>
      </c>
      <c r="K24" s="34" t="s">
        <v>13</v>
      </c>
      <c r="L24" s="35">
        <v>1437</v>
      </c>
      <c r="M24" s="35">
        <v>235</v>
      </c>
      <c r="N24" s="35">
        <v>14563</v>
      </c>
      <c r="O24" s="35">
        <v>1202</v>
      </c>
      <c r="R24" s="34" t="s">
        <v>22</v>
      </c>
      <c r="S24" s="35">
        <v>1463</v>
      </c>
      <c r="T24" s="35">
        <v>73</v>
      </c>
      <c r="U24" s="35">
        <v>26273</v>
      </c>
      <c r="V24" s="35">
        <v>1390</v>
      </c>
      <c r="Y24" s="34" t="s">
        <v>27</v>
      </c>
      <c r="Z24" s="35">
        <v>1208</v>
      </c>
      <c r="AA24" s="35">
        <v>224</v>
      </c>
      <c r="AB24" s="35">
        <v>10858</v>
      </c>
      <c r="AC24" s="35">
        <v>984</v>
      </c>
    </row>
    <row r="25" spans="1:29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  <c r="H25" s="9">
        <f>Table27[[#This Row],[New_Followers]]-Table27[[#This Row],[Unfollows]]</f>
        <v>1125</v>
      </c>
      <c r="K25" s="36" t="s">
        <v>13</v>
      </c>
      <c r="L25" s="37">
        <v>1391</v>
      </c>
      <c r="M25" s="37">
        <v>187</v>
      </c>
      <c r="N25" s="37">
        <v>25038</v>
      </c>
      <c r="O25" s="37">
        <v>1204</v>
      </c>
      <c r="R25" s="36" t="s">
        <v>22</v>
      </c>
      <c r="S25" s="37">
        <v>655</v>
      </c>
      <c r="T25" s="37">
        <v>123</v>
      </c>
      <c r="U25" s="37">
        <v>9092</v>
      </c>
      <c r="V25" s="37">
        <v>532</v>
      </c>
      <c r="Y25" s="36" t="s">
        <v>27</v>
      </c>
      <c r="Z25" s="37">
        <v>1148</v>
      </c>
      <c r="AA25" s="37">
        <v>90</v>
      </c>
      <c r="AB25" s="37">
        <v>17662</v>
      </c>
      <c r="AC25" s="37">
        <v>1058</v>
      </c>
    </row>
    <row r="26" spans="1:29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  <c r="H26" s="9">
        <f>Table27[[#This Row],[New_Followers]]-Table27[[#This Row],[Unfollows]]</f>
        <v>869</v>
      </c>
      <c r="K26" s="34" t="s">
        <v>13</v>
      </c>
      <c r="L26" s="35">
        <v>946</v>
      </c>
      <c r="M26" s="35">
        <v>270</v>
      </c>
      <c r="N26" s="35">
        <v>5924</v>
      </c>
      <c r="O26" s="35">
        <v>676</v>
      </c>
      <c r="R26" s="34" t="s">
        <v>22</v>
      </c>
      <c r="S26" s="35">
        <v>791</v>
      </c>
      <c r="T26" s="35">
        <v>214</v>
      </c>
      <c r="U26" s="35">
        <v>25347</v>
      </c>
      <c r="V26" s="35">
        <v>577</v>
      </c>
      <c r="Y26" s="34" t="s">
        <v>27</v>
      </c>
      <c r="Z26" s="35">
        <v>793</v>
      </c>
      <c r="AA26" s="35">
        <v>111</v>
      </c>
      <c r="AB26" s="35">
        <v>8910</v>
      </c>
      <c r="AC26" s="35">
        <v>682</v>
      </c>
    </row>
    <row r="27" spans="1:29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  <c r="H27" s="9">
        <f>Table27[[#This Row],[New_Followers]]-Table27[[#This Row],[Unfollows]]</f>
        <v>414</v>
      </c>
      <c r="K27" s="36" t="s">
        <v>13</v>
      </c>
      <c r="L27" s="37">
        <v>663</v>
      </c>
      <c r="M27" s="37">
        <v>213</v>
      </c>
      <c r="N27" s="37">
        <v>20438</v>
      </c>
      <c r="O27" s="37">
        <v>450</v>
      </c>
      <c r="R27" s="36" t="s">
        <v>22</v>
      </c>
      <c r="S27" s="37">
        <v>954</v>
      </c>
      <c r="T27" s="37">
        <v>271</v>
      </c>
      <c r="U27" s="37">
        <v>8760</v>
      </c>
      <c r="V27" s="37">
        <v>683</v>
      </c>
      <c r="Y27" s="36" t="s">
        <v>27</v>
      </c>
      <c r="Z27" s="37">
        <v>1313</v>
      </c>
      <c r="AA27" s="37">
        <v>159</v>
      </c>
      <c r="AB27" s="37">
        <v>6625</v>
      </c>
      <c r="AC27" s="37">
        <v>1154</v>
      </c>
    </row>
    <row r="28" spans="1:29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  <c r="H28" s="9">
        <f>Table27[[#This Row],[New_Followers]]-Table27[[#This Row],[Unfollows]]</f>
        <v>849</v>
      </c>
      <c r="K28" s="34" t="s">
        <v>13</v>
      </c>
      <c r="L28" s="35">
        <v>895</v>
      </c>
      <c r="M28" s="35">
        <v>87</v>
      </c>
      <c r="N28" s="35">
        <v>23329</v>
      </c>
      <c r="O28" s="35">
        <v>808</v>
      </c>
      <c r="R28" s="34" t="s">
        <v>22</v>
      </c>
      <c r="S28" s="35">
        <v>1027</v>
      </c>
      <c r="T28" s="35">
        <v>156</v>
      </c>
      <c r="U28" s="35">
        <v>7299</v>
      </c>
      <c r="V28" s="35">
        <v>871</v>
      </c>
      <c r="Y28" s="34" t="s">
        <v>27</v>
      </c>
      <c r="Z28" s="35">
        <v>990</v>
      </c>
      <c r="AA28" s="35">
        <v>286</v>
      </c>
      <c r="AB28" s="35">
        <v>14496</v>
      </c>
      <c r="AC28" s="35">
        <v>704</v>
      </c>
    </row>
    <row r="29" spans="1:29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  <c r="H29" s="9">
        <f>Table27[[#This Row],[New_Followers]]-Table27[[#This Row],[Unfollows]]</f>
        <v>1353</v>
      </c>
      <c r="K29" s="36" t="s">
        <v>13</v>
      </c>
      <c r="L29" s="37">
        <v>875</v>
      </c>
      <c r="M29" s="37">
        <v>264</v>
      </c>
      <c r="N29" s="37">
        <v>25703</v>
      </c>
      <c r="O29" s="37">
        <v>611</v>
      </c>
      <c r="R29" s="36" t="s">
        <v>22</v>
      </c>
      <c r="S29" s="37">
        <v>599</v>
      </c>
      <c r="T29" s="37">
        <v>194</v>
      </c>
      <c r="U29" s="37">
        <v>15108</v>
      </c>
      <c r="V29" s="37">
        <v>405</v>
      </c>
      <c r="Y29" s="36" t="s">
        <v>27</v>
      </c>
      <c r="Z29" s="37">
        <v>630</v>
      </c>
      <c r="AA29" s="37">
        <v>248</v>
      </c>
      <c r="AB29" s="37">
        <v>18867</v>
      </c>
      <c r="AC29" s="37">
        <v>382</v>
      </c>
    </row>
    <row r="30" spans="1:29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  <c r="H30" s="9">
        <f>Table27[[#This Row],[New_Followers]]-Table27[[#This Row],[Unfollows]]</f>
        <v>582</v>
      </c>
      <c r="K30" s="34" t="s">
        <v>13</v>
      </c>
      <c r="L30" s="35">
        <v>1350</v>
      </c>
      <c r="M30" s="35">
        <v>233</v>
      </c>
      <c r="N30" s="35">
        <v>17574</v>
      </c>
      <c r="O30" s="35">
        <v>1117</v>
      </c>
      <c r="R30" s="34" t="s">
        <v>22</v>
      </c>
      <c r="S30" s="35">
        <v>632</v>
      </c>
      <c r="T30" s="35">
        <v>155</v>
      </c>
      <c r="U30" s="35">
        <v>12840</v>
      </c>
      <c r="V30" s="35">
        <v>477</v>
      </c>
      <c r="Y30" s="34" t="s">
        <v>27</v>
      </c>
      <c r="Z30" s="35">
        <v>1182</v>
      </c>
      <c r="AA30" s="35">
        <v>83</v>
      </c>
      <c r="AB30" s="35">
        <v>21079</v>
      </c>
      <c r="AC30" s="35">
        <v>1099</v>
      </c>
    </row>
    <row r="31" spans="1:29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  <c r="H31" s="9">
        <f>Table27[[#This Row],[New_Followers]]-Table27[[#This Row],[Unfollows]]</f>
        <v>758</v>
      </c>
      <c r="K31" s="36" t="s">
        <v>13</v>
      </c>
      <c r="L31" s="37">
        <v>661</v>
      </c>
      <c r="M31" s="37">
        <v>94</v>
      </c>
      <c r="N31" s="37">
        <v>23486</v>
      </c>
      <c r="O31" s="37">
        <v>567</v>
      </c>
      <c r="R31" s="36" t="s">
        <v>22</v>
      </c>
      <c r="S31" s="37">
        <v>1360</v>
      </c>
      <c r="T31" s="37">
        <v>227</v>
      </c>
      <c r="U31" s="37">
        <v>5960</v>
      </c>
      <c r="V31" s="37">
        <v>1133</v>
      </c>
      <c r="Y31" s="36" t="s">
        <v>27</v>
      </c>
      <c r="Z31" s="37">
        <v>935</v>
      </c>
      <c r="AA31" s="37">
        <v>85</v>
      </c>
      <c r="AB31" s="37">
        <v>13301</v>
      </c>
      <c r="AC31" s="37">
        <v>850</v>
      </c>
    </row>
    <row r="32" spans="1:29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  <c r="H32" s="9">
        <f>Table27[[#This Row],[New_Followers]]-Table27[[#This Row],[Unfollows]]</f>
        <v>977</v>
      </c>
      <c r="K32" s="34" t="s">
        <v>13</v>
      </c>
      <c r="L32" s="35">
        <v>664</v>
      </c>
      <c r="M32" s="35">
        <v>251</v>
      </c>
      <c r="N32" s="35">
        <v>10563</v>
      </c>
      <c r="O32" s="35">
        <v>413</v>
      </c>
      <c r="R32" s="34" t="s">
        <v>22</v>
      </c>
      <c r="S32" s="35">
        <v>1490</v>
      </c>
      <c r="T32" s="35">
        <v>103</v>
      </c>
      <c r="U32" s="35">
        <v>19949</v>
      </c>
      <c r="V32" s="35">
        <v>1387</v>
      </c>
      <c r="Y32" s="34" t="s">
        <v>27</v>
      </c>
      <c r="Z32" s="35">
        <v>601</v>
      </c>
      <c r="AA32" s="35">
        <v>64</v>
      </c>
      <c r="AB32" s="35">
        <v>14273</v>
      </c>
      <c r="AC32" s="35">
        <v>537</v>
      </c>
    </row>
    <row r="33" spans="1:29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  <c r="H33" s="9">
        <f>Table27[[#This Row],[New_Followers]]-Table27[[#This Row],[Unfollows]]</f>
        <v>1191</v>
      </c>
      <c r="K33" s="36" t="s">
        <v>13</v>
      </c>
      <c r="L33" s="37">
        <v>613</v>
      </c>
      <c r="M33" s="37">
        <v>170</v>
      </c>
      <c r="N33" s="37">
        <v>9247</v>
      </c>
      <c r="O33" s="37">
        <v>443</v>
      </c>
      <c r="R33" s="36" t="s">
        <v>22</v>
      </c>
      <c r="S33" s="37">
        <v>1340</v>
      </c>
      <c r="T33" s="37">
        <v>57</v>
      </c>
      <c r="U33" s="37">
        <v>11972</v>
      </c>
      <c r="V33" s="37">
        <v>1283</v>
      </c>
      <c r="Y33" s="36" t="s">
        <v>27</v>
      </c>
      <c r="Z33" s="37">
        <v>953</v>
      </c>
      <c r="AA33" s="37">
        <v>228</v>
      </c>
      <c r="AB33" s="37">
        <v>13314</v>
      </c>
      <c r="AC33" s="37">
        <v>725</v>
      </c>
    </row>
    <row r="34" spans="1:29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  <c r="H34" s="9">
        <f>Table27[[#This Row],[New_Followers]]-Table27[[#This Row],[Unfollows]]</f>
        <v>904</v>
      </c>
      <c r="K34" s="34" t="s">
        <v>13</v>
      </c>
      <c r="L34" s="35">
        <v>532</v>
      </c>
      <c r="M34" s="35">
        <v>65</v>
      </c>
      <c r="N34" s="35">
        <v>14749</v>
      </c>
      <c r="O34" s="35">
        <v>467</v>
      </c>
      <c r="R34" s="34" t="s">
        <v>22</v>
      </c>
      <c r="S34" s="35">
        <v>1414</v>
      </c>
      <c r="T34" s="35">
        <v>60</v>
      </c>
      <c r="U34" s="35">
        <v>6868</v>
      </c>
      <c r="V34" s="35">
        <v>1354</v>
      </c>
      <c r="Y34" s="34" t="s">
        <v>27</v>
      </c>
      <c r="Z34" s="35">
        <v>685</v>
      </c>
      <c r="AA34" s="35">
        <v>165</v>
      </c>
      <c r="AB34" s="35">
        <v>6027</v>
      </c>
      <c r="AC34" s="35">
        <v>520</v>
      </c>
    </row>
    <row r="35" spans="1:29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  <c r="H35" s="9">
        <f>Table27[[#This Row],[New_Followers]]-Table27[[#This Row],[Unfollows]]</f>
        <v>909</v>
      </c>
      <c r="K35" s="36" t="s">
        <v>13</v>
      </c>
      <c r="L35" s="37">
        <v>601</v>
      </c>
      <c r="M35" s="37">
        <v>159</v>
      </c>
      <c r="N35" s="37">
        <v>25267</v>
      </c>
      <c r="O35" s="37">
        <v>442</v>
      </c>
      <c r="R35" s="36" t="s">
        <v>22</v>
      </c>
      <c r="S35" s="37">
        <v>841</v>
      </c>
      <c r="T35" s="37">
        <v>295</v>
      </c>
      <c r="U35" s="37">
        <v>5900</v>
      </c>
      <c r="V35" s="37">
        <v>546</v>
      </c>
      <c r="Y35" s="36" t="s">
        <v>27</v>
      </c>
      <c r="Z35" s="37">
        <v>1105</v>
      </c>
      <c r="AA35" s="37">
        <v>261</v>
      </c>
      <c r="AB35" s="37">
        <v>11181</v>
      </c>
      <c r="AC35" s="37">
        <v>844</v>
      </c>
    </row>
    <row r="36" spans="1:29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  <c r="H36" s="9">
        <f>Table27[[#This Row],[New_Followers]]-Table27[[#This Row],[Unfollows]]</f>
        <v>382</v>
      </c>
      <c r="K36" s="34" t="s">
        <v>13</v>
      </c>
      <c r="L36" s="35">
        <v>566</v>
      </c>
      <c r="M36" s="35">
        <v>225</v>
      </c>
      <c r="N36" s="35">
        <v>9592</v>
      </c>
      <c r="O36" s="35">
        <v>341</v>
      </c>
      <c r="R36" s="34" t="s">
        <v>22</v>
      </c>
      <c r="S36" s="35">
        <v>1149</v>
      </c>
      <c r="T36" s="35">
        <v>280</v>
      </c>
      <c r="U36" s="35">
        <v>5291</v>
      </c>
      <c r="V36" s="35">
        <v>869</v>
      </c>
      <c r="Y36" s="34" t="s">
        <v>27</v>
      </c>
      <c r="Z36" s="35">
        <v>819</v>
      </c>
      <c r="AA36" s="35">
        <v>101</v>
      </c>
      <c r="AB36" s="35">
        <v>22244</v>
      </c>
      <c r="AC36" s="35">
        <v>718</v>
      </c>
    </row>
    <row r="37" spans="1:29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  <c r="H37" s="9">
        <f>Table27[[#This Row],[New_Followers]]-Table27[[#This Row],[Unfollows]]</f>
        <v>1009</v>
      </c>
      <c r="K37" s="36" t="s">
        <v>13</v>
      </c>
      <c r="L37" s="37">
        <v>795</v>
      </c>
      <c r="M37" s="37">
        <v>60</v>
      </c>
      <c r="N37" s="37">
        <v>6824</v>
      </c>
      <c r="O37" s="37">
        <v>735</v>
      </c>
      <c r="R37" s="36" t="s">
        <v>22</v>
      </c>
      <c r="S37" s="37">
        <v>681</v>
      </c>
      <c r="T37" s="37">
        <v>158</v>
      </c>
      <c r="U37" s="37">
        <v>24112</v>
      </c>
      <c r="V37" s="37">
        <v>523</v>
      </c>
      <c r="Y37" s="36" t="s">
        <v>27</v>
      </c>
      <c r="Z37" s="37">
        <v>534</v>
      </c>
      <c r="AA37" s="37">
        <v>112</v>
      </c>
      <c r="AB37" s="37">
        <v>25478</v>
      </c>
      <c r="AC37" s="37">
        <v>422</v>
      </c>
    </row>
    <row r="38" spans="1:29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  <c r="H38" s="9">
        <f>Table27[[#This Row],[New_Followers]]-Table27[[#This Row],[Unfollows]]</f>
        <v>1022</v>
      </c>
      <c r="K38" s="34" t="s">
        <v>13</v>
      </c>
      <c r="L38" s="35">
        <v>1066</v>
      </c>
      <c r="M38" s="35">
        <v>151</v>
      </c>
      <c r="N38" s="35">
        <v>11235</v>
      </c>
      <c r="O38" s="35">
        <v>915</v>
      </c>
      <c r="R38" s="34" t="s">
        <v>22</v>
      </c>
      <c r="S38" s="35">
        <v>1270</v>
      </c>
      <c r="T38" s="35">
        <v>162</v>
      </c>
      <c r="U38" s="35">
        <v>6120</v>
      </c>
      <c r="V38" s="35">
        <v>1108</v>
      </c>
      <c r="Y38" s="34" t="s">
        <v>27</v>
      </c>
      <c r="Z38" s="35">
        <v>536</v>
      </c>
      <c r="AA38" s="35">
        <v>198</v>
      </c>
      <c r="AB38" s="35">
        <v>20572</v>
      </c>
      <c r="AC38" s="35">
        <v>338</v>
      </c>
    </row>
    <row r="39" spans="1:29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  <c r="H39" s="9">
        <f>Table27[[#This Row],[New_Followers]]-Table27[[#This Row],[Unfollows]]</f>
        <v>262</v>
      </c>
      <c r="K39" s="36" t="s">
        <v>13</v>
      </c>
      <c r="L39" s="37">
        <v>819</v>
      </c>
      <c r="M39" s="37">
        <v>95</v>
      </c>
      <c r="N39" s="37">
        <v>14975</v>
      </c>
      <c r="O39" s="37">
        <v>724</v>
      </c>
      <c r="R39" s="36" t="s">
        <v>22</v>
      </c>
      <c r="S39" s="37">
        <v>681</v>
      </c>
      <c r="T39" s="37">
        <v>218</v>
      </c>
      <c r="U39" s="37">
        <v>22234</v>
      </c>
      <c r="V39" s="37">
        <v>463</v>
      </c>
      <c r="Y39" s="36" t="s">
        <v>27</v>
      </c>
      <c r="Z39" s="37">
        <v>646</v>
      </c>
      <c r="AA39" s="37">
        <v>290</v>
      </c>
      <c r="AB39" s="37">
        <v>6532</v>
      </c>
      <c r="AC39" s="37">
        <v>356</v>
      </c>
    </row>
    <row r="40" spans="1:29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  <c r="H40" s="9">
        <f>Table27[[#This Row],[New_Followers]]-Table27[[#This Row],[Unfollows]]</f>
        <v>1166</v>
      </c>
      <c r="K40" s="34" t="s">
        <v>13</v>
      </c>
      <c r="L40" s="35">
        <v>645</v>
      </c>
      <c r="M40" s="35">
        <v>267</v>
      </c>
      <c r="N40" s="35">
        <v>24858</v>
      </c>
      <c r="O40" s="35">
        <v>378</v>
      </c>
      <c r="R40" s="34" t="s">
        <v>22</v>
      </c>
      <c r="S40" s="35">
        <v>886</v>
      </c>
      <c r="T40" s="35">
        <v>250</v>
      </c>
      <c r="U40" s="35">
        <v>13883</v>
      </c>
      <c r="V40" s="35">
        <v>636</v>
      </c>
      <c r="Y40" s="34" t="s">
        <v>27</v>
      </c>
      <c r="Z40" s="35">
        <v>978</v>
      </c>
      <c r="AA40" s="35">
        <v>279</v>
      </c>
      <c r="AB40" s="35">
        <v>18654</v>
      </c>
      <c r="AC40" s="35">
        <v>699</v>
      </c>
    </row>
    <row r="41" spans="1:29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  <c r="H41" s="9">
        <f>Table27[[#This Row],[New_Followers]]-Table27[[#This Row],[Unfollows]]</f>
        <v>515</v>
      </c>
      <c r="K41" s="36" t="s">
        <v>13</v>
      </c>
      <c r="L41" s="37">
        <v>1444</v>
      </c>
      <c r="M41" s="37">
        <v>165</v>
      </c>
      <c r="N41" s="37">
        <v>25234</v>
      </c>
      <c r="O41" s="37">
        <v>1279</v>
      </c>
      <c r="R41" s="36" t="s">
        <v>22</v>
      </c>
      <c r="S41" s="37">
        <v>1234</v>
      </c>
      <c r="T41" s="37">
        <v>228</v>
      </c>
      <c r="U41" s="37">
        <v>6772</v>
      </c>
      <c r="V41" s="37">
        <v>1006</v>
      </c>
      <c r="Y41" s="36" t="s">
        <v>27</v>
      </c>
      <c r="Z41" s="37">
        <v>665</v>
      </c>
      <c r="AA41" s="37">
        <v>187</v>
      </c>
      <c r="AB41" s="37">
        <v>22428</v>
      </c>
      <c r="AC41" s="37">
        <v>478</v>
      </c>
    </row>
    <row r="42" spans="1:29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  <c r="H42" s="9">
        <f>Table27[[#This Row],[New_Followers]]-Table27[[#This Row],[Unfollows]]</f>
        <v>956</v>
      </c>
      <c r="K42" s="34" t="s">
        <v>13</v>
      </c>
      <c r="L42" s="35">
        <v>631</v>
      </c>
      <c r="M42" s="35">
        <v>86</v>
      </c>
      <c r="N42" s="35">
        <v>11911</v>
      </c>
      <c r="O42" s="35">
        <v>545</v>
      </c>
      <c r="R42" s="34" t="s">
        <v>22</v>
      </c>
      <c r="S42" s="35">
        <v>1159</v>
      </c>
      <c r="T42" s="35">
        <v>154</v>
      </c>
      <c r="U42" s="35">
        <v>21900</v>
      </c>
      <c r="V42" s="35">
        <v>1005</v>
      </c>
      <c r="Y42" s="34" t="s">
        <v>27</v>
      </c>
      <c r="Z42" s="35">
        <v>950</v>
      </c>
      <c r="AA42" s="35">
        <v>185</v>
      </c>
      <c r="AB42" s="35">
        <v>25542</v>
      </c>
      <c r="AC42" s="35">
        <v>765</v>
      </c>
    </row>
    <row r="43" spans="1:29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  <c r="H43" s="9">
        <f>Table27[[#This Row],[New_Followers]]-Table27[[#This Row],[Unfollows]]</f>
        <v>1031</v>
      </c>
      <c r="K43" s="36" t="s">
        <v>13</v>
      </c>
      <c r="L43" s="37">
        <v>693</v>
      </c>
      <c r="M43" s="37">
        <v>129</v>
      </c>
      <c r="N43" s="37">
        <v>7140</v>
      </c>
      <c r="O43" s="37">
        <v>564</v>
      </c>
      <c r="R43" s="36" t="s">
        <v>22</v>
      </c>
      <c r="S43" s="37">
        <v>576</v>
      </c>
      <c r="T43" s="37">
        <v>80</v>
      </c>
      <c r="U43" s="37">
        <v>20474</v>
      </c>
      <c r="V43" s="37">
        <v>496</v>
      </c>
      <c r="Y43" s="36" t="s">
        <v>27</v>
      </c>
      <c r="Z43" s="37">
        <v>1274</v>
      </c>
      <c r="AA43" s="37">
        <v>146</v>
      </c>
      <c r="AB43" s="37">
        <v>8698</v>
      </c>
      <c r="AC43" s="37">
        <v>1128</v>
      </c>
    </row>
    <row r="44" spans="1:29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  <c r="H44" s="9">
        <f>Table27[[#This Row],[New_Followers]]-Table27[[#This Row],[Unfollows]]</f>
        <v>637</v>
      </c>
      <c r="K44" s="34" t="s">
        <v>13</v>
      </c>
      <c r="L44" s="35">
        <v>818</v>
      </c>
      <c r="M44" s="35">
        <v>253</v>
      </c>
      <c r="N44" s="35">
        <v>10402</v>
      </c>
      <c r="O44" s="35">
        <v>565</v>
      </c>
      <c r="R44" s="34" t="s">
        <v>22</v>
      </c>
      <c r="S44" s="35">
        <v>975</v>
      </c>
      <c r="T44" s="35">
        <v>162</v>
      </c>
      <c r="U44" s="35">
        <v>26618</v>
      </c>
      <c r="V44" s="35">
        <v>813</v>
      </c>
      <c r="Y44" s="34" t="s">
        <v>27</v>
      </c>
      <c r="Z44" s="35">
        <v>1398</v>
      </c>
      <c r="AA44" s="35">
        <v>97</v>
      </c>
      <c r="AB44" s="35">
        <v>7975</v>
      </c>
      <c r="AC44" s="35">
        <v>1301</v>
      </c>
    </row>
    <row r="45" spans="1:29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  <c r="H45" s="9">
        <f>Table27[[#This Row],[New_Followers]]-Table27[[#This Row],[Unfollows]]</f>
        <v>1268</v>
      </c>
      <c r="K45" s="36" t="s">
        <v>13</v>
      </c>
      <c r="L45" s="37">
        <v>591</v>
      </c>
      <c r="M45" s="37">
        <v>155</v>
      </c>
      <c r="N45" s="37">
        <v>19054</v>
      </c>
      <c r="O45" s="37">
        <v>436</v>
      </c>
      <c r="R45" s="36" t="s">
        <v>22</v>
      </c>
      <c r="S45" s="37">
        <v>1232</v>
      </c>
      <c r="T45" s="37">
        <v>254</v>
      </c>
      <c r="U45" s="37">
        <v>13740</v>
      </c>
      <c r="V45" s="37">
        <v>978</v>
      </c>
      <c r="Y45" s="36" t="s">
        <v>27</v>
      </c>
      <c r="Z45" s="37">
        <v>1425</v>
      </c>
      <c r="AA45" s="37">
        <v>58</v>
      </c>
      <c r="AB45" s="37">
        <v>18442</v>
      </c>
      <c r="AC45" s="37">
        <v>1367</v>
      </c>
    </row>
    <row r="46" spans="1:29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  <c r="H46" s="9">
        <f>Table27[[#This Row],[New_Followers]]-Table27[[#This Row],[Unfollows]]</f>
        <v>725</v>
      </c>
      <c r="K46" s="34" t="s">
        <v>13</v>
      </c>
      <c r="L46" s="35">
        <v>1417</v>
      </c>
      <c r="M46" s="35">
        <v>80</v>
      </c>
      <c r="N46" s="35">
        <v>10104</v>
      </c>
      <c r="O46" s="35">
        <v>1337</v>
      </c>
      <c r="R46" s="34" t="s">
        <v>22</v>
      </c>
      <c r="S46" s="35">
        <v>1222</v>
      </c>
      <c r="T46" s="35">
        <v>208</v>
      </c>
      <c r="U46" s="35">
        <v>21771</v>
      </c>
      <c r="V46" s="35">
        <v>1014</v>
      </c>
      <c r="Y46" s="34" t="s">
        <v>27</v>
      </c>
      <c r="Z46" s="35">
        <v>1071</v>
      </c>
      <c r="AA46" s="35">
        <v>131</v>
      </c>
      <c r="AB46" s="35">
        <v>22191</v>
      </c>
      <c r="AC46" s="35">
        <v>940</v>
      </c>
    </row>
    <row r="47" spans="1:29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  <c r="H47" s="9">
        <f>Table27[[#This Row],[New_Followers]]-Table27[[#This Row],[Unfollows]]</f>
        <v>471</v>
      </c>
      <c r="K47" s="36" t="s">
        <v>13</v>
      </c>
      <c r="L47" s="37">
        <v>772</v>
      </c>
      <c r="M47" s="37">
        <v>82</v>
      </c>
      <c r="N47" s="37">
        <v>27753</v>
      </c>
      <c r="O47" s="37">
        <v>690</v>
      </c>
      <c r="R47" s="36" t="s">
        <v>22</v>
      </c>
      <c r="S47" s="37">
        <v>1472</v>
      </c>
      <c r="T47" s="37">
        <v>137</v>
      </c>
      <c r="U47" s="37">
        <v>23736</v>
      </c>
      <c r="V47" s="37">
        <v>1335</v>
      </c>
      <c r="Y47" s="36" t="s">
        <v>27</v>
      </c>
      <c r="Z47" s="37">
        <v>1472</v>
      </c>
      <c r="AA47" s="37">
        <v>281</v>
      </c>
      <c r="AB47" s="37">
        <v>27393</v>
      </c>
      <c r="AC47" s="37">
        <v>1191</v>
      </c>
    </row>
    <row r="48" spans="1:29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  <c r="H48" s="9">
        <f>Table27[[#This Row],[New_Followers]]-Table27[[#This Row],[Unfollows]]</f>
        <v>1291</v>
      </c>
      <c r="K48" s="34" t="s">
        <v>13</v>
      </c>
      <c r="L48" s="35">
        <v>585</v>
      </c>
      <c r="M48" s="35">
        <v>232</v>
      </c>
      <c r="N48" s="35">
        <v>10343</v>
      </c>
      <c r="O48" s="35">
        <v>353</v>
      </c>
      <c r="R48" s="34" t="s">
        <v>22</v>
      </c>
      <c r="S48" s="35">
        <v>747</v>
      </c>
      <c r="T48" s="35">
        <v>261</v>
      </c>
      <c r="U48" s="35">
        <v>25259</v>
      </c>
      <c r="V48" s="35">
        <v>486</v>
      </c>
      <c r="Y48" s="34" t="s">
        <v>27</v>
      </c>
      <c r="Z48" s="35">
        <v>1113</v>
      </c>
      <c r="AA48" s="35">
        <v>224</v>
      </c>
      <c r="AB48" s="35">
        <v>24827</v>
      </c>
      <c r="AC48" s="35">
        <v>889</v>
      </c>
    </row>
    <row r="49" spans="1:29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  <c r="H49" s="9">
        <f>Table27[[#This Row],[New_Followers]]-Table27[[#This Row],[Unfollows]]</f>
        <v>400</v>
      </c>
      <c r="K49" s="36" t="s">
        <v>13</v>
      </c>
      <c r="L49" s="37">
        <v>1100</v>
      </c>
      <c r="M49" s="37">
        <v>117</v>
      </c>
      <c r="N49" s="37">
        <v>11908</v>
      </c>
      <c r="O49" s="37">
        <v>983</v>
      </c>
      <c r="R49" s="36" t="s">
        <v>22</v>
      </c>
      <c r="S49" s="37">
        <v>751</v>
      </c>
      <c r="T49" s="37">
        <v>170</v>
      </c>
      <c r="U49" s="37">
        <v>11005</v>
      </c>
      <c r="V49" s="37">
        <v>581</v>
      </c>
      <c r="Y49" s="36" t="s">
        <v>27</v>
      </c>
      <c r="Z49" s="37">
        <v>864</v>
      </c>
      <c r="AA49" s="37">
        <v>50</v>
      </c>
      <c r="AB49" s="37">
        <v>26333</v>
      </c>
      <c r="AC49" s="37">
        <v>814</v>
      </c>
    </row>
    <row r="50" spans="1:29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  <c r="H50" s="9">
        <f>Table27[[#This Row],[New_Followers]]-Table27[[#This Row],[Unfollows]]</f>
        <v>1113</v>
      </c>
      <c r="K50" s="34" t="s">
        <v>13</v>
      </c>
      <c r="L50" s="35">
        <v>1146</v>
      </c>
      <c r="M50" s="35">
        <v>227</v>
      </c>
      <c r="N50" s="35">
        <v>5495</v>
      </c>
      <c r="O50" s="35">
        <v>919</v>
      </c>
      <c r="R50" s="34" t="s">
        <v>22</v>
      </c>
      <c r="S50" s="35">
        <v>883</v>
      </c>
      <c r="T50" s="35">
        <v>207</v>
      </c>
      <c r="U50" s="35">
        <v>15655</v>
      </c>
      <c r="V50" s="35">
        <v>676</v>
      </c>
      <c r="Y50" s="34" t="s">
        <v>27</v>
      </c>
      <c r="Z50" s="35">
        <v>622</v>
      </c>
      <c r="AA50" s="35">
        <v>163</v>
      </c>
      <c r="AB50" s="35">
        <v>13763</v>
      </c>
      <c r="AC50" s="35">
        <v>459</v>
      </c>
    </row>
    <row r="51" spans="1:29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  <c r="H51" s="9">
        <f>Table27[[#This Row],[New_Followers]]-Table27[[#This Row],[Unfollows]]</f>
        <v>1198</v>
      </c>
      <c r="K51" s="36" t="s">
        <v>13</v>
      </c>
      <c r="L51" s="37">
        <v>837</v>
      </c>
      <c r="M51" s="37">
        <v>261</v>
      </c>
      <c r="N51" s="37">
        <v>26073</v>
      </c>
      <c r="O51" s="37">
        <v>576</v>
      </c>
      <c r="R51" s="36" t="s">
        <v>22</v>
      </c>
      <c r="S51" s="37">
        <v>544</v>
      </c>
      <c r="T51" s="37">
        <v>97</v>
      </c>
      <c r="U51" s="37">
        <v>12774</v>
      </c>
      <c r="V51" s="37">
        <v>447</v>
      </c>
      <c r="Y51" s="36" t="s">
        <v>27</v>
      </c>
      <c r="Z51" s="37">
        <v>624</v>
      </c>
      <c r="AA51" s="37">
        <v>247</v>
      </c>
      <c r="AB51" s="37">
        <v>19000</v>
      </c>
      <c r="AC51" s="37">
        <v>377</v>
      </c>
    </row>
    <row r="52" spans="1:29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  <c r="H52" s="9">
        <f>Table27[[#This Row],[New_Followers]]-Table27[[#This Row],[Unfollows]]</f>
        <v>474</v>
      </c>
      <c r="K52" s="34" t="s">
        <v>13</v>
      </c>
      <c r="L52" s="35">
        <v>1073</v>
      </c>
      <c r="M52" s="35">
        <v>141</v>
      </c>
      <c r="N52" s="35">
        <v>14051</v>
      </c>
      <c r="O52" s="35">
        <v>932</v>
      </c>
      <c r="R52" s="34" t="s">
        <v>22</v>
      </c>
      <c r="S52" s="35">
        <v>1430</v>
      </c>
      <c r="T52" s="35">
        <v>74</v>
      </c>
      <c r="U52" s="35">
        <v>27782</v>
      </c>
      <c r="V52" s="35">
        <v>1356</v>
      </c>
      <c r="Y52" s="34" t="s">
        <v>27</v>
      </c>
      <c r="Z52" s="35">
        <v>1358</v>
      </c>
      <c r="AA52" s="35">
        <v>77</v>
      </c>
      <c r="AB52" s="35">
        <v>7859</v>
      </c>
      <c r="AC52" s="35">
        <v>1281</v>
      </c>
    </row>
    <row r="53" spans="1:29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  <c r="H53" s="9">
        <f>Table27[[#This Row],[New_Followers]]-Table27[[#This Row],[Unfollows]]</f>
        <v>1132</v>
      </c>
      <c r="K53" s="36" t="s">
        <v>13</v>
      </c>
      <c r="L53" s="37">
        <v>1242</v>
      </c>
      <c r="M53" s="37">
        <v>201</v>
      </c>
      <c r="N53" s="37">
        <v>15773</v>
      </c>
      <c r="O53" s="37">
        <v>1041</v>
      </c>
      <c r="R53" s="36" t="s">
        <v>22</v>
      </c>
      <c r="S53" s="37">
        <v>1389</v>
      </c>
      <c r="T53" s="37">
        <v>205</v>
      </c>
      <c r="U53" s="37">
        <v>20595</v>
      </c>
      <c r="V53" s="37">
        <v>1184</v>
      </c>
      <c r="Y53" s="36" t="s">
        <v>27</v>
      </c>
      <c r="Z53" s="37">
        <v>826</v>
      </c>
      <c r="AA53" s="37">
        <v>142</v>
      </c>
      <c r="AB53" s="37">
        <v>12031</v>
      </c>
      <c r="AC53" s="37">
        <v>684</v>
      </c>
    </row>
    <row r="54" spans="1:29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  <c r="H54" s="9">
        <f>Table27[[#This Row],[New_Followers]]-Table27[[#This Row],[Unfollows]]</f>
        <v>844</v>
      </c>
      <c r="K54" s="34" t="s">
        <v>13</v>
      </c>
      <c r="L54" s="35">
        <v>618</v>
      </c>
      <c r="M54" s="35">
        <v>264</v>
      </c>
      <c r="N54" s="35">
        <v>15128</v>
      </c>
      <c r="O54" s="35">
        <v>354</v>
      </c>
      <c r="R54" s="34" t="s">
        <v>22</v>
      </c>
      <c r="S54" s="35">
        <v>1419</v>
      </c>
      <c r="T54" s="35">
        <v>293</v>
      </c>
      <c r="U54" s="35">
        <v>11826</v>
      </c>
      <c r="V54" s="35">
        <v>1126</v>
      </c>
      <c r="Y54" s="34" t="s">
        <v>27</v>
      </c>
      <c r="Z54" s="35">
        <v>637</v>
      </c>
      <c r="AA54" s="35">
        <v>68</v>
      </c>
      <c r="AB54" s="35">
        <v>12562</v>
      </c>
      <c r="AC54" s="35">
        <v>569</v>
      </c>
    </row>
    <row r="55" spans="1:29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  <c r="H55" s="9">
        <f>Table27[[#This Row],[New_Followers]]-Table27[[#This Row],[Unfollows]]</f>
        <v>1175</v>
      </c>
      <c r="K55" s="36" t="s">
        <v>13</v>
      </c>
      <c r="L55" s="37">
        <v>917</v>
      </c>
      <c r="M55" s="37">
        <v>187</v>
      </c>
      <c r="N55" s="37">
        <v>13013</v>
      </c>
      <c r="O55" s="37">
        <v>730</v>
      </c>
      <c r="R55" s="36" t="s">
        <v>22</v>
      </c>
      <c r="S55" s="37">
        <v>810</v>
      </c>
      <c r="T55" s="37">
        <v>232</v>
      </c>
      <c r="U55" s="37">
        <v>12937</v>
      </c>
      <c r="V55" s="37">
        <v>578</v>
      </c>
      <c r="Y55" s="36" t="s">
        <v>27</v>
      </c>
      <c r="Z55" s="37">
        <v>1183</v>
      </c>
      <c r="AA55" s="37">
        <v>248</v>
      </c>
      <c r="AB55" s="37">
        <v>14534</v>
      </c>
      <c r="AC55" s="37">
        <v>935</v>
      </c>
    </row>
    <row r="56" spans="1:29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  <c r="H56" s="9">
        <f>Table27[[#This Row],[New_Followers]]-Table27[[#This Row],[Unfollows]]</f>
        <v>559</v>
      </c>
      <c r="K56" s="34" t="s">
        <v>13</v>
      </c>
      <c r="L56" s="35">
        <v>765</v>
      </c>
      <c r="M56" s="35">
        <v>67</v>
      </c>
      <c r="N56" s="35">
        <v>8182</v>
      </c>
      <c r="O56" s="35">
        <v>698</v>
      </c>
      <c r="R56" s="34" t="s">
        <v>22</v>
      </c>
      <c r="S56" s="35">
        <v>540</v>
      </c>
      <c r="T56" s="35">
        <v>215</v>
      </c>
      <c r="U56" s="35">
        <v>10615</v>
      </c>
      <c r="V56" s="35">
        <v>325</v>
      </c>
      <c r="Y56" s="34" t="s">
        <v>27</v>
      </c>
      <c r="Z56" s="35">
        <v>1145</v>
      </c>
      <c r="AA56" s="35">
        <v>151</v>
      </c>
      <c r="AB56" s="35">
        <v>20109</v>
      </c>
      <c r="AC56" s="35">
        <v>994</v>
      </c>
    </row>
    <row r="57" spans="1:29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  <c r="H57" s="9">
        <f>Table27[[#This Row],[New_Followers]]-Table27[[#This Row],[Unfollows]]</f>
        <v>554</v>
      </c>
      <c r="K57" s="36" t="s">
        <v>13</v>
      </c>
      <c r="L57" s="37">
        <v>564</v>
      </c>
      <c r="M57" s="37">
        <v>244</v>
      </c>
      <c r="N57" s="37">
        <v>26024</v>
      </c>
      <c r="O57" s="37">
        <v>320</v>
      </c>
      <c r="R57" s="36" t="s">
        <v>22</v>
      </c>
      <c r="S57" s="37">
        <v>668</v>
      </c>
      <c r="T57" s="37">
        <v>124</v>
      </c>
      <c r="U57" s="37">
        <v>26730</v>
      </c>
      <c r="V57" s="37">
        <v>544</v>
      </c>
      <c r="Y57" s="36" t="s">
        <v>27</v>
      </c>
      <c r="Z57" s="37">
        <v>761</v>
      </c>
      <c r="AA57" s="37">
        <v>241</v>
      </c>
      <c r="AB57" s="37">
        <v>10563</v>
      </c>
      <c r="AC57" s="37">
        <v>520</v>
      </c>
    </row>
    <row r="58" spans="1:29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  <c r="H58" s="9">
        <f>Table27[[#This Row],[New_Followers]]-Table27[[#This Row],[Unfollows]]</f>
        <v>1225</v>
      </c>
      <c r="K58" s="34" t="s">
        <v>13</v>
      </c>
      <c r="L58" s="35">
        <v>593</v>
      </c>
      <c r="M58" s="35">
        <v>108</v>
      </c>
      <c r="N58" s="35">
        <v>27575</v>
      </c>
      <c r="O58" s="35">
        <v>485</v>
      </c>
      <c r="R58" s="34" t="s">
        <v>22</v>
      </c>
      <c r="S58" s="35">
        <v>1349</v>
      </c>
      <c r="T58" s="35">
        <v>115</v>
      </c>
      <c r="U58" s="35">
        <v>14479</v>
      </c>
      <c r="V58" s="35">
        <v>1234</v>
      </c>
      <c r="Y58" s="34" t="s">
        <v>27</v>
      </c>
      <c r="Z58" s="35">
        <v>693</v>
      </c>
      <c r="AA58" s="35">
        <v>97</v>
      </c>
      <c r="AB58" s="35">
        <v>15915</v>
      </c>
      <c r="AC58" s="35">
        <v>596</v>
      </c>
    </row>
    <row r="59" spans="1:29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  <c r="H59" s="9">
        <f>Table27[[#This Row],[New_Followers]]-Table27[[#This Row],[Unfollows]]</f>
        <v>892</v>
      </c>
      <c r="K59" s="36" t="s">
        <v>13</v>
      </c>
      <c r="L59" s="37">
        <v>974</v>
      </c>
      <c r="M59" s="37">
        <v>143</v>
      </c>
      <c r="N59" s="37">
        <v>12767</v>
      </c>
      <c r="O59" s="37">
        <v>831</v>
      </c>
      <c r="R59" s="36" t="s">
        <v>22</v>
      </c>
      <c r="S59" s="37">
        <v>1155</v>
      </c>
      <c r="T59" s="37">
        <v>122</v>
      </c>
      <c r="U59" s="37">
        <v>12170</v>
      </c>
      <c r="V59" s="37">
        <v>1033</v>
      </c>
      <c r="Y59" s="36" t="s">
        <v>27</v>
      </c>
      <c r="Z59" s="37">
        <v>1051</v>
      </c>
      <c r="AA59" s="37">
        <v>246</v>
      </c>
      <c r="AB59" s="37">
        <v>7245</v>
      </c>
      <c r="AC59" s="37">
        <v>805</v>
      </c>
    </row>
    <row r="60" spans="1:29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  <c r="H60" s="9">
        <f>Table27[[#This Row],[New_Followers]]-Table27[[#This Row],[Unfollows]]</f>
        <v>536</v>
      </c>
      <c r="K60" s="34" t="s">
        <v>13</v>
      </c>
      <c r="L60" s="35">
        <v>1457</v>
      </c>
      <c r="M60" s="35">
        <v>183</v>
      </c>
      <c r="N60" s="35">
        <v>12985</v>
      </c>
      <c r="O60" s="35">
        <v>1274</v>
      </c>
      <c r="R60" s="34" t="s">
        <v>22</v>
      </c>
      <c r="S60" s="35">
        <v>670</v>
      </c>
      <c r="T60" s="35">
        <v>242</v>
      </c>
      <c r="U60" s="35">
        <v>16377</v>
      </c>
      <c r="V60" s="35">
        <v>428</v>
      </c>
      <c r="Y60" s="34" t="s">
        <v>27</v>
      </c>
      <c r="Z60" s="35">
        <v>1111</v>
      </c>
      <c r="AA60" s="35">
        <v>159</v>
      </c>
      <c r="AB60" s="35">
        <v>11453</v>
      </c>
      <c r="AC60" s="35">
        <v>952</v>
      </c>
    </row>
    <row r="61" spans="1:29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  <c r="H61" s="9">
        <f>Table27[[#This Row],[New_Followers]]-Table27[[#This Row],[Unfollows]]</f>
        <v>1242</v>
      </c>
      <c r="K61" s="36" t="s">
        <v>13</v>
      </c>
      <c r="L61" s="37">
        <v>1197</v>
      </c>
      <c r="M61" s="37">
        <v>246</v>
      </c>
      <c r="N61" s="37">
        <v>12323</v>
      </c>
      <c r="O61" s="37">
        <v>951</v>
      </c>
      <c r="R61" s="36" t="s">
        <v>22</v>
      </c>
      <c r="S61" s="37">
        <v>754</v>
      </c>
      <c r="T61" s="37">
        <v>150</v>
      </c>
      <c r="U61" s="37">
        <v>11911</v>
      </c>
      <c r="V61" s="37">
        <v>604</v>
      </c>
      <c r="Y61" s="36" t="s">
        <v>27</v>
      </c>
      <c r="Z61" s="37">
        <v>1246</v>
      </c>
      <c r="AA61" s="37">
        <v>107</v>
      </c>
      <c r="AB61" s="37">
        <v>27809</v>
      </c>
      <c r="AC61" s="37">
        <v>1139</v>
      </c>
    </row>
    <row r="62" spans="1:29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  <c r="H62" s="9">
        <f>Table27[[#This Row],[New_Followers]]-Table27[[#This Row],[Unfollows]]</f>
        <v>948</v>
      </c>
      <c r="K62" s="34" t="s">
        <v>13</v>
      </c>
      <c r="L62" s="35">
        <v>780</v>
      </c>
      <c r="M62" s="35">
        <v>213</v>
      </c>
      <c r="N62" s="35">
        <v>21464</v>
      </c>
      <c r="O62" s="35">
        <v>567</v>
      </c>
      <c r="R62" s="34" t="s">
        <v>22</v>
      </c>
      <c r="S62" s="35">
        <v>1425</v>
      </c>
      <c r="T62" s="35">
        <v>143</v>
      </c>
      <c r="U62" s="35">
        <v>27126</v>
      </c>
      <c r="V62" s="35">
        <v>1282</v>
      </c>
      <c r="Y62" s="34" t="s">
        <v>27</v>
      </c>
      <c r="Z62" s="35">
        <v>1490</v>
      </c>
      <c r="AA62" s="35">
        <v>103</v>
      </c>
      <c r="AB62" s="35">
        <v>10681</v>
      </c>
      <c r="AC62" s="35">
        <v>1387</v>
      </c>
    </row>
    <row r="63" spans="1:29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  <c r="H63" s="9">
        <f>Table27[[#This Row],[New_Followers]]-Table27[[#This Row],[Unfollows]]</f>
        <v>762</v>
      </c>
      <c r="K63" s="36" t="s">
        <v>13</v>
      </c>
      <c r="L63" s="37">
        <v>949</v>
      </c>
      <c r="M63" s="37">
        <v>282</v>
      </c>
      <c r="N63" s="37">
        <v>5413</v>
      </c>
      <c r="O63" s="37">
        <v>667</v>
      </c>
      <c r="R63" s="36" t="s">
        <v>22</v>
      </c>
      <c r="S63" s="37">
        <v>640</v>
      </c>
      <c r="T63" s="37">
        <v>141</v>
      </c>
      <c r="U63" s="37">
        <v>25058</v>
      </c>
      <c r="V63" s="37">
        <v>499</v>
      </c>
      <c r="Y63" s="36" t="s">
        <v>27</v>
      </c>
      <c r="Z63" s="37">
        <v>616</v>
      </c>
      <c r="AA63" s="37">
        <v>93</v>
      </c>
      <c r="AB63" s="37">
        <v>18303</v>
      </c>
      <c r="AC63" s="37">
        <v>523</v>
      </c>
    </row>
    <row r="64" spans="1:29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  <c r="H64" s="9">
        <f>Table27[[#This Row],[New_Followers]]-Table27[[#This Row],[Unfollows]]</f>
        <v>1082</v>
      </c>
      <c r="K64" s="34" t="s">
        <v>13</v>
      </c>
      <c r="L64" s="35">
        <v>1080</v>
      </c>
      <c r="M64" s="35">
        <v>184</v>
      </c>
      <c r="N64" s="35">
        <v>5526</v>
      </c>
      <c r="O64" s="35">
        <v>896</v>
      </c>
      <c r="R64" s="34" t="s">
        <v>22</v>
      </c>
      <c r="S64" s="35">
        <v>938</v>
      </c>
      <c r="T64" s="35">
        <v>236</v>
      </c>
      <c r="U64" s="35">
        <v>17460</v>
      </c>
      <c r="V64" s="35">
        <v>702</v>
      </c>
      <c r="Y64" s="34" t="s">
        <v>27</v>
      </c>
      <c r="Z64" s="35">
        <v>1007</v>
      </c>
      <c r="AA64" s="35">
        <v>258</v>
      </c>
      <c r="AB64" s="35">
        <v>14475</v>
      </c>
      <c r="AC64" s="35">
        <v>749</v>
      </c>
    </row>
    <row r="65" spans="1:29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  <c r="H65" s="9">
        <f>Table27[[#This Row],[New_Followers]]-Table27[[#This Row],[Unfollows]]</f>
        <v>1174</v>
      </c>
      <c r="K65" s="36" t="s">
        <v>13</v>
      </c>
      <c r="L65" s="37">
        <v>541</v>
      </c>
      <c r="M65" s="37">
        <v>208</v>
      </c>
      <c r="N65" s="37">
        <v>20162</v>
      </c>
      <c r="O65" s="37">
        <v>333</v>
      </c>
      <c r="R65" s="36" t="s">
        <v>22</v>
      </c>
      <c r="S65" s="37">
        <v>745</v>
      </c>
      <c r="T65" s="37">
        <v>98</v>
      </c>
      <c r="U65" s="37">
        <v>17103</v>
      </c>
      <c r="V65" s="37">
        <v>647</v>
      </c>
      <c r="Y65" s="36" t="s">
        <v>27</v>
      </c>
      <c r="Z65" s="37">
        <v>936</v>
      </c>
      <c r="AA65" s="37">
        <v>97</v>
      </c>
      <c r="AB65" s="37">
        <v>15461</v>
      </c>
      <c r="AC65" s="37">
        <v>839</v>
      </c>
    </row>
    <row r="66" spans="1:29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  <c r="H66" s="9">
        <f>Table27[[#This Row],[New_Followers]]-Table27[[#This Row],[Unfollows]]</f>
        <v>464</v>
      </c>
      <c r="K66" s="34" t="s">
        <v>13</v>
      </c>
      <c r="L66" s="35">
        <v>1183</v>
      </c>
      <c r="M66" s="35">
        <v>223</v>
      </c>
      <c r="N66" s="35">
        <v>22103</v>
      </c>
      <c r="O66" s="35">
        <v>960</v>
      </c>
      <c r="R66" s="34" t="s">
        <v>22</v>
      </c>
      <c r="S66" s="35">
        <v>1413</v>
      </c>
      <c r="T66" s="35">
        <v>245</v>
      </c>
      <c r="U66" s="35">
        <v>11625</v>
      </c>
      <c r="V66" s="35">
        <v>1168</v>
      </c>
      <c r="Y66" s="34" t="s">
        <v>27</v>
      </c>
      <c r="Z66" s="35">
        <v>791</v>
      </c>
      <c r="AA66" s="35">
        <v>273</v>
      </c>
      <c r="AB66" s="35">
        <v>5281</v>
      </c>
      <c r="AC66" s="35">
        <v>518</v>
      </c>
    </row>
    <row r="67" spans="1:29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  <c r="H67" s="9">
        <f>Table27[[#This Row],[New_Followers]]-Table27[[#This Row],[Unfollows]]</f>
        <v>543</v>
      </c>
      <c r="K67" s="36" t="s">
        <v>13</v>
      </c>
      <c r="L67" s="37">
        <v>1052</v>
      </c>
      <c r="M67" s="37">
        <v>180</v>
      </c>
      <c r="N67" s="37">
        <v>13424</v>
      </c>
      <c r="O67" s="37">
        <v>872</v>
      </c>
      <c r="R67" s="36" t="s">
        <v>22</v>
      </c>
      <c r="S67" s="37">
        <v>572</v>
      </c>
      <c r="T67" s="37">
        <v>270</v>
      </c>
      <c r="U67" s="37">
        <v>13140</v>
      </c>
      <c r="V67" s="37">
        <v>302</v>
      </c>
      <c r="Y67" s="42" t="s">
        <v>27</v>
      </c>
      <c r="Z67" s="43">
        <v>503</v>
      </c>
      <c r="AA67" s="43">
        <v>253</v>
      </c>
      <c r="AB67" s="43">
        <v>19538</v>
      </c>
      <c r="AC67" s="43">
        <v>250</v>
      </c>
    </row>
    <row r="68" spans="1:29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  <c r="H68" s="9">
        <f>Table27[[#This Row],[New_Followers]]-Table27[[#This Row],[Unfollows]]</f>
        <v>1202</v>
      </c>
      <c r="K68" s="40" t="s">
        <v>13</v>
      </c>
      <c r="L68" s="41">
        <v>1017</v>
      </c>
      <c r="M68" s="41">
        <v>197</v>
      </c>
      <c r="N68" s="41">
        <v>7881</v>
      </c>
      <c r="O68" s="41">
        <v>820</v>
      </c>
      <c r="R68" s="40" t="s">
        <v>22</v>
      </c>
      <c r="S68" s="41">
        <v>860</v>
      </c>
      <c r="T68" s="41">
        <v>244</v>
      </c>
      <c r="U68" s="41">
        <v>11418</v>
      </c>
      <c r="V68" s="41">
        <v>616</v>
      </c>
    </row>
    <row r="69" spans="1:29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  <c r="H69" s="9">
        <f>Table27[[#This Row],[New_Followers]]-Table27[[#This Row],[Unfollows]]</f>
        <v>1390</v>
      </c>
    </row>
    <row r="70" spans="1:29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  <c r="H70" s="9">
        <f>Table27[[#This Row],[New_Followers]]-Table27[[#This Row],[Unfollows]]</f>
        <v>984</v>
      </c>
    </row>
    <row r="71" spans="1:29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  <c r="H71" s="9">
        <f>Table27[[#This Row],[New_Followers]]-Table27[[#This Row],[Unfollows]]</f>
        <v>1204</v>
      </c>
    </row>
    <row r="72" spans="1:29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  <c r="H72" s="9">
        <f>Table27[[#This Row],[New_Followers]]-Table27[[#This Row],[Unfollows]]</f>
        <v>532</v>
      </c>
    </row>
    <row r="73" spans="1:29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  <c r="H73" s="9">
        <f>Table27[[#This Row],[New_Followers]]-Table27[[#This Row],[Unfollows]]</f>
        <v>1058</v>
      </c>
    </row>
    <row r="74" spans="1:29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  <c r="H74" s="9">
        <f>Table27[[#This Row],[New_Followers]]-Table27[[#This Row],[Unfollows]]</f>
        <v>676</v>
      </c>
    </row>
    <row r="75" spans="1:29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  <c r="H75" s="9">
        <f>Table27[[#This Row],[New_Followers]]-Table27[[#This Row],[Unfollows]]</f>
        <v>577</v>
      </c>
    </row>
    <row r="76" spans="1:29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  <c r="H76" s="9">
        <f>Table27[[#This Row],[New_Followers]]-Table27[[#This Row],[Unfollows]]</f>
        <v>682</v>
      </c>
    </row>
    <row r="77" spans="1:29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  <c r="H77" s="9">
        <f>Table27[[#This Row],[New_Followers]]-Table27[[#This Row],[Unfollows]]</f>
        <v>450</v>
      </c>
    </row>
    <row r="78" spans="1:29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  <c r="H78" s="9">
        <f>Table27[[#This Row],[New_Followers]]-Table27[[#This Row],[Unfollows]]</f>
        <v>683</v>
      </c>
    </row>
    <row r="79" spans="1:29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  <c r="H79" s="9">
        <f>Table27[[#This Row],[New_Followers]]-Table27[[#This Row],[Unfollows]]</f>
        <v>1154</v>
      </c>
    </row>
    <row r="80" spans="1:29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  <c r="H80" s="9">
        <f>Table27[[#This Row],[New_Followers]]-Table27[[#This Row],[Unfollows]]</f>
        <v>808</v>
      </c>
    </row>
    <row r="81" spans="1:20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  <c r="H81" s="9">
        <f>Table27[[#This Row],[New_Followers]]-Table27[[#This Row],[Unfollows]]</f>
        <v>871</v>
      </c>
    </row>
    <row r="82" spans="1:20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  <c r="H82" s="9">
        <f>Table27[[#This Row],[New_Followers]]-Table27[[#This Row],[Unfollows]]</f>
        <v>704</v>
      </c>
    </row>
    <row r="83" spans="1:20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  <c r="H83" s="9">
        <f>Table27[[#This Row],[New_Followers]]-Table27[[#This Row],[Unfollows]]</f>
        <v>611</v>
      </c>
    </row>
    <row r="84" spans="1:20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  <c r="H84" s="9">
        <f>Table27[[#This Row],[New_Followers]]-Table27[[#This Row],[Unfollows]]</f>
        <v>405</v>
      </c>
    </row>
    <row r="85" spans="1:20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  <c r="H85" s="9">
        <f>Table27[[#This Row],[New_Followers]]-Table27[[#This Row],[Unfollows]]</f>
        <v>382</v>
      </c>
    </row>
    <row r="86" spans="1:20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  <c r="H86" s="9">
        <f>Table27[[#This Row],[New_Followers]]-Table27[[#This Row],[Unfollows]]</f>
        <v>1117</v>
      </c>
    </row>
    <row r="87" spans="1:20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  <c r="H87" s="9">
        <f>Table27[[#This Row],[New_Followers]]-Table27[[#This Row],[Unfollows]]</f>
        <v>477</v>
      </c>
    </row>
    <row r="88" spans="1:20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  <c r="H88" s="9">
        <f>Table27[[#This Row],[New_Followers]]-Table27[[#This Row],[Unfollows]]</f>
        <v>1099</v>
      </c>
    </row>
    <row r="89" spans="1:20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  <c r="H89" s="9">
        <f>Table27[[#This Row],[New_Followers]]-Table27[[#This Row],[Unfollows]]</f>
        <v>567</v>
      </c>
    </row>
    <row r="90" spans="1:20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  <c r="H90" s="9">
        <f>Table27[[#This Row],[New_Followers]]-Table27[[#This Row],[Unfollows]]</f>
        <v>1133</v>
      </c>
    </row>
    <row r="91" spans="1:20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  <c r="H91" s="9">
        <f>Table27[[#This Row],[New_Followers]]-Table27[[#This Row],[Unfollows]]</f>
        <v>850</v>
      </c>
    </row>
    <row r="92" spans="1:20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  <c r="H92" s="9">
        <f>Table27[[#This Row],[New_Followers]]-Table27[[#This Row],[Unfollows]]</f>
        <v>413</v>
      </c>
    </row>
    <row r="93" spans="1:20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  <c r="H93" s="9">
        <f>Table27[[#This Row],[New_Followers]]-Table27[[#This Row],[Unfollows]]</f>
        <v>1387</v>
      </c>
    </row>
    <row r="94" spans="1:20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  <c r="H94" s="9">
        <f>Table27[[#This Row],[New_Followers]]-Table27[[#This Row],[Unfollows]]</f>
        <v>537</v>
      </c>
    </row>
    <row r="95" spans="1:20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  <c r="H95" s="9">
        <f>Table27[[#This Row],[New_Followers]]-Table27[[#This Row],[Unfollows]]</f>
        <v>443</v>
      </c>
    </row>
    <row r="96" spans="1:20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  <c r="H96" s="9">
        <f>Table27[[#This Row],[New_Followers]]-Table27[[#This Row],[Unfollows]]</f>
        <v>1283</v>
      </c>
      <c r="R96"/>
      <c r="S96"/>
      <c r="T96"/>
    </row>
    <row r="97" spans="1:27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  <c r="H97" s="9">
        <f>Table27[[#This Row],[New_Followers]]-Table27[[#This Row],[Unfollows]]</f>
        <v>725</v>
      </c>
      <c r="K97" s="45" t="s">
        <v>1</v>
      </c>
      <c r="L97" t="s">
        <v>376</v>
      </c>
      <c r="M97" t="s">
        <v>377</v>
      </c>
      <c r="R97"/>
      <c r="S97"/>
      <c r="T97"/>
    </row>
    <row r="98" spans="1:27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  <c r="H98" s="9">
        <f>Table27[[#This Row],[New_Followers]]-Table27[[#This Row],[Unfollows]]</f>
        <v>467</v>
      </c>
      <c r="K98" s="46" t="s">
        <v>22</v>
      </c>
      <c r="L98" s="47">
        <v>16629.910447761195</v>
      </c>
      <c r="M98" s="47">
        <v>829.01492537313436</v>
      </c>
      <c r="R98"/>
      <c r="S98"/>
      <c r="T98"/>
      <c r="Y98"/>
      <c r="Z98"/>
      <c r="AA98"/>
    </row>
    <row r="99" spans="1:27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  <c r="H99" s="9">
        <f>Table27[[#This Row],[New_Followers]]-Table27[[#This Row],[Unfollows]]</f>
        <v>1354</v>
      </c>
      <c r="K99" s="46" t="s">
        <v>27</v>
      </c>
      <c r="L99" s="47">
        <v>16148.212121212122</v>
      </c>
      <c r="M99" s="47">
        <v>833.42424242424238</v>
      </c>
      <c r="R99"/>
      <c r="S99"/>
      <c r="T99"/>
      <c r="Y99"/>
      <c r="Z99"/>
      <c r="AA99"/>
    </row>
    <row r="100" spans="1:27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  <c r="H100" s="9">
        <f>Table27[[#This Row],[New_Followers]]-Table27[[#This Row],[Unfollows]]</f>
        <v>520</v>
      </c>
      <c r="K100" s="46" t="s">
        <v>13</v>
      </c>
      <c r="L100" s="47">
        <v>15461.820895522387</v>
      </c>
      <c r="M100" s="47">
        <v>761.7611940298508</v>
      </c>
      <c r="R100"/>
      <c r="S100"/>
      <c r="T100"/>
      <c r="Y100"/>
      <c r="Z100"/>
      <c r="AA100"/>
    </row>
    <row r="101" spans="1:27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  <c r="H101" s="9">
        <f>Table27[[#This Row],[New_Followers]]-Table27[[#This Row],[Unfollows]]</f>
        <v>442</v>
      </c>
      <c r="K101"/>
      <c r="L101"/>
      <c r="M101"/>
      <c r="R101"/>
      <c r="S101"/>
      <c r="T101"/>
      <c r="Y101"/>
      <c r="Z101"/>
      <c r="AA101"/>
    </row>
    <row r="102" spans="1:27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  <c r="H102" s="9">
        <f>Table27[[#This Row],[New_Followers]]-Table27[[#This Row],[Unfollows]]</f>
        <v>546</v>
      </c>
      <c r="K102"/>
      <c r="L102"/>
      <c r="M102"/>
      <c r="R102"/>
      <c r="S102"/>
      <c r="T102"/>
      <c r="Y102"/>
      <c r="Z102"/>
      <c r="AA102"/>
    </row>
    <row r="103" spans="1:27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  <c r="H103" s="9">
        <f>Table27[[#This Row],[New_Followers]]-Table27[[#This Row],[Unfollows]]</f>
        <v>844</v>
      </c>
      <c r="R103"/>
      <c r="S103"/>
      <c r="T103"/>
      <c r="Y103"/>
      <c r="Z103"/>
      <c r="AA103"/>
    </row>
    <row r="104" spans="1:27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  <c r="H104" s="9">
        <f>Table27[[#This Row],[New_Followers]]-Table27[[#This Row],[Unfollows]]</f>
        <v>341</v>
      </c>
      <c r="R104"/>
      <c r="S104"/>
      <c r="T104"/>
      <c r="Y104"/>
      <c r="Z104"/>
      <c r="AA104"/>
    </row>
    <row r="105" spans="1:27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  <c r="H105" s="9">
        <f>Table27[[#This Row],[New_Followers]]-Table27[[#This Row],[Unfollows]]</f>
        <v>869</v>
      </c>
      <c r="R105"/>
      <c r="S105"/>
      <c r="T105"/>
      <c r="Y105"/>
      <c r="Z105"/>
      <c r="AA105"/>
    </row>
    <row r="106" spans="1:27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  <c r="H106" s="9">
        <f>Table27[[#This Row],[New_Followers]]-Table27[[#This Row],[Unfollows]]</f>
        <v>718</v>
      </c>
      <c r="R106"/>
      <c r="S106"/>
      <c r="T106"/>
      <c r="Y106"/>
      <c r="Z106"/>
      <c r="AA106"/>
    </row>
    <row r="107" spans="1:27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  <c r="H107" s="9">
        <f>Table27[[#This Row],[New_Followers]]-Table27[[#This Row],[Unfollows]]</f>
        <v>735</v>
      </c>
      <c r="R107"/>
      <c r="S107"/>
      <c r="T107"/>
      <c r="Y107"/>
      <c r="Z107"/>
      <c r="AA107"/>
    </row>
    <row r="108" spans="1:27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  <c r="H108" s="9">
        <f>Table27[[#This Row],[New_Followers]]-Table27[[#This Row],[Unfollows]]</f>
        <v>523</v>
      </c>
      <c r="K108"/>
      <c r="L108"/>
      <c r="M108"/>
      <c r="R108"/>
      <c r="S108"/>
      <c r="T108"/>
      <c r="Y108"/>
      <c r="Z108"/>
      <c r="AA108"/>
    </row>
    <row r="109" spans="1:27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  <c r="H109" s="9">
        <f>Table27[[#This Row],[New_Followers]]-Table27[[#This Row],[Unfollows]]</f>
        <v>422</v>
      </c>
      <c r="K109"/>
      <c r="L109" s="48" t="s">
        <v>378</v>
      </c>
      <c r="M109"/>
      <c r="R109"/>
      <c r="S109"/>
      <c r="T109"/>
      <c r="Y109"/>
      <c r="Z109"/>
      <c r="AA109"/>
    </row>
    <row r="110" spans="1:27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  <c r="H110" s="9">
        <f>Table27[[#This Row],[New_Followers]]-Table27[[#This Row],[Unfollows]]</f>
        <v>915</v>
      </c>
      <c r="K110"/>
      <c r="L110"/>
      <c r="M110"/>
      <c r="R110"/>
      <c r="S110"/>
      <c r="T110"/>
      <c r="Y110"/>
      <c r="Z110"/>
      <c r="AA110"/>
    </row>
    <row r="111" spans="1:27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  <c r="H111" s="9">
        <f>Table27[[#This Row],[New_Followers]]-Table27[[#This Row],[Unfollows]]</f>
        <v>1108</v>
      </c>
      <c r="K111"/>
      <c r="L111"/>
      <c r="M111"/>
      <c r="R111"/>
      <c r="S111"/>
      <c r="T111"/>
      <c r="Y111"/>
      <c r="Z111"/>
      <c r="AA111"/>
    </row>
    <row r="112" spans="1:27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  <c r="H112" s="9">
        <f>Table27[[#This Row],[New_Followers]]-Table27[[#This Row],[Unfollows]]</f>
        <v>338</v>
      </c>
      <c r="K112"/>
      <c r="L112"/>
      <c r="M112"/>
      <c r="R112"/>
      <c r="S112"/>
      <c r="T112"/>
      <c r="Y112"/>
      <c r="Z112"/>
      <c r="AA112"/>
    </row>
    <row r="113" spans="1:27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  <c r="H113" s="9">
        <f>Table27[[#This Row],[New_Followers]]-Table27[[#This Row],[Unfollows]]</f>
        <v>724</v>
      </c>
      <c r="K113"/>
      <c r="L113"/>
      <c r="M113"/>
      <c r="R113"/>
      <c r="S113"/>
      <c r="T113"/>
      <c r="Y113"/>
      <c r="Z113"/>
      <c r="AA113"/>
    </row>
    <row r="114" spans="1:27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  <c r="H114" s="9">
        <f>Table27[[#This Row],[New_Followers]]-Table27[[#This Row],[Unfollows]]</f>
        <v>463</v>
      </c>
      <c r="K114"/>
      <c r="L114"/>
      <c r="M114"/>
      <c r="Y114"/>
      <c r="Z114"/>
      <c r="AA114"/>
    </row>
    <row r="115" spans="1:27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  <c r="H115" s="9">
        <f>Table27[[#This Row],[New_Followers]]-Table27[[#This Row],[Unfollows]]</f>
        <v>356</v>
      </c>
      <c r="K115"/>
      <c r="L115"/>
      <c r="M115"/>
      <c r="Y115"/>
      <c r="Z115"/>
      <c r="AA115"/>
    </row>
    <row r="116" spans="1:27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  <c r="H116" s="9">
        <f>Table27[[#This Row],[New_Followers]]-Table27[[#This Row],[Unfollows]]</f>
        <v>378</v>
      </c>
      <c r="K116"/>
      <c r="L116"/>
      <c r="M116"/>
    </row>
    <row r="117" spans="1:27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  <c r="H117" s="9">
        <f>Table27[[#This Row],[New_Followers]]-Table27[[#This Row],[Unfollows]]</f>
        <v>636</v>
      </c>
      <c r="K117"/>
      <c r="L117"/>
      <c r="M117"/>
    </row>
    <row r="118" spans="1:27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  <c r="H118" s="9">
        <f>Table27[[#This Row],[New_Followers]]-Table27[[#This Row],[Unfollows]]</f>
        <v>699</v>
      </c>
      <c r="K118"/>
      <c r="L118"/>
      <c r="M118"/>
    </row>
    <row r="119" spans="1:27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  <c r="H119" s="9">
        <f>Table27[[#This Row],[New_Followers]]-Table27[[#This Row],[Unfollows]]</f>
        <v>1279</v>
      </c>
      <c r="K119"/>
      <c r="L119"/>
      <c r="M119"/>
    </row>
    <row r="120" spans="1:27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  <c r="H120" s="9">
        <f>Table27[[#This Row],[New_Followers]]-Table27[[#This Row],[Unfollows]]</f>
        <v>1006</v>
      </c>
      <c r="K120"/>
      <c r="L120"/>
      <c r="M120"/>
    </row>
    <row r="121" spans="1:27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  <c r="H121" s="9">
        <f>Table27[[#This Row],[New_Followers]]-Table27[[#This Row],[Unfollows]]</f>
        <v>478</v>
      </c>
    </row>
    <row r="122" spans="1:27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  <c r="H122" s="9">
        <f>Table27[[#This Row],[New_Followers]]-Table27[[#This Row],[Unfollows]]</f>
        <v>545</v>
      </c>
    </row>
    <row r="123" spans="1:27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  <c r="H123" s="9">
        <f>Table27[[#This Row],[New_Followers]]-Table27[[#This Row],[Unfollows]]</f>
        <v>1005</v>
      </c>
    </row>
    <row r="124" spans="1:27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  <c r="H124" s="9">
        <f>Table27[[#This Row],[New_Followers]]-Table27[[#This Row],[Unfollows]]</f>
        <v>765</v>
      </c>
    </row>
    <row r="125" spans="1:27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  <c r="H125" s="9">
        <f>Table27[[#This Row],[New_Followers]]-Table27[[#This Row],[Unfollows]]</f>
        <v>564</v>
      </c>
    </row>
    <row r="126" spans="1:27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  <c r="H126" s="9">
        <f>Table27[[#This Row],[New_Followers]]-Table27[[#This Row],[Unfollows]]</f>
        <v>496</v>
      </c>
    </row>
    <row r="127" spans="1:27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  <c r="H127" s="9">
        <f>Table27[[#This Row],[New_Followers]]-Table27[[#This Row],[Unfollows]]</f>
        <v>1128</v>
      </c>
    </row>
    <row r="128" spans="1:27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  <c r="H128" s="9">
        <f>Table27[[#This Row],[New_Followers]]-Table27[[#This Row],[Unfollows]]</f>
        <v>565</v>
      </c>
    </row>
    <row r="129" spans="1:8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  <c r="H129" s="9">
        <f>Table27[[#This Row],[New_Followers]]-Table27[[#This Row],[Unfollows]]</f>
        <v>813</v>
      </c>
    </row>
    <row r="130" spans="1:8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  <c r="H130" s="9">
        <f>Table27[[#This Row],[New_Followers]]-Table27[[#This Row],[Unfollows]]</f>
        <v>1301</v>
      </c>
    </row>
    <row r="131" spans="1:8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  <c r="H131" s="9">
        <f>Table27[[#This Row],[New_Followers]]-Table27[[#This Row],[Unfollows]]</f>
        <v>436</v>
      </c>
    </row>
    <row r="132" spans="1:8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  <c r="H132" s="9">
        <f>Table27[[#This Row],[New_Followers]]-Table27[[#This Row],[Unfollows]]</f>
        <v>978</v>
      </c>
    </row>
    <row r="133" spans="1:8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  <c r="H133" s="9">
        <f>Table27[[#This Row],[New_Followers]]-Table27[[#This Row],[Unfollows]]</f>
        <v>1367</v>
      </c>
    </row>
    <row r="134" spans="1:8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  <c r="H134" s="9">
        <f>Table27[[#This Row],[New_Followers]]-Table27[[#This Row],[Unfollows]]</f>
        <v>1337</v>
      </c>
    </row>
    <row r="135" spans="1:8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  <c r="H135" s="9">
        <f>Table27[[#This Row],[New_Followers]]-Table27[[#This Row],[Unfollows]]</f>
        <v>1014</v>
      </c>
    </row>
    <row r="136" spans="1:8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  <c r="H136" s="9">
        <f>Table27[[#This Row],[New_Followers]]-Table27[[#This Row],[Unfollows]]</f>
        <v>940</v>
      </c>
    </row>
    <row r="137" spans="1:8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  <c r="H137" s="9">
        <f>Table27[[#This Row],[New_Followers]]-Table27[[#This Row],[Unfollows]]</f>
        <v>690</v>
      </c>
    </row>
    <row r="138" spans="1:8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  <c r="H138" s="9">
        <f>Table27[[#This Row],[New_Followers]]-Table27[[#This Row],[Unfollows]]</f>
        <v>1335</v>
      </c>
    </row>
    <row r="139" spans="1:8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  <c r="H139" s="9">
        <f>Table27[[#This Row],[New_Followers]]-Table27[[#This Row],[Unfollows]]</f>
        <v>1191</v>
      </c>
    </row>
    <row r="140" spans="1:8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  <c r="H140" s="9">
        <f>Table27[[#This Row],[New_Followers]]-Table27[[#This Row],[Unfollows]]</f>
        <v>353</v>
      </c>
    </row>
    <row r="141" spans="1:8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  <c r="H141" s="9">
        <f>Table27[[#This Row],[New_Followers]]-Table27[[#This Row],[Unfollows]]</f>
        <v>486</v>
      </c>
    </row>
    <row r="142" spans="1:8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  <c r="H142" s="9">
        <f>Table27[[#This Row],[New_Followers]]-Table27[[#This Row],[Unfollows]]</f>
        <v>889</v>
      </c>
    </row>
    <row r="143" spans="1:8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  <c r="H143" s="9">
        <f>Table27[[#This Row],[New_Followers]]-Table27[[#This Row],[Unfollows]]</f>
        <v>983</v>
      </c>
    </row>
    <row r="144" spans="1:8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  <c r="H144" s="9">
        <f>Table27[[#This Row],[New_Followers]]-Table27[[#This Row],[Unfollows]]</f>
        <v>581</v>
      </c>
    </row>
    <row r="145" spans="1:8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  <c r="H145" s="9">
        <f>Table27[[#This Row],[New_Followers]]-Table27[[#This Row],[Unfollows]]</f>
        <v>814</v>
      </c>
    </row>
    <row r="146" spans="1:8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  <c r="H146" s="9">
        <f>Table27[[#This Row],[New_Followers]]-Table27[[#This Row],[Unfollows]]</f>
        <v>919</v>
      </c>
    </row>
    <row r="147" spans="1:8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  <c r="H147" s="9">
        <f>Table27[[#This Row],[New_Followers]]-Table27[[#This Row],[Unfollows]]</f>
        <v>676</v>
      </c>
    </row>
    <row r="148" spans="1:8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  <c r="H148" s="9">
        <f>Table27[[#This Row],[New_Followers]]-Table27[[#This Row],[Unfollows]]</f>
        <v>459</v>
      </c>
    </row>
    <row r="149" spans="1:8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  <c r="H149" s="9">
        <f>Table27[[#This Row],[New_Followers]]-Table27[[#This Row],[Unfollows]]</f>
        <v>576</v>
      </c>
    </row>
    <row r="150" spans="1:8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  <c r="H150" s="9">
        <f>Table27[[#This Row],[New_Followers]]-Table27[[#This Row],[Unfollows]]</f>
        <v>447</v>
      </c>
    </row>
    <row r="151" spans="1:8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  <c r="H151" s="9">
        <f>Table27[[#This Row],[New_Followers]]-Table27[[#This Row],[Unfollows]]</f>
        <v>377</v>
      </c>
    </row>
    <row r="152" spans="1:8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  <c r="H152" s="9">
        <f>Table27[[#This Row],[New_Followers]]-Table27[[#This Row],[Unfollows]]</f>
        <v>932</v>
      </c>
    </row>
    <row r="153" spans="1:8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  <c r="H153" s="9">
        <f>Table27[[#This Row],[New_Followers]]-Table27[[#This Row],[Unfollows]]</f>
        <v>1356</v>
      </c>
    </row>
    <row r="154" spans="1:8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  <c r="H154" s="9">
        <f>Table27[[#This Row],[New_Followers]]-Table27[[#This Row],[Unfollows]]</f>
        <v>1281</v>
      </c>
    </row>
    <row r="155" spans="1:8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  <c r="H155" s="9">
        <f>Table27[[#This Row],[New_Followers]]-Table27[[#This Row],[Unfollows]]</f>
        <v>1041</v>
      </c>
    </row>
    <row r="156" spans="1:8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  <c r="H156" s="9">
        <f>Table27[[#This Row],[New_Followers]]-Table27[[#This Row],[Unfollows]]</f>
        <v>1184</v>
      </c>
    </row>
    <row r="157" spans="1:8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  <c r="H157" s="9">
        <f>Table27[[#This Row],[New_Followers]]-Table27[[#This Row],[Unfollows]]</f>
        <v>684</v>
      </c>
    </row>
    <row r="158" spans="1:8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  <c r="H158" s="9">
        <f>Table27[[#This Row],[New_Followers]]-Table27[[#This Row],[Unfollows]]</f>
        <v>354</v>
      </c>
    </row>
    <row r="159" spans="1:8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  <c r="H159" s="9">
        <f>Table27[[#This Row],[New_Followers]]-Table27[[#This Row],[Unfollows]]</f>
        <v>1126</v>
      </c>
    </row>
    <row r="160" spans="1:8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  <c r="H160" s="9">
        <f>Table27[[#This Row],[New_Followers]]-Table27[[#This Row],[Unfollows]]</f>
        <v>569</v>
      </c>
    </row>
    <row r="161" spans="1:8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  <c r="H161" s="9">
        <f>Table27[[#This Row],[New_Followers]]-Table27[[#This Row],[Unfollows]]</f>
        <v>730</v>
      </c>
    </row>
    <row r="162" spans="1:8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  <c r="H162" s="9">
        <f>Table27[[#This Row],[New_Followers]]-Table27[[#This Row],[Unfollows]]</f>
        <v>578</v>
      </c>
    </row>
    <row r="163" spans="1:8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  <c r="H163" s="9">
        <f>Table27[[#This Row],[New_Followers]]-Table27[[#This Row],[Unfollows]]</f>
        <v>935</v>
      </c>
    </row>
    <row r="164" spans="1:8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  <c r="H164" s="9">
        <f>Table27[[#This Row],[New_Followers]]-Table27[[#This Row],[Unfollows]]</f>
        <v>698</v>
      </c>
    </row>
    <row r="165" spans="1:8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  <c r="H165" s="9">
        <f>Table27[[#This Row],[New_Followers]]-Table27[[#This Row],[Unfollows]]</f>
        <v>325</v>
      </c>
    </row>
    <row r="166" spans="1:8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  <c r="H166" s="9">
        <f>Table27[[#This Row],[New_Followers]]-Table27[[#This Row],[Unfollows]]</f>
        <v>994</v>
      </c>
    </row>
    <row r="167" spans="1:8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  <c r="H167" s="9">
        <f>Table27[[#This Row],[New_Followers]]-Table27[[#This Row],[Unfollows]]</f>
        <v>320</v>
      </c>
    </row>
    <row r="168" spans="1:8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  <c r="H168" s="9">
        <f>Table27[[#This Row],[New_Followers]]-Table27[[#This Row],[Unfollows]]</f>
        <v>544</v>
      </c>
    </row>
    <row r="169" spans="1:8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  <c r="H169" s="9">
        <f>Table27[[#This Row],[New_Followers]]-Table27[[#This Row],[Unfollows]]</f>
        <v>520</v>
      </c>
    </row>
    <row r="170" spans="1:8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  <c r="H170" s="9">
        <f>Table27[[#This Row],[New_Followers]]-Table27[[#This Row],[Unfollows]]</f>
        <v>485</v>
      </c>
    </row>
    <row r="171" spans="1:8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  <c r="H171" s="9">
        <f>Table27[[#This Row],[New_Followers]]-Table27[[#This Row],[Unfollows]]</f>
        <v>1234</v>
      </c>
    </row>
    <row r="172" spans="1:8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  <c r="H172" s="9">
        <f>Table27[[#This Row],[New_Followers]]-Table27[[#This Row],[Unfollows]]</f>
        <v>596</v>
      </c>
    </row>
    <row r="173" spans="1:8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  <c r="H173" s="9">
        <f>Table27[[#This Row],[New_Followers]]-Table27[[#This Row],[Unfollows]]</f>
        <v>831</v>
      </c>
    </row>
    <row r="174" spans="1:8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  <c r="H174" s="9">
        <f>Table27[[#This Row],[New_Followers]]-Table27[[#This Row],[Unfollows]]</f>
        <v>1033</v>
      </c>
    </row>
    <row r="175" spans="1:8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  <c r="H175" s="9">
        <f>Table27[[#This Row],[New_Followers]]-Table27[[#This Row],[Unfollows]]</f>
        <v>805</v>
      </c>
    </row>
    <row r="176" spans="1:8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  <c r="H176" s="9">
        <f>Table27[[#This Row],[New_Followers]]-Table27[[#This Row],[Unfollows]]</f>
        <v>1274</v>
      </c>
    </row>
    <row r="177" spans="1:8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  <c r="H177" s="9">
        <f>Table27[[#This Row],[New_Followers]]-Table27[[#This Row],[Unfollows]]</f>
        <v>428</v>
      </c>
    </row>
    <row r="178" spans="1:8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  <c r="H178" s="9">
        <f>Table27[[#This Row],[New_Followers]]-Table27[[#This Row],[Unfollows]]</f>
        <v>952</v>
      </c>
    </row>
    <row r="179" spans="1:8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  <c r="H179" s="9">
        <f>Table27[[#This Row],[New_Followers]]-Table27[[#This Row],[Unfollows]]</f>
        <v>951</v>
      </c>
    </row>
    <row r="180" spans="1:8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  <c r="H180" s="9">
        <f>Table27[[#This Row],[New_Followers]]-Table27[[#This Row],[Unfollows]]</f>
        <v>604</v>
      </c>
    </row>
    <row r="181" spans="1:8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  <c r="H181" s="9">
        <f>Table27[[#This Row],[New_Followers]]-Table27[[#This Row],[Unfollows]]</f>
        <v>1139</v>
      </c>
    </row>
    <row r="182" spans="1:8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  <c r="H182" s="9">
        <f>Table27[[#This Row],[New_Followers]]-Table27[[#This Row],[Unfollows]]</f>
        <v>567</v>
      </c>
    </row>
    <row r="183" spans="1:8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  <c r="H183" s="9">
        <f>Table27[[#This Row],[New_Followers]]-Table27[[#This Row],[Unfollows]]</f>
        <v>1282</v>
      </c>
    </row>
    <row r="184" spans="1:8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  <c r="H184" s="9">
        <f>Table27[[#This Row],[New_Followers]]-Table27[[#This Row],[Unfollows]]</f>
        <v>1387</v>
      </c>
    </row>
    <row r="185" spans="1:8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  <c r="H185" s="9">
        <f>Table27[[#This Row],[New_Followers]]-Table27[[#This Row],[Unfollows]]</f>
        <v>667</v>
      </c>
    </row>
    <row r="186" spans="1:8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  <c r="H186" s="9">
        <f>Table27[[#This Row],[New_Followers]]-Table27[[#This Row],[Unfollows]]</f>
        <v>499</v>
      </c>
    </row>
    <row r="187" spans="1:8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  <c r="H187" s="9">
        <f>Table27[[#This Row],[New_Followers]]-Table27[[#This Row],[Unfollows]]</f>
        <v>523</v>
      </c>
    </row>
    <row r="188" spans="1:8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  <c r="H188" s="9">
        <f>Table27[[#This Row],[New_Followers]]-Table27[[#This Row],[Unfollows]]</f>
        <v>896</v>
      </c>
    </row>
    <row r="189" spans="1:8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  <c r="H189" s="9">
        <f>Table27[[#This Row],[New_Followers]]-Table27[[#This Row],[Unfollows]]</f>
        <v>702</v>
      </c>
    </row>
    <row r="190" spans="1:8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  <c r="H190" s="9">
        <f>Table27[[#This Row],[New_Followers]]-Table27[[#This Row],[Unfollows]]</f>
        <v>749</v>
      </c>
    </row>
    <row r="191" spans="1:8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  <c r="H191" s="9">
        <f>Table27[[#This Row],[New_Followers]]-Table27[[#This Row],[Unfollows]]</f>
        <v>333</v>
      </c>
    </row>
    <row r="192" spans="1:8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  <c r="H192" s="9">
        <f>Table27[[#This Row],[New_Followers]]-Table27[[#This Row],[Unfollows]]</f>
        <v>647</v>
      </c>
    </row>
    <row r="193" spans="1:8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  <c r="H193" s="9">
        <f>Table27[[#This Row],[New_Followers]]-Table27[[#This Row],[Unfollows]]</f>
        <v>839</v>
      </c>
    </row>
    <row r="194" spans="1:8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  <c r="H194" s="9">
        <f>Table27[[#This Row],[New_Followers]]-Table27[[#This Row],[Unfollows]]</f>
        <v>960</v>
      </c>
    </row>
    <row r="195" spans="1:8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  <c r="H195" s="9">
        <f>Table27[[#This Row],[New_Followers]]-Table27[[#This Row],[Unfollows]]</f>
        <v>1168</v>
      </c>
    </row>
    <row r="196" spans="1:8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  <c r="H196" s="9">
        <f>Table27[[#This Row],[New_Followers]]-Table27[[#This Row],[Unfollows]]</f>
        <v>518</v>
      </c>
    </row>
    <row r="197" spans="1:8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  <c r="H197" s="9">
        <f>Table27[[#This Row],[New_Followers]]-Table27[[#This Row],[Unfollows]]</f>
        <v>872</v>
      </c>
    </row>
    <row r="198" spans="1:8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  <c r="H198" s="9">
        <f>Table27[[#This Row],[New_Followers]]-Table27[[#This Row],[Unfollows]]</f>
        <v>302</v>
      </c>
    </row>
    <row r="199" spans="1:8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  <c r="H199" s="9">
        <f>Table27[[#This Row],[New_Followers]]-Table27[[#This Row],[Unfollows]]</f>
        <v>250</v>
      </c>
    </row>
    <row r="200" spans="1:8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  <c r="H200" s="9">
        <f>Table27[[#This Row],[New_Followers]]-Table27[[#This Row],[Unfollows]]</f>
        <v>820</v>
      </c>
    </row>
    <row r="201" spans="1:8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  <c r="H201" s="9">
        <f>Table27[[#This Row],[New_Followers]]-Table27[[#This Row],[Unfollows]]</f>
        <v>616</v>
      </c>
    </row>
  </sheetData>
  <pageMargins left="0.7" right="0.7" top="0.75" bottom="0.75" header="0" footer="0"/>
  <pageSetup orientation="landscape"/>
  <drawing r:id="rId2"/>
  <tableParts count="4"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H15" sqref="H15"/>
    </sheetView>
  </sheetViews>
  <sheetFormatPr defaultColWidth="14.42578125" defaultRowHeight="15" customHeight="1"/>
  <cols>
    <col min="1" max="1" width="18.140625" style="2" customWidth="1"/>
    <col min="2" max="2" width="12.42578125" style="2" customWidth="1"/>
    <col min="3" max="3" width="11.5703125" style="2" customWidth="1"/>
    <col min="4" max="4" width="16.42578125" style="2" bestFit="1" customWidth="1"/>
    <col min="5" max="5" width="14.85546875" style="10" customWidth="1"/>
    <col min="6" max="6" width="19" style="2" bestFit="1" customWidth="1"/>
    <col min="7" max="8" width="18.5703125" style="2" customWidth="1"/>
    <col min="9" max="11" width="8.7109375" style="2" customWidth="1"/>
    <col min="12" max="12" width="16" style="2" bestFit="1" customWidth="1"/>
    <col min="13" max="25" width="8.7109375" style="2" customWidth="1"/>
    <col min="26" max="16384" width="14.42578125" style="2"/>
  </cols>
  <sheetData>
    <row r="1" spans="1:12">
      <c r="A1" s="3" t="s">
        <v>11</v>
      </c>
      <c r="B1" s="3" t="s">
        <v>337</v>
      </c>
      <c r="C1" s="3" t="s">
        <v>338</v>
      </c>
      <c r="D1" s="3" t="s">
        <v>339</v>
      </c>
      <c r="E1" s="11" t="s">
        <v>340</v>
      </c>
      <c r="F1" s="3" t="s">
        <v>341</v>
      </c>
      <c r="G1" s="13" t="s">
        <v>358</v>
      </c>
      <c r="H1" s="13" t="s">
        <v>359</v>
      </c>
    </row>
    <row r="2" spans="1:12">
      <c r="A2" s="4" t="s">
        <v>49</v>
      </c>
      <c r="B2" s="4" t="s">
        <v>342</v>
      </c>
      <c r="C2" s="4" t="s">
        <v>343</v>
      </c>
      <c r="D2" s="4" t="s">
        <v>344</v>
      </c>
      <c r="E2" s="12">
        <v>175000</v>
      </c>
      <c r="F2" s="4" t="s">
        <v>345</v>
      </c>
      <c r="G2" s="2" t="s">
        <v>365</v>
      </c>
      <c r="H2" s="2" t="s">
        <v>364</v>
      </c>
      <c r="J2" s="22"/>
      <c r="K2" s="22"/>
      <c r="L2" s="13"/>
    </row>
    <row r="3" spans="1:12">
      <c r="A3" s="4" t="s">
        <v>46</v>
      </c>
      <c r="B3" s="4" t="s">
        <v>346</v>
      </c>
      <c r="C3" s="4" t="s">
        <v>347</v>
      </c>
      <c r="D3" s="4" t="s">
        <v>348</v>
      </c>
      <c r="E3" s="12">
        <v>225000</v>
      </c>
      <c r="F3" s="4" t="s">
        <v>349</v>
      </c>
      <c r="G3" s="2" t="s">
        <v>365</v>
      </c>
      <c r="H3" s="2" t="s">
        <v>34</v>
      </c>
      <c r="J3" s="22"/>
      <c r="K3" s="22"/>
    </row>
    <row r="4" spans="1:12">
      <c r="A4" s="4" t="s">
        <v>16</v>
      </c>
      <c r="B4" s="4" t="s">
        <v>350</v>
      </c>
      <c r="C4" s="4" t="s">
        <v>351</v>
      </c>
      <c r="D4" s="4" t="s">
        <v>352</v>
      </c>
      <c r="E4" s="12">
        <v>200000</v>
      </c>
      <c r="F4" s="4" t="s">
        <v>353</v>
      </c>
      <c r="G4" s="2" t="s">
        <v>366</v>
      </c>
      <c r="H4" s="2" t="s">
        <v>37</v>
      </c>
      <c r="J4" s="22"/>
      <c r="K4" s="22"/>
    </row>
    <row r="5" spans="1:12">
      <c r="A5" s="4" t="s">
        <v>20</v>
      </c>
      <c r="B5" s="4" t="s">
        <v>354</v>
      </c>
      <c r="C5" s="4" t="s">
        <v>355</v>
      </c>
      <c r="D5" s="4" t="s">
        <v>356</v>
      </c>
      <c r="E5" s="12">
        <v>160000</v>
      </c>
      <c r="F5" s="4" t="s">
        <v>357</v>
      </c>
      <c r="G5" s="2" t="s">
        <v>19</v>
      </c>
      <c r="H5" s="2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Engagement Summary</vt:lpstr>
      <vt:lpstr>6.1NetFollowerGain</vt:lpstr>
      <vt:lpstr>6.2MovingAvg</vt:lpstr>
      <vt:lpstr>6.3AdSpendvsFollowerGrowth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2025-08-26T05:40:30Z</dcterms:created>
  <dcterms:modified xsi:type="dcterms:W3CDTF">2025-09-03T06:48:47Z</dcterms:modified>
</cp:coreProperties>
</file>